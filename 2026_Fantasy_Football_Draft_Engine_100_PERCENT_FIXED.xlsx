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rek\Downloads\Documents\"/>
    </mc:Choice>
  </mc:AlternateContent>
  <xr:revisionPtr revIDLastSave="0" documentId="13_ncr:1_{44B1BDD9-1569-41F1-973E-CAEC8E7B3B0D}" xr6:coauthVersionLast="47" xr6:coauthVersionMax="47" xr10:uidLastSave="{00000000-0000-0000-0000-000000000000}"/>
  <bookViews>
    <workbookView xWindow="-30492" yWindow="816" windowWidth="16428" windowHeight="14064" xr2:uid="{00000000-000D-0000-FFFF-FFFF00000000}"/>
  </bookViews>
  <sheets>
    <sheet name="Draft Board" sheetId="1" r:id="rId1"/>
    <sheet name="League Config" sheetId="2" r:id="rId2"/>
    <sheet name="Manual Adjustments" sheetId="3" r:id="rId3"/>
    <sheet name="LIVE SOURCE" sheetId="4" r:id="rId4"/>
    <sheet name="FINAL Master" sheetId="5" r:id="rId5"/>
    <sheet name="Top 200" sheetId="6" r:id="rId6"/>
    <sheet name="FINAL QB" sheetId="7" r:id="rId7"/>
    <sheet name="FINAL RB" sheetId="8" r:id="rId8"/>
    <sheet name="FINAL WR" sheetId="9" r:id="rId9"/>
    <sheet name="FINAL TE" sheetId="10" r:id="rId10"/>
    <sheet name="K" sheetId="11" r:id="rId11"/>
    <sheet name="DST" sheetId="12" r:id="rId12"/>
    <sheet name="Draft Engine" sheetId="13" r:id="rId13"/>
    <sheet name="Draft Room" sheetId="14" r:id="rId14"/>
    <sheet name="Player Summaries" sheetId="15" r:id="rId15"/>
    <sheet name="QA Checks" sheetId="16" r:id="rId16"/>
    <sheet name="How It Works" sheetId="19" r:id="rId17"/>
  </sheets>
  <definedNames>
    <definedName name="DstStart">'League Config'!$B$17</definedName>
    <definedName name="GateSize">'League Config'!$B$19</definedName>
    <definedName name="KStart">'League Config'!$B$18</definedName>
    <definedName name="NDst">'League Config'!$B$22</definedName>
    <definedName name="NSkill">'League Config'!$B$21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6" l="1"/>
  <c r="D4" i="16" s="1"/>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B7" i="14"/>
  <c r="B6" i="14"/>
  <c r="X232" i="13"/>
  <c r="T232" i="13"/>
  <c r="R232" i="13"/>
  <c r="C232" i="13"/>
  <c r="B232" i="13"/>
  <c r="A232" i="13"/>
  <c r="O232" i="13" s="1"/>
  <c r="P232" i="13" s="1"/>
  <c r="X231" i="13"/>
  <c r="T231" i="13"/>
  <c r="R231" i="13"/>
  <c r="C231" i="13"/>
  <c r="B231" i="13"/>
  <c r="A231" i="13"/>
  <c r="M231" i="13" s="1"/>
  <c r="X230" i="13"/>
  <c r="T230" i="13"/>
  <c r="R230" i="13"/>
  <c r="O230" i="13"/>
  <c r="P230" i="13" s="1"/>
  <c r="C230" i="13"/>
  <c r="B230" i="13"/>
  <c r="A230" i="13"/>
  <c r="M230" i="13" s="1"/>
  <c r="X229" i="13"/>
  <c r="T229" i="13"/>
  <c r="R229" i="13"/>
  <c r="C229" i="13"/>
  <c r="B229" i="13"/>
  <c r="A229" i="13"/>
  <c r="O229" i="13" s="1"/>
  <c r="P229" i="13" s="1"/>
  <c r="X228" i="13"/>
  <c r="T228" i="13"/>
  <c r="R228" i="13"/>
  <c r="C228" i="13"/>
  <c r="B228" i="13"/>
  <c r="A228" i="13"/>
  <c r="X227" i="13"/>
  <c r="T227" i="13"/>
  <c r="R227" i="13"/>
  <c r="M227" i="13"/>
  <c r="C227" i="13"/>
  <c r="B227" i="13"/>
  <c r="A227" i="13"/>
  <c r="X226" i="13"/>
  <c r="T226" i="13"/>
  <c r="R226" i="13"/>
  <c r="C226" i="13"/>
  <c r="B226" i="13"/>
  <c r="A226" i="13"/>
  <c r="O226" i="13" s="1"/>
  <c r="P226" i="13" s="1"/>
  <c r="X225" i="13"/>
  <c r="T225" i="13"/>
  <c r="R225" i="13"/>
  <c r="C225" i="13"/>
  <c r="B225" i="13"/>
  <c r="A225" i="13"/>
  <c r="M225" i="13" s="1"/>
  <c r="X224" i="13"/>
  <c r="T224" i="13"/>
  <c r="R224" i="13"/>
  <c r="C224" i="13"/>
  <c r="B224" i="13"/>
  <c r="A224" i="13"/>
  <c r="M224" i="13" s="1"/>
  <c r="X223" i="13"/>
  <c r="T223" i="13"/>
  <c r="R223" i="13"/>
  <c r="C223" i="13"/>
  <c r="B223" i="13"/>
  <c r="A223" i="13"/>
  <c r="O223" i="13" s="1"/>
  <c r="P223" i="13" s="1"/>
  <c r="X222" i="13"/>
  <c r="T222" i="13"/>
  <c r="R222" i="13"/>
  <c r="C222" i="13"/>
  <c r="B222" i="13"/>
  <c r="A222" i="13"/>
  <c r="M222" i="13" s="1"/>
  <c r="X221" i="13"/>
  <c r="T221" i="13"/>
  <c r="R221" i="13"/>
  <c r="O221" i="13"/>
  <c r="P221" i="13" s="1"/>
  <c r="M221" i="13"/>
  <c r="C221" i="13"/>
  <c r="B221" i="13"/>
  <c r="A221" i="13"/>
  <c r="X220" i="13"/>
  <c r="T220" i="13"/>
  <c r="R220" i="13"/>
  <c r="C220" i="13"/>
  <c r="B220" i="13"/>
  <c r="A220" i="13"/>
  <c r="X219" i="13"/>
  <c r="T219" i="13"/>
  <c r="R219" i="13"/>
  <c r="C219" i="13"/>
  <c r="B219" i="13"/>
  <c r="A219" i="13"/>
  <c r="O219" i="13" s="1"/>
  <c r="P219" i="13" s="1"/>
  <c r="X218" i="13"/>
  <c r="T218" i="13"/>
  <c r="R218" i="13"/>
  <c r="O218" i="13"/>
  <c r="P218" i="13" s="1"/>
  <c r="C218" i="13"/>
  <c r="B218" i="13"/>
  <c r="A218" i="13"/>
  <c r="M218" i="13" s="1"/>
  <c r="X217" i="13"/>
  <c r="T217" i="13"/>
  <c r="R217" i="13"/>
  <c r="C217" i="13"/>
  <c r="B217" i="13"/>
  <c r="A217" i="13"/>
  <c r="O217" i="13" s="1"/>
  <c r="P217" i="13" s="1"/>
  <c r="X216" i="13"/>
  <c r="T216" i="13"/>
  <c r="R216" i="13"/>
  <c r="M216" i="13"/>
  <c r="C216" i="13"/>
  <c r="B216" i="13"/>
  <c r="A216" i="13"/>
  <c r="X215" i="13"/>
  <c r="T215" i="13"/>
  <c r="R215" i="13"/>
  <c r="C215" i="13"/>
  <c r="B215" i="13"/>
  <c r="A215" i="13"/>
  <c r="X214" i="13"/>
  <c r="T214" i="13"/>
  <c r="R214" i="13"/>
  <c r="M214" i="13"/>
  <c r="C214" i="13"/>
  <c r="B214" i="13"/>
  <c r="A214" i="13"/>
  <c r="O214" i="13" s="1"/>
  <c r="P214" i="13" s="1"/>
  <c r="X213" i="13"/>
  <c r="T213" i="13"/>
  <c r="R213" i="13"/>
  <c r="C213" i="13"/>
  <c r="B213" i="13"/>
  <c r="A213" i="13"/>
  <c r="X212" i="13"/>
  <c r="T212" i="13"/>
  <c r="R212" i="13"/>
  <c r="C212" i="13"/>
  <c r="B212" i="13"/>
  <c r="A212" i="13"/>
  <c r="M212" i="13" s="1"/>
  <c r="X211" i="13"/>
  <c r="T211" i="13"/>
  <c r="R211" i="13"/>
  <c r="C211" i="13"/>
  <c r="B211" i="13"/>
  <c r="A211" i="13"/>
  <c r="O211" i="13" s="1"/>
  <c r="P211" i="13" s="1"/>
  <c r="X210" i="13"/>
  <c r="T210" i="13"/>
  <c r="R210" i="13"/>
  <c r="C210" i="13"/>
  <c r="B210" i="13"/>
  <c r="A210" i="13"/>
  <c r="X209" i="13"/>
  <c r="T209" i="13"/>
  <c r="R209" i="13"/>
  <c r="C209" i="13"/>
  <c r="B209" i="13"/>
  <c r="A209" i="13"/>
  <c r="O209" i="13" s="1"/>
  <c r="P209" i="13" s="1"/>
  <c r="X208" i="13"/>
  <c r="T208" i="13"/>
  <c r="R208" i="13"/>
  <c r="C208" i="13"/>
  <c r="B208" i="13"/>
  <c r="A208" i="13"/>
  <c r="O208" i="13" s="1"/>
  <c r="P208" i="13" s="1"/>
  <c r="X207" i="13"/>
  <c r="T207" i="13"/>
  <c r="R207" i="13"/>
  <c r="C207" i="13"/>
  <c r="B207" i="13"/>
  <c r="A207" i="13"/>
  <c r="O207" i="13" s="1"/>
  <c r="P207" i="13" s="1"/>
  <c r="X206" i="13"/>
  <c r="T206" i="13"/>
  <c r="R206" i="13"/>
  <c r="C206" i="13"/>
  <c r="B206" i="13"/>
  <c r="A206" i="13"/>
  <c r="M206" i="13" s="1"/>
  <c r="X205" i="13"/>
  <c r="T205" i="13"/>
  <c r="R205" i="13"/>
  <c r="C205" i="13"/>
  <c r="B205" i="13"/>
  <c r="A205" i="13"/>
  <c r="X204" i="13"/>
  <c r="T204" i="13"/>
  <c r="R204" i="13"/>
  <c r="C204" i="13"/>
  <c r="B204" i="13"/>
  <c r="A204" i="13"/>
  <c r="O204" i="13" s="1"/>
  <c r="P204" i="13" s="1"/>
  <c r="X203" i="13"/>
  <c r="T203" i="13"/>
  <c r="R203" i="13"/>
  <c r="C203" i="13"/>
  <c r="B203" i="13"/>
  <c r="A203" i="13"/>
  <c r="X202" i="13"/>
  <c r="T202" i="13"/>
  <c r="R202" i="13"/>
  <c r="C202" i="13"/>
  <c r="B202" i="13"/>
  <c r="A202" i="13"/>
  <c r="O202" i="13" s="1"/>
  <c r="P202" i="13" s="1"/>
  <c r="X201" i="13"/>
  <c r="T201" i="13"/>
  <c r="R201" i="13"/>
  <c r="C201" i="13"/>
  <c r="B201" i="13"/>
  <c r="A201" i="13"/>
  <c r="M201" i="13" s="1"/>
  <c r="X200" i="13"/>
  <c r="T200" i="13"/>
  <c r="R200" i="13"/>
  <c r="C200" i="13"/>
  <c r="B200" i="13"/>
  <c r="A200" i="13"/>
  <c r="M200" i="13" s="1"/>
  <c r="X199" i="13"/>
  <c r="T199" i="13"/>
  <c r="R199" i="13"/>
  <c r="C199" i="13"/>
  <c r="B199" i="13"/>
  <c r="A199" i="13"/>
  <c r="X198" i="13"/>
  <c r="T198" i="13"/>
  <c r="R198" i="13"/>
  <c r="C198" i="13"/>
  <c r="B198" i="13"/>
  <c r="A198" i="13"/>
  <c r="O198" i="13" s="1"/>
  <c r="P198" i="13" s="1"/>
  <c r="X197" i="13"/>
  <c r="T197" i="13"/>
  <c r="R197" i="13"/>
  <c r="C197" i="13"/>
  <c r="B197" i="13"/>
  <c r="A197" i="13"/>
  <c r="X196" i="13"/>
  <c r="T196" i="13"/>
  <c r="R196" i="13"/>
  <c r="C196" i="13"/>
  <c r="B196" i="13"/>
  <c r="A196" i="13"/>
  <c r="O196" i="13" s="1"/>
  <c r="P196" i="13" s="1"/>
  <c r="X195" i="13"/>
  <c r="T195" i="13"/>
  <c r="R195" i="13"/>
  <c r="C195" i="13"/>
  <c r="B195" i="13"/>
  <c r="A195" i="13"/>
  <c r="M195" i="13" s="1"/>
  <c r="X194" i="13"/>
  <c r="T194" i="13"/>
  <c r="R194" i="13"/>
  <c r="C194" i="13"/>
  <c r="B194" i="13"/>
  <c r="A194" i="13"/>
  <c r="M194" i="13" s="1"/>
  <c r="X193" i="13"/>
  <c r="T193" i="13"/>
  <c r="R193" i="13"/>
  <c r="C193" i="13"/>
  <c r="B193" i="13"/>
  <c r="A193" i="13"/>
  <c r="M193" i="13" s="1"/>
  <c r="X192" i="13"/>
  <c r="T192" i="13"/>
  <c r="R192" i="13"/>
  <c r="C192" i="13"/>
  <c r="B192" i="13"/>
  <c r="A192" i="13"/>
  <c r="O192" i="13" s="1"/>
  <c r="P192" i="13" s="1"/>
  <c r="X191" i="13"/>
  <c r="T191" i="13"/>
  <c r="R191" i="13"/>
  <c r="C191" i="13"/>
  <c r="B191" i="13"/>
  <c r="A191" i="13"/>
  <c r="M191" i="13" s="1"/>
  <c r="X190" i="13"/>
  <c r="T190" i="13"/>
  <c r="R190" i="13"/>
  <c r="C190" i="13"/>
  <c r="B190" i="13"/>
  <c r="A190" i="13"/>
  <c r="O190" i="13" s="1"/>
  <c r="P190" i="13" s="1"/>
  <c r="X189" i="13"/>
  <c r="T189" i="13"/>
  <c r="R189" i="13"/>
  <c r="C189" i="13"/>
  <c r="B189" i="13"/>
  <c r="A189" i="13"/>
  <c r="M189" i="13" s="1"/>
  <c r="X188" i="13"/>
  <c r="T188" i="13"/>
  <c r="R188" i="13"/>
  <c r="C188" i="13"/>
  <c r="B188" i="13"/>
  <c r="A188" i="13"/>
  <c r="M188" i="13" s="1"/>
  <c r="X187" i="13"/>
  <c r="T187" i="13"/>
  <c r="R187" i="13"/>
  <c r="C187" i="13"/>
  <c r="B187" i="13"/>
  <c r="A187" i="13"/>
  <c r="X186" i="13"/>
  <c r="T186" i="13"/>
  <c r="R186" i="13"/>
  <c r="C186" i="13"/>
  <c r="B186" i="13"/>
  <c r="A186" i="13"/>
  <c r="X185" i="13"/>
  <c r="T185" i="13"/>
  <c r="R185" i="13"/>
  <c r="C185" i="13"/>
  <c r="B185" i="13"/>
  <c r="A185" i="13"/>
  <c r="M185" i="13" s="1"/>
  <c r="X184" i="13"/>
  <c r="T184" i="13"/>
  <c r="R184" i="13"/>
  <c r="C184" i="13"/>
  <c r="B184" i="13"/>
  <c r="A184" i="13"/>
  <c r="X183" i="13"/>
  <c r="T183" i="13"/>
  <c r="R183" i="13"/>
  <c r="C183" i="13"/>
  <c r="B183" i="13"/>
  <c r="A183" i="13"/>
  <c r="M183" i="13" s="1"/>
  <c r="X182" i="13"/>
  <c r="T182" i="13"/>
  <c r="R182" i="13"/>
  <c r="C182" i="13"/>
  <c r="B182" i="13"/>
  <c r="A182" i="13"/>
  <c r="M182" i="13" s="1"/>
  <c r="X181" i="13"/>
  <c r="T181" i="13"/>
  <c r="R181" i="13"/>
  <c r="C181" i="13"/>
  <c r="B181" i="13"/>
  <c r="A181" i="13"/>
  <c r="X180" i="13"/>
  <c r="T180" i="13"/>
  <c r="R180" i="13"/>
  <c r="C180" i="13"/>
  <c r="B180" i="13"/>
  <c r="A180" i="13"/>
  <c r="X179" i="13"/>
  <c r="T179" i="13"/>
  <c r="R179" i="13"/>
  <c r="C179" i="13"/>
  <c r="B179" i="13"/>
  <c r="A179" i="13"/>
  <c r="M179" i="13" s="1"/>
  <c r="X178" i="13"/>
  <c r="T178" i="13"/>
  <c r="R178" i="13"/>
  <c r="C178" i="13"/>
  <c r="B178" i="13"/>
  <c r="A178" i="13"/>
  <c r="X177" i="13"/>
  <c r="T177" i="13"/>
  <c r="R177" i="13"/>
  <c r="C177" i="13"/>
  <c r="B177" i="13"/>
  <c r="A177" i="13"/>
  <c r="M177" i="13" s="1"/>
  <c r="X176" i="13"/>
  <c r="T176" i="13"/>
  <c r="R176" i="13"/>
  <c r="C176" i="13"/>
  <c r="B176" i="13"/>
  <c r="A176" i="13"/>
  <c r="M176" i="13" s="1"/>
  <c r="X175" i="13"/>
  <c r="T175" i="13"/>
  <c r="R175" i="13"/>
  <c r="C175" i="13"/>
  <c r="B175" i="13"/>
  <c r="A175" i="13"/>
  <c r="M175" i="13" s="1"/>
  <c r="X174" i="13"/>
  <c r="T174" i="13"/>
  <c r="R174" i="13"/>
  <c r="C174" i="13"/>
  <c r="B174" i="13"/>
  <c r="A174" i="13"/>
  <c r="X173" i="13"/>
  <c r="T173" i="13"/>
  <c r="R173" i="13"/>
  <c r="C173" i="13"/>
  <c r="B173" i="13"/>
  <c r="A173" i="13"/>
  <c r="M173" i="13" s="1"/>
  <c r="X172" i="13"/>
  <c r="T172" i="13"/>
  <c r="R172" i="13"/>
  <c r="C172" i="13"/>
  <c r="B172" i="13"/>
  <c r="A172" i="13"/>
  <c r="M172" i="13" s="1"/>
  <c r="X171" i="13"/>
  <c r="T171" i="13"/>
  <c r="R171" i="13"/>
  <c r="C171" i="13"/>
  <c r="B171" i="13"/>
  <c r="A171" i="13"/>
  <c r="X170" i="13"/>
  <c r="T170" i="13"/>
  <c r="R170" i="13"/>
  <c r="C170" i="13"/>
  <c r="B170" i="13"/>
  <c r="A170" i="13"/>
  <c r="X169" i="13"/>
  <c r="T169" i="13"/>
  <c r="R169" i="13"/>
  <c r="C169" i="13"/>
  <c r="B169" i="13"/>
  <c r="A169" i="13"/>
  <c r="X168" i="13"/>
  <c r="T168" i="13"/>
  <c r="R168" i="13"/>
  <c r="C168" i="13"/>
  <c r="B168" i="13"/>
  <c r="A168" i="13"/>
  <c r="X167" i="13"/>
  <c r="T167" i="13"/>
  <c r="R167" i="13"/>
  <c r="C167" i="13"/>
  <c r="B167" i="13"/>
  <c r="A167" i="13"/>
  <c r="M167" i="13" s="1"/>
  <c r="X166" i="13"/>
  <c r="T166" i="13"/>
  <c r="R166" i="13"/>
  <c r="C166" i="13"/>
  <c r="B166" i="13"/>
  <c r="A166" i="13"/>
  <c r="M166" i="13" s="1"/>
  <c r="X165" i="13"/>
  <c r="T165" i="13"/>
  <c r="R165" i="13"/>
  <c r="C165" i="13"/>
  <c r="B165" i="13"/>
  <c r="A165" i="13"/>
  <c r="X164" i="13"/>
  <c r="T164" i="13"/>
  <c r="R164" i="13"/>
  <c r="C164" i="13"/>
  <c r="B164" i="13"/>
  <c r="A164" i="13"/>
  <c r="X163" i="13"/>
  <c r="T163" i="13"/>
  <c r="R163" i="13"/>
  <c r="C163" i="13"/>
  <c r="B163" i="13"/>
  <c r="A163" i="13"/>
  <c r="X162" i="13"/>
  <c r="T162" i="13"/>
  <c r="R162" i="13"/>
  <c r="C162" i="13"/>
  <c r="B162" i="13"/>
  <c r="A162" i="13"/>
  <c r="X161" i="13"/>
  <c r="T161" i="13"/>
  <c r="R161" i="13"/>
  <c r="C161" i="13"/>
  <c r="B161" i="13"/>
  <c r="A161" i="13"/>
  <c r="M161" i="13" s="1"/>
  <c r="X160" i="13"/>
  <c r="T160" i="13"/>
  <c r="R160" i="13"/>
  <c r="C160" i="13"/>
  <c r="B160" i="13"/>
  <c r="A160" i="13"/>
  <c r="X159" i="13"/>
  <c r="T159" i="13"/>
  <c r="R159" i="13"/>
  <c r="C159" i="13"/>
  <c r="B159" i="13"/>
  <c r="A159" i="13"/>
  <c r="X158" i="13"/>
  <c r="T158" i="13"/>
  <c r="R158" i="13"/>
  <c r="C158" i="13"/>
  <c r="B158" i="13"/>
  <c r="A158" i="13"/>
  <c r="X157" i="13"/>
  <c r="T157" i="13"/>
  <c r="R157" i="13"/>
  <c r="C157" i="13"/>
  <c r="B157" i="13"/>
  <c r="A157" i="13"/>
  <c r="X156" i="13"/>
  <c r="T156" i="13"/>
  <c r="R156" i="13"/>
  <c r="C156" i="13"/>
  <c r="B156" i="13"/>
  <c r="A156" i="13"/>
  <c r="X155" i="13"/>
  <c r="T155" i="13"/>
  <c r="R155" i="13"/>
  <c r="C155" i="13"/>
  <c r="B155" i="13"/>
  <c r="A155" i="13"/>
  <c r="M155" i="13" s="1"/>
  <c r="X154" i="13"/>
  <c r="T154" i="13"/>
  <c r="R154" i="13"/>
  <c r="C154" i="13"/>
  <c r="B154" i="13"/>
  <c r="A154" i="13"/>
  <c r="X153" i="13"/>
  <c r="T153" i="13"/>
  <c r="R153" i="13"/>
  <c r="C153" i="13"/>
  <c r="B153" i="13"/>
  <c r="A153" i="13"/>
  <c r="X152" i="13"/>
  <c r="T152" i="13"/>
  <c r="R152" i="13"/>
  <c r="C152" i="13"/>
  <c r="B152" i="13"/>
  <c r="A152" i="13"/>
  <c r="X151" i="13"/>
  <c r="T151" i="13"/>
  <c r="R151" i="13"/>
  <c r="C151" i="13"/>
  <c r="B151" i="13"/>
  <c r="A151" i="13"/>
  <c r="X150" i="13"/>
  <c r="T150" i="13"/>
  <c r="R150" i="13"/>
  <c r="C150" i="13"/>
  <c r="B150" i="13"/>
  <c r="A150" i="13"/>
  <c r="X149" i="13"/>
  <c r="T149" i="13"/>
  <c r="R149" i="13"/>
  <c r="C149" i="13"/>
  <c r="B149" i="13"/>
  <c r="A149" i="13"/>
  <c r="M149" i="13" s="1"/>
  <c r="X148" i="13"/>
  <c r="T148" i="13"/>
  <c r="R148" i="13"/>
  <c r="C148" i="13"/>
  <c r="B148" i="13"/>
  <c r="A148" i="13"/>
  <c r="X147" i="13"/>
  <c r="T147" i="13"/>
  <c r="R147" i="13"/>
  <c r="C147" i="13"/>
  <c r="B147" i="13"/>
  <c r="A147" i="13"/>
  <c r="M147" i="13" s="1"/>
  <c r="X146" i="13"/>
  <c r="T146" i="13"/>
  <c r="R146" i="13"/>
  <c r="C146" i="13"/>
  <c r="B146" i="13"/>
  <c r="A146" i="13"/>
  <c r="X145" i="13"/>
  <c r="T145" i="13"/>
  <c r="R145" i="13"/>
  <c r="M145" i="13"/>
  <c r="C145" i="13"/>
  <c r="B145" i="13"/>
  <c r="A145" i="13"/>
  <c r="X144" i="13"/>
  <c r="T144" i="13"/>
  <c r="R144" i="13"/>
  <c r="C144" i="13"/>
  <c r="B144" i="13"/>
  <c r="A144" i="13"/>
  <c r="X143" i="13"/>
  <c r="T143" i="13"/>
  <c r="R143" i="13"/>
  <c r="C143" i="13"/>
  <c r="B143" i="13"/>
  <c r="A143" i="13"/>
  <c r="M143" i="13" s="1"/>
  <c r="X142" i="13"/>
  <c r="T142" i="13"/>
  <c r="R142" i="13"/>
  <c r="C142" i="13"/>
  <c r="B142" i="13"/>
  <c r="A142" i="13"/>
  <c r="X141" i="13"/>
  <c r="T141" i="13"/>
  <c r="R141" i="13"/>
  <c r="C141" i="13"/>
  <c r="B141" i="13"/>
  <c r="A141" i="13"/>
  <c r="M141" i="13" s="1"/>
  <c r="X140" i="13"/>
  <c r="T140" i="13"/>
  <c r="R140" i="13"/>
  <c r="C140" i="13"/>
  <c r="B140" i="13"/>
  <c r="A140" i="13"/>
  <c r="X139" i="13"/>
  <c r="T139" i="13"/>
  <c r="R139" i="13"/>
  <c r="C139" i="13"/>
  <c r="B139" i="13"/>
  <c r="A139" i="13"/>
  <c r="M139" i="13" s="1"/>
  <c r="X138" i="13"/>
  <c r="T138" i="13"/>
  <c r="R138" i="13"/>
  <c r="C138" i="13"/>
  <c r="B138" i="13"/>
  <c r="A138" i="13"/>
  <c r="X137" i="13"/>
  <c r="T137" i="13"/>
  <c r="R137" i="13"/>
  <c r="C137" i="13"/>
  <c r="B137" i="13"/>
  <c r="A137" i="13"/>
  <c r="M137" i="13" s="1"/>
  <c r="X136" i="13"/>
  <c r="T136" i="13"/>
  <c r="R136" i="13"/>
  <c r="C136" i="13"/>
  <c r="B136" i="13"/>
  <c r="A136" i="13"/>
  <c r="X135" i="13"/>
  <c r="T135" i="13"/>
  <c r="R135" i="13"/>
  <c r="C135" i="13"/>
  <c r="B135" i="13"/>
  <c r="A135" i="13"/>
  <c r="M135" i="13" s="1"/>
  <c r="X134" i="13"/>
  <c r="T134" i="13"/>
  <c r="R134" i="13"/>
  <c r="C134" i="13"/>
  <c r="B134" i="13"/>
  <c r="A134" i="13"/>
  <c r="X133" i="13"/>
  <c r="T133" i="13"/>
  <c r="R133" i="13"/>
  <c r="C133" i="13"/>
  <c r="B133" i="13"/>
  <c r="A133" i="13"/>
  <c r="X132" i="13"/>
  <c r="T132" i="13"/>
  <c r="R132" i="13"/>
  <c r="C132" i="13"/>
  <c r="B132" i="13"/>
  <c r="A132" i="13"/>
  <c r="M132" i="13" s="1"/>
  <c r="X131" i="13"/>
  <c r="T131" i="13"/>
  <c r="R131" i="13"/>
  <c r="C131" i="13"/>
  <c r="B131" i="13"/>
  <c r="A131" i="13"/>
  <c r="M131" i="13" s="1"/>
  <c r="X130" i="13"/>
  <c r="T130" i="13"/>
  <c r="R130" i="13"/>
  <c r="C130" i="13"/>
  <c r="B130" i="13"/>
  <c r="A130" i="13"/>
  <c r="X129" i="13"/>
  <c r="T129" i="13"/>
  <c r="R129" i="13"/>
  <c r="C129" i="13"/>
  <c r="B129" i="13"/>
  <c r="A129" i="13"/>
  <c r="M129" i="13" s="1"/>
  <c r="X128" i="13"/>
  <c r="T128" i="13"/>
  <c r="R128" i="13"/>
  <c r="C128" i="13"/>
  <c r="B128" i="13"/>
  <c r="A128" i="13"/>
  <c r="X127" i="13"/>
  <c r="T127" i="13"/>
  <c r="R127" i="13"/>
  <c r="C127" i="13"/>
  <c r="B127" i="13"/>
  <c r="A127" i="13"/>
  <c r="M127" i="13" s="1"/>
  <c r="X126" i="13"/>
  <c r="T126" i="13"/>
  <c r="R126" i="13"/>
  <c r="C126" i="13"/>
  <c r="B126" i="13"/>
  <c r="A126" i="13"/>
  <c r="X125" i="13"/>
  <c r="T125" i="13"/>
  <c r="R125" i="13"/>
  <c r="C125" i="13"/>
  <c r="B125" i="13"/>
  <c r="A125" i="13"/>
  <c r="M125" i="13" s="1"/>
  <c r="X124" i="13"/>
  <c r="T124" i="13"/>
  <c r="R124" i="13"/>
  <c r="C124" i="13"/>
  <c r="B124" i="13"/>
  <c r="A124" i="13"/>
  <c r="X123" i="13"/>
  <c r="T123" i="13"/>
  <c r="R123" i="13"/>
  <c r="C123" i="13"/>
  <c r="B123" i="13"/>
  <c r="A123" i="13"/>
  <c r="M123" i="13" s="1"/>
  <c r="X122" i="13"/>
  <c r="T122" i="13"/>
  <c r="R122" i="13"/>
  <c r="C122" i="13"/>
  <c r="B122" i="13"/>
  <c r="A122" i="13"/>
  <c r="X121" i="13"/>
  <c r="T121" i="13"/>
  <c r="R121" i="13"/>
  <c r="C121" i="13"/>
  <c r="B121" i="13"/>
  <c r="A121" i="13"/>
  <c r="M121" i="13" s="1"/>
  <c r="X120" i="13"/>
  <c r="T120" i="13"/>
  <c r="R120" i="13"/>
  <c r="C120" i="13"/>
  <c r="B120" i="13"/>
  <c r="A120" i="13"/>
  <c r="X119" i="13"/>
  <c r="T119" i="13"/>
  <c r="R119" i="13"/>
  <c r="C119" i="13"/>
  <c r="B119" i="13"/>
  <c r="A119" i="13"/>
  <c r="M119" i="13" s="1"/>
  <c r="X118" i="13"/>
  <c r="T118" i="13"/>
  <c r="R118" i="13"/>
  <c r="C118" i="13"/>
  <c r="B118" i="13"/>
  <c r="A118" i="13"/>
  <c r="M118" i="13" s="1"/>
  <c r="X117" i="13"/>
  <c r="T117" i="13"/>
  <c r="R117" i="13"/>
  <c r="C117" i="13"/>
  <c r="B117" i="13"/>
  <c r="A117" i="13"/>
  <c r="M117" i="13" s="1"/>
  <c r="X116" i="13"/>
  <c r="T116" i="13"/>
  <c r="R116" i="13"/>
  <c r="C116" i="13"/>
  <c r="B116" i="13"/>
  <c r="A116" i="13"/>
  <c r="X115" i="13"/>
  <c r="T115" i="13"/>
  <c r="R115" i="13"/>
  <c r="C115" i="13"/>
  <c r="B115" i="13"/>
  <c r="A115" i="13"/>
  <c r="X114" i="13"/>
  <c r="T114" i="13"/>
  <c r="R114" i="13"/>
  <c r="C114" i="13"/>
  <c r="B114" i="13"/>
  <c r="A114" i="13"/>
  <c r="M114" i="13" s="1"/>
  <c r="X113" i="13"/>
  <c r="T113" i="13"/>
  <c r="R113" i="13"/>
  <c r="C113" i="13"/>
  <c r="B113" i="13"/>
  <c r="A113" i="13"/>
  <c r="M113" i="13" s="1"/>
  <c r="X112" i="13"/>
  <c r="T112" i="13"/>
  <c r="R112" i="13"/>
  <c r="C112" i="13"/>
  <c r="B112" i="13"/>
  <c r="A112" i="13"/>
  <c r="M112" i="13" s="1"/>
  <c r="X111" i="13"/>
  <c r="T111" i="13"/>
  <c r="R111" i="13"/>
  <c r="M111" i="13"/>
  <c r="C111" i="13"/>
  <c r="B111" i="13"/>
  <c r="A111" i="13"/>
  <c r="X110" i="13"/>
  <c r="T110" i="13"/>
  <c r="R110" i="13"/>
  <c r="C110" i="13"/>
  <c r="B110" i="13"/>
  <c r="A110" i="13"/>
  <c r="X109" i="13"/>
  <c r="T109" i="13"/>
  <c r="R109" i="13"/>
  <c r="C109" i="13"/>
  <c r="B109" i="13"/>
  <c r="A109" i="13"/>
  <c r="X108" i="13"/>
  <c r="T108" i="13"/>
  <c r="R108" i="13"/>
  <c r="C108" i="13"/>
  <c r="B108" i="13"/>
  <c r="A108" i="13"/>
  <c r="M108" i="13" s="1"/>
  <c r="X107" i="13"/>
  <c r="T107" i="13"/>
  <c r="R107" i="13"/>
  <c r="C107" i="13"/>
  <c r="B107" i="13"/>
  <c r="A107" i="13"/>
  <c r="M107" i="13" s="1"/>
  <c r="X106" i="13"/>
  <c r="T106" i="13"/>
  <c r="R106" i="13"/>
  <c r="C106" i="13"/>
  <c r="B106" i="13"/>
  <c r="A106" i="13"/>
  <c r="X105" i="13"/>
  <c r="T105" i="13"/>
  <c r="R105" i="13"/>
  <c r="C105" i="13"/>
  <c r="B105" i="13"/>
  <c r="A105" i="13"/>
  <c r="M105" i="13" s="1"/>
  <c r="X104" i="13"/>
  <c r="T104" i="13"/>
  <c r="R104" i="13"/>
  <c r="C104" i="13"/>
  <c r="B104" i="13"/>
  <c r="A104" i="13"/>
  <c r="M104" i="13" s="1"/>
  <c r="X103" i="13"/>
  <c r="T103" i="13"/>
  <c r="R103" i="13"/>
  <c r="C103" i="13"/>
  <c r="B103" i="13"/>
  <c r="A103" i="13"/>
  <c r="X102" i="13"/>
  <c r="T102" i="13"/>
  <c r="R102" i="13"/>
  <c r="C102" i="13"/>
  <c r="B102" i="13"/>
  <c r="A102" i="13"/>
  <c r="M102" i="13" s="1"/>
  <c r="X101" i="13"/>
  <c r="T101" i="13"/>
  <c r="R101" i="13"/>
  <c r="C101" i="13"/>
  <c r="B101" i="13"/>
  <c r="A101" i="13"/>
  <c r="M101" i="13" s="1"/>
  <c r="X100" i="13"/>
  <c r="T100" i="13"/>
  <c r="R100" i="13"/>
  <c r="C100" i="13"/>
  <c r="B100" i="13"/>
  <c r="A100" i="13"/>
  <c r="M100" i="13" s="1"/>
  <c r="X99" i="13"/>
  <c r="T99" i="13"/>
  <c r="R99" i="13"/>
  <c r="C99" i="13"/>
  <c r="B99" i="13"/>
  <c r="A99" i="13"/>
  <c r="M99" i="13" s="1"/>
  <c r="X98" i="13"/>
  <c r="T98" i="13"/>
  <c r="R98" i="13"/>
  <c r="C98" i="13"/>
  <c r="B98" i="13"/>
  <c r="A98" i="13"/>
  <c r="M98" i="13" s="1"/>
  <c r="X97" i="13"/>
  <c r="T97" i="13"/>
  <c r="R97" i="13"/>
  <c r="C97" i="13"/>
  <c r="B97" i="13"/>
  <c r="A97" i="13"/>
  <c r="M97" i="13" s="1"/>
  <c r="X96" i="13"/>
  <c r="T96" i="13"/>
  <c r="R96" i="13"/>
  <c r="C96" i="13"/>
  <c r="B96" i="13"/>
  <c r="A96" i="13"/>
  <c r="M96" i="13" s="1"/>
  <c r="X95" i="13"/>
  <c r="T95" i="13"/>
  <c r="R95" i="13"/>
  <c r="C95" i="13"/>
  <c r="B95" i="13"/>
  <c r="A95" i="13"/>
  <c r="X94" i="13"/>
  <c r="T94" i="13"/>
  <c r="R94" i="13"/>
  <c r="C94" i="13"/>
  <c r="B94" i="13"/>
  <c r="A94" i="13"/>
  <c r="M94" i="13" s="1"/>
  <c r="X93" i="13"/>
  <c r="T93" i="13"/>
  <c r="R93" i="13"/>
  <c r="C93" i="13"/>
  <c r="B93" i="13"/>
  <c r="A93" i="13"/>
  <c r="M93" i="13" s="1"/>
  <c r="X92" i="13"/>
  <c r="T92" i="13"/>
  <c r="R92" i="13"/>
  <c r="C92" i="13"/>
  <c r="B92" i="13"/>
  <c r="A92" i="13"/>
  <c r="M92" i="13" s="1"/>
  <c r="X91" i="13"/>
  <c r="T91" i="13"/>
  <c r="R91" i="13"/>
  <c r="C91" i="13"/>
  <c r="B91" i="13"/>
  <c r="A91" i="13"/>
  <c r="M91" i="13" s="1"/>
  <c r="X90" i="13"/>
  <c r="T90" i="13"/>
  <c r="R90" i="13"/>
  <c r="C90" i="13"/>
  <c r="B90" i="13"/>
  <c r="A90" i="13"/>
  <c r="X89" i="13"/>
  <c r="T89" i="13"/>
  <c r="R89" i="13"/>
  <c r="C89" i="13"/>
  <c r="B89" i="13"/>
  <c r="A89" i="13"/>
  <c r="M89" i="13" s="1"/>
  <c r="X88" i="13"/>
  <c r="T88" i="13"/>
  <c r="R88" i="13"/>
  <c r="C88" i="13"/>
  <c r="B88" i="13"/>
  <c r="A88" i="13"/>
  <c r="M88" i="13" s="1"/>
  <c r="X87" i="13"/>
  <c r="T87" i="13"/>
  <c r="R87" i="13"/>
  <c r="C87" i="13"/>
  <c r="B87" i="13"/>
  <c r="A87" i="13"/>
  <c r="X86" i="13"/>
  <c r="T86" i="13"/>
  <c r="R86" i="13"/>
  <c r="C86" i="13"/>
  <c r="B86" i="13"/>
  <c r="A86" i="13"/>
  <c r="M86" i="13" s="1"/>
  <c r="X85" i="13"/>
  <c r="T85" i="13"/>
  <c r="R85" i="13"/>
  <c r="C85" i="13"/>
  <c r="B85" i="13"/>
  <c r="A85" i="13"/>
  <c r="X84" i="13"/>
  <c r="T84" i="13"/>
  <c r="R84" i="13"/>
  <c r="C84" i="13"/>
  <c r="B84" i="13"/>
  <c r="A84" i="13"/>
  <c r="X83" i="13"/>
  <c r="T83" i="13"/>
  <c r="R83" i="13"/>
  <c r="C83" i="13"/>
  <c r="B83" i="13"/>
  <c r="A83" i="13"/>
  <c r="X82" i="13"/>
  <c r="T82" i="13"/>
  <c r="R82" i="13"/>
  <c r="C82" i="13"/>
  <c r="B82" i="13"/>
  <c r="A82" i="13"/>
  <c r="M82" i="13" s="1"/>
  <c r="X81" i="13"/>
  <c r="T81" i="13"/>
  <c r="R81" i="13"/>
  <c r="C81" i="13"/>
  <c r="B81" i="13"/>
  <c r="A81" i="13"/>
  <c r="X80" i="13"/>
  <c r="T80" i="13"/>
  <c r="R80" i="13"/>
  <c r="C80" i="13"/>
  <c r="B80" i="13"/>
  <c r="A80" i="13"/>
  <c r="M80" i="13" s="1"/>
  <c r="X79" i="13"/>
  <c r="T79" i="13"/>
  <c r="R79" i="13"/>
  <c r="C79" i="13"/>
  <c r="B79" i="13"/>
  <c r="A79" i="13"/>
  <c r="M79" i="13" s="1"/>
  <c r="X78" i="13"/>
  <c r="T78" i="13"/>
  <c r="R78" i="13"/>
  <c r="C78" i="13"/>
  <c r="B78" i="13"/>
  <c r="A78" i="13"/>
  <c r="X77" i="13"/>
  <c r="T77" i="13"/>
  <c r="R77" i="13"/>
  <c r="C77" i="13"/>
  <c r="B77" i="13"/>
  <c r="A77" i="13"/>
  <c r="X76" i="13"/>
  <c r="T76" i="13"/>
  <c r="R76" i="13"/>
  <c r="C76" i="13"/>
  <c r="B76" i="13"/>
  <c r="A76" i="13"/>
  <c r="M76" i="13" s="1"/>
  <c r="X75" i="13"/>
  <c r="T75" i="13"/>
  <c r="R75" i="13"/>
  <c r="C75" i="13"/>
  <c r="B75" i="13"/>
  <c r="A75" i="13"/>
  <c r="X74" i="13"/>
  <c r="T74" i="13"/>
  <c r="R74" i="13"/>
  <c r="C74" i="13"/>
  <c r="B74" i="13"/>
  <c r="A74" i="13"/>
  <c r="M74" i="13" s="1"/>
  <c r="X73" i="13"/>
  <c r="T73" i="13"/>
  <c r="R73" i="13"/>
  <c r="C73" i="13"/>
  <c r="B73" i="13"/>
  <c r="A73" i="13"/>
  <c r="X72" i="13"/>
  <c r="T72" i="13"/>
  <c r="R72" i="13"/>
  <c r="C72" i="13"/>
  <c r="B72" i="13"/>
  <c r="A72" i="13"/>
  <c r="M72" i="13" s="1"/>
  <c r="X71" i="13"/>
  <c r="T71" i="13"/>
  <c r="R71" i="13"/>
  <c r="C71" i="13"/>
  <c r="B71" i="13"/>
  <c r="A71" i="13"/>
  <c r="M71" i="13" s="1"/>
  <c r="X70" i="13"/>
  <c r="T70" i="13"/>
  <c r="R70" i="13"/>
  <c r="C70" i="13"/>
  <c r="B70" i="13"/>
  <c r="A70" i="13"/>
  <c r="M70" i="13" s="1"/>
  <c r="X69" i="13"/>
  <c r="T69" i="13"/>
  <c r="R69" i="13"/>
  <c r="C69" i="13"/>
  <c r="B69" i="13"/>
  <c r="A69" i="13"/>
  <c r="X68" i="13"/>
  <c r="T68" i="13"/>
  <c r="R68" i="13"/>
  <c r="C68" i="13"/>
  <c r="B68" i="13"/>
  <c r="A68" i="13"/>
  <c r="M68" i="13" s="1"/>
  <c r="X67" i="13"/>
  <c r="T67" i="13"/>
  <c r="R67" i="13"/>
  <c r="C67" i="13"/>
  <c r="B67" i="13"/>
  <c r="A67" i="13"/>
  <c r="M67" i="13" s="1"/>
  <c r="X66" i="13"/>
  <c r="T66" i="13"/>
  <c r="R66" i="13"/>
  <c r="C66" i="13"/>
  <c r="B66" i="13"/>
  <c r="A66" i="13"/>
  <c r="X65" i="13"/>
  <c r="T65" i="13"/>
  <c r="R65" i="13"/>
  <c r="C65" i="13"/>
  <c r="B65" i="13"/>
  <c r="A65" i="13"/>
  <c r="X64" i="13"/>
  <c r="T64" i="13"/>
  <c r="R64" i="13"/>
  <c r="C64" i="13"/>
  <c r="B64" i="13"/>
  <c r="A64" i="13"/>
  <c r="M64" i="13" s="1"/>
  <c r="X63" i="13"/>
  <c r="T63" i="13"/>
  <c r="R63" i="13"/>
  <c r="C63" i="13"/>
  <c r="B63" i="13"/>
  <c r="A63" i="13"/>
  <c r="X62" i="13"/>
  <c r="T62" i="13"/>
  <c r="R62" i="13"/>
  <c r="C62" i="13"/>
  <c r="B62" i="13"/>
  <c r="A62" i="13"/>
  <c r="M62" i="13" s="1"/>
  <c r="X61" i="13"/>
  <c r="T61" i="13"/>
  <c r="R61" i="13"/>
  <c r="C61" i="13"/>
  <c r="B61" i="13"/>
  <c r="A61" i="13"/>
  <c r="M61" i="13" s="1"/>
  <c r="X60" i="13"/>
  <c r="T60" i="13"/>
  <c r="R60" i="13"/>
  <c r="C60" i="13"/>
  <c r="B60" i="13"/>
  <c r="A60" i="13"/>
  <c r="X59" i="13"/>
  <c r="T59" i="13"/>
  <c r="R59" i="13"/>
  <c r="C59" i="13"/>
  <c r="B59" i="13"/>
  <c r="A59" i="13"/>
  <c r="X58" i="13"/>
  <c r="T58" i="13"/>
  <c r="R58" i="13"/>
  <c r="C58" i="13"/>
  <c r="B58" i="13"/>
  <c r="A58" i="13"/>
  <c r="M58" i="13" s="1"/>
  <c r="X57" i="13"/>
  <c r="T57" i="13"/>
  <c r="R57" i="13"/>
  <c r="C57" i="13"/>
  <c r="B57" i="13"/>
  <c r="A57" i="13"/>
  <c r="X56" i="13"/>
  <c r="T56" i="13"/>
  <c r="R56" i="13"/>
  <c r="C56" i="13"/>
  <c r="B56" i="13"/>
  <c r="A56" i="13"/>
  <c r="M56" i="13" s="1"/>
  <c r="X55" i="13"/>
  <c r="T55" i="13"/>
  <c r="R55" i="13"/>
  <c r="C55" i="13"/>
  <c r="B55" i="13"/>
  <c r="A55" i="13"/>
  <c r="X54" i="13"/>
  <c r="T54" i="13"/>
  <c r="R54" i="13"/>
  <c r="C54" i="13"/>
  <c r="B54" i="13"/>
  <c r="A54" i="13"/>
  <c r="M54" i="13" s="1"/>
  <c r="X53" i="13"/>
  <c r="T53" i="13"/>
  <c r="R53" i="13"/>
  <c r="M53" i="13"/>
  <c r="C53" i="13"/>
  <c r="B53" i="13"/>
  <c r="A53" i="13"/>
  <c r="X52" i="13"/>
  <c r="T52" i="13"/>
  <c r="R52" i="13"/>
  <c r="C52" i="13"/>
  <c r="B52" i="13"/>
  <c r="A52" i="13"/>
  <c r="M52" i="13" s="1"/>
  <c r="X51" i="13"/>
  <c r="T51" i="13"/>
  <c r="R51" i="13"/>
  <c r="M51" i="13"/>
  <c r="C51" i="13"/>
  <c r="B51" i="13"/>
  <c r="A51" i="13"/>
  <c r="X50" i="13"/>
  <c r="T50" i="13"/>
  <c r="R50" i="13"/>
  <c r="C50" i="13"/>
  <c r="B50" i="13"/>
  <c r="A50" i="13"/>
  <c r="M50" i="13" s="1"/>
  <c r="X49" i="13"/>
  <c r="T49" i="13"/>
  <c r="R49" i="13"/>
  <c r="C49" i="13"/>
  <c r="B49" i="13"/>
  <c r="A49" i="13"/>
  <c r="X48" i="13"/>
  <c r="T48" i="13"/>
  <c r="R48" i="13"/>
  <c r="C48" i="13"/>
  <c r="B48" i="13"/>
  <c r="A48" i="13"/>
  <c r="X47" i="13"/>
  <c r="T47" i="13"/>
  <c r="R47" i="13"/>
  <c r="C47" i="13"/>
  <c r="B47" i="13"/>
  <c r="A47" i="13"/>
  <c r="X46" i="13"/>
  <c r="T46" i="13"/>
  <c r="R46" i="13"/>
  <c r="C46" i="13"/>
  <c r="B46" i="13"/>
  <c r="A46" i="13"/>
  <c r="M46" i="13" s="1"/>
  <c r="X45" i="13"/>
  <c r="T45" i="13"/>
  <c r="R45" i="13"/>
  <c r="C45" i="13"/>
  <c r="B45" i="13"/>
  <c r="A45" i="13"/>
  <c r="X44" i="13"/>
  <c r="T44" i="13"/>
  <c r="R44" i="13"/>
  <c r="C44" i="13"/>
  <c r="B44" i="13"/>
  <c r="A44" i="13"/>
  <c r="M44" i="13" s="1"/>
  <c r="X43" i="13"/>
  <c r="T43" i="13"/>
  <c r="R43" i="13"/>
  <c r="C43" i="13"/>
  <c r="B43" i="13"/>
  <c r="A43" i="13"/>
  <c r="X42" i="13"/>
  <c r="T42" i="13"/>
  <c r="R42" i="13"/>
  <c r="C42" i="13"/>
  <c r="B42" i="13"/>
  <c r="A42" i="13"/>
  <c r="M42" i="13" s="1"/>
  <c r="X41" i="13"/>
  <c r="T41" i="13"/>
  <c r="R41" i="13"/>
  <c r="C41" i="13"/>
  <c r="B41" i="13"/>
  <c r="A41" i="13"/>
  <c r="X40" i="13"/>
  <c r="T40" i="13"/>
  <c r="R40" i="13"/>
  <c r="C40" i="13"/>
  <c r="B40" i="13"/>
  <c r="A40" i="13"/>
  <c r="M40" i="13" s="1"/>
  <c r="X39" i="13"/>
  <c r="T39" i="13"/>
  <c r="R39" i="13"/>
  <c r="C39" i="13"/>
  <c r="B39" i="13"/>
  <c r="A39" i="13"/>
  <c r="X38" i="13"/>
  <c r="T38" i="13"/>
  <c r="R38" i="13"/>
  <c r="C38" i="13"/>
  <c r="B38" i="13"/>
  <c r="A38" i="13"/>
  <c r="M38" i="13" s="1"/>
  <c r="X37" i="13"/>
  <c r="T37" i="13"/>
  <c r="R37" i="13"/>
  <c r="C37" i="13"/>
  <c r="B37" i="13"/>
  <c r="A37" i="13"/>
  <c r="X36" i="13"/>
  <c r="T36" i="13"/>
  <c r="R36" i="13"/>
  <c r="C36" i="13"/>
  <c r="B36" i="13"/>
  <c r="A36" i="13"/>
  <c r="M36" i="13" s="1"/>
  <c r="X35" i="13"/>
  <c r="T35" i="13"/>
  <c r="R35" i="13"/>
  <c r="C35" i="13"/>
  <c r="B35" i="13"/>
  <c r="A35" i="13"/>
  <c r="X34" i="13"/>
  <c r="T34" i="13"/>
  <c r="R34" i="13"/>
  <c r="C34" i="13"/>
  <c r="B34" i="13"/>
  <c r="A34" i="13"/>
  <c r="M34" i="13" s="1"/>
  <c r="X33" i="13"/>
  <c r="T33" i="13"/>
  <c r="R33" i="13"/>
  <c r="C33" i="13"/>
  <c r="B33" i="13"/>
  <c r="A33" i="13"/>
  <c r="X32" i="13"/>
  <c r="T32" i="13"/>
  <c r="R32" i="13"/>
  <c r="C32" i="13"/>
  <c r="B32" i="13"/>
  <c r="A32" i="13"/>
  <c r="M32" i="13" s="1"/>
  <c r="X31" i="13"/>
  <c r="T31" i="13"/>
  <c r="R31" i="13"/>
  <c r="C31" i="13"/>
  <c r="B31" i="13"/>
  <c r="A31" i="13"/>
  <c r="X30" i="13"/>
  <c r="T30" i="13"/>
  <c r="R30" i="13"/>
  <c r="C30" i="13"/>
  <c r="B30" i="13"/>
  <c r="A30" i="13"/>
  <c r="M30" i="13" s="1"/>
  <c r="X29" i="13"/>
  <c r="T29" i="13"/>
  <c r="R29" i="13"/>
  <c r="C29" i="13"/>
  <c r="B29" i="13"/>
  <c r="A29" i="13"/>
  <c r="X28" i="13"/>
  <c r="T28" i="13"/>
  <c r="R28" i="13"/>
  <c r="C28" i="13"/>
  <c r="B28" i="13"/>
  <c r="A28" i="13"/>
  <c r="M28" i="13" s="1"/>
  <c r="X27" i="13"/>
  <c r="T27" i="13"/>
  <c r="R27" i="13"/>
  <c r="C27" i="13"/>
  <c r="B27" i="13"/>
  <c r="A27" i="13"/>
  <c r="X26" i="13"/>
  <c r="T26" i="13"/>
  <c r="R26" i="13"/>
  <c r="C26" i="13"/>
  <c r="B26" i="13"/>
  <c r="A26" i="13"/>
  <c r="M26" i="13" s="1"/>
  <c r="X25" i="13"/>
  <c r="T25" i="13"/>
  <c r="R25" i="13"/>
  <c r="C25" i="13"/>
  <c r="B25" i="13"/>
  <c r="A25" i="13"/>
  <c r="X24" i="13"/>
  <c r="T24" i="13"/>
  <c r="R24" i="13"/>
  <c r="C24" i="13"/>
  <c r="B24" i="13"/>
  <c r="A24" i="13"/>
  <c r="M24" i="13" s="1"/>
  <c r="X23" i="13"/>
  <c r="T23" i="13"/>
  <c r="R23" i="13"/>
  <c r="C23" i="13"/>
  <c r="B23" i="13"/>
  <c r="A23" i="13"/>
  <c r="X22" i="13"/>
  <c r="T22" i="13"/>
  <c r="R22" i="13"/>
  <c r="C22" i="13"/>
  <c r="B22" i="13"/>
  <c r="A22" i="13"/>
  <c r="X21" i="13"/>
  <c r="T21" i="13"/>
  <c r="R21" i="13"/>
  <c r="C21" i="13"/>
  <c r="B21" i="13"/>
  <c r="A21" i="13"/>
  <c r="X20" i="13"/>
  <c r="T20" i="13"/>
  <c r="R20" i="13"/>
  <c r="C20" i="13"/>
  <c r="B20" i="13"/>
  <c r="A20" i="13"/>
  <c r="M20" i="13" s="1"/>
  <c r="X19" i="13"/>
  <c r="T19" i="13"/>
  <c r="R19" i="13"/>
  <c r="C19" i="13"/>
  <c r="B19" i="13"/>
  <c r="A19" i="13"/>
  <c r="M19" i="13" s="1"/>
  <c r="X18" i="13"/>
  <c r="T18" i="13"/>
  <c r="R18" i="13"/>
  <c r="C18" i="13"/>
  <c r="B18" i="13"/>
  <c r="A18" i="13"/>
  <c r="M18" i="13" s="1"/>
  <c r="X17" i="13"/>
  <c r="T17" i="13"/>
  <c r="R17" i="13"/>
  <c r="C17" i="13"/>
  <c r="B17" i="13"/>
  <c r="A17" i="13"/>
  <c r="M17" i="13" s="1"/>
  <c r="X16" i="13"/>
  <c r="T16" i="13"/>
  <c r="R16" i="13"/>
  <c r="C16" i="13"/>
  <c r="B16" i="13"/>
  <c r="A16" i="13"/>
  <c r="X15" i="13"/>
  <c r="T15" i="13"/>
  <c r="R15" i="13"/>
  <c r="C15" i="13"/>
  <c r="B15" i="13"/>
  <c r="A15" i="13"/>
  <c r="X14" i="13"/>
  <c r="T14" i="13"/>
  <c r="R14" i="13"/>
  <c r="C14" i="13"/>
  <c r="B14" i="13"/>
  <c r="A14" i="13"/>
  <c r="M14" i="13" s="1"/>
  <c r="X13" i="13"/>
  <c r="T13" i="13"/>
  <c r="R13" i="13"/>
  <c r="C13" i="13"/>
  <c r="B13" i="13"/>
  <c r="A13" i="13"/>
  <c r="X12" i="13"/>
  <c r="T12" i="13"/>
  <c r="R12" i="13"/>
  <c r="C12" i="13"/>
  <c r="B12" i="13"/>
  <c r="A12" i="13"/>
  <c r="M12" i="13" s="1"/>
  <c r="X11" i="13"/>
  <c r="T11" i="13"/>
  <c r="R11" i="13"/>
  <c r="C11" i="13"/>
  <c r="B11" i="13"/>
  <c r="A11" i="13"/>
  <c r="M11" i="13" s="1"/>
  <c r="X10" i="13"/>
  <c r="T10" i="13"/>
  <c r="R10" i="13"/>
  <c r="C10" i="13"/>
  <c r="B10" i="13"/>
  <c r="A10" i="13"/>
  <c r="X9" i="13"/>
  <c r="T9" i="13"/>
  <c r="R9" i="13"/>
  <c r="C9" i="13"/>
  <c r="B9" i="13"/>
  <c r="A9" i="13"/>
  <c r="X8" i="13"/>
  <c r="T8" i="13"/>
  <c r="R8" i="13"/>
  <c r="C8" i="13"/>
  <c r="B8" i="13"/>
  <c r="A8" i="13"/>
  <c r="X7" i="13"/>
  <c r="T7" i="13"/>
  <c r="R7" i="13"/>
  <c r="C7" i="13"/>
  <c r="B7" i="13"/>
  <c r="A7" i="13"/>
  <c r="X6" i="13"/>
  <c r="T6" i="13"/>
  <c r="R6" i="13"/>
  <c r="C6" i="13"/>
  <c r="B6" i="13"/>
  <c r="A6" i="13"/>
  <c r="M6" i="13" s="1"/>
  <c r="X5" i="13"/>
  <c r="T5" i="13"/>
  <c r="R5" i="13"/>
  <c r="C5" i="13"/>
  <c r="B5" i="13"/>
  <c r="A5" i="13"/>
  <c r="M5" i="13" s="1"/>
  <c r="X4" i="13"/>
  <c r="T4" i="13"/>
  <c r="R4" i="13"/>
  <c r="C4" i="13"/>
  <c r="B4" i="13"/>
  <c r="A4" i="13"/>
  <c r="X3" i="13"/>
  <c r="T3" i="13"/>
  <c r="R3" i="13"/>
  <c r="C3" i="13"/>
  <c r="B3" i="13"/>
  <c r="A3" i="13"/>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14" i="11"/>
  <c r="A13" i="11"/>
  <c r="A12" i="11"/>
  <c r="A11" i="11"/>
  <c r="A10" i="11"/>
  <c r="A9" i="11"/>
  <c r="A8" i="11"/>
  <c r="A7" i="11"/>
  <c r="A6" i="11"/>
  <c r="A5" i="11"/>
  <c r="A4" i="11"/>
  <c r="A3" i="11"/>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G232" i="3"/>
  <c r="D232" i="13" s="1"/>
  <c r="C232" i="3"/>
  <c r="B232" i="3"/>
  <c r="A232" i="3"/>
  <c r="G231" i="3"/>
  <c r="D231" i="13" s="1"/>
  <c r="C231" i="3"/>
  <c r="B231" i="3"/>
  <c r="A231" i="3"/>
  <c r="G230" i="3"/>
  <c r="D230" i="13" s="1"/>
  <c r="C230" i="3"/>
  <c r="B230" i="3"/>
  <c r="A230" i="3"/>
  <c r="G229" i="3"/>
  <c r="D229" i="13" s="1"/>
  <c r="E229" i="13" s="1"/>
  <c r="C229" i="3"/>
  <c r="B229" i="3"/>
  <c r="A229" i="3"/>
  <c r="G228" i="3"/>
  <c r="D228" i="13" s="1"/>
  <c r="C228" i="3"/>
  <c r="B228" i="3"/>
  <c r="A228" i="3"/>
  <c r="G227" i="3"/>
  <c r="D227" i="13" s="1"/>
  <c r="C227" i="3"/>
  <c r="B227" i="3"/>
  <c r="A227" i="3"/>
  <c r="G226" i="3"/>
  <c r="D226" i="13" s="1"/>
  <c r="C226" i="3"/>
  <c r="B226" i="3"/>
  <c r="A226" i="3"/>
  <c r="G225" i="3"/>
  <c r="D225" i="13" s="1"/>
  <c r="C225" i="3"/>
  <c r="B225" i="3"/>
  <c r="A225" i="3"/>
  <c r="G224" i="3"/>
  <c r="D224" i="13" s="1"/>
  <c r="C224" i="3"/>
  <c r="B224" i="3"/>
  <c r="A224" i="3"/>
  <c r="G223" i="3"/>
  <c r="D223" i="13" s="1"/>
  <c r="E223" i="13" s="1"/>
  <c r="C223" i="3"/>
  <c r="B223" i="3"/>
  <c r="A223" i="3"/>
  <c r="G222" i="3"/>
  <c r="D222" i="13" s="1"/>
  <c r="C222" i="3"/>
  <c r="B222" i="3"/>
  <c r="A222" i="3"/>
  <c r="G221" i="3"/>
  <c r="D221" i="13" s="1"/>
  <c r="C221" i="3"/>
  <c r="B221" i="3"/>
  <c r="A221" i="3"/>
  <c r="G220" i="3"/>
  <c r="D220" i="13" s="1"/>
  <c r="C220" i="3"/>
  <c r="B220" i="3"/>
  <c r="A220" i="3"/>
  <c r="G219" i="3"/>
  <c r="D219" i="13" s="1"/>
  <c r="E219" i="13" s="1"/>
  <c r="C219" i="3"/>
  <c r="B219" i="3"/>
  <c r="A219" i="3"/>
  <c r="G218" i="3"/>
  <c r="D218" i="13" s="1"/>
  <c r="C218" i="3"/>
  <c r="B218" i="3"/>
  <c r="A218" i="3"/>
  <c r="G217" i="3"/>
  <c r="D217" i="13" s="1"/>
  <c r="E217" i="13" s="1"/>
  <c r="C217" i="3"/>
  <c r="B217" i="3"/>
  <c r="A217" i="3"/>
  <c r="G216" i="3"/>
  <c r="D216" i="13" s="1"/>
  <c r="C216" i="3"/>
  <c r="B216" i="3"/>
  <c r="A216" i="3"/>
  <c r="G215" i="3"/>
  <c r="D215" i="13" s="1"/>
  <c r="C215" i="3"/>
  <c r="B215" i="3"/>
  <c r="A215" i="3"/>
  <c r="G214" i="3"/>
  <c r="D214" i="13" s="1"/>
  <c r="E214" i="13" s="1"/>
  <c r="C214" i="3"/>
  <c r="B214" i="3"/>
  <c r="A214" i="3"/>
  <c r="G213" i="3"/>
  <c r="D213" i="13" s="1"/>
  <c r="C213" i="3"/>
  <c r="B213" i="3"/>
  <c r="A213" i="3"/>
  <c r="G212" i="3"/>
  <c r="D212" i="13" s="1"/>
  <c r="C212" i="3"/>
  <c r="B212" i="3"/>
  <c r="A212" i="3"/>
  <c r="G211" i="3"/>
  <c r="D211" i="13" s="1"/>
  <c r="E211" i="13" s="1"/>
  <c r="C211" i="3"/>
  <c r="B211" i="3"/>
  <c r="A211" i="3"/>
  <c r="G210" i="3"/>
  <c r="D210" i="13" s="1"/>
  <c r="C210" i="3"/>
  <c r="B210" i="3"/>
  <c r="A210" i="3"/>
  <c r="G209" i="3"/>
  <c r="D209" i="13" s="1"/>
  <c r="C209" i="3"/>
  <c r="B209" i="3"/>
  <c r="A209" i="3"/>
  <c r="G208" i="3"/>
  <c r="D208" i="13" s="1"/>
  <c r="E208" i="13" s="1"/>
  <c r="C208" i="3"/>
  <c r="B208" i="3"/>
  <c r="A208" i="3"/>
  <c r="G207" i="3"/>
  <c r="D207" i="13" s="1"/>
  <c r="E207" i="13" s="1"/>
  <c r="C207" i="3"/>
  <c r="B207" i="3"/>
  <c r="A207" i="3"/>
  <c r="G206" i="3"/>
  <c r="D206" i="13" s="1"/>
  <c r="E206" i="13" s="1"/>
  <c r="C206" i="3"/>
  <c r="B206" i="3"/>
  <c r="A206" i="3"/>
  <c r="G205" i="3"/>
  <c r="D205" i="13" s="1"/>
  <c r="E205" i="13" s="1"/>
  <c r="C205" i="3"/>
  <c r="B205" i="3"/>
  <c r="A205" i="3"/>
  <c r="G204" i="3"/>
  <c r="D204" i="13" s="1"/>
  <c r="C204" i="3"/>
  <c r="B204" i="3"/>
  <c r="A204" i="3"/>
  <c r="G203" i="3"/>
  <c r="D203" i="13" s="1"/>
  <c r="E203" i="13" s="1"/>
  <c r="C203" i="3"/>
  <c r="B203" i="3"/>
  <c r="A203" i="3"/>
  <c r="G202" i="3"/>
  <c r="D202" i="13" s="1"/>
  <c r="C202" i="3"/>
  <c r="B202" i="3"/>
  <c r="A202" i="3"/>
  <c r="G201" i="3"/>
  <c r="D201" i="13" s="1"/>
  <c r="E201" i="13" s="1"/>
  <c r="C201" i="3"/>
  <c r="B201" i="3"/>
  <c r="A201" i="3"/>
  <c r="G200" i="3"/>
  <c r="D200" i="13" s="1"/>
  <c r="C200" i="3"/>
  <c r="B200" i="3"/>
  <c r="A200" i="3"/>
  <c r="G199" i="3"/>
  <c r="D199" i="13" s="1"/>
  <c r="E199" i="13" s="1"/>
  <c r="C199" i="3"/>
  <c r="B199" i="3"/>
  <c r="A199" i="3"/>
  <c r="G198" i="3"/>
  <c r="D198" i="13" s="1"/>
  <c r="C198" i="3"/>
  <c r="B198" i="3"/>
  <c r="A198" i="3"/>
  <c r="G197" i="3"/>
  <c r="D197" i="13" s="1"/>
  <c r="E197" i="13" s="1"/>
  <c r="C197" i="3"/>
  <c r="B197" i="3"/>
  <c r="A197" i="3"/>
  <c r="G196" i="3"/>
  <c r="D196" i="13" s="1"/>
  <c r="C196" i="3"/>
  <c r="B196" i="3"/>
  <c r="A196" i="3"/>
  <c r="G195" i="3"/>
  <c r="D195" i="13" s="1"/>
  <c r="E195" i="13" s="1"/>
  <c r="C195" i="3"/>
  <c r="B195" i="3"/>
  <c r="A195" i="3"/>
  <c r="G194" i="3"/>
  <c r="D194" i="13" s="1"/>
  <c r="C194" i="3"/>
  <c r="B194" i="3"/>
  <c r="A194" i="3"/>
  <c r="G193" i="3"/>
  <c r="D193" i="13" s="1"/>
  <c r="C193" i="3"/>
  <c r="B193" i="3"/>
  <c r="A193" i="3"/>
  <c r="G192" i="3"/>
  <c r="D192" i="13" s="1"/>
  <c r="C192" i="3"/>
  <c r="B192" i="3"/>
  <c r="A192" i="3"/>
  <c r="G191" i="3"/>
  <c r="D191" i="13" s="1"/>
  <c r="E191" i="13" s="1"/>
  <c r="C191" i="3"/>
  <c r="B191" i="3"/>
  <c r="A191" i="3"/>
  <c r="G190" i="3"/>
  <c r="D190" i="13" s="1"/>
  <c r="C190" i="3"/>
  <c r="B190" i="3"/>
  <c r="A190" i="3"/>
  <c r="G189" i="3"/>
  <c r="D189" i="13" s="1"/>
  <c r="E189" i="13" s="1"/>
  <c r="C189" i="3"/>
  <c r="B189" i="3"/>
  <c r="A189" i="3"/>
  <c r="G188" i="3"/>
  <c r="D188" i="13" s="1"/>
  <c r="C188" i="3"/>
  <c r="B188" i="3"/>
  <c r="A188" i="3"/>
  <c r="G187" i="3"/>
  <c r="D187" i="13" s="1"/>
  <c r="E187" i="13" s="1"/>
  <c r="C187" i="3"/>
  <c r="B187" i="3"/>
  <c r="A187" i="3"/>
  <c r="G186" i="3"/>
  <c r="D186" i="13" s="1"/>
  <c r="C186" i="3"/>
  <c r="B186" i="3"/>
  <c r="A186" i="3"/>
  <c r="G185" i="3"/>
  <c r="D185" i="13" s="1"/>
  <c r="E185" i="13" s="1"/>
  <c r="C185" i="3"/>
  <c r="B185" i="3"/>
  <c r="A185" i="3"/>
  <c r="G184" i="3"/>
  <c r="D184" i="13" s="1"/>
  <c r="C184" i="3"/>
  <c r="B184" i="3"/>
  <c r="A184" i="3"/>
  <c r="G183" i="3"/>
  <c r="D183" i="13" s="1"/>
  <c r="E183" i="13" s="1"/>
  <c r="C183" i="3"/>
  <c r="B183" i="3"/>
  <c r="A183" i="3"/>
  <c r="G182" i="3"/>
  <c r="D182" i="13" s="1"/>
  <c r="C182" i="3"/>
  <c r="B182" i="3"/>
  <c r="A182" i="3"/>
  <c r="G181" i="3"/>
  <c r="D181" i="13" s="1"/>
  <c r="E181" i="13" s="1"/>
  <c r="C181" i="3"/>
  <c r="B181" i="3"/>
  <c r="A181" i="3"/>
  <c r="G180" i="3"/>
  <c r="D180" i="13" s="1"/>
  <c r="C180" i="3"/>
  <c r="B180" i="3"/>
  <c r="A180" i="3"/>
  <c r="G179" i="3"/>
  <c r="D179" i="13" s="1"/>
  <c r="E179" i="13" s="1"/>
  <c r="C179" i="3"/>
  <c r="B179" i="3"/>
  <c r="A179" i="3"/>
  <c r="G178" i="3"/>
  <c r="D178" i="13" s="1"/>
  <c r="C178" i="3"/>
  <c r="B178" i="3"/>
  <c r="A178" i="3"/>
  <c r="G177" i="3"/>
  <c r="D177" i="13" s="1"/>
  <c r="E177" i="13" s="1"/>
  <c r="C177" i="3"/>
  <c r="B177" i="3"/>
  <c r="A177" i="3"/>
  <c r="G176" i="3"/>
  <c r="D176" i="13" s="1"/>
  <c r="C176" i="3"/>
  <c r="B176" i="3"/>
  <c r="A176" i="3"/>
  <c r="G175" i="3"/>
  <c r="D175" i="13" s="1"/>
  <c r="E175" i="13" s="1"/>
  <c r="C175" i="3"/>
  <c r="B175" i="3"/>
  <c r="A175" i="3"/>
  <c r="G174" i="3"/>
  <c r="D174" i="13" s="1"/>
  <c r="C174" i="3"/>
  <c r="B174" i="3"/>
  <c r="A174" i="3"/>
  <c r="G173" i="3"/>
  <c r="D173" i="13" s="1"/>
  <c r="E173" i="13" s="1"/>
  <c r="C173" i="3"/>
  <c r="B173" i="3"/>
  <c r="A173" i="3"/>
  <c r="G172" i="3"/>
  <c r="D172" i="13" s="1"/>
  <c r="C172" i="3"/>
  <c r="B172" i="3"/>
  <c r="A172" i="3"/>
  <c r="G171" i="3"/>
  <c r="D171" i="13" s="1"/>
  <c r="E171" i="13" s="1"/>
  <c r="C171" i="3"/>
  <c r="B171" i="3"/>
  <c r="A171" i="3"/>
  <c r="G170" i="3"/>
  <c r="D170" i="13" s="1"/>
  <c r="C170" i="3"/>
  <c r="B170" i="3"/>
  <c r="A170" i="3"/>
  <c r="G169" i="3"/>
  <c r="D169" i="13" s="1"/>
  <c r="E169" i="13" s="1"/>
  <c r="C169" i="3"/>
  <c r="B169" i="3"/>
  <c r="A169" i="3"/>
  <c r="G168" i="3"/>
  <c r="D168" i="13" s="1"/>
  <c r="C168" i="3"/>
  <c r="B168" i="3"/>
  <c r="A168" i="3"/>
  <c r="G167" i="3"/>
  <c r="D167" i="13" s="1"/>
  <c r="E167" i="13" s="1"/>
  <c r="C167" i="3"/>
  <c r="B167" i="3"/>
  <c r="A167" i="3"/>
  <c r="G166" i="3"/>
  <c r="D166" i="13" s="1"/>
  <c r="C166" i="3"/>
  <c r="B166" i="3"/>
  <c r="A166" i="3"/>
  <c r="G165" i="3"/>
  <c r="D165" i="13" s="1"/>
  <c r="E165" i="13" s="1"/>
  <c r="C165" i="3"/>
  <c r="B165" i="3"/>
  <c r="A165" i="3"/>
  <c r="G164" i="3"/>
  <c r="D164" i="13" s="1"/>
  <c r="C164" i="3"/>
  <c r="B164" i="3"/>
  <c r="A164" i="3"/>
  <c r="G163" i="3"/>
  <c r="D163" i="13" s="1"/>
  <c r="E163" i="13" s="1"/>
  <c r="C163" i="3"/>
  <c r="B163" i="3"/>
  <c r="A163" i="3"/>
  <c r="G162" i="3"/>
  <c r="D162" i="13" s="1"/>
  <c r="C162" i="3"/>
  <c r="B162" i="3"/>
  <c r="A162" i="3"/>
  <c r="G161" i="3"/>
  <c r="D161" i="13" s="1"/>
  <c r="E161" i="13" s="1"/>
  <c r="C161" i="3"/>
  <c r="B161" i="3"/>
  <c r="A161" i="3"/>
  <c r="G160" i="3"/>
  <c r="D160" i="13" s="1"/>
  <c r="C160" i="3"/>
  <c r="B160" i="3"/>
  <c r="A160" i="3"/>
  <c r="G159" i="3"/>
  <c r="D159" i="13" s="1"/>
  <c r="C159" i="3"/>
  <c r="B159" i="3"/>
  <c r="A159" i="3"/>
  <c r="G158" i="3"/>
  <c r="D158" i="13" s="1"/>
  <c r="C158" i="3"/>
  <c r="B158" i="3"/>
  <c r="A158" i="3"/>
  <c r="G157" i="3"/>
  <c r="D157" i="13" s="1"/>
  <c r="E157" i="13" s="1"/>
  <c r="C157" i="3"/>
  <c r="B157" i="3"/>
  <c r="A157" i="3"/>
  <c r="G156" i="3"/>
  <c r="D156" i="13" s="1"/>
  <c r="C156" i="3"/>
  <c r="B156" i="3"/>
  <c r="A156" i="3"/>
  <c r="G155" i="3"/>
  <c r="D155" i="13" s="1"/>
  <c r="E155" i="13" s="1"/>
  <c r="C155" i="3"/>
  <c r="B155" i="3"/>
  <c r="A155" i="3"/>
  <c r="G154" i="3"/>
  <c r="D154" i="13" s="1"/>
  <c r="C154" i="3"/>
  <c r="B154" i="3"/>
  <c r="A154" i="3"/>
  <c r="G153" i="3"/>
  <c r="D153" i="13" s="1"/>
  <c r="C153" i="3"/>
  <c r="B153" i="3"/>
  <c r="A153" i="3"/>
  <c r="G152" i="3"/>
  <c r="D152" i="13" s="1"/>
  <c r="C152" i="3"/>
  <c r="B152" i="3"/>
  <c r="A152" i="3"/>
  <c r="G151" i="3"/>
  <c r="D151" i="13" s="1"/>
  <c r="E151" i="13" s="1"/>
  <c r="C151" i="3"/>
  <c r="B151" i="3"/>
  <c r="A151" i="3"/>
  <c r="G150" i="3"/>
  <c r="D150" i="13" s="1"/>
  <c r="C150" i="3"/>
  <c r="B150" i="3"/>
  <c r="A150" i="3"/>
  <c r="G149" i="3"/>
  <c r="D149" i="13" s="1"/>
  <c r="E149" i="13" s="1"/>
  <c r="C149" i="3"/>
  <c r="B149" i="3"/>
  <c r="A149" i="3"/>
  <c r="G148" i="3"/>
  <c r="D148" i="13" s="1"/>
  <c r="C148" i="3"/>
  <c r="B148" i="3"/>
  <c r="A148" i="3"/>
  <c r="G147" i="3"/>
  <c r="D147" i="13" s="1"/>
  <c r="C147" i="3"/>
  <c r="B147" i="3"/>
  <c r="A147" i="3"/>
  <c r="G146" i="3"/>
  <c r="D146" i="13" s="1"/>
  <c r="C146" i="3"/>
  <c r="B146" i="3"/>
  <c r="A146" i="3"/>
  <c r="G145" i="3"/>
  <c r="D145" i="13" s="1"/>
  <c r="E145" i="13" s="1"/>
  <c r="C145" i="3"/>
  <c r="B145" i="3"/>
  <c r="A145" i="3"/>
  <c r="G144" i="3"/>
  <c r="D144" i="13" s="1"/>
  <c r="C144" i="3"/>
  <c r="B144" i="3"/>
  <c r="A144" i="3"/>
  <c r="G143" i="3"/>
  <c r="D143" i="13" s="1"/>
  <c r="C143" i="3"/>
  <c r="B143" i="3"/>
  <c r="A143" i="3"/>
  <c r="G142" i="3"/>
  <c r="D142" i="13" s="1"/>
  <c r="E142" i="13" s="1"/>
  <c r="C142" i="3"/>
  <c r="B142" i="3"/>
  <c r="A142" i="3"/>
  <c r="G141" i="3"/>
  <c r="D141" i="13" s="1"/>
  <c r="C141" i="3"/>
  <c r="B141" i="3"/>
  <c r="A141" i="3"/>
  <c r="G140" i="3"/>
  <c r="D140" i="13" s="1"/>
  <c r="C140" i="3"/>
  <c r="B140" i="3"/>
  <c r="A140" i="3"/>
  <c r="G139" i="3"/>
  <c r="D139" i="13" s="1"/>
  <c r="E139" i="13" s="1"/>
  <c r="C139" i="3"/>
  <c r="B139" i="3"/>
  <c r="A139" i="3"/>
  <c r="G138" i="3"/>
  <c r="D138" i="13" s="1"/>
  <c r="C138" i="3"/>
  <c r="B138" i="3"/>
  <c r="A138" i="3"/>
  <c r="G137" i="3"/>
  <c r="D137" i="13" s="1"/>
  <c r="C137" i="3"/>
  <c r="B137" i="3"/>
  <c r="A137" i="3"/>
  <c r="G136" i="3"/>
  <c r="D136" i="13" s="1"/>
  <c r="E136" i="13" s="1"/>
  <c r="C136" i="3"/>
  <c r="B136" i="3"/>
  <c r="A136" i="3"/>
  <c r="G135" i="3"/>
  <c r="D135" i="13" s="1"/>
  <c r="C135" i="3"/>
  <c r="B135" i="3"/>
  <c r="A135" i="3"/>
  <c r="G134" i="3"/>
  <c r="D134" i="13" s="1"/>
  <c r="C134" i="3"/>
  <c r="B134" i="3"/>
  <c r="A134" i="3"/>
  <c r="G133" i="3"/>
  <c r="D133" i="13" s="1"/>
  <c r="E133" i="13" s="1"/>
  <c r="C133" i="3"/>
  <c r="B133" i="3"/>
  <c r="A133" i="3"/>
  <c r="G132" i="3"/>
  <c r="D132" i="13" s="1"/>
  <c r="C132" i="3"/>
  <c r="B132" i="3"/>
  <c r="A132" i="3"/>
  <c r="G131" i="3"/>
  <c r="D131" i="13" s="1"/>
  <c r="C131" i="3"/>
  <c r="B131" i="3"/>
  <c r="A131" i="3"/>
  <c r="G130" i="3"/>
  <c r="D130" i="13" s="1"/>
  <c r="E130" i="13" s="1"/>
  <c r="C130" i="3"/>
  <c r="B130" i="3"/>
  <c r="A130" i="3"/>
  <c r="G129" i="3"/>
  <c r="D129" i="13" s="1"/>
  <c r="C129" i="3"/>
  <c r="B129" i="3"/>
  <c r="A129" i="3"/>
  <c r="G128" i="3"/>
  <c r="D128" i="13" s="1"/>
  <c r="C128" i="3"/>
  <c r="B128" i="3"/>
  <c r="A128" i="3"/>
  <c r="G127" i="3"/>
  <c r="D127" i="13" s="1"/>
  <c r="E127" i="13" s="1"/>
  <c r="C127" i="3"/>
  <c r="B127" i="3"/>
  <c r="A127" i="3"/>
  <c r="G126" i="3"/>
  <c r="D126" i="13" s="1"/>
  <c r="C126" i="3"/>
  <c r="B126" i="3"/>
  <c r="A126" i="3"/>
  <c r="G125" i="3"/>
  <c r="D125" i="13" s="1"/>
  <c r="E125" i="13" s="1"/>
  <c r="C125" i="3"/>
  <c r="B125" i="3"/>
  <c r="A125" i="3"/>
  <c r="G124" i="3"/>
  <c r="D124" i="13" s="1"/>
  <c r="E124" i="13" s="1"/>
  <c r="C124" i="3"/>
  <c r="B124" i="3"/>
  <c r="A124" i="3"/>
  <c r="G123" i="3"/>
  <c r="D123" i="13" s="1"/>
  <c r="C123" i="3"/>
  <c r="B123" i="3"/>
  <c r="A123" i="3"/>
  <c r="G122" i="3"/>
  <c r="D122" i="13" s="1"/>
  <c r="C122" i="3"/>
  <c r="B122" i="3"/>
  <c r="A122" i="3"/>
  <c r="G121" i="3"/>
  <c r="D121" i="13" s="1"/>
  <c r="E121" i="13" s="1"/>
  <c r="C121" i="3"/>
  <c r="B121" i="3"/>
  <c r="A121" i="3"/>
  <c r="G120" i="3"/>
  <c r="D120" i="13" s="1"/>
  <c r="C120" i="3"/>
  <c r="B120" i="3"/>
  <c r="A120" i="3"/>
  <c r="G119" i="3"/>
  <c r="D119" i="13" s="1"/>
  <c r="C119" i="3"/>
  <c r="B119" i="3"/>
  <c r="A119" i="3"/>
  <c r="G118" i="3"/>
  <c r="D118" i="13" s="1"/>
  <c r="E118" i="13" s="1"/>
  <c r="C118" i="3"/>
  <c r="B118" i="3"/>
  <c r="A118" i="3"/>
  <c r="G117" i="3"/>
  <c r="D117" i="13" s="1"/>
  <c r="C117" i="3"/>
  <c r="B117" i="3"/>
  <c r="A117" i="3"/>
  <c r="G116" i="3"/>
  <c r="D116" i="13" s="1"/>
  <c r="C116" i="3"/>
  <c r="B116" i="3"/>
  <c r="A116" i="3"/>
  <c r="G115" i="3"/>
  <c r="D115" i="13" s="1"/>
  <c r="E115" i="13" s="1"/>
  <c r="C115" i="3"/>
  <c r="B115" i="3"/>
  <c r="A115" i="3"/>
  <c r="G114" i="3"/>
  <c r="D114" i="13" s="1"/>
  <c r="C114" i="3"/>
  <c r="B114" i="3"/>
  <c r="A114" i="3"/>
  <c r="G113" i="3"/>
  <c r="D113" i="13" s="1"/>
  <c r="E113" i="13" s="1"/>
  <c r="C113" i="3"/>
  <c r="B113" i="3"/>
  <c r="A113" i="3"/>
  <c r="G112" i="3"/>
  <c r="D112" i="13" s="1"/>
  <c r="C112" i="3"/>
  <c r="B112" i="3"/>
  <c r="A112" i="3"/>
  <c r="G111" i="3"/>
  <c r="D111" i="13" s="1"/>
  <c r="C111" i="3"/>
  <c r="B111" i="3"/>
  <c r="A111" i="3"/>
  <c r="G110" i="3"/>
  <c r="D110" i="13" s="1"/>
  <c r="C110" i="3"/>
  <c r="B110" i="3"/>
  <c r="A110" i="3"/>
  <c r="G109" i="3"/>
  <c r="D109" i="13" s="1"/>
  <c r="C109" i="3"/>
  <c r="B109" i="3"/>
  <c r="A109" i="3"/>
  <c r="G108" i="3"/>
  <c r="D108" i="13" s="1"/>
  <c r="C108" i="3"/>
  <c r="B108" i="3"/>
  <c r="A108" i="3"/>
  <c r="G107" i="3"/>
  <c r="D107" i="13" s="1"/>
  <c r="C107" i="3"/>
  <c r="B107" i="3"/>
  <c r="A107" i="3"/>
  <c r="G106" i="3"/>
  <c r="D106" i="13" s="1"/>
  <c r="E106" i="13" s="1"/>
  <c r="C106" i="3"/>
  <c r="B106" i="3"/>
  <c r="A106" i="3"/>
  <c r="G105" i="3"/>
  <c r="D105" i="13" s="1"/>
  <c r="C105" i="3"/>
  <c r="B105" i="3"/>
  <c r="A105" i="3"/>
  <c r="G104" i="3"/>
  <c r="D104" i="13" s="1"/>
  <c r="E104" i="13" s="1"/>
  <c r="C104" i="3"/>
  <c r="B104" i="3"/>
  <c r="A104" i="3"/>
  <c r="G103" i="3"/>
  <c r="D103" i="13" s="1"/>
  <c r="E103" i="13" s="1"/>
  <c r="C103" i="3"/>
  <c r="B103" i="3"/>
  <c r="A103" i="3"/>
  <c r="G102" i="3"/>
  <c r="D102" i="13" s="1"/>
  <c r="C102" i="3"/>
  <c r="B102" i="3"/>
  <c r="A102" i="3"/>
  <c r="G101" i="3"/>
  <c r="D101" i="13" s="1"/>
  <c r="E101" i="13" s="1"/>
  <c r="C101" i="3"/>
  <c r="B101" i="3"/>
  <c r="A101" i="3"/>
  <c r="G100" i="3"/>
  <c r="D100" i="13" s="1"/>
  <c r="E100" i="13" s="1"/>
  <c r="C100" i="3"/>
  <c r="B100" i="3"/>
  <c r="A100" i="3"/>
  <c r="G99" i="3"/>
  <c r="D99" i="13" s="1"/>
  <c r="C99" i="3"/>
  <c r="B99" i="3"/>
  <c r="A99" i="3"/>
  <c r="G98" i="3"/>
  <c r="D98" i="13" s="1"/>
  <c r="E98" i="13" s="1"/>
  <c r="C98" i="3"/>
  <c r="B98" i="3"/>
  <c r="A98" i="3"/>
  <c r="G97" i="3"/>
  <c r="D97" i="13" s="1"/>
  <c r="C97" i="3"/>
  <c r="B97" i="3"/>
  <c r="A97" i="3"/>
  <c r="G96" i="3"/>
  <c r="D96" i="13" s="1"/>
  <c r="E96" i="13" s="1"/>
  <c r="C96" i="3"/>
  <c r="B96" i="3"/>
  <c r="A96" i="3"/>
  <c r="G95" i="3"/>
  <c r="D95" i="13" s="1"/>
  <c r="C95" i="3"/>
  <c r="B95" i="3"/>
  <c r="A95" i="3"/>
  <c r="G94" i="3"/>
  <c r="D94" i="13" s="1"/>
  <c r="C94" i="3"/>
  <c r="B94" i="3"/>
  <c r="A94" i="3"/>
  <c r="G93" i="3"/>
  <c r="D93" i="13" s="1"/>
  <c r="C93" i="3"/>
  <c r="B93" i="3"/>
  <c r="A93" i="3"/>
  <c r="G92" i="3"/>
  <c r="D92" i="13" s="1"/>
  <c r="C92" i="3"/>
  <c r="B92" i="3"/>
  <c r="A92" i="3"/>
  <c r="G91" i="3"/>
  <c r="D91" i="13" s="1"/>
  <c r="E91" i="13" s="1"/>
  <c r="C91" i="3"/>
  <c r="B91" i="3"/>
  <c r="A91" i="3"/>
  <c r="G90" i="3"/>
  <c r="D90" i="13" s="1"/>
  <c r="C90" i="3"/>
  <c r="B90" i="3"/>
  <c r="A90" i="3"/>
  <c r="G89" i="3"/>
  <c r="D89" i="13" s="1"/>
  <c r="E89" i="13" s="1"/>
  <c r="C89" i="3"/>
  <c r="B89" i="3"/>
  <c r="A89" i="3"/>
  <c r="G88" i="3"/>
  <c r="D88" i="13" s="1"/>
  <c r="C88" i="3"/>
  <c r="B88" i="3"/>
  <c r="A88" i="3"/>
  <c r="G87" i="3"/>
  <c r="D87" i="13" s="1"/>
  <c r="E87" i="13" s="1"/>
  <c r="C87" i="3"/>
  <c r="B87" i="3"/>
  <c r="A87" i="3"/>
  <c r="G86" i="3"/>
  <c r="D86" i="13" s="1"/>
  <c r="C86" i="3"/>
  <c r="B86" i="3"/>
  <c r="A86" i="3"/>
  <c r="G85" i="3"/>
  <c r="D85" i="13" s="1"/>
  <c r="E85" i="13" s="1"/>
  <c r="C85" i="3"/>
  <c r="B85" i="3"/>
  <c r="A85" i="3"/>
  <c r="G84" i="3"/>
  <c r="D84" i="13" s="1"/>
  <c r="C84" i="3"/>
  <c r="B84" i="3"/>
  <c r="A84" i="3"/>
  <c r="G83" i="3"/>
  <c r="D83" i="13" s="1"/>
  <c r="E83" i="13" s="1"/>
  <c r="C83" i="3"/>
  <c r="B83" i="3"/>
  <c r="A83" i="3"/>
  <c r="G82" i="3"/>
  <c r="D82" i="13" s="1"/>
  <c r="C82" i="3"/>
  <c r="B82" i="3"/>
  <c r="A82" i="3"/>
  <c r="G81" i="3"/>
  <c r="D81" i="13" s="1"/>
  <c r="E81" i="13" s="1"/>
  <c r="C81" i="3"/>
  <c r="B81" i="3"/>
  <c r="A81" i="3"/>
  <c r="G80" i="3"/>
  <c r="D80" i="13" s="1"/>
  <c r="C80" i="3"/>
  <c r="B80" i="3"/>
  <c r="A80" i="3"/>
  <c r="G79" i="3"/>
  <c r="D79" i="13" s="1"/>
  <c r="E79" i="13" s="1"/>
  <c r="C79" i="3"/>
  <c r="B79" i="3"/>
  <c r="A79" i="3"/>
  <c r="G78" i="3"/>
  <c r="D78" i="13" s="1"/>
  <c r="C78" i="3"/>
  <c r="B78" i="3"/>
  <c r="A78" i="3"/>
  <c r="G77" i="3"/>
  <c r="D77" i="13" s="1"/>
  <c r="C77" i="3"/>
  <c r="B77" i="3"/>
  <c r="A77" i="3"/>
  <c r="G76" i="3"/>
  <c r="D76" i="13" s="1"/>
  <c r="C76" i="3"/>
  <c r="B76" i="3"/>
  <c r="A76" i="3"/>
  <c r="G75" i="3"/>
  <c r="D75" i="13" s="1"/>
  <c r="E75" i="13" s="1"/>
  <c r="C75" i="3"/>
  <c r="B75" i="3"/>
  <c r="A75" i="3"/>
  <c r="G74" i="3"/>
  <c r="D74" i="13" s="1"/>
  <c r="C74" i="3"/>
  <c r="B74" i="3"/>
  <c r="A74" i="3"/>
  <c r="G73" i="3"/>
  <c r="D73" i="13" s="1"/>
  <c r="E73" i="13" s="1"/>
  <c r="C73" i="3"/>
  <c r="B73" i="3"/>
  <c r="A73" i="3"/>
  <c r="G72" i="3"/>
  <c r="D72" i="13" s="1"/>
  <c r="C72" i="3"/>
  <c r="B72" i="3"/>
  <c r="A72" i="3"/>
  <c r="G71" i="3"/>
  <c r="D71" i="13" s="1"/>
  <c r="C71" i="3"/>
  <c r="B71" i="3"/>
  <c r="A71" i="3"/>
  <c r="G70" i="3"/>
  <c r="D70" i="13" s="1"/>
  <c r="C70" i="3"/>
  <c r="B70" i="3"/>
  <c r="A70" i="3"/>
  <c r="G69" i="3"/>
  <c r="D69" i="13" s="1"/>
  <c r="E69" i="13" s="1"/>
  <c r="C69" i="3"/>
  <c r="B69" i="3"/>
  <c r="A69" i="3"/>
  <c r="G68" i="3"/>
  <c r="D68" i="13" s="1"/>
  <c r="C68" i="3"/>
  <c r="B68" i="3"/>
  <c r="A68" i="3"/>
  <c r="G67" i="3"/>
  <c r="D67" i="13" s="1"/>
  <c r="E67" i="13" s="1"/>
  <c r="C67" i="3"/>
  <c r="B67" i="3"/>
  <c r="A67" i="3"/>
  <c r="G66" i="3"/>
  <c r="D66" i="13" s="1"/>
  <c r="C66" i="3"/>
  <c r="B66" i="3"/>
  <c r="A66" i="3"/>
  <c r="G65" i="3"/>
  <c r="D65" i="13" s="1"/>
  <c r="C65" i="3"/>
  <c r="B65" i="3"/>
  <c r="A65" i="3"/>
  <c r="G64" i="3"/>
  <c r="D64" i="13" s="1"/>
  <c r="E64" i="13" s="1"/>
  <c r="C64" i="3"/>
  <c r="B64" i="3"/>
  <c r="A64" i="3"/>
  <c r="G63" i="3"/>
  <c r="D63" i="13" s="1"/>
  <c r="E63" i="13" s="1"/>
  <c r="C63" i="3"/>
  <c r="B63" i="3"/>
  <c r="A63" i="3"/>
  <c r="G62" i="3"/>
  <c r="D62" i="13" s="1"/>
  <c r="C62" i="3"/>
  <c r="B62" i="3"/>
  <c r="A62" i="3"/>
  <c r="G61" i="3"/>
  <c r="D61" i="13" s="1"/>
  <c r="E61" i="13" s="1"/>
  <c r="C61" i="3"/>
  <c r="B61" i="3"/>
  <c r="A61" i="3"/>
  <c r="G60" i="3"/>
  <c r="D60" i="13" s="1"/>
  <c r="C60" i="3"/>
  <c r="B60" i="3"/>
  <c r="A60" i="3"/>
  <c r="G59" i="3"/>
  <c r="D59" i="13" s="1"/>
  <c r="C59" i="3"/>
  <c r="B59" i="3"/>
  <c r="A59" i="3"/>
  <c r="G58" i="3"/>
  <c r="D58" i="13" s="1"/>
  <c r="E58" i="13" s="1"/>
  <c r="C58" i="3"/>
  <c r="B58" i="3"/>
  <c r="A58" i="3"/>
  <c r="G57" i="3"/>
  <c r="D57" i="13" s="1"/>
  <c r="E57" i="13" s="1"/>
  <c r="C57" i="3"/>
  <c r="B57" i="3"/>
  <c r="A57" i="3"/>
  <c r="G56" i="3"/>
  <c r="D56" i="13" s="1"/>
  <c r="C56" i="3"/>
  <c r="B56" i="3"/>
  <c r="A56" i="3"/>
  <c r="G55" i="3"/>
  <c r="D55" i="13" s="1"/>
  <c r="E55" i="13" s="1"/>
  <c r="C55" i="3"/>
  <c r="B55" i="3"/>
  <c r="A55" i="3"/>
  <c r="G54" i="3"/>
  <c r="D54" i="13" s="1"/>
  <c r="C54" i="3"/>
  <c r="B54" i="3"/>
  <c r="A54" i="3"/>
  <c r="G53" i="3"/>
  <c r="D53" i="13" s="1"/>
  <c r="C53" i="3"/>
  <c r="B53" i="3"/>
  <c r="A53" i="3"/>
  <c r="G52" i="3"/>
  <c r="D52" i="13" s="1"/>
  <c r="C52" i="3"/>
  <c r="B52" i="3"/>
  <c r="A52" i="3"/>
  <c r="G51" i="3"/>
  <c r="D51" i="13" s="1"/>
  <c r="E51" i="13" s="1"/>
  <c r="C51" i="3"/>
  <c r="B51" i="3"/>
  <c r="A51" i="3"/>
  <c r="G50" i="3"/>
  <c r="D50" i="13" s="1"/>
  <c r="C50" i="3"/>
  <c r="B50" i="3"/>
  <c r="A50" i="3"/>
  <c r="G49" i="3"/>
  <c r="D49" i="13" s="1"/>
  <c r="E49" i="13" s="1"/>
  <c r="C49" i="3"/>
  <c r="B49" i="3"/>
  <c r="A49" i="3"/>
  <c r="G48" i="3"/>
  <c r="D48" i="13" s="1"/>
  <c r="C48" i="3"/>
  <c r="B48" i="3"/>
  <c r="A48" i="3"/>
  <c r="G47" i="3"/>
  <c r="D47" i="13" s="1"/>
  <c r="C47" i="3"/>
  <c r="B47" i="3"/>
  <c r="A47" i="3"/>
  <c r="G46" i="3"/>
  <c r="D46" i="13" s="1"/>
  <c r="C46" i="3"/>
  <c r="B46" i="3"/>
  <c r="A46" i="3"/>
  <c r="G45" i="3"/>
  <c r="D45" i="13" s="1"/>
  <c r="E45" i="13" s="1"/>
  <c r="C45" i="3"/>
  <c r="B45" i="3"/>
  <c r="A45" i="3"/>
  <c r="G44" i="3"/>
  <c r="D44" i="13" s="1"/>
  <c r="C44" i="3"/>
  <c r="B44" i="3"/>
  <c r="A44" i="3"/>
  <c r="G43" i="3"/>
  <c r="D43" i="13" s="1"/>
  <c r="E43" i="13" s="1"/>
  <c r="C43" i="3"/>
  <c r="B43" i="3"/>
  <c r="A43" i="3"/>
  <c r="G42" i="3"/>
  <c r="D42" i="13" s="1"/>
  <c r="C42" i="3"/>
  <c r="B42" i="3"/>
  <c r="A42" i="3"/>
  <c r="G41" i="3"/>
  <c r="D41" i="13" s="1"/>
  <c r="E41" i="13" s="1"/>
  <c r="C41" i="3"/>
  <c r="B41" i="3"/>
  <c r="A41" i="3"/>
  <c r="G40" i="3"/>
  <c r="D40" i="13" s="1"/>
  <c r="C40" i="3"/>
  <c r="B40" i="3"/>
  <c r="A40" i="3"/>
  <c r="G39" i="3"/>
  <c r="D39" i="13" s="1"/>
  <c r="E39" i="13" s="1"/>
  <c r="C39" i="3"/>
  <c r="B39" i="3"/>
  <c r="A39" i="3"/>
  <c r="G38" i="3"/>
  <c r="D38" i="13" s="1"/>
  <c r="C38" i="3"/>
  <c r="B38" i="3"/>
  <c r="A38" i="3"/>
  <c r="G37" i="3"/>
  <c r="D37" i="13" s="1"/>
  <c r="E37" i="13" s="1"/>
  <c r="C37" i="3"/>
  <c r="B37" i="3"/>
  <c r="A37" i="3"/>
  <c r="G36" i="3"/>
  <c r="D36" i="13" s="1"/>
  <c r="C36" i="3"/>
  <c r="B36" i="3"/>
  <c r="A36" i="3"/>
  <c r="G35" i="3"/>
  <c r="D35" i="13" s="1"/>
  <c r="C35" i="3"/>
  <c r="B35" i="3"/>
  <c r="A35" i="3"/>
  <c r="G34" i="3"/>
  <c r="D34" i="13" s="1"/>
  <c r="E34" i="13" s="1"/>
  <c r="C34" i="3"/>
  <c r="B34" i="3"/>
  <c r="A34" i="3"/>
  <c r="G33" i="3"/>
  <c r="D33" i="13" s="1"/>
  <c r="E33" i="13" s="1"/>
  <c r="C33" i="3"/>
  <c r="B33" i="3"/>
  <c r="A33" i="3"/>
  <c r="G32" i="3"/>
  <c r="D32" i="13" s="1"/>
  <c r="C32" i="3"/>
  <c r="B32" i="3"/>
  <c r="A32" i="3"/>
  <c r="G31" i="3"/>
  <c r="D31" i="13" s="1"/>
  <c r="E31" i="13" s="1"/>
  <c r="C31" i="3"/>
  <c r="B31" i="3"/>
  <c r="A31" i="3"/>
  <c r="G30" i="3"/>
  <c r="D30" i="13" s="1"/>
  <c r="C30" i="3"/>
  <c r="B30" i="3"/>
  <c r="A30" i="3"/>
  <c r="G29" i="3"/>
  <c r="D29" i="13" s="1"/>
  <c r="C29" i="3"/>
  <c r="B29" i="3"/>
  <c r="A29" i="3"/>
  <c r="G28" i="3"/>
  <c r="D28" i="13" s="1"/>
  <c r="E28" i="13" s="1"/>
  <c r="C28" i="3"/>
  <c r="B28" i="3"/>
  <c r="A28" i="3"/>
  <c r="G27" i="3"/>
  <c r="D27" i="13" s="1"/>
  <c r="E27" i="13" s="1"/>
  <c r="C27" i="3"/>
  <c r="B27" i="3"/>
  <c r="A27" i="3"/>
  <c r="G26" i="3"/>
  <c r="D26" i="13" s="1"/>
  <c r="C26" i="3"/>
  <c r="B26" i="3"/>
  <c r="A26" i="3"/>
  <c r="G25" i="3"/>
  <c r="D25" i="13" s="1"/>
  <c r="E25" i="13" s="1"/>
  <c r="C25" i="3"/>
  <c r="B25" i="3"/>
  <c r="A25" i="3"/>
  <c r="G24" i="3"/>
  <c r="D24" i="13" s="1"/>
  <c r="C24" i="3"/>
  <c r="B24" i="3"/>
  <c r="A24" i="3"/>
  <c r="G23" i="3"/>
  <c r="D23" i="13" s="1"/>
  <c r="E23" i="13" s="1"/>
  <c r="C23" i="3"/>
  <c r="B23" i="3"/>
  <c r="A23" i="3"/>
  <c r="G22" i="3"/>
  <c r="D22" i="13" s="1"/>
  <c r="C22" i="3"/>
  <c r="B22" i="3"/>
  <c r="A22" i="3"/>
  <c r="G21" i="3"/>
  <c r="D21" i="13" s="1"/>
  <c r="C21" i="3"/>
  <c r="B21" i="3"/>
  <c r="A21" i="3"/>
  <c r="G20" i="3"/>
  <c r="D20" i="13" s="1"/>
  <c r="C20" i="3"/>
  <c r="B20" i="3"/>
  <c r="A20" i="3"/>
  <c r="G19" i="3"/>
  <c r="D19" i="13" s="1"/>
  <c r="E19" i="13" s="1"/>
  <c r="C19" i="3"/>
  <c r="B19" i="3"/>
  <c r="A19" i="3"/>
  <c r="G18" i="3"/>
  <c r="D18" i="13" s="1"/>
  <c r="C18" i="3"/>
  <c r="B18" i="3"/>
  <c r="A18" i="3"/>
  <c r="G17" i="3"/>
  <c r="D17" i="13" s="1"/>
  <c r="C17" i="3"/>
  <c r="B17" i="3"/>
  <c r="A17" i="3"/>
  <c r="G16" i="3"/>
  <c r="D16" i="13" s="1"/>
  <c r="E16" i="13" s="1"/>
  <c r="C16" i="3"/>
  <c r="B16" i="3"/>
  <c r="A16" i="3"/>
  <c r="G15" i="3"/>
  <c r="D15" i="13" s="1"/>
  <c r="C15" i="3"/>
  <c r="B15" i="3"/>
  <c r="A15" i="3"/>
  <c r="G14" i="3"/>
  <c r="D14" i="13" s="1"/>
  <c r="C14" i="3"/>
  <c r="B14" i="3"/>
  <c r="A14" i="3"/>
  <c r="G13" i="3"/>
  <c r="D13" i="13" s="1"/>
  <c r="C13" i="3"/>
  <c r="B13" i="3"/>
  <c r="A13" i="3"/>
  <c r="G12" i="3"/>
  <c r="D12" i="13" s="1"/>
  <c r="E12" i="13" s="1"/>
  <c r="C12" i="3"/>
  <c r="B12" i="3"/>
  <c r="A12" i="3"/>
  <c r="G11" i="3"/>
  <c r="D11" i="13" s="1"/>
  <c r="C11" i="3"/>
  <c r="B11" i="3"/>
  <c r="A11" i="3"/>
  <c r="G10" i="3"/>
  <c r="D10" i="13" s="1"/>
  <c r="E10" i="13" s="1"/>
  <c r="C10" i="3"/>
  <c r="B10" i="3"/>
  <c r="A10" i="3"/>
  <c r="G9" i="3"/>
  <c r="D9" i="13" s="1"/>
  <c r="C9" i="3"/>
  <c r="B9" i="3"/>
  <c r="A9" i="3"/>
  <c r="G8" i="3"/>
  <c r="D8" i="13" s="1"/>
  <c r="C8" i="3"/>
  <c r="B8" i="3"/>
  <c r="A8" i="3"/>
  <c r="G7" i="3"/>
  <c r="D7" i="13" s="1"/>
  <c r="C7" i="3"/>
  <c r="B7" i="3"/>
  <c r="A7" i="3"/>
  <c r="G6" i="3"/>
  <c r="D6" i="13" s="1"/>
  <c r="C6" i="3"/>
  <c r="B6" i="3"/>
  <c r="A6" i="3"/>
  <c r="G5" i="3"/>
  <c r="D5" i="13" s="1"/>
  <c r="C5" i="3"/>
  <c r="B5" i="3"/>
  <c r="A5" i="3"/>
  <c r="G4" i="3"/>
  <c r="D4" i="13" s="1"/>
  <c r="E4" i="13" s="1"/>
  <c r="C4" i="3"/>
  <c r="B4" i="3"/>
  <c r="A4" i="3"/>
  <c r="G3" i="3"/>
  <c r="D3" i="13" s="1"/>
  <c r="C3" i="3"/>
  <c r="B3" i="3"/>
  <c r="A3" i="3"/>
  <c r="B22" i="2"/>
  <c r="B21" i="2"/>
  <c r="F9" i="2"/>
  <c r="H9" i="2" s="1"/>
  <c r="F8" i="2"/>
  <c r="H8" i="2" s="1"/>
  <c r="F7" i="2"/>
  <c r="H7" i="2" s="1"/>
  <c r="F6" i="2"/>
  <c r="H6" i="2" s="1"/>
  <c r="F5" i="2"/>
  <c r="H5" i="2" s="1"/>
  <c r="F4" i="2"/>
  <c r="E220" i="13" l="1"/>
  <c r="M207" i="13"/>
  <c r="E109" i="13"/>
  <c r="O200" i="13"/>
  <c r="P200" i="13" s="1"/>
  <c r="M208" i="13"/>
  <c r="E53" i="13"/>
  <c r="U53" i="13" s="1"/>
  <c r="M209" i="13"/>
  <c r="C6" i="16"/>
  <c r="D6" i="16" s="1"/>
  <c r="O206" i="13"/>
  <c r="P206" i="13" s="1"/>
  <c r="E20" i="13"/>
  <c r="V20" i="13" s="1"/>
  <c r="O194" i="13"/>
  <c r="P194" i="13" s="1"/>
  <c r="E99" i="13"/>
  <c r="V99" i="13" s="1"/>
  <c r="M219" i="13"/>
  <c r="O224" i="13"/>
  <c r="P224" i="13" s="1"/>
  <c r="E97" i="13"/>
  <c r="E112" i="13"/>
  <c r="V112" i="13" s="1"/>
  <c r="E148" i="13"/>
  <c r="U148" i="13" s="1"/>
  <c r="E154" i="13"/>
  <c r="G154" i="13" s="1"/>
  <c r="E160" i="13"/>
  <c r="W160" i="13" s="1"/>
  <c r="E166" i="13"/>
  <c r="W166" i="13" s="1"/>
  <c r="E172" i="13"/>
  <c r="E193" i="13"/>
  <c r="V193" i="13" s="1"/>
  <c r="O212" i="13"/>
  <c r="P212" i="13" s="1"/>
  <c r="V25" i="13"/>
  <c r="U25" i="13"/>
  <c r="W25" i="13"/>
  <c r="W10" i="13"/>
  <c r="G10" i="13"/>
  <c r="V10" i="13"/>
  <c r="U10" i="13"/>
  <c r="V31" i="13"/>
  <c r="W31" i="13"/>
  <c r="U31" i="13"/>
  <c r="V28" i="13"/>
  <c r="U28" i="13"/>
  <c r="W28" i="13"/>
  <c r="G28" i="13"/>
  <c r="W4" i="13"/>
  <c r="G4" i="13"/>
  <c r="V4" i="13"/>
  <c r="U4" i="13"/>
  <c r="W51" i="13"/>
  <c r="V51" i="13"/>
  <c r="U51" i="13"/>
  <c r="G51" i="13"/>
  <c r="W69" i="13"/>
  <c r="V69" i="13"/>
  <c r="U69" i="13"/>
  <c r="G69" i="13"/>
  <c r="W87" i="13"/>
  <c r="V87" i="13"/>
  <c r="G87" i="13"/>
  <c r="U87" i="13"/>
  <c r="W165" i="13"/>
  <c r="U165" i="13"/>
  <c r="V165" i="13"/>
  <c r="W177" i="13"/>
  <c r="G177" i="13"/>
  <c r="V177" i="13"/>
  <c r="U177" i="13"/>
  <c r="W219" i="13"/>
  <c r="V219" i="13"/>
  <c r="U219" i="13"/>
  <c r="G219" i="13"/>
  <c r="W27" i="13"/>
  <c r="V27" i="13"/>
  <c r="U27" i="13"/>
  <c r="W33" i="13"/>
  <c r="V33" i="13"/>
  <c r="U33" i="13"/>
  <c r="W39" i="13"/>
  <c r="V39" i="13"/>
  <c r="U39" i="13"/>
  <c r="G39" i="13"/>
  <c r="W183" i="13"/>
  <c r="V183" i="13"/>
  <c r="G183" i="13"/>
  <c r="U183" i="13"/>
  <c r="W189" i="13"/>
  <c r="V189" i="13"/>
  <c r="G189" i="13"/>
  <c r="U189" i="13"/>
  <c r="W195" i="13"/>
  <c r="V195" i="13"/>
  <c r="G195" i="13"/>
  <c r="U195" i="13"/>
  <c r="W207" i="13"/>
  <c r="V207" i="13"/>
  <c r="U207" i="13"/>
  <c r="W16" i="13"/>
  <c r="G16" i="13"/>
  <c r="V16" i="13"/>
  <c r="U16" i="13"/>
  <c r="W57" i="13"/>
  <c r="V57" i="13"/>
  <c r="U57" i="13"/>
  <c r="G57" i="13"/>
  <c r="W75" i="13"/>
  <c r="V75" i="13"/>
  <c r="G75" i="13"/>
  <c r="U75" i="13"/>
  <c r="W81" i="13"/>
  <c r="V81" i="13"/>
  <c r="G81" i="13"/>
  <c r="U81" i="13"/>
  <c r="V96" i="13"/>
  <c r="W96" i="13"/>
  <c r="G96" i="13"/>
  <c r="U96" i="13"/>
  <c r="W171" i="13"/>
  <c r="U171" i="13"/>
  <c r="V171" i="13"/>
  <c r="W201" i="13"/>
  <c r="V201" i="13"/>
  <c r="U201" i="13"/>
  <c r="G201" i="13"/>
  <c r="G19" i="13"/>
  <c r="W19" i="13"/>
  <c r="U19" i="13"/>
  <c r="V19" i="13"/>
  <c r="W12" i="13"/>
  <c r="V12" i="13"/>
  <c r="U12" i="13"/>
  <c r="W45" i="13"/>
  <c r="G45" i="13"/>
  <c r="V45" i="13"/>
  <c r="U45" i="13"/>
  <c r="W63" i="13"/>
  <c r="V63" i="13"/>
  <c r="U63" i="13"/>
  <c r="G63" i="13"/>
  <c r="H142" i="13"/>
  <c r="H130" i="13"/>
  <c r="H119" i="13"/>
  <c r="H155" i="13"/>
  <c r="H149" i="13"/>
  <c r="H123" i="13"/>
  <c r="H146" i="13"/>
  <c r="H154" i="13"/>
  <c r="H116" i="13"/>
  <c r="H101" i="13"/>
  <c r="H160" i="13"/>
  <c r="H140" i="13"/>
  <c r="H152" i="13"/>
  <c r="H145" i="13"/>
  <c r="H125" i="13"/>
  <c r="H113" i="13"/>
  <c r="H158" i="13"/>
  <c r="H141" i="13"/>
  <c r="H129" i="13"/>
  <c r="H136" i="13"/>
  <c r="H133" i="13"/>
  <c r="H105" i="13"/>
  <c r="H98" i="13"/>
  <c r="H137" i="13"/>
  <c r="H134" i="13"/>
  <c r="H143" i="13"/>
  <c r="H139" i="13"/>
  <c r="H111" i="13"/>
  <c r="H104" i="13"/>
  <c r="H88" i="13"/>
  <c r="H96" i="13"/>
  <c r="H87" i="13"/>
  <c r="H147" i="13"/>
  <c r="H107" i="13"/>
  <c r="H100" i="13"/>
  <c r="H131" i="13"/>
  <c r="H128" i="13"/>
  <c r="H122" i="13"/>
  <c r="H118" i="13"/>
  <c r="H117" i="13"/>
  <c r="H106" i="13"/>
  <c r="H93" i="13"/>
  <c r="H91" i="13"/>
  <c r="H148" i="13"/>
  <c r="H92" i="13"/>
  <c r="V34" i="13"/>
  <c r="U34" i="13"/>
  <c r="W34" i="13"/>
  <c r="G34" i="13"/>
  <c r="V37" i="13"/>
  <c r="W37" i="13"/>
  <c r="U37" i="13"/>
  <c r="V43" i="13"/>
  <c r="W43" i="13"/>
  <c r="U43" i="13"/>
  <c r="V49" i="13"/>
  <c r="W49" i="13"/>
  <c r="U49" i="13"/>
  <c r="V55" i="13"/>
  <c r="W55" i="13"/>
  <c r="U55" i="13"/>
  <c r="W58" i="13"/>
  <c r="V58" i="13"/>
  <c r="U58" i="13"/>
  <c r="G58" i="13"/>
  <c r="V61" i="13"/>
  <c r="W61" i="13"/>
  <c r="U61" i="13"/>
  <c r="W64" i="13"/>
  <c r="V64" i="13"/>
  <c r="U64" i="13"/>
  <c r="G64" i="13"/>
  <c r="V67" i="13"/>
  <c r="U67" i="13"/>
  <c r="W67" i="13"/>
  <c r="V73" i="13"/>
  <c r="W73" i="13"/>
  <c r="U73" i="13"/>
  <c r="W79" i="13"/>
  <c r="V79" i="13"/>
  <c r="U79" i="13"/>
  <c r="W85" i="13"/>
  <c r="V85" i="13"/>
  <c r="U85" i="13"/>
  <c r="W91" i="13"/>
  <c r="V91" i="13"/>
  <c r="U91" i="13"/>
  <c r="W97" i="13"/>
  <c r="V97" i="13"/>
  <c r="U97" i="13"/>
  <c r="G97" i="13"/>
  <c r="W100" i="13"/>
  <c r="V100" i="13"/>
  <c r="U100" i="13"/>
  <c r="G100" i="13"/>
  <c r="U103" i="13"/>
  <c r="V103" i="13"/>
  <c r="W103" i="13"/>
  <c r="U106" i="13"/>
  <c r="W106" i="13"/>
  <c r="V106" i="13"/>
  <c r="U124" i="13"/>
  <c r="W124" i="13"/>
  <c r="V124" i="13"/>
  <c r="G124" i="13"/>
  <c r="H82" i="13"/>
  <c r="H76" i="13"/>
  <c r="H70" i="13"/>
  <c r="H64" i="13"/>
  <c r="H58" i="13"/>
  <c r="H81" i="13"/>
  <c r="H75" i="13"/>
  <c r="H69" i="13"/>
  <c r="H86" i="13"/>
  <c r="H38" i="13"/>
  <c r="H52" i="13"/>
  <c r="H45" i="13"/>
  <c r="H63" i="13"/>
  <c r="H49" i="13"/>
  <c r="H40" i="13"/>
  <c r="H46" i="13"/>
  <c r="H51" i="13"/>
  <c r="H57" i="13"/>
  <c r="U109" i="13"/>
  <c r="W109" i="13"/>
  <c r="V109" i="13"/>
  <c r="U115" i="13"/>
  <c r="W115" i="13"/>
  <c r="V115" i="13"/>
  <c r="U118" i="13"/>
  <c r="W118" i="13"/>
  <c r="V118" i="13"/>
  <c r="G118" i="13"/>
  <c r="U121" i="13"/>
  <c r="W121" i="13"/>
  <c r="V121" i="13"/>
  <c r="U127" i="13"/>
  <c r="W127" i="13"/>
  <c r="V127" i="13"/>
  <c r="G127" i="13"/>
  <c r="U130" i="13"/>
  <c r="G130" i="13"/>
  <c r="W130" i="13"/>
  <c r="V130" i="13"/>
  <c r="U133" i="13"/>
  <c r="V133" i="13"/>
  <c r="W133" i="13"/>
  <c r="U136" i="13"/>
  <c r="G136" i="13"/>
  <c r="W136" i="13"/>
  <c r="V136" i="13"/>
  <c r="U139" i="13"/>
  <c r="W139" i="13"/>
  <c r="V139" i="13"/>
  <c r="U142" i="13"/>
  <c r="G142" i="13"/>
  <c r="W142" i="13"/>
  <c r="V142" i="13"/>
  <c r="U145" i="13"/>
  <c r="W145" i="13"/>
  <c r="V145" i="13"/>
  <c r="U151" i="13"/>
  <c r="W151" i="13"/>
  <c r="V151" i="13"/>
  <c r="U154" i="13"/>
  <c r="W154" i="13"/>
  <c r="V154" i="13"/>
  <c r="U157" i="13"/>
  <c r="W157" i="13"/>
  <c r="V157" i="13"/>
  <c r="G160" i="13"/>
  <c r="V160" i="13"/>
  <c r="U163" i="13"/>
  <c r="W163" i="13"/>
  <c r="V163" i="13"/>
  <c r="U169" i="13"/>
  <c r="W169" i="13"/>
  <c r="V169" i="13"/>
  <c r="V172" i="13"/>
  <c r="U172" i="13"/>
  <c r="G172" i="13"/>
  <c r="W172" i="13"/>
  <c r="W175" i="13"/>
  <c r="V175" i="13"/>
  <c r="U175" i="13"/>
  <c r="W181" i="13"/>
  <c r="U181" i="13"/>
  <c r="V181" i="13"/>
  <c r="W187" i="13"/>
  <c r="V187" i="13"/>
  <c r="U187" i="13"/>
  <c r="U193" i="13"/>
  <c r="W199" i="13"/>
  <c r="V199" i="13"/>
  <c r="U199" i="13"/>
  <c r="H196" i="13"/>
  <c r="H190" i="13"/>
  <c r="H200" i="13"/>
  <c r="H194" i="13"/>
  <c r="H198" i="13"/>
  <c r="H193" i="13"/>
  <c r="H192" i="13"/>
  <c r="H229" i="13"/>
  <c r="H223" i="13"/>
  <c r="H218" i="13"/>
  <c r="H202" i="13"/>
  <c r="H225" i="13"/>
  <c r="H228" i="13"/>
  <c r="H211" i="13"/>
  <c r="H216" i="13"/>
  <c r="H224" i="13"/>
  <c r="H217" i="13"/>
  <c r="H219" i="13"/>
  <c r="H205" i="13"/>
  <c r="H206" i="13"/>
  <c r="H204" i="13"/>
  <c r="H230" i="13"/>
  <c r="H212" i="13"/>
  <c r="H184" i="13"/>
  <c r="H178" i="13"/>
  <c r="H188" i="13"/>
  <c r="H182" i="13"/>
  <c r="H186" i="13"/>
  <c r="H176" i="13"/>
  <c r="H180" i="13"/>
  <c r="H172" i="13"/>
  <c r="H165" i="13"/>
  <c r="H161" i="13"/>
  <c r="H166" i="13"/>
  <c r="H164" i="13"/>
  <c r="H167" i="13"/>
  <c r="H170" i="13"/>
  <c r="H174" i="13"/>
  <c r="W205" i="13"/>
  <c r="V205" i="13"/>
  <c r="U205" i="13"/>
  <c r="V208" i="13"/>
  <c r="U208" i="13"/>
  <c r="W208" i="13"/>
  <c r="U211" i="13"/>
  <c r="W211" i="13"/>
  <c r="V211" i="13"/>
  <c r="G211" i="13"/>
  <c r="V214" i="13"/>
  <c r="U214" i="13"/>
  <c r="W214" i="13"/>
  <c r="W217" i="13"/>
  <c r="G217" i="13"/>
  <c r="V217" i="13"/>
  <c r="U217" i="13"/>
  <c r="V220" i="13"/>
  <c r="U220" i="13"/>
  <c r="W220" i="13"/>
  <c r="W223" i="13"/>
  <c r="G223" i="13"/>
  <c r="V223" i="13"/>
  <c r="U223" i="13"/>
  <c r="W229" i="13"/>
  <c r="G229" i="13"/>
  <c r="V229" i="13"/>
  <c r="U229" i="13"/>
  <c r="U20" i="13"/>
  <c r="V23" i="13"/>
  <c r="U23" i="13"/>
  <c r="W23" i="13"/>
  <c r="W41" i="13"/>
  <c r="V41" i="13"/>
  <c r="U41" i="13"/>
  <c r="W53" i="13"/>
  <c r="V53" i="13"/>
  <c r="W83" i="13"/>
  <c r="V83" i="13"/>
  <c r="U83" i="13"/>
  <c r="H4" i="2"/>
  <c r="H21" i="13" s="1"/>
  <c r="W89" i="13"/>
  <c r="V89" i="13"/>
  <c r="U89" i="13"/>
  <c r="W98" i="13"/>
  <c r="V98" i="13"/>
  <c r="U98" i="13"/>
  <c r="G98" i="13"/>
  <c r="V101" i="13"/>
  <c r="W101" i="13"/>
  <c r="G101" i="13"/>
  <c r="U101" i="13"/>
  <c r="W104" i="13"/>
  <c r="V104" i="13"/>
  <c r="U104" i="13"/>
  <c r="V113" i="13"/>
  <c r="W113" i="13"/>
  <c r="U113" i="13"/>
  <c r="G113" i="13"/>
  <c r="V125" i="13"/>
  <c r="G125" i="13"/>
  <c r="W125" i="13"/>
  <c r="U125" i="13"/>
  <c r="W149" i="13"/>
  <c r="V149" i="13"/>
  <c r="G149" i="13"/>
  <c r="U149" i="13"/>
  <c r="W155" i="13"/>
  <c r="V155" i="13"/>
  <c r="G155" i="13"/>
  <c r="U155" i="13"/>
  <c r="W161" i="13"/>
  <c r="V161" i="13"/>
  <c r="U161" i="13"/>
  <c r="G161" i="13"/>
  <c r="W167" i="13"/>
  <c r="V167" i="13"/>
  <c r="U167" i="13"/>
  <c r="G167" i="13"/>
  <c r="U173" i="13"/>
  <c r="W173" i="13"/>
  <c r="V173" i="13"/>
  <c r="U179" i="13"/>
  <c r="W179" i="13"/>
  <c r="V179" i="13"/>
  <c r="U185" i="13"/>
  <c r="W185" i="13"/>
  <c r="V185" i="13"/>
  <c r="U191" i="13"/>
  <c r="W191" i="13"/>
  <c r="V191" i="13"/>
  <c r="U197" i="13"/>
  <c r="W197" i="13"/>
  <c r="V197" i="13"/>
  <c r="U203" i="13"/>
  <c r="W203" i="13"/>
  <c r="V203" i="13"/>
  <c r="W206" i="13"/>
  <c r="U206" i="13"/>
  <c r="V206" i="13"/>
  <c r="G206" i="13"/>
  <c r="C26" i="16"/>
  <c r="E71" i="13"/>
  <c r="G37" i="13"/>
  <c r="M37" i="13"/>
  <c r="H37" i="13"/>
  <c r="E35" i="13"/>
  <c r="G35" i="13" s="1"/>
  <c r="E47" i="13"/>
  <c r="E17" i="13"/>
  <c r="E7" i="13"/>
  <c r="M7" i="13"/>
  <c r="H35" i="13"/>
  <c r="M35" i="13"/>
  <c r="M13" i="13"/>
  <c r="G25" i="13"/>
  <c r="M25" i="13"/>
  <c r="E117" i="13"/>
  <c r="E9" i="13"/>
  <c r="H48" i="13"/>
  <c r="M48" i="13"/>
  <c r="E6" i="13"/>
  <c r="M22" i="13"/>
  <c r="M8" i="13"/>
  <c r="E15" i="13"/>
  <c r="E90" i="13"/>
  <c r="E21" i="13"/>
  <c r="M33" i="13"/>
  <c r="G33" i="13"/>
  <c r="E5" i="13"/>
  <c r="E13" i="13"/>
  <c r="G13" i="13" s="1"/>
  <c r="E40" i="13"/>
  <c r="E59" i="13"/>
  <c r="E70" i="13"/>
  <c r="M21" i="13"/>
  <c r="G43" i="13"/>
  <c r="M43" i="13"/>
  <c r="H43" i="13"/>
  <c r="E11" i="13"/>
  <c r="E72" i="13"/>
  <c r="E3" i="13"/>
  <c r="E52" i="13"/>
  <c r="E86" i="13"/>
  <c r="E22" i="13"/>
  <c r="G22" i="13" s="1"/>
  <c r="M27" i="13"/>
  <c r="G27" i="13"/>
  <c r="M29" i="13"/>
  <c r="G31" i="13"/>
  <c r="M31" i="13"/>
  <c r="E128" i="13"/>
  <c r="G128" i="13" s="1"/>
  <c r="M159" i="13"/>
  <c r="H159" i="13"/>
  <c r="E29" i="13"/>
  <c r="G29" i="13" s="1"/>
  <c r="E46" i="13"/>
  <c r="H83" i="13"/>
  <c r="G83" i="13"/>
  <c r="M83" i="13"/>
  <c r="E123" i="13"/>
  <c r="G123" i="13" s="1"/>
  <c r="H65" i="13"/>
  <c r="M65" i="13"/>
  <c r="E74" i="13"/>
  <c r="E77" i="13"/>
  <c r="G77" i="13" s="1"/>
  <c r="G85" i="13"/>
  <c r="M85" i="13"/>
  <c r="H85" i="13"/>
  <c r="E88" i="13"/>
  <c r="E8" i="13"/>
  <c r="G8" i="13" s="1"/>
  <c r="E14" i="13"/>
  <c r="G14" i="13" s="1"/>
  <c r="G55" i="13"/>
  <c r="M55" i="13"/>
  <c r="H55" i="13"/>
  <c r="H60" i="13"/>
  <c r="M60" i="13"/>
  <c r="G73" i="13"/>
  <c r="M73" i="13"/>
  <c r="E65" i="13"/>
  <c r="G65" i="13" s="1"/>
  <c r="G6" i="13"/>
  <c r="G12" i="13"/>
  <c r="H41" i="13"/>
  <c r="G41" i="13"/>
  <c r="M41" i="13"/>
  <c r="E60" i="13"/>
  <c r="G60" i="13" s="1"/>
  <c r="M39" i="13"/>
  <c r="H39" i="13"/>
  <c r="E54" i="13"/>
  <c r="G54" i="13" s="1"/>
  <c r="H59" i="13"/>
  <c r="M59" i="13"/>
  <c r="H73" i="13"/>
  <c r="E76" i="13"/>
  <c r="E131" i="13"/>
  <c r="H42" i="13"/>
  <c r="G61" i="13"/>
  <c r="H66" i="13"/>
  <c r="H77" i="13"/>
  <c r="H78" i="13"/>
  <c r="E84" i="13"/>
  <c r="M95" i="13"/>
  <c r="H95" i="13"/>
  <c r="E110" i="13"/>
  <c r="G110" i="13" s="1"/>
  <c r="E122" i="13"/>
  <c r="M3" i="13"/>
  <c r="M9" i="13"/>
  <c r="M15" i="13"/>
  <c r="H36" i="13"/>
  <c r="E48" i="13"/>
  <c r="E56" i="13"/>
  <c r="G67" i="13"/>
  <c r="G79" i="13"/>
  <c r="C5" i="16"/>
  <c r="D5" i="16" s="1"/>
  <c r="H30" i="13"/>
  <c r="E42" i="13"/>
  <c r="M47" i="13"/>
  <c r="M49" i="13"/>
  <c r="E50" i="13"/>
  <c r="E66" i="13"/>
  <c r="E78" i="13"/>
  <c r="G78" i="13" s="1"/>
  <c r="E82" i="13"/>
  <c r="E116" i="13"/>
  <c r="G116" i="13" s="1"/>
  <c r="E119" i="13"/>
  <c r="M4" i="13"/>
  <c r="M10" i="13"/>
  <c r="M16" i="13"/>
  <c r="M23" i="13"/>
  <c r="E36" i="13"/>
  <c r="E44" i="13"/>
  <c r="M45" i="13"/>
  <c r="H53" i="13"/>
  <c r="G53" i="13"/>
  <c r="H61" i="13"/>
  <c r="E80" i="13"/>
  <c r="E94" i="13"/>
  <c r="E30" i="13"/>
  <c r="E38" i="13"/>
  <c r="E62" i="13"/>
  <c r="H67" i="13"/>
  <c r="E68" i="13"/>
  <c r="H79" i="13"/>
  <c r="G91" i="13"/>
  <c r="E93" i="13"/>
  <c r="G93" i="13" s="1"/>
  <c r="E162" i="13"/>
  <c r="E24" i="13"/>
  <c r="E32" i="13"/>
  <c r="G36" i="13"/>
  <c r="M66" i="13"/>
  <c r="M77" i="13"/>
  <c r="M78" i="13"/>
  <c r="E92" i="13"/>
  <c r="E18" i="13"/>
  <c r="G23" i="13"/>
  <c r="E26" i="13"/>
  <c r="H47" i="13"/>
  <c r="G49" i="13"/>
  <c r="H54" i="13"/>
  <c r="H71" i="13"/>
  <c r="G71" i="13"/>
  <c r="H72" i="13"/>
  <c r="H89" i="13"/>
  <c r="G89" i="13"/>
  <c r="G146" i="13"/>
  <c r="H153" i="13"/>
  <c r="H44" i="13"/>
  <c r="H50" i="13"/>
  <c r="H56" i="13"/>
  <c r="H62" i="13"/>
  <c r="H68" i="13"/>
  <c r="H74" i="13"/>
  <c r="H80" i="13"/>
  <c r="E107" i="13"/>
  <c r="H109" i="13"/>
  <c r="G109" i="13"/>
  <c r="M84" i="13"/>
  <c r="M90" i="13"/>
  <c r="E95" i="13"/>
  <c r="E108" i="13"/>
  <c r="G108" i="13" s="1"/>
  <c r="M110" i="13"/>
  <c r="E111" i="13"/>
  <c r="H112" i="13"/>
  <c r="H138" i="13"/>
  <c r="M138" i="13"/>
  <c r="E168" i="13"/>
  <c r="G99" i="13"/>
  <c r="M109" i="13"/>
  <c r="H110" i="13"/>
  <c r="G133" i="13"/>
  <c r="M133" i="13"/>
  <c r="E143" i="13"/>
  <c r="E158" i="13"/>
  <c r="H99" i="13"/>
  <c r="E102" i="13"/>
  <c r="H132" i="13"/>
  <c r="E138" i="13"/>
  <c r="G138" i="13" s="1"/>
  <c r="E140" i="13"/>
  <c r="G140" i="13" s="1"/>
  <c r="M57" i="13"/>
  <c r="M63" i="13"/>
  <c r="M69" i="13"/>
  <c r="M75" i="13"/>
  <c r="M81" i="13"/>
  <c r="M87" i="13"/>
  <c r="M103" i="13"/>
  <c r="H103" i="13"/>
  <c r="G103" i="13"/>
  <c r="M124" i="13"/>
  <c r="H124" i="13"/>
  <c r="H126" i="13"/>
  <c r="M126" i="13"/>
  <c r="E135" i="13"/>
  <c r="E137" i="13"/>
  <c r="H84" i="13"/>
  <c r="H90" i="13"/>
  <c r="H94" i="13"/>
  <c r="G106" i="13"/>
  <c r="M106" i="13"/>
  <c r="H115" i="13"/>
  <c r="G115" i="13"/>
  <c r="M115" i="13"/>
  <c r="H120" i="13"/>
  <c r="M120" i="13"/>
  <c r="E114" i="13"/>
  <c r="M153" i="13"/>
  <c r="H108" i="13"/>
  <c r="E120" i="13"/>
  <c r="G121" i="13"/>
  <c r="E152" i="13"/>
  <c r="E159" i="13"/>
  <c r="H97" i="13"/>
  <c r="H121" i="13"/>
  <c r="E153" i="13"/>
  <c r="E164" i="13"/>
  <c r="G164" i="13" s="1"/>
  <c r="H114" i="13"/>
  <c r="G139" i="13"/>
  <c r="E146" i="13"/>
  <c r="G122" i="13"/>
  <c r="E126" i="13"/>
  <c r="E132" i="13"/>
  <c r="E144" i="13"/>
  <c r="G104" i="13"/>
  <c r="E105" i="13"/>
  <c r="H127" i="13"/>
  <c r="H135" i="13"/>
  <c r="E156" i="13"/>
  <c r="E150" i="13"/>
  <c r="H102" i="13"/>
  <c r="E129" i="13"/>
  <c r="E134" i="13"/>
  <c r="G134" i="13" s="1"/>
  <c r="E141" i="13"/>
  <c r="G145" i="13"/>
  <c r="E147" i="13"/>
  <c r="G147" i="13" s="1"/>
  <c r="E170" i="13"/>
  <c r="G170" i="13" s="1"/>
  <c r="E174" i="13"/>
  <c r="E176" i="13"/>
  <c r="M144" i="13"/>
  <c r="M150" i="13"/>
  <c r="M156" i="13"/>
  <c r="M162" i="13"/>
  <c r="G165" i="13"/>
  <c r="M168" i="13"/>
  <c r="G171" i="13"/>
  <c r="G181" i="13"/>
  <c r="H197" i="13"/>
  <c r="G197" i="13"/>
  <c r="O197" i="13"/>
  <c r="P197" i="13" s="1"/>
  <c r="H203" i="13"/>
  <c r="G203" i="13"/>
  <c r="O203" i="13"/>
  <c r="P203" i="13" s="1"/>
  <c r="H215" i="13"/>
  <c r="M215" i="13"/>
  <c r="E221" i="13"/>
  <c r="G221" i="13" s="1"/>
  <c r="H171" i="13"/>
  <c r="E180" i="13"/>
  <c r="G180" i="13" s="1"/>
  <c r="G187" i="13"/>
  <c r="O199" i="13"/>
  <c r="P199" i="13" s="1"/>
  <c r="G199" i="13"/>
  <c r="E204" i="13"/>
  <c r="G204" i="13" s="1"/>
  <c r="H220" i="13"/>
  <c r="G220" i="13"/>
  <c r="M220" i="13"/>
  <c r="O220" i="13"/>
  <c r="P220" i="13" s="1"/>
  <c r="M151" i="13"/>
  <c r="M157" i="13"/>
  <c r="M163" i="13"/>
  <c r="M169" i="13"/>
  <c r="E186" i="13"/>
  <c r="E196" i="13"/>
  <c r="O210" i="13"/>
  <c r="P210" i="13" s="1"/>
  <c r="M210" i="13"/>
  <c r="H210" i="13"/>
  <c r="E198" i="13"/>
  <c r="G198" i="13" s="1"/>
  <c r="E200" i="13"/>
  <c r="O215" i="13"/>
  <c r="P215" i="13" s="1"/>
  <c r="M116" i="13"/>
  <c r="M122" i="13"/>
  <c r="M128" i="13"/>
  <c r="M134" i="13"/>
  <c r="M140" i="13"/>
  <c r="M146" i="13"/>
  <c r="M152" i="13"/>
  <c r="M158" i="13"/>
  <c r="M164" i="13"/>
  <c r="M170" i="13"/>
  <c r="H181" i="13"/>
  <c r="E182" i="13"/>
  <c r="E202" i="13"/>
  <c r="E225" i="13"/>
  <c r="G175" i="13"/>
  <c r="H187" i="13"/>
  <c r="E188" i="13"/>
  <c r="H199" i="13"/>
  <c r="M203" i="13"/>
  <c r="O213" i="13"/>
  <c r="P213" i="13" s="1"/>
  <c r="M213" i="13"/>
  <c r="H213" i="13"/>
  <c r="E218" i="13"/>
  <c r="M165" i="13"/>
  <c r="M171" i="13"/>
  <c r="M197" i="13"/>
  <c r="E224" i="13"/>
  <c r="E228" i="13"/>
  <c r="H144" i="13"/>
  <c r="H150" i="13"/>
  <c r="H156" i="13"/>
  <c r="H162" i="13"/>
  <c r="H168" i="13"/>
  <c r="E178" i="13"/>
  <c r="M181" i="13"/>
  <c r="H191" i="13"/>
  <c r="G191" i="13"/>
  <c r="O191" i="13"/>
  <c r="P191" i="13" s="1"/>
  <c r="M199" i="13"/>
  <c r="E213" i="13"/>
  <c r="E231" i="13"/>
  <c r="M130" i="13"/>
  <c r="M136" i="13"/>
  <c r="M142" i="13"/>
  <c r="M148" i="13"/>
  <c r="G151" i="13"/>
  <c r="M154" i="13"/>
  <c r="G157" i="13"/>
  <c r="M160" i="13"/>
  <c r="G163" i="13"/>
  <c r="G169" i="13"/>
  <c r="H173" i="13"/>
  <c r="G173" i="13"/>
  <c r="H179" i="13"/>
  <c r="G179" i="13"/>
  <c r="M187" i="13"/>
  <c r="O193" i="13"/>
  <c r="P193" i="13" s="1"/>
  <c r="G193" i="13"/>
  <c r="H151" i="13"/>
  <c r="H157" i="13"/>
  <c r="H163" i="13"/>
  <c r="H169" i="13"/>
  <c r="M174" i="13"/>
  <c r="H175" i="13"/>
  <c r="E184" i="13"/>
  <c r="H185" i="13"/>
  <c r="G185" i="13"/>
  <c r="E190" i="13"/>
  <c r="E216" i="13"/>
  <c r="E230" i="13"/>
  <c r="E192" i="13"/>
  <c r="E194" i="13"/>
  <c r="E212" i="13"/>
  <c r="M178" i="13"/>
  <c r="M184" i="13"/>
  <c r="O189" i="13"/>
  <c r="P189" i="13" s="1"/>
  <c r="M190" i="13"/>
  <c r="O195" i="13"/>
  <c r="P195" i="13" s="1"/>
  <c r="M196" i="13"/>
  <c r="O201" i="13"/>
  <c r="P201" i="13" s="1"/>
  <c r="M202" i="13"/>
  <c r="G205" i="13"/>
  <c r="G231" i="13"/>
  <c r="E210" i="13"/>
  <c r="E215" i="13"/>
  <c r="G215" i="13" s="1"/>
  <c r="H226" i="13"/>
  <c r="H232" i="13"/>
  <c r="M180" i="13"/>
  <c r="M186" i="13"/>
  <c r="M192" i="13"/>
  <c r="M198" i="13"/>
  <c r="M204" i="13"/>
  <c r="H177" i="13"/>
  <c r="H183" i="13"/>
  <c r="H189" i="13"/>
  <c r="H195" i="13"/>
  <c r="H201" i="13"/>
  <c r="H209" i="13"/>
  <c r="O222" i="13"/>
  <c r="P222" i="13" s="1"/>
  <c r="E226" i="13"/>
  <c r="H231" i="13"/>
  <c r="E232" i="13"/>
  <c r="G232" i="13" s="1"/>
  <c r="M205" i="13"/>
  <c r="H214" i="13"/>
  <c r="G214" i="13"/>
  <c r="H227" i="13"/>
  <c r="O227" i="13"/>
  <c r="P227" i="13" s="1"/>
  <c r="E209" i="13"/>
  <c r="G209" i="13" s="1"/>
  <c r="E222" i="13"/>
  <c r="O205" i="13"/>
  <c r="P205" i="13" s="1"/>
  <c r="O225" i="13"/>
  <c r="P225" i="13" s="1"/>
  <c r="E227" i="13"/>
  <c r="O231" i="13"/>
  <c r="P231" i="13" s="1"/>
  <c r="G207" i="13"/>
  <c r="O216" i="13"/>
  <c r="P216" i="13" s="1"/>
  <c r="H221" i="13"/>
  <c r="H222" i="13"/>
  <c r="H207" i="13"/>
  <c r="H208" i="13"/>
  <c r="G208" i="13"/>
  <c r="M226" i="13"/>
  <c r="M232" i="13"/>
  <c r="M228" i="13"/>
  <c r="M211" i="13"/>
  <c r="M217" i="13"/>
  <c r="M223" i="13"/>
  <c r="O228" i="13"/>
  <c r="P228" i="13" s="1"/>
  <c r="M229" i="13"/>
  <c r="F187" i="13" l="1"/>
  <c r="L187" i="13" s="1"/>
  <c r="W20" i="13"/>
  <c r="W193" i="13"/>
  <c r="F204" i="13"/>
  <c r="L204" i="13" s="1"/>
  <c r="F192" i="13"/>
  <c r="L192" i="13" s="1"/>
  <c r="H18" i="13"/>
  <c r="H14" i="13"/>
  <c r="G20" i="13"/>
  <c r="F66" i="13"/>
  <c r="L66" i="13" s="1"/>
  <c r="H7" i="13"/>
  <c r="H29" i="13"/>
  <c r="F170" i="13"/>
  <c r="L170" i="13" s="1"/>
  <c r="H24" i="13"/>
  <c r="H25" i="13"/>
  <c r="F63" i="13"/>
  <c r="L63" i="13" s="1"/>
  <c r="H12" i="13"/>
  <c r="H27" i="13"/>
  <c r="F173" i="13"/>
  <c r="H6" i="13"/>
  <c r="H8" i="13"/>
  <c r="F164" i="13"/>
  <c r="L164" i="13" s="1"/>
  <c r="F22" i="13"/>
  <c r="L22" i="13" s="1"/>
  <c r="H22" i="13"/>
  <c r="H13" i="13"/>
  <c r="G192" i="13"/>
  <c r="H31" i="13"/>
  <c r="H33" i="13"/>
  <c r="U99" i="13"/>
  <c r="F161" i="13"/>
  <c r="W99" i="13"/>
  <c r="F198" i="13"/>
  <c r="L198" i="13" s="1"/>
  <c r="F191" i="13"/>
  <c r="H23" i="13"/>
  <c r="F16" i="13"/>
  <c r="F222" i="13"/>
  <c r="F72" i="13"/>
  <c r="L72" i="13" s="1"/>
  <c r="U160" i="13"/>
  <c r="G148" i="13"/>
  <c r="F226" i="13"/>
  <c r="L226" i="13" s="1"/>
  <c r="G66" i="13"/>
  <c r="F179" i="13"/>
  <c r="L179" i="13" s="1"/>
  <c r="F132" i="13"/>
  <c r="L132" i="13" s="1"/>
  <c r="G132" i="13"/>
  <c r="V148" i="13"/>
  <c r="W148" i="13"/>
  <c r="F61" i="13"/>
  <c r="L61" i="13" s="1"/>
  <c r="F21" i="13"/>
  <c r="L21" i="13" s="1"/>
  <c r="F219" i="13"/>
  <c r="L219" i="13" s="1"/>
  <c r="V166" i="13"/>
  <c r="W112" i="13"/>
  <c r="G21" i="13"/>
  <c r="G166" i="13"/>
  <c r="G112" i="13"/>
  <c r="F94" i="13"/>
  <c r="L94" i="13" s="1"/>
  <c r="F84" i="13"/>
  <c r="L84" i="13" s="1"/>
  <c r="F136" i="13"/>
  <c r="L136" i="13" s="1"/>
  <c r="F91" i="13"/>
  <c r="L91" i="13" s="1"/>
  <c r="U166" i="13"/>
  <c r="U112" i="13"/>
  <c r="F126" i="13"/>
  <c r="L126" i="13" s="1"/>
  <c r="F186" i="13"/>
  <c r="L186" i="13" s="1"/>
  <c r="F45" i="13"/>
  <c r="L45" i="13" s="1"/>
  <c r="F8" i="13"/>
  <c r="F193" i="13"/>
  <c r="F177" i="13"/>
  <c r="L177" i="13" s="1"/>
  <c r="F185" i="13"/>
  <c r="L185" i="13" s="1"/>
  <c r="F223" i="13"/>
  <c r="L223" i="13" s="1"/>
  <c r="F153" i="13"/>
  <c r="L153" i="13" s="1"/>
  <c r="Q223" i="13"/>
  <c r="L222" i="13"/>
  <c r="Q222" i="13"/>
  <c r="F124" i="13"/>
  <c r="L124" i="13" s="1"/>
  <c r="W29" i="13"/>
  <c r="V29" i="13"/>
  <c r="U29" i="13"/>
  <c r="F148" i="13"/>
  <c r="L148" i="13" s="1"/>
  <c r="F28" i="13"/>
  <c r="W212" i="13"/>
  <c r="G212" i="13"/>
  <c r="V212" i="13"/>
  <c r="F212" i="13"/>
  <c r="U212" i="13"/>
  <c r="W190" i="13"/>
  <c r="V190" i="13"/>
  <c r="U190" i="13"/>
  <c r="F190" i="13"/>
  <c r="G190" i="13"/>
  <c r="F60" i="13"/>
  <c r="L60" i="13" s="1"/>
  <c r="V86" i="13"/>
  <c r="U86" i="13"/>
  <c r="W86" i="13"/>
  <c r="G86" i="13"/>
  <c r="F86" i="13"/>
  <c r="L86" i="13" s="1"/>
  <c r="W11" i="13"/>
  <c r="V11" i="13"/>
  <c r="U11" i="13"/>
  <c r="F11" i="13"/>
  <c r="G11" i="13"/>
  <c r="V40" i="13"/>
  <c r="U40" i="13"/>
  <c r="F40" i="13"/>
  <c r="L40" i="13" s="1"/>
  <c r="W40" i="13"/>
  <c r="G40" i="13"/>
  <c r="F154" i="13"/>
  <c r="L154" i="13" s="1"/>
  <c r="F221" i="13"/>
  <c r="F180" i="13"/>
  <c r="L180" i="13" s="1"/>
  <c r="W202" i="13"/>
  <c r="V202" i="13"/>
  <c r="U202" i="13"/>
  <c r="G202" i="13"/>
  <c r="F202" i="13"/>
  <c r="U198" i="13"/>
  <c r="V198" i="13"/>
  <c r="W198" i="13"/>
  <c r="W150" i="13"/>
  <c r="V150" i="13"/>
  <c r="U150" i="13"/>
  <c r="G150" i="13"/>
  <c r="F150" i="13"/>
  <c r="L150" i="13" s="1"/>
  <c r="F152" i="13"/>
  <c r="L152" i="13" s="1"/>
  <c r="W152" i="13"/>
  <c r="U152" i="13"/>
  <c r="V152" i="13"/>
  <c r="W137" i="13"/>
  <c r="V137" i="13"/>
  <c r="G137" i="13"/>
  <c r="F137" i="13"/>
  <c r="L137" i="13" s="1"/>
  <c r="U137" i="13"/>
  <c r="G90" i="13"/>
  <c r="W143" i="13"/>
  <c r="V143" i="13"/>
  <c r="G143" i="13"/>
  <c r="U143" i="13"/>
  <c r="F143" i="13"/>
  <c r="L143" i="13" s="1"/>
  <c r="U111" i="13"/>
  <c r="G111" i="13"/>
  <c r="F111" i="13"/>
  <c r="L111" i="13" s="1"/>
  <c r="W111" i="13"/>
  <c r="V111" i="13"/>
  <c r="G152" i="13"/>
  <c r="G38" i="13"/>
  <c r="W38" i="13"/>
  <c r="F38" i="13"/>
  <c r="L38" i="13" s="1"/>
  <c r="V38" i="13"/>
  <c r="U38" i="13"/>
  <c r="W82" i="13"/>
  <c r="V82" i="13"/>
  <c r="U82" i="13"/>
  <c r="F82" i="13"/>
  <c r="L82" i="13" s="1"/>
  <c r="G82" i="13"/>
  <c r="G56" i="13"/>
  <c r="F56" i="13"/>
  <c r="L56" i="13" s="1"/>
  <c r="W56" i="13"/>
  <c r="U56" i="13"/>
  <c r="V56" i="13"/>
  <c r="U122" i="13"/>
  <c r="W122" i="13"/>
  <c r="V122" i="13"/>
  <c r="F122" i="13"/>
  <c r="L122" i="13" s="1"/>
  <c r="U9" i="13"/>
  <c r="W9" i="13"/>
  <c r="V9" i="13"/>
  <c r="G9" i="13"/>
  <c r="F37" i="13"/>
  <c r="L37" i="13" s="1"/>
  <c r="W71" i="13"/>
  <c r="V71" i="13"/>
  <c r="U71" i="13"/>
  <c r="F53" i="13"/>
  <c r="L53" i="13" s="1"/>
  <c r="F214" i="13"/>
  <c r="F208" i="13"/>
  <c r="F160" i="13"/>
  <c r="L160" i="13" s="1"/>
  <c r="F100" i="13"/>
  <c r="L100" i="13" s="1"/>
  <c r="F195" i="13"/>
  <c r="F183" i="13"/>
  <c r="L183" i="13" s="1"/>
  <c r="Q191" i="13"/>
  <c r="L191" i="13"/>
  <c r="F48" i="13"/>
  <c r="L48" i="13" s="1"/>
  <c r="W59" i="13"/>
  <c r="V59" i="13"/>
  <c r="U59" i="13"/>
  <c r="F23" i="13"/>
  <c r="F57" i="13"/>
  <c r="L57" i="13" s="1"/>
  <c r="F67" i="13"/>
  <c r="L67" i="13" s="1"/>
  <c r="F10" i="13"/>
  <c r="F151" i="13"/>
  <c r="L151" i="13" s="1"/>
  <c r="V188" i="13"/>
  <c r="U188" i="13"/>
  <c r="G188" i="13"/>
  <c r="F188" i="13"/>
  <c r="L188" i="13" s="1"/>
  <c r="W188" i="13"/>
  <c r="W200" i="13"/>
  <c r="V200" i="13"/>
  <c r="U200" i="13"/>
  <c r="G200" i="13"/>
  <c r="F200" i="13"/>
  <c r="F210" i="13"/>
  <c r="G105" i="13"/>
  <c r="W105" i="13"/>
  <c r="V105" i="13"/>
  <c r="U105" i="13"/>
  <c r="W138" i="13"/>
  <c r="U138" i="13"/>
  <c r="V138" i="13"/>
  <c r="W158" i="13"/>
  <c r="U158" i="13"/>
  <c r="V158" i="13"/>
  <c r="F54" i="13"/>
  <c r="L54" i="13" s="1"/>
  <c r="V26" i="13"/>
  <c r="U26" i="13"/>
  <c r="F26" i="13"/>
  <c r="W26" i="13"/>
  <c r="G26" i="13"/>
  <c r="W162" i="13"/>
  <c r="V162" i="13"/>
  <c r="U162" i="13"/>
  <c r="G162" i="13"/>
  <c r="F162" i="13"/>
  <c r="L162" i="13" s="1"/>
  <c r="G42" i="13"/>
  <c r="W116" i="13"/>
  <c r="V116" i="13"/>
  <c r="F116" i="13"/>
  <c r="L116" i="13" s="1"/>
  <c r="U116" i="13"/>
  <c r="F30" i="13"/>
  <c r="L30" i="13" s="1"/>
  <c r="F78" i="13"/>
  <c r="L78" i="13" s="1"/>
  <c r="F85" i="13"/>
  <c r="L85" i="13" s="1"/>
  <c r="F43" i="13"/>
  <c r="L43" i="13" s="1"/>
  <c r="W47" i="13"/>
  <c r="V47" i="13"/>
  <c r="U47" i="13"/>
  <c r="F47" i="13"/>
  <c r="L47" i="13" s="1"/>
  <c r="F149" i="13"/>
  <c r="L149" i="13" s="1"/>
  <c r="W209" i="13"/>
  <c r="V209" i="13"/>
  <c r="U209" i="13"/>
  <c r="V194" i="13"/>
  <c r="U194" i="13"/>
  <c r="W194" i="13"/>
  <c r="G194" i="13"/>
  <c r="F194" i="13"/>
  <c r="F158" i="13"/>
  <c r="L158" i="13" s="1"/>
  <c r="W218" i="13"/>
  <c r="G218" i="13"/>
  <c r="V218" i="13"/>
  <c r="F218" i="13"/>
  <c r="U218" i="13"/>
  <c r="F199" i="13"/>
  <c r="F197" i="13"/>
  <c r="U146" i="13"/>
  <c r="F146" i="13"/>
  <c r="L146" i="13" s="1"/>
  <c r="W146" i="13"/>
  <c r="V146" i="13"/>
  <c r="W135" i="13"/>
  <c r="G135" i="13"/>
  <c r="V135" i="13"/>
  <c r="F135" i="13"/>
  <c r="L135" i="13" s="1"/>
  <c r="U135" i="13"/>
  <c r="F110" i="13"/>
  <c r="L110" i="13" s="1"/>
  <c r="G94" i="13"/>
  <c r="F87" i="13"/>
  <c r="U93" i="13"/>
  <c r="V93" i="13"/>
  <c r="W93" i="13"/>
  <c r="U30" i="13"/>
  <c r="G30" i="13"/>
  <c r="W30" i="13"/>
  <c r="V30" i="13"/>
  <c r="U78" i="13"/>
  <c r="W78" i="13"/>
  <c r="V78" i="13"/>
  <c r="U48" i="13"/>
  <c r="W48" i="13"/>
  <c r="V48" i="13"/>
  <c r="W14" i="13"/>
  <c r="U14" i="13"/>
  <c r="V14" i="13"/>
  <c r="W77" i="13"/>
  <c r="V77" i="13"/>
  <c r="U77" i="13"/>
  <c r="W123" i="13"/>
  <c r="V123" i="13"/>
  <c r="U123" i="13"/>
  <c r="F123" i="13"/>
  <c r="L123" i="13" s="1"/>
  <c r="W52" i="13"/>
  <c r="V52" i="13"/>
  <c r="U52" i="13"/>
  <c r="G52" i="13"/>
  <c r="F52" i="13"/>
  <c r="L52" i="13" s="1"/>
  <c r="V13" i="13"/>
  <c r="U13" i="13"/>
  <c r="W13" i="13"/>
  <c r="F33" i="13"/>
  <c r="L33" i="13" s="1"/>
  <c r="W6" i="13"/>
  <c r="V6" i="13"/>
  <c r="U6" i="13"/>
  <c r="F6" i="13"/>
  <c r="L6" i="13" s="1"/>
  <c r="F25" i="13"/>
  <c r="L25" i="13" s="1"/>
  <c r="Q204" i="13"/>
  <c r="V226" i="13"/>
  <c r="U226" i="13"/>
  <c r="W226" i="13"/>
  <c r="W210" i="13"/>
  <c r="V210" i="13"/>
  <c r="U210" i="13"/>
  <c r="U72" i="13"/>
  <c r="W72" i="13"/>
  <c r="V72" i="13"/>
  <c r="W70" i="13"/>
  <c r="V70" i="13"/>
  <c r="U70" i="13"/>
  <c r="F70" i="13"/>
  <c r="L70" i="13" s="1"/>
  <c r="G70" i="13"/>
  <c r="F64" i="13"/>
  <c r="L64" i="13" s="1"/>
  <c r="W222" i="13"/>
  <c r="V222" i="13"/>
  <c r="U222" i="13"/>
  <c r="F20" i="13"/>
  <c r="F166" i="13"/>
  <c r="L166" i="13" s="1"/>
  <c r="U60" i="13"/>
  <c r="W60" i="13"/>
  <c r="V60" i="13"/>
  <c r="F113" i="13"/>
  <c r="L113" i="13" s="1"/>
  <c r="U15" i="13"/>
  <c r="W15" i="13"/>
  <c r="V15" i="13"/>
  <c r="G15" i="13"/>
  <c r="F206" i="13"/>
  <c r="W231" i="13"/>
  <c r="V231" i="13"/>
  <c r="U231" i="13"/>
  <c r="F231" i="13"/>
  <c r="F220" i="13"/>
  <c r="V176" i="13"/>
  <c r="U176" i="13"/>
  <c r="W176" i="13"/>
  <c r="G176" i="13"/>
  <c r="F176" i="13"/>
  <c r="L176" i="13" s="1"/>
  <c r="F51" i="13"/>
  <c r="L51" i="13" s="1"/>
  <c r="W8" i="13"/>
  <c r="U8" i="13"/>
  <c r="V8" i="13"/>
  <c r="F14" i="13"/>
  <c r="L14" i="13" s="1"/>
  <c r="W35" i="13"/>
  <c r="V35" i="13"/>
  <c r="U35" i="13"/>
  <c r="W227" i="13"/>
  <c r="V227" i="13"/>
  <c r="U227" i="13"/>
  <c r="G226" i="13"/>
  <c r="W213" i="13"/>
  <c r="V213" i="13"/>
  <c r="U213" i="13"/>
  <c r="W178" i="13"/>
  <c r="V178" i="13"/>
  <c r="U178" i="13"/>
  <c r="F178" i="13"/>
  <c r="L178" i="13" s="1"/>
  <c r="G178" i="13"/>
  <c r="V228" i="13"/>
  <c r="G228" i="13"/>
  <c r="U228" i="13"/>
  <c r="W228" i="13"/>
  <c r="G213" i="13"/>
  <c r="V182" i="13"/>
  <c r="U182" i="13"/>
  <c r="G182" i="13"/>
  <c r="F182" i="13"/>
  <c r="L182" i="13" s="1"/>
  <c r="W182" i="13"/>
  <c r="F181" i="13"/>
  <c r="L181" i="13" s="1"/>
  <c r="U180" i="13"/>
  <c r="W180" i="13"/>
  <c r="V180" i="13"/>
  <c r="F215" i="13"/>
  <c r="F171" i="13"/>
  <c r="L171" i="13" s="1"/>
  <c r="F121" i="13"/>
  <c r="L121" i="13" s="1"/>
  <c r="F133" i="13"/>
  <c r="L133" i="13" s="1"/>
  <c r="W168" i="13"/>
  <c r="V168" i="13"/>
  <c r="U168" i="13"/>
  <c r="G168" i="13"/>
  <c r="F168" i="13"/>
  <c r="L168" i="13" s="1"/>
  <c r="F3" i="13"/>
  <c r="U66" i="13"/>
  <c r="W66" i="13"/>
  <c r="V66" i="13"/>
  <c r="F77" i="13"/>
  <c r="L77" i="13" s="1"/>
  <c r="F59" i="13"/>
  <c r="L59" i="13" s="1"/>
  <c r="F31" i="13"/>
  <c r="L31" i="13" s="1"/>
  <c r="F27" i="13"/>
  <c r="L27" i="13" s="1"/>
  <c r="U3" i="13"/>
  <c r="V3" i="13"/>
  <c r="G3" i="13"/>
  <c r="W3" i="13"/>
  <c r="W5" i="13"/>
  <c r="V5" i="13"/>
  <c r="U5" i="13"/>
  <c r="G5" i="13"/>
  <c r="F5" i="13"/>
  <c r="F167" i="13"/>
  <c r="L167" i="13" s="1"/>
  <c r="F104" i="13"/>
  <c r="L104" i="13" s="1"/>
  <c r="F130" i="13"/>
  <c r="L130" i="13" s="1"/>
  <c r="F112" i="13"/>
  <c r="L112" i="13" s="1"/>
  <c r="F106" i="13"/>
  <c r="L106" i="13" s="1"/>
  <c r="F96" i="13"/>
  <c r="L96" i="13" s="1"/>
  <c r="F157" i="13"/>
  <c r="L157" i="13" s="1"/>
  <c r="F90" i="13"/>
  <c r="L90" i="13" s="1"/>
  <c r="F24" i="13"/>
  <c r="L24" i="13" s="1"/>
  <c r="U42" i="13"/>
  <c r="W42" i="13"/>
  <c r="V42" i="13"/>
  <c r="W76" i="13"/>
  <c r="V76" i="13"/>
  <c r="U76" i="13"/>
  <c r="F76" i="13"/>
  <c r="L76" i="13" s="1"/>
  <c r="G76" i="13"/>
  <c r="F13" i="13"/>
  <c r="L13" i="13" s="1"/>
  <c r="F228" i="13"/>
  <c r="U186" i="13"/>
  <c r="V186" i="13"/>
  <c r="W186" i="13"/>
  <c r="U174" i="13"/>
  <c r="V174" i="13"/>
  <c r="W174" i="13"/>
  <c r="F139" i="13"/>
  <c r="L139" i="13" s="1"/>
  <c r="F75" i="13"/>
  <c r="L75" i="13" s="1"/>
  <c r="F49" i="13"/>
  <c r="L49" i="13" s="1"/>
  <c r="F36" i="13"/>
  <c r="L36" i="13" s="1"/>
  <c r="F155" i="13"/>
  <c r="L155" i="13" s="1"/>
  <c r="F125" i="13"/>
  <c r="L125" i="13" s="1"/>
  <c r="F229" i="13"/>
  <c r="F205" i="13"/>
  <c r="F172" i="13"/>
  <c r="L172" i="13" s="1"/>
  <c r="F34" i="13"/>
  <c r="F203" i="13"/>
  <c r="V134" i="13"/>
  <c r="U134" i="13"/>
  <c r="F134" i="13"/>
  <c r="L134" i="13" s="1"/>
  <c r="W134" i="13"/>
  <c r="W126" i="13"/>
  <c r="V126" i="13"/>
  <c r="U126" i="13"/>
  <c r="Q198" i="13"/>
  <c r="V216" i="13"/>
  <c r="G216" i="13"/>
  <c r="W216" i="13"/>
  <c r="U216" i="13"/>
  <c r="W129" i="13"/>
  <c r="V129" i="13"/>
  <c r="U129" i="13"/>
  <c r="G129" i="13"/>
  <c r="F129" i="13"/>
  <c r="L129" i="13" s="1"/>
  <c r="G62" i="13"/>
  <c r="F62" i="13"/>
  <c r="L62" i="13" s="1"/>
  <c r="W62" i="13"/>
  <c r="V62" i="13"/>
  <c r="U62" i="13"/>
  <c r="U90" i="13"/>
  <c r="W90" i="13"/>
  <c r="V90" i="13"/>
  <c r="F101" i="13"/>
  <c r="L101" i="13" s="1"/>
  <c r="W225" i="13"/>
  <c r="V225" i="13"/>
  <c r="U225" i="13"/>
  <c r="F225" i="13"/>
  <c r="V221" i="13"/>
  <c r="W221" i="13"/>
  <c r="U221" i="13"/>
  <c r="W153" i="13"/>
  <c r="U153" i="13"/>
  <c r="V153" i="13"/>
  <c r="W120" i="13"/>
  <c r="V120" i="13"/>
  <c r="U120" i="13"/>
  <c r="G120" i="13"/>
  <c r="F120" i="13"/>
  <c r="L120" i="13" s="1"/>
  <c r="V119" i="13"/>
  <c r="G119" i="13"/>
  <c r="W119" i="13"/>
  <c r="F119" i="13"/>
  <c r="L119" i="13" s="1"/>
  <c r="U119" i="13"/>
  <c r="F41" i="13"/>
  <c r="L41" i="13" s="1"/>
  <c r="V17" i="13"/>
  <c r="W17" i="13"/>
  <c r="U17" i="13"/>
  <c r="G17" i="13"/>
  <c r="F17" i="13"/>
  <c r="F169" i="13"/>
  <c r="L169" i="13" s="1"/>
  <c r="G210" i="13"/>
  <c r="W170" i="13"/>
  <c r="V170" i="13"/>
  <c r="U170" i="13"/>
  <c r="W144" i="13"/>
  <c r="U144" i="13"/>
  <c r="G144" i="13"/>
  <c r="F144" i="13"/>
  <c r="L144" i="13" s="1"/>
  <c r="V144" i="13"/>
  <c r="F102" i="13"/>
  <c r="L102" i="13" s="1"/>
  <c r="F103" i="13"/>
  <c r="L103" i="13" s="1"/>
  <c r="F138" i="13"/>
  <c r="L138" i="13" s="1"/>
  <c r="F89" i="13"/>
  <c r="L89" i="13" s="1"/>
  <c r="F71" i="13"/>
  <c r="L71" i="13" s="1"/>
  <c r="W92" i="13"/>
  <c r="V92" i="13"/>
  <c r="G92" i="13"/>
  <c r="U92" i="13"/>
  <c r="W32" i="13"/>
  <c r="F32" i="13"/>
  <c r="V32" i="13"/>
  <c r="U32" i="13"/>
  <c r="G32" i="13"/>
  <c r="F42" i="13"/>
  <c r="L42" i="13" s="1"/>
  <c r="W88" i="13"/>
  <c r="V88" i="13"/>
  <c r="U88" i="13"/>
  <c r="F88" i="13"/>
  <c r="L88" i="13" s="1"/>
  <c r="G88" i="13"/>
  <c r="F65" i="13"/>
  <c r="L65" i="13" s="1"/>
  <c r="F83" i="13"/>
  <c r="L83" i="13" s="1"/>
  <c r="F29" i="13"/>
  <c r="L29" i="13" s="1"/>
  <c r="V22" i="13"/>
  <c r="U22" i="13"/>
  <c r="W22" i="13"/>
  <c r="G48" i="13"/>
  <c r="F211" i="13"/>
  <c r="F118" i="13"/>
  <c r="L118" i="13" s="1"/>
  <c r="F12" i="13"/>
  <c r="F165" i="13"/>
  <c r="L165" i="13" s="1"/>
  <c r="W95" i="13"/>
  <c r="U95" i="13"/>
  <c r="V95" i="13"/>
  <c r="V107" i="13"/>
  <c r="U107" i="13"/>
  <c r="G107" i="13"/>
  <c r="F107" i="13"/>
  <c r="L107" i="13" s="1"/>
  <c r="W107" i="13"/>
  <c r="U94" i="13"/>
  <c r="W94" i="13"/>
  <c r="V94" i="13"/>
  <c r="U84" i="13"/>
  <c r="V84" i="13"/>
  <c r="W84" i="13"/>
  <c r="W131" i="13"/>
  <c r="V131" i="13"/>
  <c r="G131" i="13"/>
  <c r="U131" i="13"/>
  <c r="F131" i="13"/>
  <c r="L131" i="13" s="1"/>
  <c r="U128" i="13"/>
  <c r="W128" i="13"/>
  <c r="V128" i="13"/>
  <c r="F128" i="13"/>
  <c r="L128" i="13" s="1"/>
  <c r="V7" i="13"/>
  <c r="U7" i="13"/>
  <c r="W7" i="13"/>
  <c r="F115" i="13"/>
  <c r="L115" i="13" s="1"/>
  <c r="F92" i="13"/>
  <c r="L92" i="13" s="1"/>
  <c r="V46" i="13"/>
  <c r="U46" i="13"/>
  <c r="G46" i="13"/>
  <c r="F46" i="13"/>
  <c r="L46" i="13" s="1"/>
  <c r="W46" i="13"/>
  <c r="L161" i="13"/>
  <c r="N4" i="10"/>
  <c r="Q192" i="13"/>
  <c r="W159" i="13"/>
  <c r="U159" i="13"/>
  <c r="V159" i="13"/>
  <c r="U140" i="13"/>
  <c r="F140" i="13"/>
  <c r="L140" i="13" s="1"/>
  <c r="W140" i="13"/>
  <c r="V140" i="13"/>
  <c r="V80" i="13"/>
  <c r="U80" i="13"/>
  <c r="G80" i="13"/>
  <c r="F80" i="13"/>
  <c r="L80" i="13" s="1"/>
  <c r="W80" i="13"/>
  <c r="L173" i="13"/>
  <c r="F213" i="13"/>
  <c r="W196" i="13"/>
  <c r="V196" i="13"/>
  <c r="U196" i="13"/>
  <c r="F196" i="13"/>
  <c r="G196" i="13"/>
  <c r="F99" i="13"/>
  <c r="L99" i="13" s="1"/>
  <c r="F18" i="13"/>
  <c r="L18" i="13" s="1"/>
  <c r="W18" i="13"/>
  <c r="V18" i="13"/>
  <c r="U18" i="13"/>
  <c r="G18" i="13"/>
  <c r="F19" i="13"/>
  <c r="F39" i="13"/>
  <c r="L39" i="13" s="1"/>
  <c r="V74" i="13"/>
  <c r="U74" i="13"/>
  <c r="G74" i="13"/>
  <c r="W74" i="13"/>
  <c r="F74" i="13"/>
  <c r="L74" i="13" s="1"/>
  <c r="F159" i="13"/>
  <c r="L159" i="13" s="1"/>
  <c r="W224" i="13"/>
  <c r="U224" i="13"/>
  <c r="F224" i="13"/>
  <c r="V224" i="13"/>
  <c r="G224" i="13"/>
  <c r="F216" i="13"/>
  <c r="F207" i="13"/>
  <c r="F227" i="13"/>
  <c r="V232" i="13"/>
  <c r="U232" i="13"/>
  <c r="W232" i="13"/>
  <c r="W184" i="13"/>
  <c r="V184" i="13"/>
  <c r="U184" i="13"/>
  <c r="F184" i="13"/>
  <c r="L184" i="13" s="1"/>
  <c r="G184" i="13"/>
  <c r="F175" i="13"/>
  <c r="L175" i="13" s="1"/>
  <c r="F174" i="13"/>
  <c r="L174" i="13" s="1"/>
  <c r="G186" i="13"/>
  <c r="F98" i="13"/>
  <c r="L98" i="13" s="1"/>
  <c r="F109" i="13"/>
  <c r="L109" i="13" s="1"/>
  <c r="F69" i="13"/>
  <c r="L69" i="13" s="1"/>
  <c r="U24" i="13"/>
  <c r="W24" i="13"/>
  <c r="V24" i="13"/>
  <c r="G24" i="13"/>
  <c r="G44" i="13"/>
  <c r="W44" i="13"/>
  <c r="F44" i="13"/>
  <c r="L44" i="13" s="1"/>
  <c r="V44" i="13"/>
  <c r="U44" i="13"/>
  <c r="G50" i="13"/>
  <c r="W50" i="13"/>
  <c r="F50" i="13"/>
  <c r="L50" i="13" s="1"/>
  <c r="V50" i="13"/>
  <c r="U50" i="13"/>
  <c r="F79" i="13"/>
  <c r="L79" i="13" s="1"/>
  <c r="F15" i="13"/>
  <c r="F73" i="13"/>
  <c r="L73" i="13" s="1"/>
  <c r="F7" i="13"/>
  <c r="L7" i="13" s="1"/>
  <c r="F97" i="13"/>
  <c r="L97" i="13" s="1"/>
  <c r="F201" i="13"/>
  <c r="F189" i="13"/>
  <c r="F4" i="13"/>
  <c r="W114" i="13"/>
  <c r="V114" i="13"/>
  <c r="U114" i="13"/>
  <c r="F114" i="13"/>
  <c r="L114" i="13" s="1"/>
  <c r="G114" i="13"/>
  <c r="F55" i="13"/>
  <c r="L55" i="13" s="1"/>
  <c r="F35" i="13"/>
  <c r="F209" i="13"/>
  <c r="Q226" i="13"/>
  <c r="U192" i="13"/>
  <c r="W192" i="13"/>
  <c r="V192" i="13"/>
  <c r="W147" i="13"/>
  <c r="V147" i="13"/>
  <c r="U147" i="13"/>
  <c r="F147" i="13"/>
  <c r="L147" i="13" s="1"/>
  <c r="G84" i="13"/>
  <c r="F81" i="13"/>
  <c r="L81" i="13" s="1"/>
  <c r="G72" i="13"/>
  <c r="W110" i="13"/>
  <c r="V110" i="13"/>
  <c r="U110" i="13"/>
  <c r="F145" i="13"/>
  <c r="L145" i="13" s="1"/>
  <c r="F105" i="13"/>
  <c r="L105" i="13" s="1"/>
  <c r="W164" i="13"/>
  <c r="U164" i="13"/>
  <c r="V164" i="13"/>
  <c r="G153" i="13"/>
  <c r="G126" i="13"/>
  <c r="G59" i="13"/>
  <c r="G159" i="13"/>
  <c r="W21" i="13"/>
  <c r="V21" i="13"/>
  <c r="U21" i="13"/>
  <c r="G222" i="13"/>
  <c r="G225" i="13"/>
  <c r="F232" i="13"/>
  <c r="G227" i="13"/>
  <c r="W215" i="13"/>
  <c r="V215" i="13"/>
  <c r="U215" i="13"/>
  <c r="W230" i="13"/>
  <c r="U230" i="13"/>
  <c r="F230" i="13"/>
  <c r="V230" i="13"/>
  <c r="G230" i="13"/>
  <c r="F163" i="13"/>
  <c r="L163" i="13" s="1"/>
  <c r="U204" i="13"/>
  <c r="W204" i="13"/>
  <c r="V204" i="13"/>
  <c r="G174" i="13"/>
  <c r="G158" i="13"/>
  <c r="W141" i="13"/>
  <c r="G141" i="13"/>
  <c r="F141" i="13"/>
  <c r="L141" i="13" s="1"/>
  <c r="V141" i="13"/>
  <c r="U141" i="13"/>
  <c r="W156" i="13"/>
  <c r="V156" i="13"/>
  <c r="U156" i="13"/>
  <c r="G156" i="13"/>
  <c r="F156" i="13"/>
  <c r="L156" i="13" s="1"/>
  <c r="W132" i="13"/>
  <c r="U132" i="13"/>
  <c r="V132" i="13"/>
  <c r="F127" i="13"/>
  <c r="L127" i="13" s="1"/>
  <c r="F93" i="13"/>
  <c r="L93" i="13" s="1"/>
  <c r="W102" i="13"/>
  <c r="G102" i="13"/>
  <c r="V102" i="13"/>
  <c r="U102" i="13"/>
  <c r="W108" i="13"/>
  <c r="V108" i="13"/>
  <c r="U108" i="13"/>
  <c r="F108" i="13"/>
  <c r="L108" i="13" s="1"/>
  <c r="G47" i="13"/>
  <c r="V68" i="13"/>
  <c r="G68" i="13"/>
  <c r="F68" i="13"/>
  <c r="L68" i="13" s="1"/>
  <c r="W68" i="13"/>
  <c r="U68" i="13"/>
  <c r="F95" i="13"/>
  <c r="L95" i="13" s="1"/>
  <c r="U36" i="13"/>
  <c r="W36" i="13"/>
  <c r="V36" i="13"/>
  <c r="G95" i="13"/>
  <c r="U54" i="13"/>
  <c r="W54" i="13"/>
  <c r="V54" i="13"/>
  <c r="F9" i="13"/>
  <c r="W65" i="13"/>
  <c r="V65" i="13"/>
  <c r="U65" i="13"/>
  <c r="N3" i="10"/>
  <c r="W117" i="13"/>
  <c r="V117" i="13"/>
  <c r="G117" i="13"/>
  <c r="U117" i="13"/>
  <c r="F117" i="13"/>
  <c r="L117" i="13" s="1"/>
  <c r="G7" i="13"/>
  <c r="H32" i="13"/>
  <c r="H26" i="13"/>
  <c r="H19" i="13"/>
  <c r="H16" i="13"/>
  <c r="L16" i="13" s="1"/>
  <c r="H10" i="13"/>
  <c r="H4" i="13"/>
  <c r="H28" i="13"/>
  <c r="H15" i="13"/>
  <c r="H9" i="13"/>
  <c r="H3" i="13"/>
  <c r="H5" i="13"/>
  <c r="H34" i="13"/>
  <c r="H17" i="13"/>
  <c r="H20" i="13"/>
  <c r="H11" i="13"/>
  <c r="F217" i="13"/>
  <c r="F142" i="13"/>
  <c r="L142" i="13" s="1"/>
  <c r="F58" i="13"/>
  <c r="L58" i="13" s="1"/>
  <c r="L20" i="13" l="1"/>
  <c r="L12" i="13"/>
  <c r="L26" i="13"/>
  <c r="L8" i="13"/>
  <c r="L23" i="13"/>
  <c r="L5" i="13"/>
  <c r="L193" i="13"/>
  <c r="Q193" i="13"/>
  <c r="N12" i="10"/>
  <c r="Q219" i="13"/>
  <c r="L15" i="13"/>
  <c r="L231" i="13"/>
  <c r="Q231" i="13"/>
  <c r="L10" i="13"/>
  <c r="L214" i="13"/>
  <c r="Q214" i="13"/>
  <c r="L212" i="13"/>
  <c r="Q212" i="13"/>
  <c r="Q217" i="13"/>
  <c r="L217" i="13"/>
  <c r="C3" i="10"/>
  <c r="D3" i="10" s="1"/>
  <c r="B3" i="10"/>
  <c r="I3" i="10"/>
  <c r="E3" i="10"/>
  <c r="M3" i="10"/>
  <c r="L3" i="10"/>
  <c r="K3" i="10"/>
  <c r="Y226" i="13"/>
  <c r="S226" i="13"/>
  <c r="L207" i="13"/>
  <c r="Q207" i="13"/>
  <c r="L205" i="13"/>
  <c r="Q205" i="13"/>
  <c r="L3" i="13"/>
  <c r="N32" i="7"/>
  <c r="N27" i="7"/>
  <c r="N20" i="7"/>
  <c r="N15" i="7"/>
  <c r="N14" i="7"/>
  <c r="N28" i="7"/>
  <c r="N26" i="7"/>
  <c r="N4" i="7"/>
  <c r="N16" i="7"/>
  <c r="N21" i="7"/>
  <c r="N34" i="7"/>
  <c r="N9" i="7"/>
  <c r="N33" i="7"/>
  <c r="N11" i="7"/>
  <c r="N3" i="7"/>
  <c r="N8" i="7"/>
  <c r="N24" i="7"/>
  <c r="N22" i="7"/>
  <c r="N23" i="7"/>
  <c r="N25" i="7"/>
  <c r="N17" i="7"/>
  <c r="N31" i="7"/>
  <c r="N5" i="7"/>
  <c r="N7" i="7"/>
  <c r="N10" i="7"/>
  <c r="N6" i="7"/>
  <c r="N18" i="7"/>
  <c r="N30" i="7"/>
  <c r="N29" i="7"/>
  <c r="C9" i="16"/>
  <c r="D9" i="16" s="1"/>
  <c r="N12" i="7"/>
  <c r="N13" i="7"/>
  <c r="N19" i="7"/>
  <c r="L197" i="13"/>
  <c r="Q197" i="13"/>
  <c r="L32" i="13"/>
  <c r="N26" i="10"/>
  <c r="S204" i="13"/>
  <c r="Y204" i="13"/>
  <c r="L11" i="13"/>
  <c r="N11" i="10"/>
  <c r="L4" i="13"/>
  <c r="N19" i="10"/>
  <c r="L35" i="13"/>
  <c r="N54" i="8"/>
  <c r="N48" i="8"/>
  <c r="N42" i="8"/>
  <c r="N36" i="8"/>
  <c r="N18" i="8"/>
  <c r="N12" i="8"/>
  <c r="N34" i="8"/>
  <c r="N10" i="8"/>
  <c r="N41" i="8"/>
  <c r="N17" i="8"/>
  <c r="N40" i="8"/>
  <c r="N47" i="8"/>
  <c r="N16" i="8"/>
  <c r="N23" i="8"/>
  <c r="N3" i="8"/>
  <c r="N46" i="8"/>
  <c r="N44" i="8"/>
  <c r="N14" i="8"/>
  <c r="N26" i="8"/>
  <c r="N8" i="8"/>
  <c r="N22" i="8"/>
  <c r="N50" i="8"/>
  <c r="N4" i="8"/>
  <c r="N35" i="8"/>
  <c r="N25" i="8"/>
  <c r="N13" i="8"/>
  <c r="N32" i="8"/>
  <c r="N38" i="8"/>
  <c r="N37" i="8"/>
  <c r="N21" i="8"/>
  <c r="N30" i="8"/>
  <c r="N53" i="8"/>
  <c r="N43" i="8"/>
  <c r="N45" i="8"/>
  <c r="N33" i="8"/>
  <c r="N15" i="8"/>
  <c r="N20" i="8"/>
  <c r="N27" i="8"/>
  <c r="N28" i="8"/>
  <c r="N6" i="8"/>
  <c r="N39" i="8"/>
  <c r="N5" i="8"/>
  <c r="N49" i="8"/>
  <c r="N24" i="8"/>
  <c r="N9" i="8"/>
  <c r="N31" i="8"/>
  <c r="N11" i="8"/>
  <c r="N52" i="8"/>
  <c r="N19" i="8"/>
  <c r="N7" i="8"/>
  <c r="N51" i="8"/>
  <c r="N29" i="8"/>
  <c r="N6" i="10"/>
  <c r="N8" i="10"/>
  <c r="Q211" i="13"/>
  <c r="L211" i="13"/>
  <c r="L218" i="13"/>
  <c r="Q218" i="13"/>
  <c r="Y191" i="13"/>
  <c r="S191" i="13"/>
  <c r="Y219" i="13"/>
  <c r="S219" i="13"/>
  <c r="L225" i="13"/>
  <c r="Q225" i="13"/>
  <c r="L216" i="13"/>
  <c r="Q216" i="13"/>
  <c r="S192" i="13"/>
  <c r="Y192" i="13"/>
  <c r="L189" i="13"/>
  <c r="Q189" i="13"/>
  <c r="O12" i="11"/>
  <c r="O8" i="11"/>
  <c r="O4" i="11"/>
  <c r="O10" i="11"/>
  <c r="O6" i="11"/>
  <c r="O13" i="11"/>
  <c r="O3" i="11"/>
  <c r="O9" i="11"/>
  <c r="O11" i="11"/>
  <c r="O14" i="11"/>
  <c r="O5" i="11"/>
  <c r="O7" i="11"/>
  <c r="N13" i="10"/>
  <c r="L224" i="13"/>
  <c r="Q224" i="13"/>
  <c r="Q196" i="13"/>
  <c r="L196" i="13"/>
  <c r="N5" i="10"/>
  <c r="N9" i="10"/>
  <c r="L28" i="13"/>
  <c r="Y223" i="13"/>
  <c r="S223" i="13"/>
  <c r="L215" i="13"/>
  <c r="Q215" i="13"/>
  <c r="L201" i="13"/>
  <c r="Q201" i="13"/>
  <c r="O32" i="12"/>
  <c r="O28" i="12"/>
  <c r="O24" i="12"/>
  <c r="O20" i="12"/>
  <c r="O16" i="12"/>
  <c r="O12" i="12"/>
  <c r="O8" i="12"/>
  <c r="O4" i="12"/>
  <c r="O26" i="12"/>
  <c r="O17" i="12"/>
  <c r="O22" i="12"/>
  <c r="O13" i="12"/>
  <c r="O18" i="12"/>
  <c r="O10" i="12"/>
  <c r="O9" i="12"/>
  <c r="O33" i="12"/>
  <c r="O21" i="12"/>
  <c r="O14" i="12"/>
  <c r="O15" i="12"/>
  <c r="O27" i="12"/>
  <c r="O7" i="12"/>
  <c r="O29" i="12"/>
  <c r="O5" i="12"/>
  <c r="O3" i="12"/>
  <c r="O6" i="12"/>
  <c r="O34" i="12"/>
  <c r="O23" i="12"/>
  <c r="O31" i="12"/>
  <c r="O19" i="12"/>
  <c r="O30" i="12"/>
  <c r="O11" i="12"/>
  <c r="O25" i="12"/>
  <c r="N25" i="10"/>
  <c r="N29" i="10"/>
  <c r="L203" i="13"/>
  <c r="Q203" i="13"/>
  <c r="N20" i="10"/>
  <c r="Q206" i="13"/>
  <c r="L206" i="13"/>
  <c r="L195" i="13"/>
  <c r="Q195" i="13"/>
  <c r="Q202" i="13"/>
  <c r="L202" i="13"/>
  <c r="N14" i="10"/>
  <c r="Q190" i="13"/>
  <c r="L190" i="13"/>
  <c r="N18" i="10"/>
  <c r="L221" i="13"/>
  <c r="Q221" i="13"/>
  <c r="N7" i="10"/>
  <c r="L199" i="13"/>
  <c r="Q199" i="13"/>
  <c r="L232" i="13"/>
  <c r="Q232" i="13"/>
  <c r="L9" i="13"/>
  <c r="L19" i="13"/>
  <c r="B4" i="10"/>
  <c r="M4" i="10"/>
  <c r="L4" i="10"/>
  <c r="K4" i="10"/>
  <c r="I4" i="10"/>
  <c r="E4" i="10"/>
  <c r="C4" i="10"/>
  <c r="D4" i="10" s="1"/>
  <c r="N21" i="10"/>
  <c r="N24" i="10"/>
  <c r="N17" i="10"/>
  <c r="L227" i="13"/>
  <c r="Q227" i="13"/>
  <c r="N27" i="10"/>
  <c r="L229" i="13"/>
  <c r="Q229" i="13"/>
  <c r="L230" i="13"/>
  <c r="Q230" i="13"/>
  <c r="N10" i="10"/>
  <c r="N30" i="10"/>
  <c r="L17" i="13"/>
  <c r="S198" i="13"/>
  <c r="Y198" i="13"/>
  <c r="L34" i="13"/>
  <c r="L228" i="13"/>
  <c r="Q228" i="13"/>
  <c r="S222" i="13"/>
  <c r="Y222" i="13"/>
  <c r="L209" i="13"/>
  <c r="Q209" i="13"/>
  <c r="I12" i="10"/>
  <c r="B12" i="10"/>
  <c r="M12" i="10"/>
  <c r="L12" i="10"/>
  <c r="K12" i="10"/>
  <c r="C12" i="10"/>
  <c r="D12" i="10" s="1"/>
  <c r="E12" i="10"/>
  <c r="N15" i="10"/>
  <c r="L213" i="13"/>
  <c r="Q213" i="13"/>
  <c r="N16" i="10"/>
  <c r="I9" i="2"/>
  <c r="I5" i="2"/>
  <c r="I8" i="2"/>
  <c r="I4" i="2"/>
  <c r="I7" i="2"/>
  <c r="I6" i="2"/>
  <c r="N28" i="10"/>
  <c r="L87" i="13"/>
  <c r="N72" i="9"/>
  <c r="N66" i="9"/>
  <c r="N60" i="9"/>
  <c r="N54" i="9"/>
  <c r="N55" i="9"/>
  <c r="N33" i="9"/>
  <c r="N27" i="9"/>
  <c r="N21" i="9"/>
  <c r="N15" i="9"/>
  <c r="N9" i="9"/>
  <c r="N3" i="9"/>
  <c r="N32" i="9"/>
  <c r="N26" i="9"/>
  <c r="N20" i="9"/>
  <c r="N14" i="9"/>
  <c r="N8" i="9"/>
  <c r="N43" i="9"/>
  <c r="N73" i="9"/>
  <c r="N37" i="9"/>
  <c r="N76" i="9"/>
  <c r="N70" i="9"/>
  <c r="N31" i="9"/>
  <c r="N13" i="9"/>
  <c r="N40" i="9"/>
  <c r="N64" i="9"/>
  <c r="N34" i="9"/>
  <c r="N61" i="9"/>
  <c r="N58" i="9"/>
  <c r="N4" i="9"/>
  <c r="N49" i="9"/>
  <c r="N62" i="9"/>
  <c r="N68" i="9"/>
  <c r="N65" i="9"/>
  <c r="N48" i="9"/>
  <c r="N57" i="9"/>
  <c r="N53" i="9"/>
  <c r="N51" i="9"/>
  <c r="N47" i="9"/>
  <c r="N63" i="9"/>
  <c r="N28" i="9"/>
  <c r="N19" i="9"/>
  <c r="N17" i="9"/>
  <c r="N52" i="9"/>
  <c r="N74" i="9"/>
  <c r="N71" i="9"/>
  <c r="N36" i="9"/>
  <c r="N39" i="9"/>
  <c r="N44" i="9"/>
  <c r="N25" i="9"/>
  <c r="N22" i="9"/>
  <c r="N29" i="9"/>
  <c r="N45" i="9"/>
  <c r="N56" i="9"/>
  <c r="N5" i="9"/>
  <c r="N16" i="9"/>
  <c r="N18" i="9"/>
  <c r="N7" i="9"/>
  <c r="N41" i="9"/>
  <c r="N11" i="9"/>
  <c r="N23" i="9"/>
  <c r="N69" i="9"/>
  <c r="N75" i="9"/>
  <c r="N50" i="9"/>
  <c r="N46" i="9"/>
  <c r="N6" i="9"/>
  <c r="N42" i="9"/>
  <c r="N24" i="9"/>
  <c r="N12" i="9"/>
  <c r="N67" i="9"/>
  <c r="N35" i="9"/>
  <c r="N10" i="9"/>
  <c r="N38" i="9"/>
  <c r="N30" i="9"/>
  <c r="N59" i="9"/>
  <c r="L210" i="13"/>
  <c r="Q210" i="13"/>
  <c r="N23" i="10"/>
  <c r="N22" i="10"/>
  <c r="L220" i="13"/>
  <c r="Q220" i="13"/>
  <c r="L194" i="13"/>
  <c r="Q194" i="13"/>
  <c r="L200" i="13"/>
  <c r="Q200" i="13"/>
  <c r="L208" i="13"/>
  <c r="Q208" i="13"/>
  <c r="Y193" i="13" l="1"/>
  <c r="S193" i="13"/>
  <c r="I230" i="13"/>
  <c r="J230" i="13" s="1"/>
  <c r="K230" i="13" s="1"/>
  <c r="N230" i="13" s="1"/>
  <c r="I224" i="13"/>
  <c r="J224" i="13" s="1"/>
  <c r="K224" i="13" s="1"/>
  <c r="N224" i="13" s="1"/>
  <c r="I229" i="13"/>
  <c r="J229" i="13" s="1"/>
  <c r="K229" i="13" s="1"/>
  <c r="N229" i="13" s="1"/>
  <c r="I222" i="13"/>
  <c r="J222" i="13" s="1"/>
  <c r="K222" i="13" s="1"/>
  <c r="N222" i="13" s="1"/>
  <c r="I223" i="13"/>
  <c r="J223" i="13" s="1"/>
  <c r="K223" i="13" s="1"/>
  <c r="N223" i="13" s="1"/>
  <c r="H25" i="12" s="1"/>
  <c r="I218" i="13"/>
  <c r="J218" i="13" s="1"/>
  <c r="K218" i="13" s="1"/>
  <c r="N218" i="13" s="1"/>
  <c r="H20" i="12" s="1"/>
  <c r="I201" i="13"/>
  <c r="J201" i="13" s="1"/>
  <c r="K201" i="13" s="1"/>
  <c r="N201" i="13" s="1"/>
  <c r="I228" i="13"/>
  <c r="J228" i="13" s="1"/>
  <c r="K228" i="13" s="1"/>
  <c r="N228" i="13" s="1"/>
  <c r="H30" i="12" s="1"/>
  <c r="I211" i="13"/>
  <c r="J211" i="13" s="1"/>
  <c r="K211" i="13" s="1"/>
  <c r="N211" i="13" s="1"/>
  <c r="H13" i="12" s="1"/>
  <c r="I206" i="13"/>
  <c r="J206" i="13" s="1"/>
  <c r="K206" i="13" s="1"/>
  <c r="N206" i="13" s="1"/>
  <c r="H8" i="12" s="1"/>
  <c r="I217" i="13"/>
  <c r="J217" i="13" s="1"/>
  <c r="K217" i="13" s="1"/>
  <c r="N217" i="13" s="1"/>
  <c r="I212" i="13"/>
  <c r="J212" i="13" s="1"/>
  <c r="K212" i="13" s="1"/>
  <c r="N212" i="13" s="1"/>
  <c r="I205" i="13"/>
  <c r="J205" i="13" s="1"/>
  <c r="K205" i="13" s="1"/>
  <c r="N205" i="13" s="1"/>
  <c r="I221" i="13"/>
  <c r="J221" i="13" s="1"/>
  <c r="K221" i="13" s="1"/>
  <c r="N221" i="13" s="1"/>
  <c r="I216" i="13"/>
  <c r="J216" i="13" s="1"/>
  <c r="K216" i="13" s="1"/>
  <c r="N216" i="13" s="1"/>
  <c r="I210" i="13"/>
  <c r="J210" i="13" s="1"/>
  <c r="K210" i="13" s="1"/>
  <c r="N210" i="13" s="1"/>
  <c r="I213" i="13"/>
  <c r="J213" i="13" s="1"/>
  <c r="K213" i="13" s="1"/>
  <c r="N213" i="13" s="1"/>
  <c r="I220" i="13"/>
  <c r="J220" i="13" s="1"/>
  <c r="K220" i="13" s="1"/>
  <c r="N220" i="13" s="1"/>
  <c r="I225" i="13"/>
  <c r="J225" i="13" s="1"/>
  <c r="K225" i="13" s="1"/>
  <c r="N225" i="13" s="1"/>
  <c r="I209" i="13"/>
  <c r="J209" i="13" s="1"/>
  <c r="K209" i="13" s="1"/>
  <c r="N209" i="13" s="1"/>
  <c r="I227" i="13"/>
  <c r="J227" i="13" s="1"/>
  <c r="K227" i="13" s="1"/>
  <c r="N227" i="13" s="1"/>
  <c r="H29" i="12" s="1"/>
  <c r="I207" i="13"/>
  <c r="J207" i="13" s="1"/>
  <c r="K207" i="13" s="1"/>
  <c r="N207" i="13" s="1"/>
  <c r="H9" i="12" s="1"/>
  <c r="I204" i="13"/>
  <c r="J204" i="13" s="1"/>
  <c r="K204" i="13" s="1"/>
  <c r="N204" i="13" s="1"/>
  <c r="I226" i="13"/>
  <c r="J226" i="13" s="1"/>
  <c r="K226" i="13" s="1"/>
  <c r="N226" i="13" s="1"/>
  <c r="H28" i="12" s="1"/>
  <c r="I231" i="13"/>
  <c r="J231" i="13" s="1"/>
  <c r="K231" i="13" s="1"/>
  <c r="N231" i="13" s="1"/>
  <c r="I202" i="13"/>
  <c r="J202" i="13" s="1"/>
  <c r="K202" i="13" s="1"/>
  <c r="N202" i="13" s="1"/>
  <c r="I232" i="13"/>
  <c r="J232" i="13" s="1"/>
  <c r="K232" i="13" s="1"/>
  <c r="N232" i="13" s="1"/>
  <c r="I203" i="13"/>
  <c r="J203" i="13" s="1"/>
  <c r="K203" i="13" s="1"/>
  <c r="N203" i="13" s="1"/>
  <c r="I215" i="13"/>
  <c r="J215" i="13" s="1"/>
  <c r="K215" i="13" s="1"/>
  <c r="N215" i="13" s="1"/>
  <c r="H17" i="12" s="1"/>
  <c r="I214" i="13"/>
  <c r="J214" i="13" s="1"/>
  <c r="K214" i="13" s="1"/>
  <c r="N214" i="13" s="1"/>
  <c r="H16" i="12" s="1"/>
  <c r="I208" i="13"/>
  <c r="J208" i="13" s="1"/>
  <c r="K208" i="13" s="1"/>
  <c r="N208" i="13" s="1"/>
  <c r="I219" i="13"/>
  <c r="J219" i="13" s="1"/>
  <c r="K219" i="13" s="1"/>
  <c r="N219" i="13" s="1"/>
  <c r="H21" i="12" s="1"/>
  <c r="I18" i="10"/>
  <c r="B18" i="10"/>
  <c r="L18" i="10"/>
  <c r="E18" i="10"/>
  <c r="C18" i="10"/>
  <c r="D18" i="10" s="1"/>
  <c r="K18" i="10"/>
  <c r="M18" i="10"/>
  <c r="F19" i="12"/>
  <c r="D19" i="12"/>
  <c r="E19" i="12" s="1"/>
  <c r="C19" i="12"/>
  <c r="M19" i="12"/>
  <c r="I19" i="12"/>
  <c r="H19" i="12"/>
  <c r="G19" i="12"/>
  <c r="B19" i="12"/>
  <c r="N19" i="12"/>
  <c r="L19" i="12"/>
  <c r="J19" i="12"/>
  <c r="L21" i="12"/>
  <c r="K21" i="12"/>
  <c r="J21" i="12"/>
  <c r="I21" i="12"/>
  <c r="N21" i="12"/>
  <c r="M21" i="12"/>
  <c r="F21" i="12"/>
  <c r="D21" i="12"/>
  <c r="E21" i="12" s="1"/>
  <c r="C21" i="12"/>
  <c r="B21" i="12"/>
  <c r="C16" i="12"/>
  <c r="N16" i="12"/>
  <c r="B16" i="12"/>
  <c r="M16" i="12"/>
  <c r="L16" i="12"/>
  <c r="J16" i="12"/>
  <c r="I16" i="12"/>
  <c r="F16" i="12"/>
  <c r="D16" i="12"/>
  <c r="E16" i="12" s="1"/>
  <c r="L5" i="10"/>
  <c r="K5" i="10"/>
  <c r="I5" i="10"/>
  <c r="M5" i="10"/>
  <c r="B5" i="10"/>
  <c r="E5" i="10"/>
  <c r="C5" i="10"/>
  <c r="D5" i="10" s="1"/>
  <c r="L13" i="11"/>
  <c r="J13" i="11"/>
  <c r="I13" i="11"/>
  <c r="F13" i="11"/>
  <c r="D13" i="11"/>
  <c r="E13" i="11" s="1"/>
  <c r="C13" i="11"/>
  <c r="M13" i="11"/>
  <c r="B13" i="11"/>
  <c r="N13" i="11"/>
  <c r="B51" i="8"/>
  <c r="K51" i="8"/>
  <c r="E51" i="8"/>
  <c r="C51" i="8"/>
  <c r="D51" i="8" s="1"/>
  <c r="M51" i="8"/>
  <c r="L51" i="8"/>
  <c r="I51" i="8"/>
  <c r="E28" i="8"/>
  <c r="L28" i="8"/>
  <c r="K28" i="8"/>
  <c r="B28" i="8"/>
  <c r="M28" i="8"/>
  <c r="I28" i="8"/>
  <c r="C28" i="8"/>
  <c r="D28" i="8" s="1"/>
  <c r="L32" i="8"/>
  <c r="I32" i="8"/>
  <c r="K32" i="8"/>
  <c r="C32" i="8"/>
  <c r="D32" i="8" s="1"/>
  <c r="M32" i="8"/>
  <c r="E32" i="8"/>
  <c r="B32" i="8"/>
  <c r="I3" i="8"/>
  <c r="M3" i="8"/>
  <c r="E3" i="8"/>
  <c r="C3" i="8"/>
  <c r="D3" i="8" s="1"/>
  <c r="L3" i="8"/>
  <c r="K3" i="8"/>
  <c r="B3" i="8"/>
  <c r="B42" i="8"/>
  <c r="M42" i="8"/>
  <c r="K42" i="8"/>
  <c r="I42" i="8"/>
  <c r="E42" i="8"/>
  <c r="L42" i="8"/>
  <c r="C42" i="8"/>
  <c r="D42" i="8" s="1"/>
  <c r="Y197" i="13"/>
  <c r="S197" i="13"/>
  <c r="K11" i="11" s="1"/>
  <c r="K10" i="7"/>
  <c r="I10" i="7"/>
  <c r="C10" i="7"/>
  <c r="D10" i="7" s="1"/>
  <c r="M10" i="7"/>
  <c r="L10" i="7"/>
  <c r="E10" i="7"/>
  <c r="B10" i="7"/>
  <c r="E24" i="7"/>
  <c r="B24" i="7"/>
  <c r="C24" i="7"/>
  <c r="D24" i="7" s="1"/>
  <c r="I24" i="7"/>
  <c r="L24" i="7"/>
  <c r="K24" i="7"/>
  <c r="M24" i="7"/>
  <c r="C14" i="7"/>
  <c r="D14" i="7" s="1"/>
  <c r="M14" i="7"/>
  <c r="L14" i="7"/>
  <c r="E14" i="7"/>
  <c r="I14" i="7"/>
  <c r="K14" i="7"/>
  <c r="B14" i="7"/>
  <c r="Y200" i="13"/>
  <c r="S200" i="13"/>
  <c r="E46" i="9"/>
  <c r="L46" i="9"/>
  <c r="M46" i="9"/>
  <c r="I46" i="9"/>
  <c r="B46" i="9"/>
  <c r="C46" i="9"/>
  <c r="D46" i="9" s="1"/>
  <c r="K46" i="9"/>
  <c r="B45" i="9"/>
  <c r="L45" i="9"/>
  <c r="M45" i="9"/>
  <c r="K45" i="9"/>
  <c r="I45" i="9"/>
  <c r="E45" i="9"/>
  <c r="C45" i="9"/>
  <c r="D45" i="9" s="1"/>
  <c r="L28" i="9"/>
  <c r="K28" i="9"/>
  <c r="I28" i="9"/>
  <c r="E28" i="9"/>
  <c r="B28" i="9"/>
  <c r="M28" i="9"/>
  <c r="C28" i="9"/>
  <c r="D28" i="9" s="1"/>
  <c r="E58" i="9"/>
  <c r="L58" i="9"/>
  <c r="M58" i="9"/>
  <c r="K58" i="9"/>
  <c r="I58" i="9"/>
  <c r="B58" i="9"/>
  <c r="C58" i="9"/>
  <c r="D58" i="9" s="1"/>
  <c r="C8" i="9"/>
  <c r="D8" i="9" s="1"/>
  <c r="B8" i="9"/>
  <c r="M8" i="9"/>
  <c r="K8" i="9"/>
  <c r="E8" i="9"/>
  <c r="L8" i="9"/>
  <c r="I8" i="9"/>
  <c r="B54" i="9"/>
  <c r="M54" i="9"/>
  <c r="L54" i="9"/>
  <c r="E54" i="9"/>
  <c r="C54" i="9"/>
  <c r="D54" i="9" s="1"/>
  <c r="I54" i="9"/>
  <c r="K54" i="9"/>
  <c r="Y230" i="13"/>
  <c r="S230" i="13"/>
  <c r="L17" i="10"/>
  <c r="K17" i="10"/>
  <c r="I17" i="10"/>
  <c r="M17" i="10"/>
  <c r="E17" i="10"/>
  <c r="B17" i="10"/>
  <c r="C17" i="10"/>
  <c r="D17" i="10" s="1"/>
  <c r="Y206" i="13"/>
  <c r="S206" i="13"/>
  <c r="F31" i="12"/>
  <c r="D31" i="12"/>
  <c r="E31" i="12" s="1"/>
  <c r="C31" i="12"/>
  <c r="M31" i="12"/>
  <c r="B31" i="12"/>
  <c r="L31" i="12"/>
  <c r="J31" i="12"/>
  <c r="N31" i="12"/>
  <c r="H31" i="12"/>
  <c r="I31" i="12"/>
  <c r="G31" i="12"/>
  <c r="L33" i="12"/>
  <c r="J33" i="12"/>
  <c r="I33" i="12"/>
  <c r="G33" i="12"/>
  <c r="N33" i="12"/>
  <c r="M33" i="12"/>
  <c r="H33" i="12"/>
  <c r="F33" i="12"/>
  <c r="C33" i="12"/>
  <c r="D33" i="12"/>
  <c r="E33" i="12" s="1"/>
  <c r="B33" i="12"/>
  <c r="C20" i="12"/>
  <c r="N20" i="12"/>
  <c r="B20" i="12"/>
  <c r="M20" i="12"/>
  <c r="L20" i="12"/>
  <c r="J20" i="12"/>
  <c r="I20" i="12"/>
  <c r="F20" i="12"/>
  <c r="D20" i="12"/>
  <c r="E20" i="12" s="1"/>
  <c r="I6" i="11"/>
  <c r="F6" i="11"/>
  <c r="J6" i="11"/>
  <c r="D6" i="11"/>
  <c r="E6" i="11" s="1"/>
  <c r="C6" i="11"/>
  <c r="B6" i="11"/>
  <c r="N6" i="11"/>
  <c r="L6" i="11"/>
  <c r="K6" i="11"/>
  <c r="M6" i="11"/>
  <c r="Y218" i="13"/>
  <c r="S218" i="13"/>
  <c r="K20" i="12" s="1"/>
  <c r="L7" i="8"/>
  <c r="K7" i="8"/>
  <c r="E7" i="8"/>
  <c r="B7" i="8"/>
  <c r="C7" i="8"/>
  <c r="D7" i="8" s="1"/>
  <c r="I7" i="8"/>
  <c r="M7" i="8"/>
  <c r="B27" i="8"/>
  <c r="K27" i="8"/>
  <c r="E27" i="8"/>
  <c r="C27" i="8"/>
  <c r="D27" i="8" s="1"/>
  <c r="I27" i="8"/>
  <c r="M27" i="8"/>
  <c r="L27" i="8"/>
  <c r="B13" i="8"/>
  <c r="L13" i="8"/>
  <c r="K13" i="8"/>
  <c r="C13" i="8"/>
  <c r="D13" i="8" s="1"/>
  <c r="E13" i="8"/>
  <c r="M13" i="8"/>
  <c r="I13" i="8"/>
  <c r="C23" i="8"/>
  <c r="D23" i="8" s="1"/>
  <c r="M23" i="8"/>
  <c r="K23" i="8"/>
  <c r="I23" i="8"/>
  <c r="B23" i="8"/>
  <c r="E23" i="8"/>
  <c r="L23" i="8"/>
  <c r="B48" i="8"/>
  <c r="M48" i="8"/>
  <c r="L48" i="8"/>
  <c r="K48" i="8"/>
  <c r="I48" i="8"/>
  <c r="E48" i="8"/>
  <c r="C48" i="8"/>
  <c r="D48" i="8" s="1"/>
  <c r="E7" i="7"/>
  <c r="C7" i="7"/>
  <c r="D7" i="7" s="1"/>
  <c r="B7" i="7"/>
  <c r="L7" i="7"/>
  <c r="K7" i="7"/>
  <c r="M7" i="7"/>
  <c r="I7" i="7"/>
  <c r="C8" i="7"/>
  <c r="D8" i="7" s="1"/>
  <c r="M8" i="7"/>
  <c r="L8" i="7"/>
  <c r="B8" i="7"/>
  <c r="I8" i="7"/>
  <c r="E8" i="7"/>
  <c r="K8" i="7"/>
  <c r="M15" i="7"/>
  <c r="K15" i="7"/>
  <c r="C15" i="7"/>
  <c r="D15" i="7" s="1"/>
  <c r="L15" i="7"/>
  <c r="E15" i="7"/>
  <c r="I15" i="7"/>
  <c r="B15" i="7"/>
  <c r="I5" i="7"/>
  <c r="C5" i="7"/>
  <c r="D5" i="7" s="1"/>
  <c r="M5" i="7"/>
  <c r="L5" i="7"/>
  <c r="K5" i="7"/>
  <c r="E5" i="7"/>
  <c r="B5" i="7"/>
  <c r="M3" i="7"/>
  <c r="K3" i="7"/>
  <c r="B3" i="7"/>
  <c r="E3" i="7"/>
  <c r="L3" i="7"/>
  <c r="C3" i="7"/>
  <c r="D3" i="7" s="1"/>
  <c r="I3" i="7"/>
  <c r="C20" i="7"/>
  <c r="D20" i="7" s="1"/>
  <c r="M20" i="7"/>
  <c r="L20" i="7"/>
  <c r="K20" i="7"/>
  <c r="E20" i="7"/>
  <c r="I20" i="7"/>
  <c r="B20" i="7"/>
  <c r="Y217" i="13"/>
  <c r="S217" i="13"/>
  <c r="K19" i="12" s="1"/>
  <c r="Y194" i="13"/>
  <c r="S194" i="13"/>
  <c r="K8" i="11" s="1"/>
  <c r="C59" i="9"/>
  <c r="D59" i="9" s="1"/>
  <c r="B59" i="9"/>
  <c r="M59" i="9"/>
  <c r="L59" i="9"/>
  <c r="I59" i="9"/>
  <c r="K59" i="9"/>
  <c r="E59" i="9"/>
  <c r="B75" i="9"/>
  <c r="L75" i="9"/>
  <c r="M75" i="9"/>
  <c r="K75" i="9"/>
  <c r="E75" i="9"/>
  <c r="C75" i="9"/>
  <c r="D75" i="9" s="1"/>
  <c r="I75" i="9"/>
  <c r="L22" i="9"/>
  <c r="K22" i="9"/>
  <c r="I22" i="9"/>
  <c r="M22" i="9"/>
  <c r="E22" i="9"/>
  <c r="B22" i="9"/>
  <c r="C22" i="9"/>
  <c r="D22" i="9" s="1"/>
  <c r="C47" i="9"/>
  <c r="D47" i="9" s="1"/>
  <c r="B47" i="9"/>
  <c r="E47" i="9"/>
  <c r="L47" i="9"/>
  <c r="M47" i="9"/>
  <c r="K47" i="9"/>
  <c r="I47" i="9"/>
  <c r="M34" i="9"/>
  <c r="L34" i="9"/>
  <c r="K34" i="9"/>
  <c r="I34" i="9"/>
  <c r="E34" i="9"/>
  <c r="C34" i="9"/>
  <c r="D34" i="9" s="1"/>
  <c r="B34" i="9"/>
  <c r="C20" i="9"/>
  <c r="D20" i="9" s="1"/>
  <c r="B20" i="9"/>
  <c r="M20" i="9"/>
  <c r="E20" i="9"/>
  <c r="K20" i="9"/>
  <c r="L20" i="9"/>
  <c r="I20" i="9"/>
  <c r="B66" i="9"/>
  <c r="M66" i="9"/>
  <c r="L66" i="9"/>
  <c r="C66" i="9"/>
  <c r="D66" i="9" s="1"/>
  <c r="I66" i="9"/>
  <c r="K66" i="9"/>
  <c r="E66" i="9"/>
  <c r="Y228" i="13"/>
  <c r="S228" i="13"/>
  <c r="E14" i="10"/>
  <c r="C14" i="10"/>
  <c r="D14" i="10" s="1"/>
  <c r="L14" i="10"/>
  <c r="K14" i="10"/>
  <c r="I14" i="10"/>
  <c r="B14" i="10"/>
  <c r="M14" i="10"/>
  <c r="I34" i="12"/>
  <c r="H34" i="12"/>
  <c r="G34" i="12"/>
  <c r="F34" i="12"/>
  <c r="D34" i="12"/>
  <c r="E34" i="12" s="1"/>
  <c r="N34" i="12"/>
  <c r="M34" i="12"/>
  <c r="L34" i="12"/>
  <c r="J34" i="12"/>
  <c r="C34" i="12"/>
  <c r="B34" i="12"/>
  <c r="I10" i="12"/>
  <c r="H10" i="12"/>
  <c r="G10" i="12"/>
  <c r="F10" i="12"/>
  <c r="D10" i="12"/>
  <c r="E10" i="12" s="1"/>
  <c r="J10" i="12"/>
  <c r="C10" i="12"/>
  <c r="B10" i="12"/>
  <c r="N10" i="12"/>
  <c r="M10" i="12"/>
  <c r="L10" i="12"/>
  <c r="C28" i="12"/>
  <c r="N28" i="12"/>
  <c r="B28" i="12"/>
  <c r="M28" i="12"/>
  <c r="L28" i="12"/>
  <c r="J28" i="12"/>
  <c r="G28" i="12"/>
  <c r="F28" i="12"/>
  <c r="D28" i="12"/>
  <c r="E28" i="12" s="1"/>
  <c r="I28" i="12"/>
  <c r="K28" i="12"/>
  <c r="Y224" i="13"/>
  <c r="S224" i="13"/>
  <c r="K26" i="12" s="1"/>
  <c r="C4" i="11"/>
  <c r="N4" i="11"/>
  <c r="B4" i="11"/>
  <c r="M4" i="11"/>
  <c r="L4" i="11"/>
  <c r="D4" i="11"/>
  <c r="E4" i="11" s="1"/>
  <c r="J4" i="11"/>
  <c r="I4" i="11"/>
  <c r="F4" i="11"/>
  <c r="S216" i="13"/>
  <c r="K18" i="12" s="1"/>
  <c r="Y216" i="13"/>
  <c r="E52" i="8"/>
  <c r="L52" i="8"/>
  <c r="K52" i="8"/>
  <c r="I52" i="8"/>
  <c r="B52" i="8"/>
  <c r="M52" i="8"/>
  <c r="C52" i="8"/>
  <c r="D52" i="8" s="1"/>
  <c r="B15" i="8"/>
  <c r="L15" i="8"/>
  <c r="C15" i="8"/>
  <c r="D15" i="8" s="1"/>
  <c r="M15" i="8"/>
  <c r="K15" i="8"/>
  <c r="I15" i="8"/>
  <c r="E15" i="8"/>
  <c r="C35" i="8"/>
  <c r="D35" i="8" s="1"/>
  <c r="E35" i="8"/>
  <c r="K35" i="8"/>
  <c r="B35" i="8"/>
  <c r="L35" i="8"/>
  <c r="I35" i="8"/>
  <c r="M35" i="8"/>
  <c r="C47" i="8"/>
  <c r="D47" i="8" s="1"/>
  <c r="M47" i="8"/>
  <c r="K47" i="8"/>
  <c r="I47" i="8"/>
  <c r="B47" i="8"/>
  <c r="L47" i="8"/>
  <c r="E47" i="8"/>
  <c r="E19" i="7"/>
  <c r="C19" i="7"/>
  <c r="D19" i="7" s="1"/>
  <c r="B19" i="7"/>
  <c r="L19" i="7"/>
  <c r="I19" i="7"/>
  <c r="M19" i="7"/>
  <c r="K19" i="7"/>
  <c r="I11" i="7"/>
  <c r="L11" i="7"/>
  <c r="C11" i="7"/>
  <c r="D11" i="7" s="1"/>
  <c r="B11" i="7"/>
  <c r="E11" i="7"/>
  <c r="M11" i="7"/>
  <c r="K11" i="7"/>
  <c r="M27" i="7"/>
  <c r="K27" i="7"/>
  <c r="B27" i="7"/>
  <c r="E27" i="7"/>
  <c r="C27" i="7"/>
  <c r="D27" i="7" s="1"/>
  <c r="L27" i="7"/>
  <c r="I27" i="7"/>
  <c r="Y212" i="13"/>
  <c r="S212" i="13"/>
  <c r="K14" i="12" s="1"/>
  <c r="B69" i="9"/>
  <c r="L69" i="9"/>
  <c r="M69" i="9"/>
  <c r="E69" i="9"/>
  <c r="C69" i="9"/>
  <c r="D69" i="9" s="1"/>
  <c r="K69" i="9"/>
  <c r="I69" i="9"/>
  <c r="B51" i="9"/>
  <c r="L51" i="9"/>
  <c r="I51" i="9"/>
  <c r="E51" i="9"/>
  <c r="C51" i="9"/>
  <c r="D51" i="9" s="1"/>
  <c r="K51" i="9"/>
  <c r="M51" i="9"/>
  <c r="B72" i="9"/>
  <c r="M72" i="9"/>
  <c r="L72" i="9"/>
  <c r="K72" i="9"/>
  <c r="C72" i="9"/>
  <c r="D72" i="9" s="1"/>
  <c r="I72" i="9"/>
  <c r="E72" i="9"/>
  <c r="Y232" i="13"/>
  <c r="S232" i="13"/>
  <c r="K34" i="12" s="1"/>
  <c r="I6" i="12"/>
  <c r="H6" i="12"/>
  <c r="G6" i="12"/>
  <c r="F6" i="12"/>
  <c r="D6" i="12"/>
  <c r="E6" i="12" s="1"/>
  <c r="K6" i="12"/>
  <c r="J6" i="12"/>
  <c r="C6" i="12"/>
  <c r="B6" i="12"/>
  <c r="M6" i="12"/>
  <c r="N6" i="12"/>
  <c r="L6" i="12"/>
  <c r="I18" i="12"/>
  <c r="H18" i="12"/>
  <c r="G18" i="12"/>
  <c r="F18" i="12"/>
  <c r="D18" i="12"/>
  <c r="E18" i="12" s="1"/>
  <c r="C18" i="12"/>
  <c r="B18" i="12"/>
  <c r="N18" i="12"/>
  <c r="L18" i="12"/>
  <c r="M18" i="12"/>
  <c r="J18" i="12"/>
  <c r="C32" i="12"/>
  <c r="N32" i="12"/>
  <c r="B32" i="12"/>
  <c r="M32" i="12"/>
  <c r="L32" i="12"/>
  <c r="J32" i="12"/>
  <c r="G32" i="12"/>
  <c r="F32" i="12"/>
  <c r="D32" i="12"/>
  <c r="E32" i="12" s="1"/>
  <c r="I32" i="12"/>
  <c r="H32" i="12"/>
  <c r="K32" i="12"/>
  <c r="C8" i="11"/>
  <c r="N8" i="11"/>
  <c r="B8" i="11"/>
  <c r="M8" i="11"/>
  <c r="L8" i="11"/>
  <c r="J8" i="11"/>
  <c r="I8" i="11"/>
  <c r="F8" i="11"/>
  <c r="D8" i="11"/>
  <c r="E8" i="11" s="1"/>
  <c r="C11" i="8"/>
  <c r="D11" i="8" s="1"/>
  <c r="E11" i="8"/>
  <c r="K11" i="8"/>
  <c r="M11" i="8"/>
  <c r="B11" i="8"/>
  <c r="L11" i="8"/>
  <c r="I11" i="8"/>
  <c r="B33" i="8"/>
  <c r="L33" i="8"/>
  <c r="K33" i="8"/>
  <c r="C33" i="8"/>
  <c r="D33" i="8" s="1"/>
  <c r="M33" i="8"/>
  <c r="I33" i="8"/>
  <c r="E33" i="8"/>
  <c r="E4" i="8"/>
  <c r="B4" i="8"/>
  <c r="K4" i="8"/>
  <c r="L4" i="8"/>
  <c r="M4" i="8"/>
  <c r="C4" i="8"/>
  <c r="D4" i="8" s="1"/>
  <c r="I4" i="8"/>
  <c r="E40" i="8"/>
  <c r="L40" i="8"/>
  <c r="B40" i="8"/>
  <c r="K40" i="8"/>
  <c r="I40" i="8"/>
  <c r="C40" i="8"/>
  <c r="D40" i="8" s="1"/>
  <c r="M40" i="8"/>
  <c r="E13" i="7"/>
  <c r="C13" i="7"/>
  <c r="D13" i="7" s="1"/>
  <c r="B13" i="7"/>
  <c r="L13" i="7"/>
  <c r="K13" i="7"/>
  <c r="M13" i="7"/>
  <c r="I13" i="7"/>
  <c r="E31" i="7"/>
  <c r="C31" i="7"/>
  <c r="D31" i="7" s="1"/>
  <c r="B31" i="7"/>
  <c r="L31" i="7"/>
  <c r="I31" i="7"/>
  <c r="M31" i="7"/>
  <c r="K31" i="7"/>
  <c r="M33" i="7"/>
  <c r="K33" i="7"/>
  <c r="L33" i="7"/>
  <c r="C33" i="7"/>
  <c r="D33" i="7" s="1"/>
  <c r="B33" i="7"/>
  <c r="I33" i="7"/>
  <c r="E33" i="7"/>
  <c r="C32" i="7"/>
  <c r="D32" i="7" s="1"/>
  <c r="M32" i="7"/>
  <c r="L32" i="7"/>
  <c r="K32" i="7"/>
  <c r="B32" i="7"/>
  <c r="I32" i="7"/>
  <c r="E32" i="7"/>
  <c r="E30" i="9"/>
  <c r="B30" i="9"/>
  <c r="L30" i="9"/>
  <c r="K30" i="9"/>
  <c r="I30" i="9"/>
  <c r="M30" i="9"/>
  <c r="C30" i="9"/>
  <c r="D30" i="9" s="1"/>
  <c r="E25" i="9"/>
  <c r="C25" i="9"/>
  <c r="D25" i="9" s="1"/>
  <c r="L25" i="9"/>
  <c r="B25" i="9"/>
  <c r="K25" i="9"/>
  <c r="M25" i="9"/>
  <c r="I25" i="9"/>
  <c r="E64" i="9"/>
  <c r="L64" i="9"/>
  <c r="I64" i="9"/>
  <c r="C64" i="9"/>
  <c r="D64" i="9" s="1"/>
  <c r="B64" i="9"/>
  <c r="K64" i="9"/>
  <c r="M64" i="9"/>
  <c r="C26" i="9"/>
  <c r="D26" i="9" s="1"/>
  <c r="B26" i="9"/>
  <c r="M26" i="9"/>
  <c r="K26" i="9"/>
  <c r="E26" i="9"/>
  <c r="I26" i="9"/>
  <c r="L26" i="9"/>
  <c r="I38" i="9"/>
  <c r="B38" i="9"/>
  <c r="K38" i="9"/>
  <c r="E38" i="9"/>
  <c r="M38" i="9"/>
  <c r="C38" i="9"/>
  <c r="D38" i="9" s="1"/>
  <c r="L38" i="9"/>
  <c r="I23" i="9"/>
  <c r="B23" i="9"/>
  <c r="C23" i="9"/>
  <c r="D23" i="9" s="1"/>
  <c r="L23" i="9"/>
  <c r="E23" i="9"/>
  <c r="M23" i="9"/>
  <c r="K23" i="9"/>
  <c r="I44" i="9"/>
  <c r="B44" i="9"/>
  <c r="E44" i="9"/>
  <c r="C44" i="9"/>
  <c r="D44" i="9" s="1"/>
  <c r="M44" i="9"/>
  <c r="L44" i="9"/>
  <c r="K44" i="9"/>
  <c r="C53" i="9"/>
  <c r="D53" i="9" s="1"/>
  <c r="B53" i="9"/>
  <c r="L53" i="9"/>
  <c r="I53" i="9"/>
  <c r="M53" i="9"/>
  <c r="K53" i="9"/>
  <c r="E53" i="9"/>
  <c r="E40" i="9"/>
  <c r="L40" i="9"/>
  <c r="B40" i="9"/>
  <c r="M40" i="9"/>
  <c r="I40" i="9"/>
  <c r="K40" i="9"/>
  <c r="C40" i="9"/>
  <c r="D40" i="9" s="1"/>
  <c r="C32" i="9"/>
  <c r="D32" i="9" s="1"/>
  <c r="B32" i="9"/>
  <c r="M32" i="9"/>
  <c r="L32" i="9"/>
  <c r="K32" i="9"/>
  <c r="I32" i="9"/>
  <c r="E32" i="9"/>
  <c r="B16" i="10"/>
  <c r="M16" i="10"/>
  <c r="L16" i="10"/>
  <c r="K16" i="10"/>
  <c r="C16" i="10"/>
  <c r="D16" i="10" s="1"/>
  <c r="I16" i="10"/>
  <c r="E16" i="10"/>
  <c r="S202" i="13"/>
  <c r="Y202" i="13"/>
  <c r="Y203" i="13"/>
  <c r="S203" i="13"/>
  <c r="K5" i="12" s="1"/>
  <c r="F3" i="12"/>
  <c r="D3" i="12"/>
  <c r="E3" i="12" s="1"/>
  <c r="C3" i="12"/>
  <c r="M3" i="12"/>
  <c r="N3" i="12"/>
  <c r="L3" i="12"/>
  <c r="J3" i="12"/>
  <c r="I3" i="12"/>
  <c r="G3" i="12"/>
  <c r="H3" i="12"/>
  <c r="B3" i="12"/>
  <c r="L13" i="12"/>
  <c r="J13" i="12"/>
  <c r="I13" i="12"/>
  <c r="B13" i="12"/>
  <c r="M13" i="12"/>
  <c r="F13" i="12"/>
  <c r="N13" i="12"/>
  <c r="D13" i="12"/>
  <c r="E13" i="12" s="1"/>
  <c r="C13" i="12"/>
  <c r="Y201" i="13"/>
  <c r="S201" i="13"/>
  <c r="K3" i="12" s="1"/>
  <c r="E13" i="10"/>
  <c r="B13" i="10"/>
  <c r="L13" i="10"/>
  <c r="M13" i="10"/>
  <c r="I13" i="10"/>
  <c r="C13" i="10"/>
  <c r="D13" i="10" s="1"/>
  <c r="K13" i="10"/>
  <c r="C12" i="11"/>
  <c r="N12" i="11"/>
  <c r="B12" i="11"/>
  <c r="M12" i="11"/>
  <c r="L12" i="11"/>
  <c r="F12" i="11"/>
  <c r="D12" i="11"/>
  <c r="E12" i="11" s="1"/>
  <c r="J12" i="11"/>
  <c r="K12" i="11"/>
  <c r="I12" i="11"/>
  <c r="B31" i="8"/>
  <c r="L31" i="8"/>
  <c r="K31" i="8"/>
  <c r="C31" i="8"/>
  <c r="D31" i="8" s="1"/>
  <c r="M31" i="8"/>
  <c r="I31" i="8"/>
  <c r="E31" i="8"/>
  <c r="B45" i="8"/>
  <c r="E45" i="8"/>
  <c r="C45" i="8"/>
  <c r="D45" i="8" s="1"/>
  <c r="L45" i="8"/>
  <c r="M45" i="8"/>
  <c r="K45" i="8"/>
  <c r="I45" i="8"/>
  <c r="L50" i="8"/>
  <c r="I50" i="8"/>
  <c r="C50" i="8"/>
  <c r="D50" i="8" s="1"/>
  <c r="B50" i="8"/>
  <c r="M50" i="8"/>
  <c r="K50" i="8"/>
  <c r="E50" i="8"/>
  <c r="C17" i="8"/>
  <c r="D17" i="8" s="1"/>
  <c r="I17" i="8"/>
  <c r="E17" i="8"/>
  <c r="M17" i="8"/>
  <c r="B17" i="8"/>
  <c r="K17" i="8"/>
  <c r="L17" i="8"/>
  <c r="C26" i="10"/>
  <c r="D26" i="10" s="1"/>
  <c r="B26" i="10"/>
  <c r="M26" i="10"/>
  <c r="L26" i="10"/>
  <c r="I26" i="10"/>
  <c r="K26" i="10"/>
  <c r="E26" i="10"/>
  <c r="E12" i="7"/>
  <c r="B12" i="7"/>
  <c r="K12" i="7"/>
  <c r="C12" i="7"/>
  <c r="D12" i="7" s="1"/>
  <c r="M12" i="7"/>
  <c r="L12" i="7"/>
  <c r="I12" i="7"/>
  <c r="I17" i="7"/>
  <c r="K17" i="7"/>
  <c r="B17" i="7"/>
  <c r="M17" i="7"/>
  <c r="L17" i="7"/>
  <c r="C17" i="7"/>
  <c r="D17" i="7" s="1"/>
  <c r="E17" i="7"/>
  <c r="M9" i="7"/>
  <c r="K9" i="7"/>
  <c r="I9" i="7"/>
  <c r="L9" i="7"/>
  <c r="E9" i="7"/>
  <c r="C9" i="7"/>
  <c r="D9" i="7" s="1"/>
  <c r="B9" i="7"/>
  <c r="Y214" i="13"/>
  <c r="S214" i="13"/>
  <c r="K16" i="12" s="1"/>
  <c r="E25" i="7"/>
  <c r="C25" i="7"/>
  <c r="D25" i="7" s="1"/>
  <c r="B25" i="7"/>
  <c r="L25" i="7"/>
  <c r="M25" i="7"/>
  <c r="K25" i="7"/>
  <c r="I25" i="7"/>
  <c r="K34" i="7"/>
  <c r="I34" i="7"/>
  <c r="B34" i="7"/>
  <c r="E34" i="7"/>
  <c r="L34" i="7"/>
  <c r="C34" i="7"/>
  <c r="D34" i="7" s="1"/>
  <c r="M34" i="7"/>
  <c r="Y205" i="13"/>
  <c r="S205" i="13"/>
  <c r="K7" i="12" s="1"/>
  <c r="I23" i="7"/>
  <c r="M23" i="7"/>
  <c r="E23" i="7"/>
  <c r="C23" i="7"/>
  <c r="D23" i="7" s="1"/>
  <c r="L23" i="7"/>
  <c r="B23" i="7"/>
  <c r="K23" i="7"/>
  <c r="M21" i="7"/>
  <c r="K21" i="7"/>
  <c r="I21" i="7"/>
  <c r="E21" i="7"/>
  <c r="L21" i="7"/>
  <c r="C21" i="7"/>
  <c r="D21" i="7" s="1"/>
  <c r="B21" i="7"/>
  <c r="Y210" i="13"/>
  <c r="S210" i="13"/>
  <c r="K12" i="12" s="1"/>
  <c r="E19" i="9"/>
  <c r="C19" i="9"/>
  <c r="D19" i="9" s="1"/>
  <c r="L19" i="9"/>
  <c r="M19" i="9"/>
  <c r="K19" i="9"/>
  <c r="I19" i="9"/>
  <c r="B19" i="9"/>
  <c r="L43" i="9"/>
  <c r="K43" i="9"/>
  <c r="I43" i="9"/>
  <c r="E43" i="9"/>
  <c r="B43" i="9"/>
  <c r="C43" i="9"/>
  <c r="D43" i="9" s="1"/>
  <c r="M43" i="9"/>
  <c r="I50" i="9"/>
  <c r="B50" i="9"/>
  <c r="C50" i="9"/>
  <c r="D50" i="9" s="1"/>
  <c r="M50" i="9"/>
  <c r="K50" i="9"/>
  <c r="L50" i="9"/>
  <c r="E50" i="9"/>
  <c r="I29" i="9"/>
  <c r="B29" i="9"/>
  <c r="L29" i="9"/>
  <c r="K29" i="9"/>
  <c r="E29" i="9"/>
  <c r="M29" i="9"/>
  <c r="C29" i="9"/>
  <c r="D29" i="9" s="1"/>
  <c r="C14" i="9"/>
  <c r="D14" i="9" s="1"/>
  <c r="B14" i="9"/>
  <c r="M14" i="9"/>
  <c r="L14" i="9"/>
  <c r="K14" i="9"/>
  <c r="I14" i="9"/>
  <c r="E14" i="9"/>
  <c r="E20" i="10"/>
  <c r="C20" i="10"/>
  <c r="D20" i="10" s="1"/>
  <c r="L20" i="10"/>
  <c r="M20" i="10"/>
  <c r="K20" i="10"/>
  <c r="B20" i="10"/>
  <c r="I20" i="10"/>
  <c r="C24" i="12"/>
  <c r="N24" i="12"/>
  <c r="B24" i="12"/>
  <c r="M24" i="12"/>
  <c r="L24" i="12"/>
  <c r="J24" i="12"/>
  <c r="I24" i="12"/>
  <c r="H24" i="12"/>
  <c r="G24" i="12"/>
  <c r="F24" i="12"/>
  <c r="D24" i="12"/>
  <c r="E24" i="12" s="1"/>
  <c r="K24" i="12"/>
  <c r="I10" i="11"/>
  <c r="F10" i="11"/>
  <c r="N10" i="11"/>
  <c r="M10" i="11"/>
  <c r="C10" i="11"/>
  <c r="B10" i="11"/>
  <c r="J10" i="11"/>
  <c r="D10" i="11"/>
  <c r="E10" i="11" s="1"/>
  <c r="L10" i="11"/>
  <c r="L20" i="8"/>
  <c r="I20" i="8"/>
  <c r="B20" i="8"/>
  <c r="M20" i="8"/>
  <c r="C20" i="8"/>
  <c r="D20" i="8" s="1"/>
  <c r="E20" i="8"/>
  <c r="K20" i="8"/>
  <c r="B25" i="8"/>
  <c r="L25" i="8"/>
  <c r="K25" i="8"/>
  <c r="C25" i="8"/>
  <c r="D25" i="8" s="1"/>
  <c r="M25" i="8"/>
  <c r="E25" i="8"/>
  <c r="I25" i="8"/>
  <c r="L10" i="9"/>
  <c r="K10" i="9"/>
  <c r="I10" i="9"/>
  <c r="E10" i="9"/>
  <c r="B10" i="9"/>
  <c r="C10" i="9"/>
  <c r="D10" i="9" s="1"/>
  <c r="M10" i="9"/>
  <c r="B39" i="9"/>
  <c r="L39" i="9"/>
  <c r="M39" i="9"/>
  <c r="K39" i="9"/>
  <c r="E39" i="9"/>
  <c r="C39" i="9"/>
  <c r="D39" i="9" s="1"/>
  <c r="I39" i="9"/>
  <c r="E13" i="9"/>
  <c r="C13" i="9"/>
  <c r="D13" i="9" s="1"/>
  <c r="L13" i="9"/>
  <c r="K13" i="9"/>
  <c r="B13" i="9"/>
  <c r="M13" i="9"/>
  <c r="I13" i="9"/>
  <c r="B3" i="9"/>
  <c r="M3" i="9"/>
  <c r="L3" i="9"/>
  <c r="K3" i="9"/>
  <c r="E3" i="9"/>
  <c r="C3" i="9"/>
  <c r="D3" i="9" s="1"/>
  <c r="I3" i="9"/>
  <c r="L28" i="10"/>
  <c r="K28" i="10"/>
  <c r="I28" i="10"/>
  <c r="E28" i="10"/>
  <c r="C28" i="10"/>
  <c r="D28" i="10" s="1"/>
  <c r="B28" i="10"/>
  <c r="M28" i="10"/>
  <c r="Y213" i="13"/>
  <c r="S213" i="13"/>
  <c r="Y229" i="13"/>
  <c r="S229" i="13"/>
  <c r="K31" i="12" s="1"/>
  <c r="Y199" i="13"/>
  <c r="S199" i="13"/>
  <c r="K13" i="11" s="1"/>
  <c r="L5" i="12"/>
  <c r="J5" i="12"/>
  <c r="I5" i="12"/>
  <c r="G5" i="12"/>
  <c r="D5" i="12"/>
  <c r="E5" i="12" s="1"/>
  <c r="C5" i="12"/>
  <c r="B5" i="12"/>
  <c r="M5" i="12"/>
  <c r="H5" i="12"/>
  <c r="F5" i="12"/>
  <c r="N5" i="12"/>
  <c r="Y189" i="13"/>
  <c r="S189" i="13"/>
  <c r="K3" i="11" s="1"/>
  <c r="B9" i="8"/>
  <c r="L9" i="8"/>
  <c r="K9" i="8"/>
  <c r="C9" i="8"/>
  <c r="D9" i="8" s="1"/>
  <c r="M9" i="8"/>
  <c r="I9" i="8"/>
  <c r="E9" i="8"/>
  <c r="B43" i="8"/>
  <c r="L43" i="8"/>
  <c r="K43" i="8"/>
  <c r="M43" i="8"/>
  <c r="C43" i="8"/>
  <c r="D43" i="8" s="1"/>
  <c r="I43" i="8"/>
  <c r="E43" i="8"/>
  <c r="E22" i="8"/>
  <c r="L22" i="8"/>
  <c r="B22" i="8"/>
  <c r="K22" i="8"/>
  <c r="I22" i="8"/>
  <c r="M22" i="8"/>
  <c r="C22" i="8"/>
  <c r="D22" i="8" s="1"/>
  <c r="C41" i="8"/>
  <c r="D41" i="8" s="1"/>
  <c r="I41" i="8"/>
  <c r="E41" i="8"/>
  <c r="L41" i="8"/>
  <c r="K41" i="8"/>
  <c r="M41" i="8"/>
  <c r="B41" i="8"/>
  <c r="Y220" i="13"/>
  <c r="S220" i="13"/>
  <c r="L35" i="9"/>
  <c r="K35" i="9"/>
  <c r="I35" i="9"/>
  <c r="E35" i="9"/>
  <c r="C35" i="9"/>
  <c r="D35" i="9" s="1"/>
  <c r="B35" i="9"/>
  <c r="M35" i="9"/>
  <c r="C41" i="9"/>
  <c r="D41" i="9" s="1"/>
  <c r="B41" i="9"/>
  <c r="I41" i="9"/>
  <c r="E41" i="9"/>
  <c r="M41" i="9"/>
  <c r="L41" i="9"/>
  <c r="K41" i="9"/>
  <c r="B36" i="9"/>
  <c r="M36" i="9"/>
  <c r="L36" i="9"/>
  <c r="K36" i="9"/>
  <c r="I36" i="9"/>
  <c r="E36" i="9"/>
  <c r="C36" i="9"/>
  <c r="D36" i="9" s="1"/>
  <c r="B48" i="9"/>
  <c r="M48" i="9"/>
  <c r="L48" i="9"/>
  <c r="I48" i="9"/>
  <c r="E48" i="9"/>
  <c r="C48" i="9"/>
  <c r="D48" i="9" s="1"/>
  <c r="K48" i="9"/>
  <c r="E31" i="9"/>
  <c r="C31" i="9"/>
  <c r="D31" i="9" s="1"/>
  <c r="L31" i="9"/>
  <c r="K31" i="9"/>
  <c r="B31" i="9"/>
  <c r="M31" i="9"/>
  <c r="I31" i="9"/>
  <c r="B9" i="9"/>
  <c r="M9" i="9"/>
  <c r="L9" i="9"/>
  <c r="K9" i="9"/>
  <c r="I9" i="9"/>
  <c r="E9" i="9"/>
  <c r="C9" i="9"/>
  <c r="D9" i="9" s="1"/>
  <c r="E24" i="10"/>
  <c r="M24" i="10"/>
  <c r="L24" i="10"/>
  <c r="K24" i="10"/>
  <c r="I24" i="10"/>
  <c r="B24" i="10"/>
  <c r="C24" i="10"/>
  <c r="D24" i="10" s="1"/>
  <c r="Y195" i="13"/>
  <c r="S195" i="13"/>
  <c r="K9" i="11" s="1"/>
  <c r="I29" i="10"/>
  <c r="L29" i="10"/>
  <c r="K29" i="10"/>
  <c r="E29" i="10"/>
  <c r="B29" i="10"/>
  <c r="C29" i="10"/>
  <c r="D29" i="10" s="1"/>
  <c r="M29" i="10"/>
  <c r="L29" i="12"/>
  <c r="J29" i="12"/>
  <c r="I29" i="12"/>
  <c r="N29" i="12"/>
  <c r="M29" i="12"/>
  <c r="F29" i="12"/>
  <c r="D29" i="12"/>
  <c r="E29" i="12" s="1"/>
  <c r="B29" i="12"/>
  <c r="C29" i="12"/>
  <c r="L17" i="12"/>
  <c r="J17" i="12"/>
  <c r="I17" i="12"/>
  <c r="N17" i="12"/>
  <c r="M17" i="12"/>
  <c r="D17" i="12"/>
  <c r="E17" i="12" s="1"/>
  <c r="F17" i="12"/>
  <c r="C17" i="12"/>
  <c r="B17" i="12"/>
  <c r="L5" i="11"/>
  <c r="K5" i="11"/>
  <c r="J5" i="11"/>
  <c r="I5" i="11"/>
  <c r="D5" i="11"/>
  <c r="E5" i="11" s="1"/>
  <c r="C5" i="11"/>
  <c r="B5" i="11"/>
  <c r="M5" i="11"/>
  <c r="F5" i="11"/>
  <c r="N5" i="11"/>
  <c r="I188" i="13"/>
  <c r="J188" i="13" s="1"/>
  <c r="K188" i="13" s="1"/>
  <c r="N188" i="13" s="1"/>
  <c r="O188" i="13" s="1"/>
  <c r="I182" i="13"/>
  <c r="J182" i="13" s="1"/>
  <c r="K182" i="13" s="1"/>
  <c r="N182" i="13" s="1"/>
  <c r="O182" i="13" s="1"/>
  <c r="I176" i="13"/>
  <c r="J176" i="13" s="1"/>
  <c r="K176" i="13" s="1"/>
  <c r="N176" i="13" s="1"/>
  <c r="O176" i="13" s="1"/>
  <c r="I183" i="13"/>
  <c r="J183" i="13" s="1"/>
  <c r="K183" i="13" s="1"/>
  <c r="N183" i="13" s="1"/>
  <c r="O183" i="13" s="1"/>
  <c r="I177" i="13"/>
  <c r="J177" i="13" s="1"/>
  <c r="K177" i="13" s="1"/>
  <c r="N177" i="13" s="1"/>
  <c r="O177" i="13" s="1"/>
  <c r="I167" i="13"/>
  <c r="J167" i="13" s="1"/>
  <c r="K167" i="13" s="1"/>
  <c r="N167" i="13" s="1"/>
  <c r="O167" i="13" s="1"/>
  <c r="I161" i="13"/>
  <c r="J161" i="13" s="1"/>
  <c r="I172" i="13"/>
  <c r="J172" i="13" s="1"/>
  <c r="K172" i="13" s="1"/>
  <c r="N172" i="13" s="1"/>
  <c r="O172" i="13" s="1"/>
  <c r="I166" i="13"/>
  <c r="J166" i="13" s="1"/>
  <c r="K166" i="13" s="1"/>
  <c r="N166" i="13" s="1"/>
  <c r="O166" i="13" s="1"/>
  <c r="I170" i="13"/>
  <c r="J170" i="13" s="1"/>
  <c r="I164" i="13"/>
  <c r="J164" i="13" s="1"/>
  <c r="K164" i="13" s="1"/>
  <c r="N164" i="13" s="1"/>
  <c r="O164" i="13" s="1"/>
  <c r="I171" i="13"/>
  <c r="J171" i="13" s="1"/>
  <c r="K171" i="13" s="1"/>
  <c r="N171" i="13" s="1"/>
  <c r="O171" i="13" s="1"/>
  <c r="I162" i="13"/>
  <c r="J162" i="13" s="1"/>
  <c r="I168" i="13"/>
  <c r="J168" i="13" s="1"/>
  <c r="K168" i="13" s="1"/>
  <c r="N168" i="13" s="1"/>
  <c r="O168" i="13" s="1"/>
  <c r="I174" i="13"/>
  <c r="J174" i="13" s="1"/>
  <c r="K174" i="13" s="1"/>
  <c r="N174" i="13" s="1"/>
  <c r="O174" i="13" s="1"/>
  <c r="I163" i="13"/>
  <c r="J163" i="13" s="1"/>
  <c r="K163" i="13" s="1"/>
  <c r="N163" i="13" s="1"/>
  <c r="O163" i="13" s="1"/>
  <c r="I179" i="13"/>
  <c r="J179" i="13" s="1"/>
  <c r="K179" i="13" s="1"/>
  <c r="N179" i="13" s="1"/>
  <c r="O179" i="13" s="1"/>
  <c r="I185" i="13"/>
  <c r="J185" i="13" s="1"/>
  <c r="K185" i="13" s="1"/>
  <c r="N185" i="13" s="1"/>
  <c r="O185" i="13" s="1"/>
  <c r="I186" i="13"/>
  <c r="J186" i="13" s="1"/>
  <c r="K186" i="13" s="1"/>
  <c r="N186" i="13" s="1"/>
  <c r="O186" i="13" s="1"/>
  <c r="I173" i="13"/>
  <c r="J173" i="13" s="1"/>
  <c r="K173" i="13" s="1"/>
  <c r="N173" i="13" s="1"/>
  <c r="O173" i="13" s="1"/>
  <c r="I180" i="13"/>
  <c r="J180" i="13" s="1"/>
  <c r="K180" i="13" s="1"/>
  <c r="N180" i="13" s="1"/>
  <c r="O180" i="13" s="1"/>
  <c r="I169" i="13"/>
  <c r="J169" i="13" s="1"/>
  <c r="K169" i="13" s="1"/>
  <c r="N169" i="13" s="1"/>
  <c r="O169" i="13" s="1"/>
  <c r="I165" i="13"/>
  <c r="J165" i="13" s="1"/>
  <c r="K165" i="13" s="1"/>
  <c r="N165" i="13" s="1"/>
  <c r="O165" i="13" s="1"/>
  <c r="I178" i="13"/>
  <c r="J178" i="13" s="1"/>
  <c r="K178" i="13" s="1"/>
  <c r="N178" i="13" s="1"/>
  <c r="O178" i="13" s="1"/>
  <c r="I175" i="13"/>
  <c r="J175" i="13" s="1"/>
  <c r="K175" i="13" s="1"/>
  <c r="N175" i="13" s="1"/>
  <c r="O175" i="13" s="1"/>
  <c r="I187" i="13"/>
  <c r="J187" i="13" s="1"/>
  <c r="K187" i="13" s="1"/>
  <c r="N187" i="13" s="1"/>
  <c r="O187" i="13" s="1"/>
  <c r="I181" i="13"/>
  <c r="J181" i="13" s="1"/>
  <c r="K181" i="13" s="1"/>
  <c r="N181" i="13" s="1"/>
  <c r="O181" i="13" s="1"/>
  <c r="I184" i="13"/>
  <c r="J184" i="13" s="1"/>
  <c r="K184" i="13" s="1"/>
  <c r="N184" i="13" s="1"/>
  <c r="O184" i="13" s="1"/>
  <c r="C15" i="10"/>
  <c r="D15" i="10" s="1"/>
  <c r="B15" i="10"/>
  <c r="M15" i="10"/>
  <c r="L15" i="10"/>
  <c r="K15" i="10"/>
  <c r="E15" i="10"/>
  <c r="I15" i="10"/>
  <c r="E7" i="10"/>
  <c r="B7" i="10"/>
  <c r="L7" i="10"/>
  <c r="M7" i="10"/>
  <c r="K7" i="10"/>
  <c r="C7" i="10"/>
  <c r="D7" i="10" s="1"/>
  <c r="I7" i="10"/>
  <c r="E25" i="10"/>
  <c r="C25" i="10"/>
  <c r="D25" i="10" s="1"/>
  <c r="M25" i="10"/>
  <c r="L25" i="10"/>
  <c r="I25" i="10"/>
  <c r="B25" i="10"/>
  <c r="K25" i="10"/>
  <c r="F7" i="12"/>
  <c r="D7" i="12"/>
  <c r="E7" i="12" s="1"/>
  <c r="C7" i="12"/>
  <c r="M7" i="12"/>
  <c r="L7" i="12"/>
  <c r="J7" i="12"/>
  <c r="I7" i="12"/>
  <c r="H7" i="12"/>
  <c r="B7" i="12"/>
  <c r="N7" i="12"/>
  <c r="G7" i="12"/>
  <c r="I26" i="12"/>
  <c r="H26" i="12"/>
  <c r="G26" i="12"/>
  <c r="F26" i="12"/>
  <c r="D26" i="12"/>
  <c r="E26" i="12" s="1"/>
  <c r="N26" i="12"/>
  <c r="L26" i="12"/>
  <c r="J26" i="12"/>
  <c r="M26" i="12"/>
  <c r="C26" i="12"/>
  <c r="B26" i="12"/>
  <c r="I14" i="11"/>
  <c r="F14" i="11"/>
  <c r="L14" i="11"/>
  <c r="K14" i="11"/>
  <c r="J14" i="11"/>
  <c r="D14" i="11"/>
  <c r="E14" i="11" s="1"/>
  <c r="B14" i="11"/>
  <c r="N14" i="11"/>
  <c r="M14" i="11"/>
  <c r="C14" i="11"/>
  <c r="B49" i="8"/>
  <c r="L49" i="8"/>
  <c r="K49" i="8"/>
  <c r="C49" i="8"/>
  <c r="D49" i="8" s="1"/>
  <c r="M49" i="8"/>
  <c r="E49" i="8"/>
  <c r="I49" i="8"/>
  <c r="B30" i="8"/>
  <c r="M30" i="8"/>
  <c r="C30" i="8"/>
  <c r="D30" i="8" s="1"/>
  <c r="L30" i="8"/>
  <c r="I30" i="8"/>
  <c r="K30" i="8"/>
  <c r="E30" i="8"/>
  <c r="L26" i="8"/>
  <c r="I26" i="8"/>
  <c r="C26" i="8"/>
  <c r="D26" i="8" s="1"/>
  <c r="B26" i="8"/>
  <c r="M26" i="8"/>
  <c r="K26" i="8"/>
  <c r="E26" i="8"/>
  <c r="E34" i="8"/>
  <c r="L34" i="8"/>
  <c r="K34" i="8"/>
  <c r="I34" i="8"/>
  <c r="C34" i="8"/>
  <c r="D34" i="8" s="1"/>
  <c r="B34" i="8"/>
  <c r="M34" i="8"/>
  <c r="I29" i="7"/>
  <c r="B29" i="7"/>
  <c r="C29" i="7"/>
  <c r="D29" i="7" s="1"/>
  <c r="M29" i="7"/>
  <c r="L29" i="7"/>
  <c r="K29" i="7"/>
  <c r="E29" i="7"/>
  <c r="K16" i="7"/>
  <c r="I16" i="7"/>
  <c r="L16" i="7"/>
  <c r="E16" i="7"/>
  <c r="C16" i="7"/>
  <c r="D16" i="7" s="1"/>
  <c r="B16" i="7"/>
  <c r="M16" i="7"/>
  <c r="Y211" i="13"/>
  <c r="S211" i="13"/>
  <c r="K13" i="12" s="1"/>
  <c r="B24" i="8"/>
  <c r="M24" i="8"/>
  <c r="L24" i="8"/>
  <c r="K24" i="8"/>
  <c r="I24" i="8"/>
  <c r="E24" i="8"/>
  <c r="C24" i="8"/>
  <c r="D24" i="8" s="1"/>
  <c r="C53" i="8"/>
  <c r="D53" i="8" s="1"/>
  <c r="L53" i="8"/>
  <c r="M53" i="8"/>
  <c r="K53" i="8"/>
  <c r="B53" i="8"/>
  <c r="E53" i="8"/>
  <c r="I53" i="8"/>
  <c r="L8" i="8"/>
  <c r="I8" i="8"/>
  <c r="K8" i="8"/>
  <c r="C8" i="8"/>
  <c r="D8" i="8" s="1"/>
  <c r="E8" i="8"/>
  <c r="B8" i="8"/>
  <c r="M8" i="8"/>
  <c r="E10" i="8"/>
  <c r="L10" i="8"/>
  <c r="K10" i="8"/>
  <c r="I10" i="8"/>
  <c r="B10" i="8"/>
  <c r="C10" i="8"/>
  <c r="D10" i="8" s="1"/>
  <c r="M10" i="8"/>
  <c r="E19" i="10"/>
  <c r="B19" i="10"/>
  <c r="L19" i="10"/>
  <c r="I19" i="10"/>
  <c r="C19" i="10"/>
  <c r="D19" i="10" s="1"/>
  <c r="M19" i="10"/>
  <c r="K19" i="10"/>
  <c r="L67" i="9"/>
  <c r="K67" i="9"/>
  <c r="E67" i="9"/>
  <c r="C67" i="9"/>
  <c r="D67" i="9" s="1"/>
  <c r="B67" i="9"/>
  <c r="M67" i="9"/>
  <c r="I67" i="9"/>
  <c r="E7" i="9"/>
  <c r="C7" i="9"/>
  <c r="D7" i="9" s="1"/>
  <c r="L7" i="9"/>
  <c r="B7" i="9"/>
  <c r="K7" i="9"/>
  <c r="I7" i="9"/>
  <c r="M7" i="9"/>
  <c r="C71" i="9"/>
  <c r="D71" i="9" s="1"/>
  <c r="B71" i="9"/>
  <c r="L71" i="9"/>
  <c r="K71" i="9"/>
  <c r="I71" i="9"/>
  <c r="M71" i="9"/>
  <c r="E71" i="9"/>
  <c r="C65" i="9"/>
  <c r="D65" i="9" s="1"/>
  <c r="B65" i="9"/>
  <c r="M65" i="9"/>
  <c r="L65" i="9"/>
  <c r="K65" i="9"/>
  <c r="I65" i="9"/>
  <c r="E65" i="9"/>
  <c r="E70" i="9"/>
  <c r="L70" i="9"/>
  <c r="C70" i="9"/>
  <c r="D70" i="9" s="1"/>
  <c r="B70" i="9"/>
  <c r="M70" i="9"/>
  <c r="K70" i="9"/>
  <c r="I70" i="9"/>
  <c r="B15" i="9"/>
  <c r="M15" i="9"/>
  <c r="L15" i="9"/>
  <c r="K15" i="9"/>
  <c r="I15" i="9"/>
  <c r="C15" i="9"/>
  <c r="D15" i="9" s="1"/>
  <c r="E15" i="9"/>
  <c r="E12" i="9"/>
  <c r="B12" i="9"/>
  <c r="L12" i="9"/>
  <c r="K12" i="9"/>
  <c r="I12" i="9"/>
  <c r="C12" i="9"/>
  <c r="D12" i="9" s="1"/>
  <c r="M12" i="9"/>
  <c r="E18" i="9"/>
  <c r="B18" i="9"/>
  <c r="L18" i="9"/>
  <c r="C18" i="9"/>
  <c r="D18" i="9" s="1"/>
  <c r="M18" i="9"/>
  <c r="K18" i="9"/>
  <c r="I18" i="9"/>
  <c r="I74" i="9"/>
  <c r="B74" i="9"/>
  <c r="K74" i="9"/>
  <c r="E74" i="9"/>
  <c r="C74" i="9"/>
  <c r="D74" i="9" s="1"/>
  <c r="M74" i="9"/>
  <c r="L74" i="9"/>
  <c r="I68" i="9"/>
  <c r="B68" i="9"/>
  <c r="M68" i="9"/>
  <c r="L68" i="9"/>
  <c r="K68" i="9"/>
  <c r="C68" i="9"/>
  <c r="D68" i="9" s="1"/>
  <c r="E68" i="9"/>
  <c r="E76" i="9"/>
  <c r="L76" i="9"/>
  <c r="B76" i="9"/>
  <c r="M76" i="9"/>
  <c r="I76" i="9"/>
  <c r="K76" i="9"/>
  <c r="C76" i="9"/>
  <c r="D76" i="9" s="1"/>
  <c r="B21" i="9"/>
  <c r="M21" i="9"/>
  <c r="L21" i="9"/>
  <c r="K21" i="9"/>
  <c r="E21" i="9"/>
  <c r="C21" i="9"/>
  <c r="D21" i="9" s="1"/>
  <c r="I21" i="9"/>
  <c r="I17" i="13"/>
  <c r="J17" i="13" s="1"/>
  <c r="K17" i="13" s="1"/>
  <c r="N17" i="13" s="1"/>
  <c r="O17" i="13" s="1"/>
  <c r="I11" i="13"/>
  <c r="J11" i="13" s="1"/>
  <c r="K11" i="13" s="1"/>
  <c r="N11" i="13" s="1"/>
  <c r="O11" i="13" s="1"/>
  <c r="I5" i="13"/>
  <c r="J5" i="13" s="1"/>
  <c r="K5" i="13" s="1"/>
  <c r="N5" i="13" s="1"/>
  <c r="O5" i="13" s="1"/>
  <c r="I19" i="13"/>
  <c r="J19" i="13" s="1"/>
  <c r="K19" i="13" s="1"/>
  <c r="N19" i="13" s="1"/>
  <c r="O19" i="13" s="1"/>
  <c r="I16" i="13"/>
  <c r="J16" i="13" s="1"/>
  <c r="K16" i="13" s="1"/>
  <c r="N16" i="13" s="1"/>
  <c r="O16" i="13" s="1"/>
  <c r="I10" i="13"/>
  <c r="J10" i="13" s="1"/>
  <c r="K10" i="13" s="1"/>
  <c r="N10" i="13" s="1"/>
  <c r="O10" i="13" s="1"/>
  <c r="I4" i="13"/>
  <c r="J4" i="13" s="1"/>
  <c r="K4" i="13" s="1"/>
  <c r="N4" i="13" s="1"/>
  <c r="O4" i="13" s="1"/>
  <c r="I26" i="13"/>
  <c r="J26" i="13" s="1"/>
  <c r="K26" i="13" s="1"/>
  <c r="N26" i="13" s="1"/>
  <c r="O26" i="13" s="1"/>
  <c r="I23" i="13"/>
  <c r="J23" i="13" s="1"/>
  <c r="K23" i="13" s="1"/>
  <c r="N23" i="13" s="1"/>
  <c r="O23" i="13" s="1"/>
  <c r="I32" i="13"/>
  <c r="J32" i="13" s="1"/>
  <c r="K32" i="13" s="1"/>
  <c r="N32" i="13" s="1"/>
  <c r="O32" i="13" s="1"/>
  <c r="I18" i="13"/>
  <c r="J18" i="13" s="1"/>
  <c r="K18" i="13" s="1"/>
  <c r="N18" i="13" s="1"/>
  <c r="O18" i="13" s="1"/>
  <c r="I20" i="13"/>
  <c r="J20" i="13" s="1"/>
  <c r="K20" i="13" s="1"/>
  <c r="N20" i="13" s="1"/>
  <c r="O20" i="13" s="1"/>
  <c r="I15" i="13"/>
  <c r="J15" i="13" s="1"/>
  <c r="K15" i="13" s="1"/>
  <c r="N15" i="13" s="1"/>
  <c r="O15" i="13" s="1"/>
  <c r="I9" i="13"/>
  <c r="J9" i="13" s="1"/>
  <c r="K9" i="13" s="1"/>
  <c r="N9" i="13" s="1"/>
  <c r="O9" i="13" s="1"/>
  <c r="I3" i="13"/>
  <c r="I8" i="13"/>
  <c r="J8" i="13" s="1"/>
  <c r="K8" i="13" s="1"/>
  <c r="N8" i="13" s="1"/>
  <c r="O8" i="13" s="1"/>
  <c r="I29" i="13"/>
  <c r="J29" i="13" s="1"/>
  <c r="K29" i="13" s="1"/>
  <c r="N29" i="13" s="1"/>
  <c r="O29" i="13" s="1"/>
  <c r="I13" i="13"/>
  <c r="J13" i="13" s="1"/>
  <c r="K13" i="13" s="1"/>
  <c r="N13" i="13" s="1"/>
  <c r="O13" i="13" s="1"/>
  <c r="I12" i="13"/>
  <c r="J12" i="13" s="1"/>
  <c r="K12" i="13" s="1"/>
  <c r="N12" i="13" s="1"/>
  <c r="O12" i="13" s="1"/>
  <c r="I7" i="13"/>
  <c r="J7" i="13" s="1"/>
  <c r="K7" i="13" s="1"/>
  <c r="N7" i="13" s="1"/>
  <c r="O7" i="13" s="1"/>
  <c r="I27" i="13"/>
  <c r="J27" i="13" s="1"/>
  <c r="K27" i="13" s="1"/>
  <c r="N27" i="13" s="1"/>
  <c r="O27" i="13" s="1"/>
  <c r="I30" i="13"/>
  <c r="J30" i="13" s="1"/>
  <c r="K30" i="13" s="1"/>
  <c r="N30" i="13" s="1"/>
  <c r="O30" i="13" s="1"/>
  <c r="I28" i="13"/>
  <c r="J28" i="13" s="1"/>
  <c r="K28" i="13" s="1"/>
  <c r="N28" i="13" s="1"/>
  <c r="O28" i="13" s="1"/>
  <c r="I33" i="13"/>
  <c r="J33" i="13" s="1"/>
  <c r="K33" i="13" s="1"/>
  <c r="N33" i="13" s="1"/>
  <c r="O33" i="13" s="1"/>
  <c r="I24" i="13"/>
  <c r="J24" i="13" s="1"/>
  <c r="K24" i="13" s="1"/>
  <c r="N24" i="13" s="1"/>
  <c r="O24" i="13" s="1"/>
  <c r="I22" i="13"/>
  <c r="J22" i="13" s="1"/>
  <c r="K22" i="13" s="1"/>
  <c r="N22" i="13" s="1"/>
  <c r="O22" i="13" s="1"/>
  <c r="I21" i="13"/>
  <c r="J21" i="13" s="1"/>
  <c r="K21" i="13" s="1"/>
  <c r="N21" i="13" s="1"/>
  <c r="O21" i="13" s="1"/>
  <c r="I31" i="13"/>
  <c r="J31" i="13" s="1"/>
  <c r="K31" i="13" s="1"/>
  <c r="N31" i="13" s="1"/>
  <c r="O31" i="13" s="1"/>
  <c r="I6" i="13"/>
  <c r="J6" i="13" s="1"/>
  <c r="K6" i="13" s="1"/>
  <c r="N6" i="13" s="1"/>
  <c r="O6" i="13" s="1"/>
  <c r="I34" i="13"/>
  <c r="J34" i="13" s="1"/>
  <c r="K34" i="13" s="1"/>
  <c r="N34" i="13" s="1"/>
  <c r="O34" i="13" s="1"/>
  <c r="I14" i="13"/>
  <c r="J14" i="13" s="1"/>
  <c r="K14" i="13" s="1"/>
  <c r="N14" i="13" s="1"/>
  <c r="O14" i="13" s="1"/>
  <c r="I25" i="13"/>
  <c r="J25" i="13" s="1"/>
  <c r="K25" i="13" s="1"/>
  <c r="N25" i="13" s="1"/>
  <c r="O25" i="13" s="1"/>
  <c r="C25" i="16"/>
  <c r="Y209" i="13"/>
  <c r="S209" i="13"/>
  <c r="E30" i="10"/>
  <c r="M30" i="10"/>
  <c r="L30" i="10"/>
  <c r="K30" i="10"/>
  <c r="B30" i="10"/>
  <c r="I30" i="10"/>
  <c r="C30" i="10"/>
  <c r="D30" i="10" s="1"/>
  <c r="C21" i="10"/>
  <c r="D21" i="10" s="1"/>
  <c r="B21" i="10"/>
  <c r="M21" i="10"/>
  <c r="L21" i="10"/>
  <c r="E21" i="10"/>
  <c r="K21" i="10"/>
  <c r="I21" i="10"/>
  <c r="L25" i="12"/>
  <c r="K25" i="12"/>
  <c r="J25" i="12"/>
  <c r="I25" i="12"/>
  <c r="G25" i="12"/>
  <c r="N25" i="12"/>
  <c r="M25" i="12"/>
  <c r="C25" i="12"/>
  <c r="D25" i="12"/>
  <c r="E25" i="12" s="1"/>
  <c r="F25" i="12"/>
  <c r="B25" i="12"/>
  <c r="F27" i="12"/>
  <c r="D27" i="12"/>
  <c r="E27" i="12" s="1"/>
  <c r="C27" i="12"/>
  <c r="M27" i="12"/>
  <c r="G27" i="12"/>
  <c r="B27" i="12"/>
  <c r="N27" i="12"/>
  <c r="L27" i="12"/>
  <c r="J27" i="12"/>
  <c r="I27" i="12"/>
  <c r="H27" i="12"/>
  <c r="C4" i="12"/>
  <c r="N4" i="12"/>
  <c r="B4" i="12"/>
  <c r="M4" i="12"/>
  <c r="L4" i="12"/>
  <c r="J4" i="12"/>
  <c r="K4" i="12"/>
  <c r="H4" i="12"/>
  <c r="F4" i="12"/>
  <c r="I4" i="12"/>
  <c r="D4" i="12"/>
  <c r="E4" i="12" s="1"/>
  <c r="G4" i="12"/>
  <c r="C9" i="10"/>
  <c r="D9" i="10" s="1"/>
  <c r="B9" i="10"/>
  <c r="M9" i="10"/>
  <c r="K9" i="10"/>
  <c r="I9" i="10"/>
  <c r="G9" i="10"/>
  <c r="F9" i="10"/>
  <c r="E9" i="10"/>
  <c r="L9" i="10"/>
  <c r="F11" i="11"/>
  <c r="D11" i="11"/>
  <c r="E11" i="11" s="1"/>
  <c r="C11" i="11"/>
  <c r="B11" i="11"/>
  <c r="N11" i="11"/>
  <c r="L11" i="11"/>
  <c r="J11" i="11"/>
  <c r="M11" i="11"/>
  <c r="I11" i="11"/>
  <c r="F8" i="10"/>
  <c r="E8" i="10"/>
  <c r="C8" i="10"/>
  <c r="D8" i="10" s="1"/>
  <c r="L8" i="10"/>
  <c r="B8" i="10"/>
  <c r="K8" i="10"/>
  <c r="M8" i="10"/>
  <c r="I8" i="10"/>
  <c r="C5" i="8"/>
  <c r="D5" i="8" s="1"/>
  <c r="B5" i="8"/>
  <c r="K5" i="8"/>
  <c r="E5" i="8"/>
  <c r="L5" i="8"/>
  <c r="M5" i="8"/>
  <c r="I5" i="8"/>
  <c r="B21" i="8"/>
  <c r="E21" i="8"/>
  <c r="C21" i="8"/>
  <c r="D21" i="8" s="1"/>
  <c r="L21" i="8"/>
  <c r="K21" i="8"/>
  <c r="I21" i="8"/>
  <c r="M21" i="8"/>
  <c r="L14" i="8"/>
  <c r="I14" i="8"/>
  <c r="M14" i="8"/>
  <c r="K14" i="8"/>
  <c r="C14" i="8"/>
  <c r="D14" i="8" s="1"/>
  <c r="B14" i="8"/>
  <c r="E14" i="8"/>
  <c r="B12" i="8"/>
  <c r="M12" i="8"/>
  <c r="E12" i="8"/>
  <c r="C12" i="8"/>
  <c r="D12" i="8" s="1"/>
  <c r="L12" i="8"/>
  <c r="I12" i="8"/>
  <c r="K12" i="8"/>
  <c r="L11" i="10"/>
  <c r="K11" i="10"/>
  <c r="I11" i="10"/>
  <c r="E11" i="10"/>
  <c r="C11" i="10"/>
  <c r="D11" i="10" s="1"/>
  <c r="B11" i="10"/>
  <c r="M11" i="10"/>
  <c r="E30" i="7"/>
  <c r="B30" i="7"/>
  <c r="L30" i="7"/>
  <c r="K30" i="7"/>
  <c r="I30" i="7"/>
  <c r="M30" i="7"/>
  <c r="C30" i="7"/>
  <c r="D30" i="7" s="1"/>
  <c r="K22" i="7"/>
  <c r="I22" i="7"/>
  <c r="B22" i="7"/>
  <c r="M22" i="7"/>
  <c r="L22" i="7"/>
  <c r="E22" i="7"/>
  <c r="C22" i="7"/>
  <c r="D22" i="7" s="1"/>
  <c r="K4" i="7"/>
  <c r="I4" i="7"/>
  <c r="L4" i="7"/>
  <c r="C4" i="7"/>
  <c r="D4" i="7" s="1"/>
  <c r="E4" i="7"/>
  <c r="B4" i="7"/>
  <c r="M4" i="7"/>
  <c r="Y207" i="13"/>
  <c r="S207" i="13"/>
  <c r="K9" i="12" s="1"/>
  <c r="Y231" i="13"/>
  <c r="S231" i="13"/>
  <c r="K33" i="12" s="1"/>
  <c r="M23" i="10"/>
  <c r="L23" i="10"/>
  <c r="K23" i="10"/>
  <c r="C23" i="10"/>
  <c r="D23" i="10" s="1"/>
  <c r="B23" i="10"/>
  <c r="I23" i="10"/>
  <c r="E23" i="10"/>
  <c r="I56" i="9"/>
  <c r="B56" i="9"/>
  <c r="M56" i="9"/>
  <c r="K56" i="9"/>
  <c r="L56" i="9"/>
  <c r="E56" i="9"/>
  <c r="C56" i="9"/>
  <c r="D56" i="9" s="1"/>
  <c r="L55" i="9"/>
  <c r="K55" i="9"/>
  <c r="M55" i="9"/>
  <c r="I55" i="9"/>
  <c r="C55" i="9"/>
  <c r="D55" i="9" s="1"/>
  <c r="B55" i="9"/>
  <c r="E55" i="9"/>
  <c r="L61" i="9"/>
  <c r="K61" i="9"/>
  <c r="I61" i="9"/>
  <c r="E61" i="9"/>
  <c r="C61" i="9"/>
  <c r="D61" i="9" s="1"/>
  <c r="B61" i="9"/>
  <c r="M61" i="9"/>
  <c r="Y190" i="13"/>
  <c r="S190" i="13"/>
  <c r="K4" i="11" s="1"/>
  <c r="L9" i="12"/>
  <c r="J9" i="12"/>
  <c r="I9" i="12"/>
  <c r="C9" i="12"/>
  <c r="B9" i="12"/>
  <c r="N9" i="12"/>
  <c r="F9" i="12"/>
  <c r="M9" i="12"/>
  <c r="D9" i="12"/>
  <c r="E9" i="12" s="1"/>
  <c r="B54" i="8"/>
  <c r="M54" i="8"/>
  <c r="E54" i="8"/>
  <c r="K54" i="8"/>
  <c r="L54" i="8"/>
  <c r="I54" i="8"/>
  <c r="C54" i="8"/>
  <c r="D54" i="8" s="1"/>
  <c r="I11" i="9"/>
  <c r="G11" i="9"/>
  <c r="B11" i="9"/>
  <c r="L11" i="9"/>
  <c r="K11" i="9"/>
  <c r="E11" i="9"/>
  <c r="M11" i="9"/>
  <c r="C11" i="9"/>
  <c r="D11" i="9" s="1"/>
  <c r="I158" i="13"/>
  <c r="J158" i="13" s="1"/>
  <c r="K158" i="13" s="1"/>
  <c r="N158" i="13" s="1"/>
  <c r="O158" i="13" s="1"/>
  <c r="I152" i="13"/>
  <c r="J152" i="13" s="1"/>
  <c r="K152" i="13" s="1"/>
  <c r="N152" i="13" s="1"/>
  <c r="O152" i="13" s="1"/>
  <c r="I146" i="13"/>
  <c r="J146" i="13" s="1"/>
  <c r="K146" i="13" s="1"/>
  <c r="N146" i="13" s="1"/>
  <c r="O146" i="13" s="1"/>
  <c r="I155" i="13"/>
  <c r="J155" i="13" s="1"/>
  <c r="K155" i="13" s="1"/>
  <c r="N155" i="13" s="1"/>
  <c r="O155" i="13" s="1"/>
  <c r="I149" i="13"/>
  <c r="J149" i="13" s="1"/>
  <c r="K149" i="13" s="1"/>
  <c r="N149" i="13" s="1"/>
  <c r="O149" i="13" s="1"/>
  <c r="I135" i="13"/>
  <c r="J135" i="13" s="1"/>
  <c r="K135" i="13" s="1"/>
  <c r="N135" i="13" s="1"/>
  <c r="O135" i="13" s="1"/>
  <c r="I108" i="13"/>
  <c r="J108" i="13" s="1"/>
  <c r="K108" i="13" s="1"/>
  <c r="N108" i="13" s="1"/>
  <c r="O108" i="13" s="1"/>
  <c r="I116" i="13"/>
  <c r="J116" i="13" s="1"/>
  <c r="K116" i="13" s="1"/>
  <c r="N116" i="13" s="1"/>
  <c r="O116" i="13" s="1"/>
  <c r="I101" i="13"/>
  <c r="J101" i="13" s="1"/>
  <c r="K101" i="13" s="1"/>
  <c r="N101" i="13" s="1"/>
  <c r="O101" i="13" s="1"/>
  <c r="I140" i="13"/>
  <c r="J140" i="13" s="1"/>
  <c r="K140" i="13" s="1"/>
  <c r="N140" i="13" s="1"/>
  <c r="O140" i="13" s="1"/>
  <c r="I143" i="13"/>
  <c r="J143" i="13" s="1"/>
  <c r="K143" i="13" s="1"/>
  <c r="N143" i="13" s="1"/>
  <c r="O143" i="13" s="1"/>
  <c r="I131" i="13"/>
  <c r="J131" i="13" s="1"/>
  <c r="K131" i="13" s="1"/>
  <c r="N131" i="13" s="1"/>
  <c r="O131" i="13" s="1"/>
  <c r="I128" i="13"/>
  <c r="J128" i="13" s="1"/>
  <c r="K128" i="13" s="1"/>
  <c r="N128" i="13" s="1"/>
  <c r="O128" i="13" s="1"/>
  <c r="I141" i="13"/>
  <c r="J141" i="13" s="1"/>
  <c r="K141" i="13" s="1"/>
  <c r="N141" i="13" s="1"/>
  <c r="O141" i="13" s="1"/>
  <c r="I129" i="13"/>
  <c r="J129" i="13" s="1"/>
  <c r="K129" i="13" s="1"/>
  <c r="N129" i="13" s="1"/>
  <c r="O129" i="13" s="1"/>
  <c r="I104" i="13"/>
  <c r="J104" i="13" s="1"/>
  <c r="K104" i="13" s="1"/>
  <c r="N104" i="13" s="1"/>
  <c r="O104" i="13" s="1"/>
  <c r="I137" i="13"/>
  <c r="J137" i="13" s="1"/>
  <c r="K137" i="13" s="1"/>
  <c r="N137" i="13" s="1"/>
  <c r="O137" i="13" s="1"/>
  <c r="I134" i="13"/>
  <c r="J134" i="13" s="1"/>
  <c r="K134" i="13" s="1"/>
  <c r="N134" i="13" s="1"/>
  <c r="O134" i="13" s="1"/>
  <c r="I102" i="13"/>
  <c r="J102" i="13" s="1"/>
  <c r="K102" i="13" s="1"/>
  <c r="N102" i="13" s="1"/>
  <c r="O102" i="13" s="1"/>
  <c r="I111" i="13"/>
  <c r="J111" i="13" s="1"/>
  <c r="K111" i="13" s="1"/>
  <c r="N111" i="13" s="1"/>
  <c r="O111" i="13" s="1"/>
  <c r="I147" i="13"/>
  <c r="J147" i="13" s="1"/>
  <c r="K147" i="13" s="1"/>
  <c r="N147" i="13" s="1"/>
  <c r="O147" i="13" s="1"/>
  <c r="I107" i="13"/>
  <c r="J107" i="13" s="1"/>
  <c r="K107" i="13" s="1"/>
  <c r="N107" i="13" s="1"/>
  <c r="O107" i="13" s="1"/>
  <c r="I122" i="13"/>
  <c r="J122" i="13" s="1"/>
  <c r="K122" i="13" s="1"/>
  <c r="N122" i="13" s="1"/>
  <c r="O122" i="13" s="1"/>
  <c r="I117" i="13"/>
  <c r="J117" i="13" s="1"/>
  <c r="K117" i="13" s="1"/>
  <c r="N117" i="13" s="1"/>
  <c r="O117" i="13" s="1"/>
  <c r="I106" i="13"/>
  <c r="J106" i="13" s="1"/>
  <c r="K106" i="13" s="1"/>
  <c r="N106" i="13" s="1"/>
  <c r="O106" i="13" s="1"/>
  <c r="I125" i="13"/>
  <c r="J125" i="13" s="1"/>
  <c r="K125" i="13" s="1"/>
  <c r="N125" i="13" s="1"/>
  <c r="O125" i="13" s="1"/>
  <c r="I114" i="13"/>
  <c r="J114" i="13" s="1"/>
  <c r="K114" i="13" s="1"/>
  <c r="N114" i="13" s="1"/>
  <c r="O114" i="13" s="1"/>
  <c r="I113" i="13"/>
  <c r="J113" i="13" s="1"/>
  <c r="K113" i="13" s="1"/>
  <c r="N113" i="13" s="1"/>
  <c r="O113" i="13" s="1"/>
  <c r="I97" i="13"/>
  <c r="J97" i="13" s="1"/>
  <c r="K97" i="13" s="1"/>
  <c r="N97" i="13" s="1"/>
  <c r="O97" i="13" s="1"/>
  <c r="I112" i="13"/>
  <c r="J112" i="13" s="1"/>
  <c r="K112" i="13" s="1"/>
  <c r="N112" i="13" s="1"/>
  <c r="O112" i="13" s="1"/>
  <c r="I119" i="13"/>
  <c r="J119" i="13" s="1"/>
  <c r="K119" i="13" s="1"/>
  <c r="N119" i="13" s="1"/>
  <c r="O119" i="13" s="1"/>
  <c r="I96" i="13"/>
  <c r="J96" i="13" s="1"/>
  <c r="K96" i="13" s="1"/>
  <c r="N96" i="13" s="1"/>
  <c r="O96" i="13" s="1"/>
  <c r="I87" i="13"/>
  <c r="J87" i="13" s="1"/>
  <c r="K87" i="13" s="1"/>
  <c r="N87" i="13" s="1"/>
  <c r="O87" i="13" s="1"/>
  <c r="I91" i="13"/>
  <c r="J91" i="13" s="1"/>
  <c r="K91" i="13" s="1"/>
  <c r="N91" i="13" s="1"/>
  <c r="O91" i="13" s="1"/>
  <c r="I98" i="13"/>
  <c r="J98" i="13" s="1"/>
  <c r="K98" i="13" s="1"/>
  <c r="N98" i="13" s="1"/>
  <c r="O98" i="13" s="1"/>
  <c r="I126" i="13"/>
  <c r="J126" i="13" s="1"/>
  <c r="K126" i="13" s="1"/>
  <c r="N126" i="13" s="1"/>
  <c r="O126" i="13" s="1"/>
  <c r="I105" i="13"/>
  <c r="J105" i="13" s="1"/>
  <c r="K105" i="13" s="1"/>
  <c r="N105" i="13" s="1"/>
  <c r="O105" i="13" s="1"/>
  <c r="I109" i="13"/>
  <c r="J109" i="13" s="1"/>
  <c r="K109" i="13" s="1"/>
  <c r="N109" i="13" s="1"/>
  <c r="O109" i="13" s="1"/>
  <c r="I148" i="13"/>
  <c r="J148" i="13" s="1"/>
  <c r="K148" i="13" s="1"/>
  <c r="N148" i="13" s="1"/>
  <c r="O148" i="13" s="1"/>
  <c r="I110" i="13"/>
  <c r="J110" i="13" s="1"/>
  <c r="K110" i="13" s="1"/>
  <c r="N110" i="13" s="1"/>
  <c r="O110" i="13" s="1"/>
  <c r="I150" i="13"/>
  <c r="J150" i="13" s="1"/>
  <c r="K150" i="13" s="1"/>
  <c r="N150" i="13" s="1"/>
  <c r="O150" i="13" s="1"/>
  <c r="I124" i="13"/>
  <c r="J124" i="13" s="1"/>
  <c r="K124" i="13" s="1"/>
  <c r="N124" i="13" s="1"/>
  <c r="O124" i="13" s="1"/>
  <c r="I118" i="13"/>
  <c r="J118" i="13" s="1"/>
  <c r="K118" i="13" s="1"/>
  <c r="N118" i="13" s="1"/>
  <c r="O118" i="13" s="1"/>
  <c r="I90" i="13"/>
  <c r="J90" i="13" s="1"/>
  <c r="K90" i="13" s="1"/>
  <c r="N90" i="13" s="1"/>
  <c r="O90" i="13" s="1"/>
  <c r="I103" i="13"/>
  <c r="J103" i="13" s="1"/>
  <c r="K103" i="13" s="1"/>
  <c r="N103" i="13" s="1"/>
  <c r="O103" i="13" s="1"/>
  <c r="I139" i="13"/>
  <c r="J139" i="13" s="1"/>
  <c r="K139" i="13" s="1"/>
  <c r="N139" i="13" s="1"/>
  <c r="O139" i="13" s="1"/>
  <c r="I157" i="13"/>
  <c r="J157" i="13" s="1"/>
  <c r="K157" i="13" s="1"/>
  <c r="N157" i="13" s="1"/>
  <c r="O157" i="13" s="1"/>
  <c r="I145" i="13"/>
  <c r="J145" i="13" s="1"/>
  <c r="K145" i="13" s="1"/>
  <c r="N145" i="13" s="1"/>
  <c r="O145" i="13" s="1"/>
  <c r="I121" i="13"/>
  <c r="J121" i="13" s="1"/>
  <c r="K121" i="13" s="1"/>
  <c r="N121" i="13" s="1"/>
  <c r="O121" i="13" s="1"/>
  <c r="I130" i="13"/>
  <c r="J130" i="13" s="1"/>
  <c r="K130" i="13" s="1"/>
  <c r="N130" i="13" s="1"/>
  <c r="O130" i="13" s="1"/>
  <c r="I123" i="13"/>
  <c r="J123" i="13" s="1"/>
  <c r="K123" i="13" s="1"/>
  <c r="N123" i="13" s="1"/>
  <c r="O123" i="13" s="1"/>
  <c r="I89" i="13"/>
  <c r="J89" i="13" s="1"/>
  <c r="K89" i="13" s="1"/>
  <c r="N89" i="13" s="1"/>
  <c r="O89" i="13" s="1"/>
  <c r="I100" i="13"/>
  <c r="J100" i="13" s="1"/>
  <c r="K100" i="13" s="1"/>
  <c r="N100" i="13" s="1"/>
  <c r="O100" i="13" s="1"/>
  <c r="I159" i="13"/>
  <c r="J159" i="13" s="1"/>
  <c r="K159" i="13" s="1"/>
  <c r="N159" i="13" s="1"/>
  <c r="O159" i="13" s="1"/>
  <c r="I93" i="13"/>
  <c r="J93" i="13" s="1"/>
  <c r="K93" i="13" s="1"/>
  <c r="N93" i="13" s="1"/>
  <c r="O93" i="13" s="1"/>
  <c r="I133" i="13"/>
  <c r="J133" i="13" s="1"/>
  <c r="K133" i="13" s="1"/>
  <c r="N133" i="13" s="1"/>
  <c r="O133" i="13" s="1"/>
  <c r="I132" i="13"/>
  <c r="J132" i="13" s="1"/>
  <c r="K132" i="13" s="1"/>
  <c r="N132" i="13" s="1"/>
  <c r="O132" i="13" s="1"/>
  <c r="I153" i="13"/>
  <c r="J153" i="13" s="1"/>
  <c r="K153" i="13" s="1"/>
  <c r="N153" i="13" s="1"/>
  <c r="O153" i="13" s="1"/>
  <c r="I99" i="13"/>
  <c r="J99" i="13" s="1"/>
  <c r="K99" i="13" s="1"/>
  <c r="N99" i="13" s="1"/>
  <c r="O99" i="13" s="1"/>
  <c r="I138" i="13"/>
  <c r="J138" i="13" s="1"/>
  <c r="K138" i="13" s="1"/>
  <c r="N138" i="13" s="1"/>
  <c r="O138" i="13" s="1"/>
  <c r="I127" i="13"/>
  <c r="J127" i="13" s="1"/>
  <c r="K127" i="13" s="1"/>
  <c r="N127" i="13" s="1"/>
  <c r="O127" i="13" s="1"/>
  <c r="I95" i="13"/>
  <c r="J95" i="13" s="1"/>
  <c r="K95" i="13" s="1"/>
  <c r="N95" i="13" s="1"/>
  <c r="O95" i="13" s="1"/>
  <c r="I115" i="13"/>
  <c r="J115" i="13" s="1"/>
  <c r="K115" i="13" s="1"/>
  <c r="N115" i="13" s="1"/>
  <c r="O115" i="13" s="1"/>
  <c r="I154" i="13"/>
  <c r="J154" i="13" s="1"/>
  <c r="K154" i="13" s="1"/>
  <c r="N154" i="13" s="1"/>
  <c r="O154" i="13" s="1"/>
  <c r="I144" i="13"/>
  <c r="J144" i="13" s="1"/>
  <c r="K144" i="13" s="1"/>
  <c r="N144" i="13" s="1"/>
  <c r="O144" i="13" s="1"/>
  <c r="I88" i="13"/>
  <c r="J88" i="13" s="1"/>
  <c r="K88" i="13" s="1"/>
  <c r="N88" i="13" s="1"/>
  <c r="O88" i="13" s="1"/>
  <c r="I94" i="13"/>
  <c r="J94" i="13" s="1"/>
  <c r="K94" i="13" s="1"/>
  <c r="N94" i="13" s="1"/>
  <c r="O94" i="13" s="1"/>
  <c r="I142" i="13"/>
  <c r="J142" i="13" s="1"/>
  <c r="K142" i="13" s="1"/>
  <c r="N142" i="13" s="1"/>
  <c r="O142" i="13" s="1"/>
  <c r="I120" i="13"/>
  <c r="J120" i="13" s="1"/>
  <c r="K120" i="13" s="1"/>
  <c r="N120" i="13" s="1"/>
  <c r="O120" i="13" s="1"/>
  <c r="I151" i="13"/>
  <c r="J151" i="13" s="1"/>
  <c r="K151" i="13" s="1"/>
  <c r="N151" i="13" s="1"/>
  <c r="O151" i="13" s="1"/>
  <c r="I160" i="13"/>
  <c r="J160" i="13" s="1"/>
  <c r="K160" i="13" s="1"/>
  <c r="N160" i="13" s="1"/>
  <c r="O160" i="13" s="1"/>
  <c r="I92" i="13"/>
  <c r="J92" i="13" s="1"/>
  <c r="K92" i="13" s="1"/>
  <c r="N92" i="13" s="1"/>
  <c r="O92" i="13" s="1"/>
  <c r="I156" i="13"/>
  <c r="J156" i="13" s="1"/>
  <c r="K156" i="13" s="1"/>
  <c r="N156" i="13" s="1"/>
  <c r="O156" i="13" s="1"/>
  <c r="I136" i="13"/>
  <c r="J136" i="13" s="1"/>
  <c r="K136" i="13" s="1"/>
  <c r="N136" i="13" s="1"/>
  <c r="O136" i="13" s="1"/>
  <c r="E24" i="9"/>
  <c r="B24" i="9"/>
  <c r="L24" i="9"/>
  <c r="M24" i="9"/>
  <c r="K24" i="9"/>
  <c r="I24" i="9"/>
  <c r="C24" i="9"/>
  <c r="D24" i="9" s="1"/>
  <c r="L16" i="9"/>
  <c r="K16" i="9"/>
  <c r="I16" i="9"/>
  <c r="E16" i="9"/>
  <c r="C16" i="9"/>
  <c r="D16" i="9" s="1"/>
  <c r="B16" i="9"/>
  <c r="M16" i="9"/>
  <c r="E52" i="9"/>
  <c r="L52" i="9"/>
  <c r="M52" i="9"/>
  <c r="K52" i="9"/>
  <c r="I52" i="9"/>
  <c r="B52" i="9"/>
  <c r="C52" i="9"/>
  <c r="D52" i="9" s="1"/>
  <c r="I62" i="9"/>
  <c r="B62" i="9"/>
  <c r="M62" i="9"/>
  <c r="L62" i="9"/>
  <c r="K62" i="9"/>
  <c r="C62" i="9"/>
  <c r="D62" i="9" s="1"/>
  <c r="E62" i="9"/>
  <c r="L37" i="9"/>
  <c r="K37" i="9"/>
  <c r="C37" i="9"/>
  <c r="D37" i="9" s="1"/>
  <c r="B37" i="9"/>
  <c r="I37" i="9"/>
  <c r="E37" i="9"/>
  <c r="M37" i="9"/>
  <c r="B27" i="9"/>
  <c r="M27" i="9"/>
  <c r="L27" i="9"/>
  <c r="K27" i="9"/>
  <c r="I27" i="9"/>
  <c r="E27" i="9"/>
  <c r="C27" i="9"/>
  <c r="D27" i="9" s="1"/>
  <c r="I200" i="13"/>
  <c r="J200" i="13" s="1"/>
  <c r="K200" i="13" s="1"/>
  <c r="N200" i="13" s="1"/>
  <c r="H14" i="11" s="1"/>
  <c r="I194" i="13"/>
  <c r="J194" i="13" s="1"/>
  <c r="K194" i="13" s="1"/>
  <c r="N194" i="13" s="1"/>
  <c r="H8" i="11" s="1"/>
  <c r="I189" i="13"/>
  <c r="J189" i="13" s="1"/>
  <c r="K189" i="13" s="1"/>
  <c r="N189" i="13" s="1"/>
  <c r="H3" i="11" s="1"/>
  <c r="I195" i="13"/>
  <c r="J195" i="13" s="1"/>
  <c r="K195" i="13" s="1"/>
  <c r="N195" i="13" s="1"/>
  <c r="H9" i="11" s="1"/>
  <c r="I193" i="13"/>
  <c r="J193" i="13" s="1"/>
  <c r="K193" i="13" s="1"/>
  <c r="N193" i="13" s="1"/>
  <c r="H7" i="11" s="1"/>
  <c r="I199" i="13"/>
  <c r="J199" i="13" s="1"/>
  <c r="K199" i="13" s="1"/>
  <c r="N199" i="13" s="1"/>
  <c r="H13" i="11" s="1"/>
  <c r="I192" i="13"/>
  <c r="J192" i="13" s="1"/>
  <c r="K192" i="13" s="1"/>
  <c r="N192" i="13" s="1"/>
  <c r="H6" i="11" s="1"/>
  <c r="I197" i="13"/>
  <c r="J197" i="13" s="1"/>
  <c r="K197" i="13" s="1"/>
  <c r="N197" i="13" s="1"/>
  <c r="H11" i="11" s="1"/>
  <c r="I196" i="13"/>
  <c r="J196" i="13" s="1"/>
  <c r="K196" i="13" s="1"/>
  <c r="N196" i="13" s="1"/>
  <c r="H10" i="11" s="1"/>
  <c r="I190" i="13"/>
  <c r="J190" i="13" s="1"/>
  <c r="K190" i="13" s="1"/>
  <c r="N190" i="13" s="1"/>
  <c r="H4" i="11" s="1"/>
  <c r="I191" i="13"/>
  <c r="J191" i="13" s="1"/>
  <c r="K191" i="13" s="1"/>
  <c r="N191" i="13" s="1"/>
  <c r="H5" i="11" s="1"/>
  <c r="I198" i="13"/>
  <c r="J198" i="13" s="1"/>
  <c r="K198" i="13" s="1"/>
  <c r="N198" i="13" s="1"/>
  <c r="H12" i="11" s="1"/>
  <c r="B10" i="10"/>
  <c r="M10" i="10"/>
  <c r="L10" i="10"/>
  <c r="K10" i="10"/>
  <c r="G10" i="10"/>
  <c r="C10" i="10"/>
  <c r="D10" i="10" s="1"/>
  <c r="I10" i="10"/>
  <c r="E10" i="10"/>
  <c r="M27" i="10"/>
  <c r="L27" i="10"/>
  <c r="K27" i="10"/>
  <c r="C27" i="10"/>
  <c r="D27" i="10" s="1"/>
  <c r="B27" i="10"/>
  <c r="I27" i="10"/>
  <c r="E27" i="10"/>
  <c r="Y221" i="13"/>
  <c r="S221" i="13"/>
  <c r="K23" i="12" s="1"/>
  <c r="F11" i="12"/>
  <c r="D11" i="12"/>
  <c r="E11" i="12" s="1"/>
  <c r="C11" i="12"/>
  <c r="M11" i="12"/>
  <c r="K11" i="12"/>
  <c r="J11" i="12"/>
  <c r="I11" i="12"/>
  <c r="H11" i="12"/>
  <c r="N11" i="12"/>
  <c r="L11" i="12"/>
  <c r="B11" i="12"/>
  <c r="F15" i="12"/>
  <c r="D15" i="12"/>
  <c r="E15" i="12" s="1"/>
  <c r="C15" i="12"/>
  <c r="M15" i="12"/>
  <c r="J15" i="12"/>
  <c r="I15" i="12"/>
  <c r="H15" i="12"/>
  <c r="G15" i="12"/>
  <c r="B15" i="12"/>
  <c r="N15" i="12"/>
  <c r="L15" i="12"/>
  <c r="K15" i="12"/>
  <c r="C8" i="12"/>
  <c r="N8" i="12"/>
  <c r="B8" i="12"/>
  <c r="M8" i="12"/>
  <c r="L8" i="12"/>
  <c r="J8" i="12"/>
  <c r="K8" i="12"/>
  <c r="I8" i="12"/>
  <c r="F8" i="12"/>
  <c r="D8" i="12"/>
  <c r="E8" i="12" s="1"/>
  <c r="L9" i="11"/>
  <c r="J9" i="11"/>
  <c r="I9" i="11"/>
  <c r="N9" i="11"/>
  <c r="M9" i="11"/>
  <c r="F9" i="11"/>
  <c r="D9" i="11"/>
  <c r="E9" i="11" s="1"/>
  <c r="B9" i="11"/>
  <c r="C9" i="11"/>
  <c r="I6" i="10"/>
  <c r="G6" i="10"/>
  <c r="B6" i="10"/>
  <c r="E6" i="10"/>
  <c r="C6" i="10"/>
  <c r="D6" i="10" s="1"/>
  <c r="M6" i="10"/>
  <c r="L6" i="10"/>
  <c r="K6" i="10"/>
  <c r="G39" i="8"/>
  <c r="B39" i="8"/>
  <c r="L39" i="8"/>
  <c r="C39" i="8"/>
  <c r="D39" i="8" s="1"/>
  <c r="M39" i="8"/>
  <c r="K39" i="8"/>
  <c r="I39" i="8"/>
  <c r="E39" i="8"/>
  <c r="B37" i="8"/>
  <c r="L37" i="8"/>
  <c r="K37" i="8"/>
  <c r="C37" i="8"/>
  <c r="D37" i="8" s="1"/>
  <c r="M37" i="8"/>
  <c r="I37" i="8"/>
  <c r="E37" i="8"/>
  <c r="L44" i="8"/>
  <c r="I44" i="8"/>
  <c r="B44" i="8"/>
  <c r="M44" i="8"/>
  <c r="K44" i="8"/>
  <c r="E44" i="8"/>
  <c r="C44" i="8"/>
  <c r="D44" i="8" s="1"/>
  <c r="B18" i="8"/>
  <c r="M18" i="8"/>
  <c r="K18" i="8"/>
  <c r="I18" i="8"/>
  <c r="E18" i="8"/>
  <c r="C18" i="8"/>
  <c r="D18" i="8" s="1"/>
  <c r="L18" i="8"/>
  <c r="G18" i="7"/>
  <c r="E18" i="7"/>
  <c r="B18" i="7"/>
  <c r="M18" i="7"/>
  <c r="F18" i="7"/>
  <c r="I18" i="7"/>
  <c r="L18" i="7"/>
  <c r="K18" i="7"/>
  <c r="C18" i="7"/>
  <c r="D18" i="7" s="1"/>
  <c r="C26" i="7"/>
  <c r="D26" i="7" s="1"/>
  <c r="M26" i="7"/>
  <c r="L26" i="7"/>
  <c r="I26" i="7"/>
  <c r="F26" i="7"/>
  <c r="E26" i="7"/>
  <c r="K26" i="7"/>
  <c r="B26" i="7"/>
  <c r="G26" i="7"/>
  <c r="E6" i="9"/>
  <c r="B6" i="9"/>
  <c r="L6" i="9"/>
  <c r="M6" i="9"/>
  <c r="K6" i="9"/>
  <c r="I6" i="9"/>
  <c r="C6" i="9"/>
  <c r="D6" i="9" s="1"/>
  <c r="L4" i="9"/>
  <c r="K4" i="9"/>
  <c r="I4" i="9"/>
  <c r="F4" i="9"/>
  <c r="M4" i="9"/>
  <c r="E4" i="9"/>
  <c r="B4" i="9"/>
  <c r="C4" i="9"/>
  <c r="D4" i="9" s="1"/>
  <c r="G4" i="9"/>
  <c r="G63" i="9"/>
  <c r="F63" i="9"/>
  <c r="B63" i="9"/>
  <c r="L63" i="9"/>
  <c r="C63" i="9"/>
  <c r="D63" i="9" s="1"/>
  <c r="M63" i="9"/>
  <c r="E63" i="9"/>
  <c r="K63" i="9"/>
  <c r="I63" i="9"/>
  <c r="B60" i="9"/>
  <c r="M60" i="9"/>
  <c r="L60" i="9"/>
  <c r="C60" i="9"/>
  <c r="D60" i="9" s="1"/>
  <c r="E60" i="9"/>
  <c r="K60" i="9"/>
  <c r="I60" i="9"/>
  <c r="F23" i="12"/>
  <c r="D23" i="12"/>
  <c r="E23" i="12" s="1"/>
  <c r="C23" i="12"/>
  <c r="M23" i="12"/>
  <c r="H23" i="12"/>
  <c r="G23" i="12"/>
  <c r="B23" i="12"/>
  <c r="L23" i="12"/>
  <c r="N23" i="12"/>
  <c r="J23" i="12"/>
  <c r="I23" i="12"/>
  <c r="Y196" i="13"/>
  <c r="S196" i="13"/>
  <c r="K10" i="11" s="1"/>
  <c r="B19" i="8"/>
  <c r="L19" i="8"/>
  <c r="K19" i="8"/>
  <c r="M19" i="8"/>
  <c r="C19" i="8"/>
  <c r="D19" i="8" s="1"/>
  <c r="E19" i="8"/>
  <c r="I19" i="8"/>
  <c r="G19" i="8"/>
  <c r="E16" i="8"/>
  <c r="L16" i="8"/>
  <c r="B16" i="8"/>
  <c r="K16" i="8"/>
  <c r="I16" i="8"/>
  <c r="C16" i="8"/>
  <c r="D16" i="8" s="1"/>
  <c r="M16" i="8"/>
  <c r="B57" i="9"/>
  <c r="L57" i="9"/>
  <c r="E57" i="9"/>
  <c r="C57" i="9"/>
  <c r="D57" i="9" s="1"/>
  <c r="M57" i="9"/>
  <c r="I57" i="9"/>
  <c r="K57" i="9"/>
  <c r="I22" i="12"/>
  <c r="H22" i="12"/>
  <c r="F22" i="12"/>
  <c r="D22" i="12"/>
  <c r="E22" i="12" s="1"/>
  <c r="B22" i="12"/>
  <c r="M22" i="12"/>
  <c r="K22" i="12"/>
  <c r="L22" i="12"/>
  <c r="N22" i="12"/>
  <c r="J22" i="12"/>
  <c r="C22" i="12"/>
  <c r="F7" i="11"/>
  <c r="D7" i="11"/>
  <c r="E7" i="11" s="1"/>
  <c r="C7" i="11"/>
  <c r="K7" i="11"/>
  <c r="J7" i="11"/>
  <c r="I7" i="11"/>
  <c r="M7" i="11"/>
  <c r="L7" i="11"/>
  <c r="B7" i="11"/>
  <c r="N7" i="11"/>
  <c r="Y225" i="13"/>
  <c r="S225" i="13"/>
  <c r="K27" i="12" s="1"/>
  <c r="Y208" i="13"/>
  <c r="S208" i="13"/>
  <c r="K10" i="12" s="1"/>
  <c r="B22" i="10"/>
  <c r="M22" i="10"/>
  <c r="L22" i="10"/>
  <c r="K22" i="10"/>
  <c r="F22" i="10"/>
  <c r="I22" i="10"/>
  <c r="G22" i="10"/>
  <c r="E22" i="10"/>
  <c r="C22" i="10"/>
  <c r="D22" i="10" s="1"/>
  <c r="B42" i="9"/>
  <c r="M42" i="9"/>
  <c r="L42" i="9"/>
  <c r="F42" i="9"/>
  <c r="K42" i="9"/>
  <c r="I42" i="9"/>
  <c r="G42" i="9"/>
  <c r="E42" i="9"/>
  <c r="C42" i="9"/>
  <c r="D42" i="9" s="1"/>
  <c r="I5" i="9"/>
  <c r="B5" i="9"/>
  <c r="C5" i="9"/>
  <c r="D5" i="9" s="1"/>
  <c r="L5" i="9"/>
  <c r="K5" i="9"/>
  <c r="M5" i="9"/>
  <c r="E5" i="9"/>
  <c r="I17" i="9"/>
  <c r="B17" i="9"/>
  <c r="M17" i="9"/>
  <c r="F17" i="9"/>
  <c r="C17" i="9"/>
  <c r="D17" i="9" s="1"/>
  <c r="E17" i="9"/>
  <c r="K17" i="9"/>
  <c r="L17" i="9"/>
  <c r="L49" i="9"/>
  <c r="K49" i="9"/>
  <c r="M49" i="9"/>
  <c r="I49" i="9"/>
  <c r="C49" i="9"/>
  <c r="D49" i="9" s="1"/>
  <c r="E49" i="9"/>
  <c r="B49" i="9"/>
  <c r="L73" i="9"/>
  <c r="K73" i="9"/>
  <c r="C73" i="9"/>
  <c r="D73" i="9" s="1"/>
  <c r="B73" i="9"/>
  <c r="I73" i="9"/>
  <c r="M73" i="9"/>
  <c r="E73" i="9"/>
  <c r="B33" i="9"/>
  <c r="M33" i="9"/>
  <c r="L33" i="9"/>
  <c r="K33" i="9"/>
  <c r="I33" i="9"/>
  <c r="C33" i="9"/>
  <c r="D33" i="9" s="1"/>
  <c r="E33" i="9"/>
  <c r="I86" i="13"/>
  <c r="J86" i="13" s="1"/>
  <c r="K86" i="13" s="1"/>
  <c r="N86" i="13" s="1"/>
  <c r="O86" i="13" s="1"/>
  <c r="I80" i="13"/>
  <c r="J80" i="13" s="1"/>
  <c r="K80" i="13" s="1"/>
  <c r="N80" i="13" s="1"/>
  <c r="O80" i="13" s="1"/>
  <c r="I44" i="13"/>
  <c r="J44" i="13" s="1"/>
  <c r="K44" i="13" s="1"/>
  <c r="N44" i="13" s="1"/>
  <c r="O44" i="13" s="1"/>
  <c r="I81" i="13"/>
  <c r="J81" i="13" s="1"/>
  <c r="K81" i="13" s="1"/>
  <c r="N81" i="13" s="1"/>
  <c r="O81" i="13" s="1"/>
  <c r="I50" i="13"/>
  <c r="J50" i="13" s="1"/>
  <c r="K50" i="13" s="1"/>
  <c r="N50" i="13" s="1"/>
  <c r="O50" i="13" s="1"/>
  <c r="I56" i="13"/>
  <c r="J56" i="13" s="1"/>
  <c r="K56" i="13" s="1"/>
  <c r="N56" i="13" s="1"/>
  <c r="O56" i="13" s="1"/>
  <c r="I75" i="13"/>
  <c r="J75" i="13" s="1"/>
  <c r="K75" i="13" s="1"/>
  <c r="N75" i="13" s="1"/>
  <c r="O75" i="13" s="1"/>
  <c r="I74" i="13"/>
  <c r="J74" i="13" s="1"/>
  <c r="K74" i="13" s="1"/>
  <c r="N74" i="13" s="1"/>
  <c r="O74" i="13" s="1"/>
  <c r="I63" i="13"/>
  <c r="J63" i="13" s="1"/>
  <c r="K63" i="13" s="1"/>
  <c r="N63" i="13" s="1"/>
  <c r="O63" i="13" s="1"/>
  <c r="I51" i="13"/>
  <c r="J51" i="13" s="1"/>
  <c r="K51" i="13" s="1"/>
  <c r="N51" i="13" s="1"/>
  <c r="O51" i="13" s="1"/>
  <c r="I47" i="13"/>
  <c r="J47" i="13" s="1"/>
  <c r="K47" i="13" s="1"/>
  <c r="N47" i="13" s="1"/>
  <c r="O47" i="13" s="1"/>
  <c r="I68" i="13"/>
  <c r="J68" i="13" s="1"/>
  <c r="K68" i="13" s="1"/>
  <c r="N68" i="13" s="1"/>
  <c r="O68" i="13" s="1"/>
  <c r="I69" i="13"/>
  <c r="J69" i="13" s="1"/>
  <c r="K69" i="13" s="1"/>
  <c r="N69" i="13" s="1"/>
  <c r="O69" i="13" s="1"/>
  <c r="I57" i="13"/>
  <c r="J57" i="13" s="1"/>
  <c r="K57" i="13" s="1"/>
  <c r="N57" i="13" s="1"/>
  <c r="O57" i="13" s="1"/>
  <c r="I38" i="13"/>
  <c r="J38" i="13" s="1"/>
  <c r="K38" i="13" s="1"/>
  <c r="N38" i="13" s="1"/>
  <c r="O38" i="13" s="1"/>
  <c r="I62" i="13"/>
  <c r="J62" i="13" s="1"/>
  <c r="K62" i="13" s="1"/>
  <c r="N62" i="13" s="1"/>
  <c r="O62" i="13" s="1"/>
  <c r="I73" i="13"/>
  <c r="J73" i="13" s="1"/>
  <c r="K73" i="13" s="1"/>
  <c r="N73" i="13" s="1"/>
  <c r="O73" i="13" s="1"/>
  <c r="I49" i="13"/>
  <c r="J49" i="13" s="1"/>
  <c r="K49" i="13" s="1"/>
  <c r="N49" i="13" s="1"/>
  <c r="O49" i="13" s="1"/>
  <c r="I43" i="13"/>
  <c r="J43" i="13" s="1"/>
  <c r="K43" i="13" s="1"/>
  <c r="N43" i="13" s="1"/>
  <c r="O43" i="13" s="1"/>
  <c r="I85" i="13"/>
  <c r="J85" i="13" s="1"/>
  <c r="K85" i="13" s="1"/>
  <c r="N85" i="13" s="1"/>
  <c r="O85" i="13" s="1"/>
  <c r="I42" i="13"/>
  <c r="J42" i="13" s="1"/>
  <c r="K42" i="13" s="1"/>
  <c r="N42" i="13" s="1"/>
  <c r="O42" i="13" s="1"/>
  <c r="I79" i="13"/>
  <c r="J79" i="13" s="1"/>
  <c r="K79" i="13" s="1"/>
  <c r="N79" i="13" s="1"/>
  <c r="O79" i="13" s="1"/>
  <c r="I64" i="13"/>
  <c r="J64" i="13" s="1"/>
  <c r="K64" i="13" s="1"/>
  <c r="N64" i="13" s="1"/>
  <c r="O64" i="13" s="1"/>
  <c r="I72" i="13"/>
  <c r="J72" i="13" s="1"/>
  <c r="K72" i="13" s="1"/>
  <c r="N72" i="13" s="1"/>
  <c r="O72" i="13" s="1"/>
  <c r="I84" i="13"/>
  <c r="J84" i="13" s="1"/>
  <c r="K84" i="13" s="1"/>
  <c r="N84" i="13" s="1"/>
  <c r="O84" i="13" s="1"/>
  <c r="I59" i="13"/>
  <c r="J59" i="13" s="1"/>
  <c r="K59" i="13" s="1"/>
  <c r="N59" i="13" s="1"/>
  <c r="O59" i="13" s="1"/>
  <c r="I77" i="13"/>
  <c r="J77" i="13" s="1"/>
  <c r="K77" i="13" s="1"/>
  <c r="N77" i="13" s="1"/>
  <c r="O77" i="13" s="1"/>
  <c r="I36" i="13"/>
  <c r="J36" i="13" s="1"/>
  <c r="K36" i="13" s="1"/>
  <c r="N36" i="13" s="1"/>
  <c r="O36" i="13" s="1"/>
  <c r="I70" i="13"/>
  <c r="J70" i="13" s="1"/>
  <c r="K70" i="13" s="1"/>
  <c r="N70" i="13" s="1"/>
  <c r="O70" i="13" s="1"/>
  <c r="I60" i="13"/>
  <c r="J60" i="13" s="1"/>
  <c r="K60" i="13" s="1"/>
  <c r="N60" i="13" s="1"/>
  <c r="O60" i="13" s="1"/>
  <c r="I54" i="13"/>
  <c r="J54" i="13" s="1"/>
  <c r="K54" i="13" s="1"/>
  <c r="N54" i="13" s="1"/>
  <c r="O54" i="13" s="1"/>
  <c r="I83" i="13"/>
  <c r="J83" i="13" s="1"/>
  <c r="K83" i="13" s="1"/>
  <c r="N83" i="13" s="1"/>
  <c r="O83" i="13" s="1"/>
  <c r="I55" i="13"/>
  <c r="J55" i="13" s="1"/>
  <c r="K55" i="13" s="1"/>
  <c r="N55" i="13" s="1"/>
  <c r="O55" i="13" s="1"/>
  <c r="I76" i="13"/>
  <c r="J76" i="13" s="1"/>
  <c r="K76" i="13" s="1"/>
  <c r="N76" i="13" s="1"/>
  <c r="O76" i="13" s="1"/>
  <c r="I35" i="13"/>
  <c r="J35" i="13" s="1"/>
  <c r="K35" i="13" s="1"/>
  <c r="N35" i="13" s="1"/>
  <c r="O35" i="13" s="1"/>
  <c r="I48" i="13"/>
  <c r="J48" i="13" s="1"/>
  <c r="K48" i="13" s="1"/>
  <c r="N48" i="13" s="1"/>
  <c r="O48" i="13" s="1"/>
  <c r="I67" i="13"/>
  <c r="J67" i="13" s="1"/>
  <c r="K67" i="13" s="1"/>
  <c r="N67" i="13" s="1"/>
  <c r="O67" i="13" s="1"/>
  <c r="I37" i="13"/>
  <c r="J37" i="13" s="1"/>
  <c r="K37" i="13" s="1"/>
  <c r="N37" i="13" s="1"/>
  <c r="O37" i="13" s="1"/>
  <c r="I58" i="13"/>
  <c r="J58" i="13" s="1"/>
  <c r="K58" i="13" s="1"/>
  <c r="N58" i="13" s="1"/>
  <c r="O58" i="13" s="1"/>
  <c r="I82" i="13"/>
  <c r="J82" i="13" s="1"/>
  <c r="K82" i="13" s="1"/>
  <c r="N82" i="13" s="1"/>
  <c r="O82" i="13" s="1"/>
  <c r="I78" i="13"/>
  <c r="J78" i="13" s="1"/>
  <c r="K78" i="13" s="1"/>
  <c r="N78" i="13" s="1"/>
  <c r="O78" i="13" s="1"/>
  <c r="I45" i="13"/>
  <c r="J45" i="13" s="1"/>
  <c r="K45" i="13" s="1"/>
  <c r="N45" i="13" s="1"/>
  <c r="O45" i="13" s="1"/>
  <c r="I61" i="13"/>
  <c r="J61" i="13" s="1"/>
  <c r="K61" i="13" s="1"/>
  <c r="N61" i="13" s="1"/>
  <c r="O61" i="13" s="1"/>
  <c r="I46" i="13"/>
  <c r="J46" i="13" s="1"/>
  <c r="K46" i="13" s="1"/>
  <c r="N46" i="13" s="1"/>
  <c r="O46" i="13" s="1"/>
  <c r="I52" i="13"/>
  <c r="J52" i="13" s="1"/>
  <c r="K52" i="13" s="1"/>
  <c r="N52" i="13" s="1"/>
  <c r="O52" i="13" s="1"/>
  <c r="I53" i="13"/>
  <c r="J53" i="13" s="1"/>
  <c r="K53" i="13" s="1"/>
  <c r="N53" i="13" s="1"/>
  <c r="O53" i="13" s="1"/>
  <c r="I65" i="13"/>
  <c r="J65" i="13" s="1"/>
  <c r="K65" i="13" s="1"/>
  <c r="N65" i="13" s="1"/>
  <c r="O65" i="13" s="1"/>
  <c r="I41" i="13"/>
  <c r="J41" i="13" s="1"/>
  <c r="K41" i="13" s="1"/>
  <c r="N41" i="13" s="1"/>
  <c r="O41" i="13" s="1"/>
  <c r="I40" i="13"/>
  <c r="J40" i="13" s="1"/>
  <c r="K40" i="13" s="1"/>
  <c r="N40" i="13" s="1"/>
  <c r="O40" i="13" s="1"/>
  <c r="I71" i="13"/>
  <c r="J71" i="13" s="1"/>
  <c r="K71" i="13" s="1"/>
  <c r="N71" i="13" s="1"/>
  <c r="O71" i="13" s="1"/>
  <c r="I39" i="13"/>
  <c r="J39" i="13" s="1"/>
  <c r="K39" i="13" s="1"/>
  <c r="N39" i="13" s="1"/>
  <c r="O39" i="13" s="1"/>
  <c r="I66" i="13"/>
  <c r="J66" i="13" s="1"/>
  <c r="K66" i="13" s="1"/>
  <c r="N66" i="13" s="1"/>
  <c r="O66" i="13" s="1"/>
  <c r="Y227" i="13"/>
  <c r="S227" i="13"/>
  <c r="K29" i="12" s="1"/>
  <c r="I30" i="12"/>
  <c r="F30" i="12"/>
  <c r="D30" i="12"/>
  <c r="E30" i="12" s="1"/>
  <c r="N30" i="12"/>
  <c r="M30" i="12"/>
  <c r="K30" i="12"/>
  <c r="B30" i="12"/>
  <c r="L30" i="12"/>
  <c r="C30" i="12"/>
  <c r="J30" i="12"/>
  <c r="I14" i="12"/>
  <c r="H14" i="12"/>
  <c r="G14" i="12"/>
  <c r="F14" i="12"/>
  <c r="D14" i="12"/>
  <c r="E14" i="12" s="1"/>
  <c r="C14" i="12"/>
  <c r="B14" i="12"/>
  <c r="M14" i="12"/>
  <c r="L14" i="12"/>
  <c r="N14" i="12"/>
  <c r="J14" i="12"/>
  <c r="C12" i="12"/>
  <c r="N12" i="12"/>
  <c r="B12" i="12"/>
  <c r="M12" i="12"/>
  <c r="L12" i="12"/>
  <c r="J12" i="12"/>
  <c r="I12" i="12"/>
  <c r="H12" i="12"/>
  <c r="F12" i="12"/>
  <c r="D12" i="12"/>
  <c r="E12" i="12" s="1"/>
  <c r="G12" i="12"/>
  <c r="Y215" i="13"/>
  <c r="S215" i="13"/>
  <c r="K17" i="12" s="1"/>
  <c r="F3" i="11"/>
  <c r="D3" i="11"/>
  <c r="E3" i="11" s="1"/>
  <c r="C3" i="11"/>
  <c r="N3" i="11"/>
  <c r="M3" i="11"/>
  <c r="L3" i="11"/>
  <c r="J3" i="11"/>
  <c r="B3" i="11"/>
  <c r="I3" i="11"/>
  <c r="C29" i="8"/>
  <c r="D29" i="8" s="1"/>
  <c r="M29" i="8"/>
  <c r="K29" i="8"/>
  <c r="I29" i="8"/>
  <c r="L29" i="8"/>
  <c r="E29" i="8"/>
  <c r="B29" i="8"/>
  <c r="B6" i="8"/>
  <c r="M6" i="8"/>
  <c r="F6" i="8"/>
  <c r="C6" i="8"/>
  <c r="D6" i="8" s="1"/>
  <c r="K6" i="8"/>
  <c r="I6" i="8"/>
  <c r="L6" i="8"/>
  <c r="E6" i="8"/>
  <c r="L38" i="8"/>
  <c r="I38" i="8"/>
  <c r="M38" i="8"/>
  <c r="K38" i="8"/>
  <c r="C38" i="8"/>
  <c r="D38" i="8" s="1"/>
  <c r="F38" i="8"/>
  <c r="E38" i="8"/>
  <c r="B38" i="8"/>
  <c r="E46" i="8"/>
  <c r="L46" i="8"/>
  <c r="B46" i="8"/>
  <c r="M46" i="8"/>
  <c r="I46" i="8"/>
  <c r="K46" i="8"/>
  <c r="C46" i="8"/>
  <c r="D46" i="8" s="1"/>
  <c r="B36" i="8"/>
  <c r="M36" i="8"/>
  <c r="E36" i="8"/>
  <c r="C36" i="8"/>
  <c r="D36" i="8" s="1"/>
  <c r="L36" i="8"/>
  <c r="K36" i="8"/>
  <c r="I36" i="8"/>
  <c r="E6" i="7"/>
  <c r="B6" i="7"/>
  <c r="L6" i="7"/>
  <c r="I6" i="7"/>
  <c r="C6" i="7"/>
  <c r="D6" i="7" s="1"/>
  <c r="K6" i="7"/>
  <c r="M6" i="7"/>
  <c r="K28" i="7"/>
  <c r="I28" i="7"/>
  <c r="F28" i="7"/>
  <c r="M28" i="7"/>
  <c r="C28" i="7"/>
  <c r="D28" i="7" s="1"/>
  <c r="L28" i="7"/>
  <c r="G28" i="7"/>
  <c r="E28" i="7"/>
  <c r="B28" i="7"/>
  <c r="G16" i="12" l="1"/>
  <c r="G71" i="9"/>
  <c r="F29" i="8"/>
  <c r="G76" i="9"/>
  <c r="G9" i="11"/>
  <c r="G20" i="12"/>
  <c r="F52" i="9"/>
  <c r="F22" i="8"/>
  <c r="G38" i="8"/>
  <c r="F13" i="10"/>
  <c r="G32" i="9"/>
  <c r="G7" i="11"/>
  <c r="G11" i="12"/>
  <c r="F27" i="10"/>
  <c r="F7" i="10"/>
  <c r="G37" i="8"/>
  <c r="F27" i="8"/>
  <c r="G22" i="7"/>
  <c r="G46" i="8"/>
  <c r="G27" i="9"/>
  <c r="F31" i="8"/>
  <c r="F37" i="8"/>
  <c r="G52" i="9"/>
  <c r="F22" i="7"/>
  <c r="G10" i="8"/>
  <c r="G17" i="12"/>
  <c r="G7" i="7"/>
  <c r="F46" i="8"/>
  <c r="F55" i="9"/>
  <c r="G27" i="10"/>
  <c r="F6" i="10"/>
  <c r="F27" i="9"/>
  <c r="G28" i="10"/>
  <c r="G27" i="7"/>
  <c r="G37" i="9"/>
  <c r="G17" i="10"/>
  <c r="G61" i="9"/>
  <c r="F23" i="10"/>
  <c r="G4" i="7"/>
  <c r="G12" i="9"/>
  <c r="G25" i="10"/>
  <c r="G41" i="8"/>
  <c r="F30" i="9"/>
  <c r="F19" i="7"/>
  <c r="G13" i="8"/>
  <c r="F61" i="9"/>
  <c r="G21" i="8"/>
  <c r="G21" i="10"/>
  <c r="G26" i="8"/>
  <c r="G7" i="10"/>
  <c r="G5" i="11"/>
  <c r="C30" i="14"/>
  <c r="G6" i="7"/>
  <c r="G16" i="9"/>
  <c r="F4" i="7"/>
  <c r="F10" i="8"/>
  <c r="F48" i="9"/>
  <c r="G13" i="9"/>
  <c r="F53" i="9"/>
  <c r="F37" i="9"/>
  <c r="F16" i="9"/>
  <c r="G23" i="10"/>
  <c r="F65" i="9"/>
  <c r="G26" i="10"/>
  <c r="F38" i="9"/>
  <c r="F8" i="9"/>
  <c r="G60" i="9"/>
  <c r="G30" i="12"/>
  <c r="G18" i="8"/>
  <c r="F21" i="10"/>
  <c r="F29" i="7"/>
  <c r="F29" i="10"/>
  <c r="F9" i="7"/>
  <c r="F7" i="8"/>
  <c r="F6" i="7"/>
  <c r="G74" i="9"/>
  <c r="F19" i="10"/>
  <c r="G31" i="9"/>
  <c r="F41" i="9"/>
  <c r="F26" i="10"/>
  <c r="G48" i="8"/>
  <c r="F45" i="9"/>
  <c r="G42" i="8"/>
  <c r="G6" i="8"/>
  <c r="F6" i="9"/>
  <c r="G67" i="9"/>
  <c r="G9" i="9"/>
  <c r="G40" i="9"/>
  <c r="F35" i="8"/>
  <c r="F25" i="10"/>
  <c r="G3" i="11"/>
  <c r="G22" i="12"/>
  <c r="F67" i="9"/>
  <c r="F16" i="7"/>
  <c r="G29" i="12"/>
  <c r="G29" i="10"/>
  <c r="G20" i="8"/>
  <c r="G21" i="7"/>
  <c r="G23" i="7"/>
  <c r="F25" i="7"/>
  <c r="G13" i="12"/>
  <c r="F36" i="8"/>
  <c r="G55" i="9"/>
  <c r="G11" i="11"/>
  <c r="F18" i="9"/>
  <c r="G8" i="8"/>
  <c r="F34" i="8"/>
  <c r="G49" i="8"/>
  <c r="G15" i="10"/>
  <c r="G22" i="8"/>
  <c r="F20" i="8"/>
  <c r="G17" i="7"/>
  <c r="G12" i="7"/>
  <c r="G50" i="8"/>
  <c r="F40" i="9"/>
  <c r="G44" i="9"/>
  <c r="F26" i="9"/>
  <c r="G64" i="9"/>
  <c r="F27" i="7"/>
  <c r="F34" i="9"/>
  <c r="F47" i="9"/>
  <c r="F75" i="9"/>
  <c r="G20" i="7"/>
  <c r="F5" i="7"/>
  <c r="G58" i="9"/>
  <c r="G14" i="7"/>
  <c r="F32" i="8"/>
  <c r="G21" i="12"/>
  <c r="G18" i="10"/>
  <c r="G73" i="9"/>
  <c r="F62" i="9"/>
  <c r="G9" i="12"/>
  <c r="G8" i="10"/>
  <c r="F21" i="9"/>
  <c r="G18" i="9"/>
  <c r="G65" i="9"/>
  <c r="F71" i="9"/>
  <c r="G29" i="7"/>
  <c r="F30" i="8"/>
  <c r="G48" i="9"/>
  <c r="G36" i="9"/>
  <c r="G41" i="9"/>
  <c r="F43" i="8"/>
  <c r="G9" i="8"/>
  <c r="G10" i="9"/>
  <c r="G29" i="9"/>
  <c r="F19" i="9"/>
  <c r="G26" i="9"/>
  <c r="G40" i="8"/>
  <c r="G11" i="8"/>
  <c r="G15" i="8"/>
  <c r="F52" i="8"/>
  <c r="G66" i="9"/>
  <c r="G75" i="9"/>
  <c r="G5" i="7"/>
  <c r="F48" i="8"/>
  <c r="G10" i="7"/>
  <c r="G32" i="8"/>
  <c r="G51" i="8"/>
  <c r="G13" i="11"/>
  <c r="F5" i="10"/>
  <c r="F10" i="7"/>
  <c r="F5" i="9"/>
  <c r="G8" i="12"/>
  <c r="F24" i="9"/>
  <c r="F21" i="8"/>
  <c r="F53" i="8"/>
  <c r="F36" i="9"/>
  <c r="G19" i="9"/>
  <c r="F12" i="7"/>
  <c r="G31" i="8"/>
  <c r="F32" i="9"/>
  <c r="G53" i="9"/>
  <c r="G38" i="9"/>
  <c r="G30" i="9"/>
  <c r="F33" i="8"/>
  <c r="F66" i="9"/>
  <c r="G15" i="7"/>
  <c r="G23" i="8"/>
  <c r="G8" i="9"/>
  <c r="F28" i="9"/>
  <c r="F28" i="8"/>
  <c r="G30" i="8"/>
  <c r="G16" i="8"/>
  <c r="F13" i="7"/>
  <c r="G24" i="9"/>
  <c r="F3" i="8"/>
  <c r="G36" i="8"/>
  <c r="G33" i="9"/>
  <c r="G5" i="9"/>
  <c r="F19" i="8"/>
  <c r="F60" i="9"/>
  <c r="G6" i="9"/>
  <c r="F14" i="8"/>
  <c r="J3" i="13"/>
  <c r="F76" i="9"/>
  <c r="G15" i="9"/>
  <c r="G19" i="10"/>
  <c r="G16" i="7"/>
  <c r="K161" i="13"/>
  <c r="N161" i="13" s="1"/>
  <c r="F3" i="10"/>
  <c r="F9" i="9"/>
  <c r="G3" i="9"/>
  <c r="F10" i="9"/>
  <c r="F25" i="8"/>
  <c r="G10" i="11"/>
  <c r="G25" i="7"/>
  <c r="G13" i="10"/>
  <c r="G16" i="10"/>
  <c r="F25" i="9"/>
  <c r="G32" i="7"/>
  <c r="G33" i="7"/>
  <c r="F72" i="9"/>
  <c r="F69" i="9"/>
  <c r="F11" i="7"/>
  <c r="F47" i="8"/>
  <c r="F13" i="8"/>
  <c r="G27" i="8"/>
  <c r="F17" i="10"/>
  <c r="G54" i="9"/>
  <c r="G45" i="9"/>
  <c r="F46" i="9"/>
  <c r="G3" i="8"/>
  <c r="G49" i="9"/>
  <c r="F23" i="9"/>
  <c r="G59" i="9"/>
  <c r="G17" i="9"/>
  <c r="F10" i="10"/>
  <c r="F12" i="8"/>
  <c r="G5" i="8"/>
  <c r="F30" i="10"/>
  <c r="F24" i="8"/>
  <c r="F41" i="8"/>
  <c r="B40" i="14"/>
  <c r="F20" i="10"/>
  <c r="F50" i="9"/>
  <c r="F21" i="7"/>
  <c r="G17" i="8"/>
  <c r="F50" i="8"/>
  <c r="G45" i="8"/>
  <c r="F44" i="9"/>
  <c r="G23" i="9"/>
  <c r="F64" i="9"/>
  <c r="F51" i="9"/>
  <c r="G69" i="9"/>
  <c r="G11" i="7"/>
  <c r="G35" i="8"/>
  <c r="G4" i="11"/>
  <c r="F14" i="10"/>
  <c r="G47" i="9"/>
  <c r="F59" i="9"/>
  <c r="F8" i="7"/>
  <c r="F7" i="7"/>
  <c r="G6" i="11"/>
  <c r="F54" i="9"/>
  <c r="G24" i="7"/>
  <c r="G72" i="9"/>
  <c r="G30" i="7"/>
  <c r="F31" i="7"/>
  <c r="F33" i="9"/>
  <c r="F54" i="8"/>
  <c r="G11" i="10"/>
  <c r="G30" i="10"/>
  <c r="F15" i="9"/>
  <c r="G70" i="9"/>
  <c r="G24" i="8"/>
  <c r="F49" i="8"/>
  <c r="G43" i="8"/>
  <c r="F3" i="9"/>
  <c r="F14" i="9"/>
  <c r="G50" i="9"/>
  <c r="G25" i="9"/>
  <c r="F32" i="7"/>
  <c r="G13" i="7"/>
  <c r="G33" i="8"/>
  <c r="G51" i="9"/>
  <c r="G52" i="8"/>
  <c r="G22" i="9"/>
  <c r="F20" i="7"/>
  <c r="G8" i="7"/>
  <c r="F4" i="8"/>
  <c r="F44" i="8"/>
  <c r="F39" i="8"/>
  <c r="F73" i="9"/>
  <c r="F57" i="9"/>
  <c r="F16" i="8"/>
  <c r="F18" i="8"/>
  <c r="G56" i="9"/>
  <c r="F30" i="7"/>
  <c r="G14" i="8"/>
  <c r="F68" i="9"/>
  <c r="F7" i="9"/>
  <c r="G34" i="8"/>
  <c r="G14" i="11"/>
  <c r="F39" i="9"/>
  <c r="G20" i="10"/>
  <c r="G14" i="9"/>
  <c r="B41" i="14"/>
  <c r="F33" i="7"/>
  <c r="G31" i="7"/>
  <c r="F11" i="8"/>
  <c r="F20" i="9"/>
  <c r="G7" i="8"/>
  <c r="F58" i="9"/>
  <c r="K170" i="13"/>
  <c r="N170" i="13" s="1"/>
  <c r="F12" i="10"/>
  <c r="F49" i="9"/>
  <c r="G57" i="9"/>
  <c r="G44" i="8"/>
  <c r="F5" i="8"/>
  <c r="G68" i="9"/>
  <c r="F74" i="9"/>
  <c r="G53" i="8"/>
  <c r="F26" i="8"/>
  <c r="F15" i="10"/>
  <c r="F31" i="9"/>
  <c r="F35" i="9"/>
  <c r="F9" i="8"/>
  <c r="F28" i="10"/>
  <c r="G39" i="9"/>
  <c r="F29" i="9"/>
  <c r="G43" i="9"/>
  <c r="G34" i="7"/>
  <c r="G9" i="7"/>
  <c r="F16" i="10"/>
  <c r="G19" i="7"/>
  <c r="F15" i="7"/>
  <c r="F23" i="8"/>
  <c r="F24" i="7"/>
  <c r="F18" i="10"/>
  <c r="F17" i="8"/>
  <c r="F45" i="8"/>
  <c r="G12" i="11"/>
  <c r="C31" i="14"/>
  <c r="F40" i="8"/>
  <c r="G4" i="8"/>
  <c r="F15" i="8"/>
  <c r="G14" i="10"/>
  <c r="G34" i="9"/>
  <c r="G28" i="9"/>
  <c r="F42" i="8"/>
  <c r="G28" i="8"/>
  <c r="F51" i="8"/>
  <c r="F56" i="9"/>
  <c r="F24" i="10"/>
  <c r="G35" i="9"/>
  <c r="G29" i="8"/>
  <c r="G62" i="9"/>
  <c r="F11" i="9"/>
  <c r="G54" i="8"/>
  <c r="F11" i="10"/>
  <c r="G12" i="8"/>
  <c r="G21" i="9"/>
  <c r="F12" i="9"/>
  <c r="F70" i="9"/>
  <c r="G7" i="9"/>
  <c r="F8" i="8"/>
  <c r="K162" i="13"/>
  <c r="N162" i="13" s="1"/>
  <c r="F4" i="10"/>
  <c r="G24" i="10"/>
  <c r="F13" i="9"/>
  <c r="G25" i="8"/>
  <c r="F43" i="9"/>
  <c r="F23" i="7"/>
  <c r="F34" i="7"/>
  <c r="F17" i="7"/>
  <c r="G8" i="11"/>
  <c r="G47" i="8"/>
  <c r="G20" i="9"/>
  <c r="F22" i="9"/>
  <c r="G46" i="9"/>
  <c r="F14" i="7"/>
  <c r="G5" i="10"/>
  <c r="C32" i="16" l="1"/>
  <c r="C31" i="16"/>
  <c r="C15" i="16"/>
  <c r="D15" i="16" s="1"/>
  <c r="K3" i="13"/>
  <c r="N3" i="13" s="1"/>
  <c r="F3" i="7"/>
  <c r="O161" i="13"/>
  <c r="G3" i="10"/>
  <c r="O170" i="13"/>
  <c r="G12" i="10"/>
  <c r="O162" i="13"/>
  <c r="G4" i="10"/>
  <c r="P161" i="13" l="1"/>
  <c r="Q161" i="13" s="1"/>
  <c r="P162" i="13"/>
  <c r="Q162" i="13" s="1"/>
  <c r="O3" i="13"/>
  <c r="P170" i="13" s="1"/>
  <c r="Q170" i="13" s="1"/>
  <c r="G3" i="7"/>
  <c r="P3" i="13" l="1"/>
  <c r="Q3" i="13" s="1"/>
  <c r="P37" i="13"/>
  <c r="Q37" i="13" s="1"/>
  <c r="P7" i="13"/>
  <c r="Q7" i="13" s="1"/>
  <c r="P119" i="13"/>
  <c r="Q119" i="13" s="1"/>
  <c r="P47" i="13"/>
  <c r="Q47" i="13" s="1"/>
  <c r="P29" i="13"/>
  <c r="Q29" i="13" s="1"/>
  <c r="P148" i="13"/>
  <c r="Q148" i="13" s="1"/>
  <c r="P141" i="13"/>
  <c r="Q141" i="13" s="1"/>
  <c r="P158" i="13"/>
  <c r="Q158" i="13" s="1"/>
  <c r="P179" i="13"/>
  <c r="Q179" i="13" s="1"/>
  <c r="P54" i="13"/>
  <c r="Q54" i="13" s="1"/>
  <c r="P122" i="13"/>
  <c r="Q122" i="13" s="1"/>
  <c r="P176" i="13"/>
  <c r="Q176" i="13" s="1"/>
  <c r="P39" i="13"/>
  <c r="Q39" i="13" s="1"/>
  <c r="P13" i="13"/>
  <c r="Q13" i="13" s="1"/>
  <c r="P15" i="13"/>
  <c r="Q15" i="13" s="1"/>
  <c r="P79" i="13"/>
  <c r="Q79" i="13" s="1"/>
  <c r="P117" i="13"/>
  <c r="Q117" i="13" s="1"/>
  <c r="P123" i="13"/>
  <c r="Q123" i="13" s="1"/>
  <c r="P75" i="13"/>
  <c r="Q75" i="13" s="1"/>
  <c r="P68" i="13"/>
  <c r="Q68" i="13" s="1"/>
  <c r="P57" i="13"/>
  <c r="Q57" i="13" s="1"/>
  <c r="P178" i="13"/>
  <c r="Q178" i="13" s="1"/>
  <c r="P40" i="13"/>
  <c r="Q40" i="13" s="1"/>
  <c r="P102" i="13"/>
  <c r="Q102" i="13" s="1"/>
  <c r="P16" i="13"/>
  <c r="Q16" i="13" s="1"/>
  <c r="P72" i="13"/>
  <c r="Q72" i="13" s="1"/>
  <c r="P52" i="13"/>
  <c r="Q52" i="13" s="1"/>
  <c r="P114" i="13"/>
  <c r="Q114" i="13" s="1"/>
  <c r="P46" i="13"/>
  <c r="Q46" i="13" s="1"/>
  <c r="P152" i="13"/>
  <c r="Q152" i="13" s="1"/>
  <c r="P177" i="13"/>
  <c r="Q177" i="13" s="1"/>
  <c r="P112" i="13"/>
  <c r="Q112" i="13" s="1"/>
  <c r="P121" i="13"/>
  <c r="Q121" i="13" s="1"/>
  <c r="P143" i="13"/>
  <c r="Q143" i="13" s="1"/>
  <c r="P153" i="13"/>
  <c r="Q153" i="13" s="1"/>
  <c r="P58" i="13"/>
  <c r="Q58" i="13" s="1"/>
  <c r="P30" i="13"/>
  <c r="Q30" i="13" s="1"/>
  <c r="P21" i="13"/>
  <c r="Q21" i="13" s="1"/>
  <c r="P48" i="13"/>
  <c r="Q48" i="13" s="1"/>
  <c r="P142" i="13"/>
  <c r="Q142" i="13" s="1"/>
  <c r="P171" i="13"/>
  <c r="Q171" i="13" s="1"/>
  <c r="P67" i="13"/>
  <c r="Q67" i="13" s="1"/>
  <c r="P108" i="13"/>
  <c r="Q108" i="13" s="1"/>
  <c r="P165" i="13"/>
  <c r="Q165" i="13" s="1"/>
  <c r="P124" i="13"/>
  <c r="Q124" i="13" s="1"/>
  <c r="P55" i="13"/>
  <c r="Q55" i="13" s="1"/>
  <c r="P129" i="13"/>
  <c r="Q129" i="13" s="1"/>
  <c r="P83" i="13"/>
  <c r="Q83" i="13" s="1"/>
  <c r="P76" i="13"/>
  <c r="Q76" i="13" s="1"/>
  <c r="P33" i="13"/>
  <c r="Q33" i="13" s="1"/>
  <c r="P34" i="13"/>
  <c r="Q34" i="13" s="1"/>
  <c r="P78" i="13"/>
  <c r="Q78" i="13" s="1"/>
  <c r="P91" i="13"/>
  <c r="Q91" i="13" s="1"/>
  <c r="P77" i="13"/>
  <c r="Q77" i="13" s="1"/>
  <c r="P188" i="13"/>
  <c r="Q188" i="13" s="1"/>
  <c r="P73" i="13"/>
  <c r="Q73" i="13" s="1"/>
  <c r="P18" i="13"/>
  <c r="Q18" i="13" s="1"/>
  <c r="P27" i="13"/>
  <c r="Q27" i="13" s="1"/>
  <c r="P50" i="13"/>
  <c r="Q50" i="13" s="1"/>
  <c r="P51" i="13"/>
  <c r="Q51" i="13" s="1"/>
  <c r="P17" i="13"/>
  <c r="Q17" i="13" s="1"/>
  <c r="P154" i="13"/>
  <c r="Q154" i="13" s="1"/>
  <c r="P66" i="13"/>
  <c r="Q66" i="13" s="1"/>
  <c r="P132" i="13"/>
  <c r="Q132" i="13" s="1"/>
  <c r="P43" i="13"/>
  <c r="Q43" i="13" s="1"/>
  <c r="P107" i="13"/>
  <c r="Q107" i="13" s="1"/>
  <c r="P104" i="13"/>
  <c r="Q104" i="13" s="1"/>
  <c r="P130" i="13"/>
  <c r="Q130" i="13" s="1"/>
  <c r="P6" i="13"/>
  <c r="Q6" i="13" s="1"/>
  <c r="P105" i="13"/>
  <c r="Q105" i="13" s="1"/>
  <c r="P82" i="13"/>
  <c r="Q82" i="13" s="1"/>
  <c r="P90" i="13"/>
  <c r="Q90" i="13" s="1"/>
  <c r="P36" i="13"/>
  <c r="Q36" i="13" s="1"/>
  <c r="P84" i="13"/>
  <c r="Q84" i="13" s="1"/>
  <c r="P164" i="13"/>
  <c r="Q164" i="13" s="1"/>
  <c r="P159" i="13"/>
  <c r="Q159" i="13" s="1"/>
  <c r="P180" i="13"/>
  <c r="Q180" i="13" s="1"/>
  <c r="P10" i="13"/>
  <c r="Q10" i="13" s="1"/>
  <c r="P42" i="13"/>
  <c r="Q42" i="13" s="1"/>
  <c r="P146" i="13"/>
  <c r="Q146" i="13" s="1"/>
  <c r="P186" i="13"/>
  <c r="Q186" i="13" s="1"/>
  <c r="P85" i="13"/>
  <c r="Q85" i="13" s="1"/>
  <c r="P89" i="13"/>
  <c r="Q89" i="13" s="1"/>
  <c r="P127" i="13"/>
  <c r="Q127" i="13" s="1"/>
  <c r="P20" i="13"/>
  <c r="Q20" i="13" s="1"/>
  <c r="P70" i="13"/>
  <c r="Q70" i="13" s="1"/>
  <c r="P28" i="13"/>
  <c r="Q28" i="13" s="1"/>
  <c r="P140" i="13"/>
  <c r="Q140" i="13" s="1"/>
  <c r="P38" i="13"/>
  <c r="Q38" i="13" s="1"/>
  <c r="P9" i="13"/>
  <c r="Q9" i="13" s="1"/>
  <c r="P155" i="13"/>
  <c r="Q155" i="13" s="1"/>
  <c r="P45" i="13"/>
  <c r="Q45" i="13" s="1"/>
  <c r="P184" i="13"/>
  <c r="Q184" i="13" s="1"/>
  <c r="P62" i="13"/>
  <c r="Q62" i="13" s="1"/>
  <c r="P133" i="13"/>
  <c r="Q133" i="13" s="1"/>
  <c r="P173" i="13"/>
  <c r="Q173" i="13" s="1"/>
  <c r="P99" i="13"/>
  <c r="Q99" i="13" s="1"/>
  <c r="P87" i="13"/>
  <c r="Q87" i="13" s="1"/>
  <c r="P81" i="13"/>
  <c r="Q81" i="13" s="1"/>
  <c r="P111" i="13"/>
  <c r="Q111" i="13" s="1"/>
  <c r="P32" i="13"/>
  <c r="Q32" i="13" s="1"/>
  <c r="P69" i="13"/>
  <c r="Q69" i="13" s="1"/>
  <c r="P41" i="13"/>
  <c r="Q41" i="13" s="1"/>
  <c r="P144" i="13"/>
  <c r="Q144" i="13" s="1"/>
  <c r="P166" i="13"/>
  <c r="Q166" i="13" s="1"/>
  <c r="P53" i="13"/>
  <c r="Q53" i="13" s="1"/>
  <c r="P63" i="13"/>
  <c r="Q63" i="13" s="1"/>
  <c r="P74" i="13"/>
  <c r="Q74" i="13" s="1"/>
  <c r="P106" i="13"/>
  <c r="Q106" i="13" s="1"/>
  <c r="P44" i="13"/>
  <c r="Q44" i="13" s="1"/>
  <c r="P24" i="13"/>
  <c r="Q24" i="13" s="1"/>
  <c r="P138" i="13"/>
  <c r="Q138" i="13" s="1"/>
  <c r="P120" i="13"/>
  <c r="Q120" i="13" s="1"/>
  <c r="P145" i="13"/>
  <c r="Q145" i="13" s="1"/>
  <c r="P182" i="13"/>
  <c r="Q182" i="13" s="1"/>
  <c r="P95" i="13"/>
  <c r="Q95" i="13" s="1"/>
  <c r="P113" i="13"/>
  <c r="Q113" i="13" s="1"/>
  <c r="P94" i="13"/>
  <c r="Q94" i="13" s="1"/>
  <c r="P185" i="13"/>
  <c r="Q185" i="13" s="1"/>
  <c r="P60" i="13"/>
  <c r="Q60" i="13" s="1"/>
  <c r="P8" i="13"/>
  <c r="Q8" i="13" s="1"/>
  <c r="P116" i="13"/>
  <c r="Q116" i="13" s="1"/>
  <c r="P98" i="13"/>
  <c r="Q98" i="13" s="1"/>
  <c r="P175" i="13"/>
  <c r="Q175" i="13" s="1"/>
  <c r="P168" i="13"/>
  <c r="Q168" i="13" s="1"/>
  <c r="P86" i="13"/>
  <c r="Q86" i="13" s="1"/>
  <c r="P14" i="13"/>
  <c r="Q14" i="13" s="1"/>
  <c r="P88" i="13"/>
  <c r="Q88" i="13" s="1"/>
  <c r="P100" i="13"/>
  <c r="Q100" i="13" s="1"/>
  <c r="P134" i="13"/>
  <c r="Q134" i="13" s="1"/>
  <c r="P22" i="13"/>
  <c r="Q22" i="13" s="1"/>
  <c r="P19" i="13"/>
  <c r="Q19" i="13" s="1"/>
  <c r="P128" i="13"/>
  <c r="Q128" i="13" s="1"/>
  <c r="P92" i="13"/>
  <c r="Q92" i="13" s="1"/>
  <c r="P23" i="13"/>
  <c r="Q23" i="13" s="1"/>
  <c r="P187" i="13"/>
  <c r="Q187" i="13" s="1"/>
  <c r="P11" i="13"/>
  <c r="Q11" i="13" s="1"/>
  <c r="P126" i="13"/>
  <c r="Q126" i="13" s="1"/>
  <c r="P149" i="13"/>
  <c r="Q149" i="13" s="1"/>
  <c r="P163" i="13"/>
  <c r="Q163" i="13" s="1"/>
  <c r="P125" i="13"/>
  <c r="Q125" i="13" s="1"/>
  <c r="P25" i="13"/>
  <c r="Q25" i="13" s="1"/>
  <c r="P71" i="13"/>
  <c r="Q71" i="13" s="1"/>
  <c r="P12" i="13"/>
  <c r="Q12" i="13" s="1"/>
  <c r="P135" i="13"/>
  <c r="Q135" i="13" s="1"/>
  <c r="P150" i="13"/>
  <c r="Q150" i="13" s="1"/>
  <c r="P172" i="13"/>
  <c r="Q172" i="13" s="1"/>
  <c r="P136" i="13"/>
  <c r="Q136" i="13" s="1"/>
  <c r="P160" i="13"/>
  <c r="Q160" i="13" s="1"/>
  <c r="P103" i="13"/>
  <c r="Q103" i="13" s="1"/>
  <c r="P65" i="13"/>
  <c r="Q65" i="13" s="1"/>
  <c r="P110" i="13"/>
  <c r="Q110" i="13" s="1"/>
  <c r="P118" i="13"/>
  <c r="Q118" i="13" s="1"/>
  <c r="P64" i="13"/>
  <c r="Q64" i="13" s="1"/>
  <c r="P56" i="13"/>
  <c r="Q56" i="13" s="1"/>
  <c r="P174" i="13"/>
  <c r="Q174" i="13" s="1"/>
  <c r="P101" i="13"/>
  <c r="Q101" i="13" s="1"/>
  <c r="P151" i="13"/>
  <c r="Q151" i="13" s="1"/>
  <c r="P26" i="13"/>
  <c r="Q26" i="13" s="1"/>
  <c r="P59" i="13"/>
  <c r="Q59" i="13" s="1"/>
  <c r="P4" i="13"/>
  <c r="Q4" i="13" s="1"/>
  <c r="P169" i="13"/>
  <c r="Q169" i="13" s="1"/>
  <c r="P97" i="13"/>
  <c r="Q97" i="13" s="1"/>
  <c r="P139" i="13"/>
  <c r="Q139" i="13" s="1"/>
  <c r="P80" i="13"/>
  <c r="Q80" i="13" s="1"/>
  <c r="P137" i="13"/>
  <c r="Q137" i="13" s="1"/>
  <c r="P96" i="13"/>
  <c r="Q96" i="13" s="1"/>
  <c r="P93" i="13"/>
  <c r="Q93" i="13" s="1"/>
  <c r="P35" i="13"/>
  <c r="Q35" i="13" s="1"/>
  <c r="P31" i="13"/>
  <c r="Q31" i="13" s="1"/>
  <c r="P115" i="13"/>
  <c r="Q115" i="13" s="1"/>
  <c r="P5" i="13"/>
  <c r="Q5" i="13" s="1"/>
  <c r="P109" i="13"/>
  <c r="Q109" i="13" s="1"/>
  <c r="P167" i="13"/>
  <c r="Q167" i="13" s="1"/>
  <c r="P156" i="13"/>
  <c r="Q156" i="13" s="1"/>
  <c r="P49" i="13"/>
  <c r="Q49" i="13" s="1"/>
  <c r="P131" i="13"/>
  <c r="Q131" i="13" s="1"/>
  <c r="P183" i="13"/>
  <c r="Q183" i="13" s="1"/>
  <c r="P61" i="13"/>
  <c r="Q61" i="13" s="1"/>
  <c r="P157" i="13"/>
  <c r="Q157" i="13" s="1"/>
  <c r="P181" i="13"/>
  <c r="Q181" i="13" s="1"/>
  <c r="P147" i="13"/>
  <c r="Q147" i="13" s="1"/>
  <c r="Y162" i="13"/>
  <c r="S162" i="13"/>
  <c r="J4" i="10" s="1"/>
  <c r="H4" i="10"/>
  <c r="Y161" i="13"/>
  <c r="S161" i="13"/>
  <c r="J3" i="10" s="1"/>
  <c r="H3" i="10"/>
  <c r="S170" i="13"/>
  <c r="J12" i="10" s="1"/>
  <c r="Y170" i="13"/>
  <c r="H12" i="10"/>
  <c r="Y12" i="13" l="1"/>
  <c r="S12" i="13"/>
  <c r="J12" i="7" s="1"/>
  <c r="H12" i="7"/>
  <c r="S51" i="13"/>
  <c r="J19" i="8" s="1"/>
  <c r="Y51" i="13"/>
  <c r="H19" i="8"/>
  <c r="Y56" i="13"/>
  <c r="S56" i="13"/>
  <c r="J24" i="8" s="1"/>
  <c r="H24" i="8"/>
  <c r="S129" i="13"/>
  <c r="J41" i="9" s="1"/>
  <c r="Y129" i="13"/>
  <c r="H41" i="9"/>
  <c r="Y183" i="13"/>
  <c r="S183" i="13"/>
  <c r="J25" i="10" s="1"/>
  <c r="H25" i="10"/>
  <c r="Y94" i="13"/>
  <c r="S94" i="13"/>
  <c r="J21" i="9" s="1"/>
  <c r="H21" i="9"/>
  <c r="S85" i="13"/>
  <c r="J46" i="8" s="1"/>
  <c r="Y85" i="13"/>
  <c r="H46" i="8"/>
  <c r="S55" i="13"/>
  <c r="J23" i="8" s="1"/>
  <c r="Y55" i="13"/>
  <c r="H23" i="8"/>
  <c r="S54" i="13"/>
  <c r="J22" i="8" s="1"/>
  <c r="Y54" i="13"/>
  <c r="H22" i="8"/>
  <c r="Y131" i="13"/>
  <c r="S131" i="13"/>
  <c r="J76" i="9" s="1"/>
  <c r="H76" i="9"/>
  <c r="Y80" i="13"/>
  <c r="S80" i="13"/>
  <c r="J48" i="8" s="1"/>
  <c r="H48" i="8"/>
  <c r="S118" i="13"/>
  <c r="J44" i="9" s="1"/>
  <c r="Y118" i="13"/>
  <c r="H44" i="9"/>
  <c r="Y125" i="13"/>
  <c r="S125" i="13"/>
  <c r="J36" i="9" s="1"/>
  <c r="H36" i="9"/>
  <c r="Y100" i="13"/>
  <c r="S100" i="13"/>
  <c r="J15" i="9" s="1"/>
  <c r="H15" i="9"/>
  <c r="Y113" i="13"/>
  <c r="S113" i="13"/>
  <c r="J35" i="9" s="1"/>
  <c r="H35" i="9"/>
  <c r="Y166" i="13"/>
  <c r="S166" i="13"/>
  <c r="J8" i="10" s="1"/>
  <c r="H8" i="10"/>
  <c r="Y184" i="13"/>
  <c r="S184" i="13"/>
  <c r="J26" i="10" s="1"/>
  <c r="H26" i="10"/>
  <c r="S186" i="13"/>
  <c r="J29" i="10" s="1"/>
  <c r="Y186" i="13"/>
  <c r="H29" i="10"/>
  <c r="Y6" i="13"/>
  <c r="S6" i="13"/>
  <c r="J6" i="7" s="1"/>
  <c r="H6" i="7"/>
  <c r="Y18" i="13"/>
  <c r="S18" i="13"/>
  <c r="J18" i="7" s="1"/>
  <c r="H18" i="7"/>
  <c r="Y124" i="13"/>
  <c r="S124" i="13"/>
  <c r="J33" i="9" s="1"/>
  <c r="H33" i="9"/>
  <c r="Y121" i="13"/>
  <c r="S121" i="13"/>
  <c r="J28" i="9" s="1"/>
  <c r="H28" i="9"/>
  <c r="Y57" i="13"/>
  <c r="S57" i="13"/>
  <c r="J25" i="8" s="1"/>
  <c r="H25" i="8"/>
  <c r="Y179" i="13"/>
  <c r="S179" i="13"/>
  <c r="J21" i="10" s="1"/>
  <c r="H21" i="10"/>
  <c r="S157" i="13"/>
  <c r="J40" i="9" s="1"/>
  <c r="Y157" i="13"/>
  <c r="H40" i="9"/>
  <c r="Y127" i="13"/>
  <c r="S127" i="13"/>
  <c r="J45" i="9" s="1"/>
  <c r="H45" i="9"/>
  <c r="Y185" i="13"/>
  <c r="S185" i="13"/>
  <c r="J28" i="10" s="1"/>
  <c r="H28" i="10"/>
  <c r="Y50" i="13"/>
  <c r="S50" i="13"/>
  <c r="J18" i="8" s="1"/>
  <c r="H18" i="8"/>
  <c r="Y40" i="13"/>
  <c r="S40" i="13"/>
  <c r="J8" i="8" s="1"/>
  <c r="H8" i="8"/>
  <c r="Y134" i="13"/>
  <c r="S134" i="13"/>
  <c r="J49" i="9" s="1"/>
  <c r="H49" i="9"/>
  <c r="Y105" i="13"/>
  <c r="S105" i="13"/>
  <c r="J22" i="9" s="1"/>
  <c r="H22" i="9"/>
  <c r="Y178" i="13"/>
  <c r="S178" i="13"/>
  <c r="J20" i="10" s="1"/>
  <c r="H20" i="10"/>
  <c r="S49" i="13"/>
  <c r="J17" i="8" s="1"/>
  <c r="Y49" i="13"/>
  <c r="H17" i="8"/>
  <c r="S139" i="13"/>
  <c r="J55" i="9" s="1"/>
  <c r="Y139" i="13"/>
  <c r="H55" i="9"/>
  <c r="Y110" i="13"/>
  <c r="S110" i="13"/>
  <c r="J25" i="9" s="1"/>
  <c r="H25" i="9"/>
  <c r="S163" i="13"/>
  <c r="J5" i="10" s="1"/>
  <c r="Y163" i="13"/>
  <c r="H5" i="10"/>
  <c r="Y88" i="13"/>
  <c r="S88" i="13"/>
  <c r="J3" i="9" s="1"/>
  <c r="H3" i="9"/>
  <c r="Y95" i="13"/>
  <c r="S95" i="13"/>
  <c r="J9" i="9" s="1"/>
  <c r="H9" i="9"/>
  <c r="Y144" i="13"/>
  <c r="S144" i="13"/>
  <c r="J62" i="9" s="1"/>
  <c r="H62" i="9"/>
  <c r="Y45" i="13"/>
  <c r="S45" i="13"/>
  <c r="J13" i="8" s="1"/>
  <c r="H13" i="8"/>
  <c r="Y146" i="13"/>
  <c r="S146" i="13"/>
  <c r="J65" i="9" s="1"/>
  <c r="H65" i="9"/>
  <c r="Y130" i="13"/>
  <c r="S130" i="13"/>
  <c r="J43" i="9" s="1"/>
  <c r="H43" i="9"/>
  <c r="S73" i="13"/>
  <c r="J41" i="8" s="1"/>
  <c r="Y73" i="13"/>
  <c r="H41" i="8"/>
  <c r="Y165" i="13"/>
  <c r="S165" i="13"/>
  <c r="J7" i="10" s="1"/>
  <c r="H7" i="10"/>
  <c r="Y112" i="13"/>
  <c r="S112" i="13"/>
  <c r="J29" i="9" s="1"/>
  <c r="H29" i="9"/>
  <c r="Y68" i="13"/>
  <c r="S68" i="13"/>
  <c r="J36" i="8" s="1"/>
  <c r="H36" i="8"/>
  <c r="S158" i="13"/>
  <c r="J57" i="9" s="1"/>
  <c r="Y158" i="13"/>
  <c r="H57" i="9"/>
  <c r="Y19" i="13"/>
  <c r="S19" i="13"/>
  <c r="J19" i="7" s="1"/>
  <c r="H19" i="7"/>
  <c r="Y83" i="13"/>
  <c r="S83" i="13"/>
  <c r="J51" i="8" s="1"/>
  <c r="H51" i="8"/>
  <c r="S133" i="13"/>
  <c r="J48" i="9" s="1"/>
  <c r="Y133" i="13"/>
  <c r="H48" i="9"/>
  <c r="Y153" i="13"/>
  <c r="S153" i="13"/>
  <c r="J72" i="9" s="1"/>
  <c r="H72" i="9"/>
  <c r="Y137" i="13"/>
  <c r="S137" i="13"/>
  <c r="J53" i="9" s="1"/>
  <c r="H53" i="9"/>
  <c r="S25" i="13"/>
  <c r="J25" i="7" s="1"/>
  <c r="Y25" i="13"/>
  <c r="H25" i="7"/>
  <c r="Y62" i="13"/>
  <c r="S62" i="13"/>
  <c r="J30" i="8" s="1"/>
  <c r="H30" i="8"/>
  <c r="Y143" i="13"/>
  <c r="S143" i="13"/>
  <c r="J61" i="9" s="1"/>
  <c r="H61" i="9"/>
  <c r="Y156" i="13"/>
  <c r="S156" i="13"/>
  <c r="J75" i="9" s="1"/>
  <c r="H75" i="9"/>
  <c r="Y97" i="13"/>
  <c r="S97" i="13"/>
  <c r="J17" i="9" s="1"/>
  <c r="H17" i="9"/>
  <c r="Y65" i="13"/>
  <c r="S65" i="13"/>
  <c r="J33" i="8" s="1"/>
  <c r="H33" i="8"/>
  <c r="Y149" i="13"/>
  <c r="S149" i="13"/>
  <c r="J68" i="9" s="1"/>
  <c r="H68" i="9"/>
  <c r="Y14" i="13"/>
  <c r="S14" i="13"/>
  <c r="J14" i="7" s="1"/>
  <c r="H14" i="7"/>
  <c r="Y182" i="13"/>
  <c r="S182" i="13"/>
  <c r="J24" i="10" s="1"/>
  <c r="H24" i="10"/>
  <c r="Y41" i="13"/>
  <c r="S41" i="13"/>
  <c r="J9" i="8" s="1"/>
  <c r="H9" i="8"/>
  <c r="Y155" i="13"/>
  <c r="S155" i="13"/>
  <c r="J74" i="9" s="1"/>
  <c r="H74" i="9"/>
  <c r="Y42" i="13"/>
  <c r="S42" i="13"/>
  <c r="J10" i="8" s="1"/>
  <c r="H10" i="8"/>
  <c r="Y104" i="13"/>
  <c r="S104" i="13"/>
  <c r="J23" i="9" s="1"/>
  <c r="H23" i="9"/>
  <c r="Y188" i="13"/>
  <c r="S188" i="13"/>
  <c r="J27" i="10" s="1"/>
  <c r="H27" i="10"/>
  <c r="Y108" i="13"/>
  <c r="S108" i="13"/>
  <c r="J19" i="9" s="1"/>
  <c r="H19" i="9"/>
  <c r="Y177" i="13"/>
  <c r="S177" i="13"/>
  <c r="J19" i="10" s="1"/>
  <c r="H19" i="10"/>
  <c r="Y75" i="13"/>
  <c r="S75" i="13"/>
  <c r="J43" i="8" s="1"/>
  <c r="H43" i="8"/>
  <c r="S141" i="13"/>
  <c r="J58" i="9" s="1"/>
  <c r="Y141" i="13"/>
  <c r="H58" i="9"/>
  <c r="Y173" i="13"/>
  <c r="S173" i="13"/>
  <c r="J15" i="10" s="1"/>
  <c r="H15" i="10"/>
  <c r="S96" i="13"/>
  <c r="J7" i="9" s="1"/>
  <c r="Y96" i="13"/>
  <c r="H7" i="9"/>
  <c r="Y82" i="13"/>
  <c r="S82" i="13"/>
  <c r="J50" i="8" s="1"/>
  <c r="H50" i="8"/>
  <c r="Y122" i="13"/>
  <c r="S122" i="13"/>
  <c r="J30" i="9" s="1"/>
  <c r="H30" i="9"/>
  <c r="Y64" i="13"/>
  <c r="S64" i="13"/>
  <c r="J32" i="8" s="1"/>
  <c r="H32" i="8"/>
  <c r="Y53" i="13"/>
  <c r="S53" i="13"/>
  <c r="J21" i="8" s="1"/>
  <c r="H21" i="8"/>
  <c r="Y27" i="13"/>
  <c r="S27" i="13"/>
  <c r="J27" i="7" s="1"/>
  <c r="H27" i="7"/>
  <c r="Y167" i="13"/>
  <c r="S167" i="13"/>
  <c r="J9" i="10" s="1"/>
  <c r="H9" i="10"/>
  <c r="S169" i="13"/>
  <c r="J11" i="10" s="1"/>
  <c r="Y169" i="13"/>
  <c r="H11" i="10"/>
  <c r="S103" i="13"/>
  <c r="J11" i="9" s="1"/>
  <c r="Y103" i="13"/>
  <c r="H11" i="9"/>
  <c r="Y126" i="13"/>
  <c r="S126" i="13"/>
  <c r="J50" i="9" s="1"/>
  <c r="H50" i="9"/>
  <c r="Y86" i="13"/>
  <c r="S86" i="13"/>
  <c r="J52" i="8" s="1"/>
  <c r="H52" i="8"/>
  <c r="S145" i="13"/>
  <c r="J63" i="9" s="1"/>
  <c r="Y145" i="13"/>
  <c r="H63" i="9"/>
  <c r="Y69" i="13"/>
  <c r="S69" i="13"/>
  <c r="J37" i="8" s="1"/>
  <c r="H37" i="8"/>
  <c r="Y9" i="13"/>
  <c r="S9" i="13"/>
  <c r="J9" i="7" s="1"/>
  <c r="H9" i="7"/>
  <c r="Y10" i="13"/>
  <c r="S10" i="13"/>
  <c r="J10" i="7" s="1"/>
  <c r="H10" i="7"/>
  <c r="Y107" i="13"/>
  <c r="S107" i="13"/>
  <c r="J24" i="9" s="1"/>
  <c r="H24" i="9"/>
  <c r="Y77" i="13"/>
  <c r="S77" i="13"/>
  <c r="J45" i="8" s="1"/>
  <c r="H45" i="8"/>
  <c r="S67" i="13"/>
  <c r="J35" i="8" s="1"/>
  <c r="Y67" i="13"/>
  <c r="H35" i="8"/>
  <c r="Y152" i="13"/>
  <c r="S152" i="13"/>
  <c r="J71" i="9" s="1"/>
  <c r="H71" i="9"/>
  <c r="Y123" i="13"/>
  <c r="S123" i="13"/>
  <c r="J32" i="9" s="1"/>
  <c r="H32" i="9"/>
  <c r="Y148" i="13"/>
  <c r="S148" i="13"/>
  <c r="J67" i="9" s="1"/>
  <c r="H67" i="9"/>
  <c r="Y29" i="13"/>
  <c r="S29" i="13"/>
  <c r="J29" i="7" s="1"/>
  <c r="H29" i="7"/>
  <c r="Y71" i="13"/>
  <c r="S71" i="13"/>
  <c r="J39" i="8" s="1"/>
  <c r="H39" i="8"/>
  <c r="Y160" i="13"/>
  <c r="S160" i="13"/>
  <c r="J64" i="9" s="1"/>
  <c r="H64" i="9"/>
  <c r="Y120" i="13"/>
  <c r="S120" i="13"/>
  <c r="J47" i="9" s="1"/>
  <c r="H47" i="9"/>
  <c r="Y38" i="13"/>
  <c r="S38" i="13"/>
  <c r="J6" i="8" s="1"/>
  <c r="H6" i="8"/>
  <c r="Y91" i="13"/>
  <c r="S91" i="13"/>
  <c r="J18" i="9" s="1"/>
  <c r="H18" i="9"/>
  <c r="Y117" i="13"/>
  <c r="S117" i="13"/>
  <c r="J42" i="9" s="1"/>
  <c r="H42" i="9"/>
  <c r="Y136" i="13"/>
  <c r="S136" i="13"/>
  <c r="J52" i="9" s="1"/>
  <c r="H52" i="9"/>
  <c r="Y138" i="13"/>
  <c r="S138" i="13"/>
  <c r="J54" i="9" s="1"/>
  <c r="H54" i="9"/>
  <c r="Y159" i="13"/>
  <c r="S159" i="13"/>
  <c r="J60" i="9" s="1"/>
  <c r="H60" i="9"/>
  <c r="Y132" i="13"/>
  <c r="S132" i="13"/>
  <c r="J46" i="9" s="1"/>
  <c r="H46" i="9"/>
  <c r="S78" i="13"/>
  <c r="J47" i="8" s="1"/>
  <c r="Y78" i="13"/>
  <c r="H47" i="8"/>
  <c r="Y142" i="13"/>
  <c r="S142" i="13"/>
  <c r="J59" i="9" s="1"/>
  <c r="H59" i="9"/>
  <c r="S114" i="13"/>
  <c r="J27" i="9" s="1"/>
  <c r="Y114" i="13"/>
  <c r="H27" i="9"/>
  <c r="S79" i="13"/>
  <c r="J54" i="8" s="1"/>
  <c r="Y79" i="13"/>
  <c r="H54" i="8"/>
  <c r="Y47" i="13"/>
  <c r="S47" i="13"/>
  <c r="J15" i="8" s="1"/>
  <c r="H15" i="8"/>
  <c r="Y93" i="13"/>
  <c r="S93" i="13"/>
  <c r="J16" i="9" s="1"/>
  <c r="H16" i="9"/>
  <c r="Y90" i="13"/>
  <c r="S90" i="13"/>
  <c r="J6" i="9" s="1"/>
  <c r="H6" i="9"/>
  <c r="S61" i="13"/>
  <c r="J29" i="8" s="1"/>
  <c r="Y61" i="13"/>
  <c r="H29" i="8"/>
  <c r="Y89" i="13"/>
  <c r="S89" i="13"/>
  <c r="J5" i="9" s="1"/>
  <c r="H5" i="9"/>
  <c r="Y168" i="13"/>
  <c r="S168" i="13"/>
  <c r="J10" i="10" s="1"/>
  <c r="H10" i="10"/>
  <c r="S180" i="13"/>
  <c r="J22" i="10" s="1"/>
  <c r="Y180" i="13"/>
  <c r="H22" i="10"/>
  <c r="Y171" i="13"/>
  <c r="S171" i="13"/>
  <c r="J13" i="10" s="1"/>
  <c r="H13" i="10"/>
  <c r="Y5" i="13"/>
  <c r="S5" i="13"/>
  <c r="J5" i="7" s="1"/>
  <c r="H5" i="7"/>
  <c r="Y187" i="13"/>
  <c r="S187" i="13"/>
  <c r="J30" i="10" s="1"/>
  <c r="H30" i="10"/>
  <c r="Y111" i="13"/>
  <c r="S111" i="13"/>
  <c r="J31" i="9" s="1"/>
  <c r="H31" i="9"/>
  <c r="S115" i="13"/>
  <c r="J38" i="9" s="1"/>
  <c r="Y115" i="13"/>
  <c r="H38" i="9"/>
  <c r="Y26" i="13"/>
  <c r="S26" i="13"/>
  <c r="J26" i="7" s="1"/>
  <c r="H26" i="7"/>
  <c r="Y172" i="13"/>
  <c r="S172" i="13"/>
  <c r="J14" i="10" s="1"/>
  <c r="H14" i="10"/>
  <c r="Y23" i="13"/>
  <c r="S23" i="13"/>
  <c r="J23" i="7" s="1"/>
  <c r="H23" i="7"/>
  <c r="Y98" i="13"/>
  <c r="S98" i="13"/>
  <c r="J8" i="9" s="1"/>
  <c r="H8" i="9"/>
  <c r="S24" i="13"/>
  <c r="J24" i="7" s="1"/>
  <c r="Y24" i="13"/>
  <c r="H24" i="7"/>
  <c r="Y81" i="13"/>
  <c r="S81" i="13"/>
  <c r="J49" i="8" s="1"/>
  <c r="H49" i="8"/>
  <c r="Y28" i="13"/>
  <c r="S28" i="13"/>
  <c r="J28" i="7" s="1"/>
  <c r="H28" i="7"/>
  <c r="S164" i="13"/>
  <c r="J6" i="10" s="1"/>
  <c r="Y164" i="13"/>
  <c r="H6" i="10"/>
  <c r="S66" i="13"/>
  <c r="J34" i="8" s="1"/>
  <c r="Y66" i="13"/>
  <c r="H34" i="8"/>
  <c r="Y34" i="13"/>
  <c r="S34" i="13"/>
  <c r="J34" i="7" s="1"/>
  <c r="H34" i="7"/>
  <c r="Y48" i="13"/>
  <c r="S48" i="13"/>
  <c r="J16" i="8" s="1"/>
  <c r="H16" i="8"/>
  <c r="Y52" i="13"/>
  <c r="S52" i="13"/>
  <c r="J20" i="8" s="1"/>
  <c r="H20" i="8"/>
  <c r="Y15" i="13"/>
  <c r="S15" i="13"/>
  <c r="J15" i="7" s="1"/>
  <c r="H15" i="7"/>
  <c r="Y119" i="13"/>
  <c r="S119" i="13"/>
  <c r="J37" i="9" s="1"/>
  <c r="H37" i="9"/>
  <c r="S60" i="13"/>
  <c r="J28" i="8" s="1"/>
  <c r="Y60" i="13"/>
  <c r="H28" i="8"/>
  <c r="Y58" i="13"/>
  <c r="S58" i="13"/>
  <c r="J26" i="8" s="1"/>
  <c r="H26" i="8"/>
  <c r="Y22" i="13"/>
  <c r="S22" i="13"/>
  <c r="J22" i="7" s="1"/>
  <c r="H22" i="7"/>
  <c r="Y109" i="13"/>
  <c r="S109" i="13"/>
  <c r="J26" i="9" s="1"/>
  <c r="H26" i="9"/>
  <c r="Y11" i="13"/>
  <c r="S11" i="13"/>
  <c r="J11" i="7" s="1"/>
  <c r="H11" i="7"/>
  <c r="Y32" i="13"/>
  <c r="S32" i="13"/>
  <c r="J32" i="7" s="1"/>
  <c r="H32" i="7"/>
  <c r="S43" i="13"/>
  <c r="J11" i="8" s="1"/>
  <c r="Y43" i="13"/>
  <c r="H11" i="8"/>
  <c r="Y46" i="13"/>
  <c r="S46" i="13"/>
  <c r="J14" i="8" s="1"/>
  <c r="H14" i="8"/>
  <c r="Y59" i="13"/>
  <c r="S59" i="13"/>
  <c r="J27" i="8" s="1"/>
  <c r="H27" i="8"/>
  <c r="Y175" i="13"/>
  <c r="S175" i="13"/>
  <c r="J17" i="10" s="1"/>
  <c r="H17" i="10"/>
  <c r="Y140" i="13"/>
  <c r="S140" i="13"/>
  <c r="J56" i="9" s="1"/>
  <c r="H56" i="9"/>
  <c r="Y147" i="13"/>
  <c r="S147" i="13"/>
  <c r="J66" i="9" s="1"/>
  <c r="H66" i="9"/>
  <c r="S31" i="13"/>
  <c r="J31" i="7" s="1"/>
  <c r="Y31" i="13"/>
  <c r="H31" i="7"/>
  <c r="S151" i="13"/>
  <c r="J70" i="9" s="1"/>
  <c r="Y151" i="13"/>
  <c r="H70" i="9"/>
  <c r="Y150" i="13"/>
  <c r="S150" i="13"/>
  <c r="J69" i="9" s="1"/>
  <c r="H69" i="9"/>
  <c r="S92" i="13"/>
  <c r="J13" i="9" s="1"/>
  <c r="Y92" i="13"/>
  <c r="H13" i="9"/>
  <c r="Y116" i="13"/>
  <c r="S116" i="13"/>
  <c r="J34" i="9" s="1"/>
  <c r="H34" i="9"/>
  <c r="Y44" i="13"/>
  <c r="S44" i="13"/>
  <c r="J12" i="8" s="1"/>
  <c r="H12" i="8"/>
  <c r="Y87" i="13"/>
  <c r="S87" i="13"/>
  <c r="J4" i="9" s="1"/>
  <c r="H4" i="9"/>
  <c r="Y70" i="13"/>
  <c r="S70" i="13"/>
  <c r="J38" i="8" s="1"/>
  <c r="H38" i="8"/>
  <c r="S84" i="13"/>
  <c r="J53" i="8" s="1"/>
  <c r="Y84" i="13"/>
  <c r="H53" i="8"/>
  <c r="Y154" i="13"/>
  <c r="S154" i="13"/>
  <c r="J73" i="9" s="1"/>
  <c r="H73" i="9"/>
  <c r="Y33" i="13"/>
  <c r="S33" i="13"/>
  <c r="J33" i="7" s="1"/>
  <c r="H33" i="7"/>
  <c r="Y21" i="13"/>
  <c r="S21" i="13"/>
  <c r="J21" i="7" s="1"/>
  <c r="H21" i="7"/>
  <c r="S72" i="13"/>
  <c r="J40" i="8" s="1"/>
  <c r="Y72" i="13"/>
  <c r="H40" i="8"/>
  <c r="Y13" i="13"/>
  <c r="S13" i="13"/>
  <c r="J13" i="7" s="1"/>
  <c r="H13" i="7"/>
  <c r="Y7" i="13"/>
  <c r="S7" i="13"/>
  <c r="J7" i="7" s="1"/>
  <c r="H7" i="7"/>
  <c r="S174" i="13"/>
  <c r="J16" i="10" s="1"/>
  <c r="Y174" i="13"/>
  <c r="H16" i="10"/>
  <c r="Y102" i="13"/>
  <c r="S102" i="13"/>
  <c r="J10" i="9" s="1"/>
  <c r="H10" i="9"/>
  <c r="Y63" i="13"/>
  <c r="S63" i="13"/>
  <c r="J31" i="8" s="1"/>
  <c r="H31" i="8"/>
  <c r="Y4" i="13"/>
  <c r="S4" i="13"/>
  <c r="J4" i="7" s="1"/>
  <c r="H4" i="7"/>
  <c r="Y181" i="13"/>
  <c r="S181" i="13"/>
  <c r="J23" i="10" s="1"/>
  <c r="H23" i="10"/>
  <c r="Y35" i="13"/>
  <c r="S35" i="13"/>
  <c r="J3" i="8" s="1"/>
  <c r="H3" i="8"/>
  <c r="Y101" i="13"/>
  <c r="S101" i="13"/>
  <c r="J12" i="9" s="1"/>
  <c r="H12" i="9"/>
  <c r="Y135" i="13"/>
  <c r="S135" i="13"/>
  <c r="J51" i="9" s="1"/>
  <c r="H51" i="9"/>
  <c r="Y128" i="13"/>
  <c r="S128" i="13"/>
  <c r="J39" i="9" s="1"/>
  <c r="H39" i="9"/>
  <c r="Y8" i="13"/>
  <c r="S8" i="13"/>
  <c r="J8" i="7" s="1"/>
  <c r="H8" i="7"/>
  <c r="Y106" i="13"/>
  <c r="S106" i="13"/>
  <c r="J20" i="9" s="1"/>
  <c r="H20" i="9"/>
  <c r="Y99" i="13"/>
  <c r="S99" i="13"/>
  <c r="J14" i="9" s="1"/>
  <c r="H14" i="9"/>
  <c r="Y20" i="13"/>
  <c r="S20" i="13"/>
  <c r="J20" i="7" s="1"/>
  <c r="H20" i="7"/>
  <c r="Y36" i="13"/>
  <c r="S36" i="13"/>
  <c r="J4" i="8" s="1"/>
  <c r="H4" i="8"/>
  <c r="Y17" i="13"/>
  <c r="S17" i="13"/>
  <c r="J17" i="7" s="1"/>
  <c r="H17" i="7"/>
  <c r="Y76" i="13"/>
  <c r="S76" i="13"/>
  <c r="J44" i="8" s="1"/>
  <c r="H44" i="8"/>
  <c r="S30" i="13"/>
  <c r="J30" i="7" s="1"/>
  <c r="Y30" i="13"/>
  <c r="H30" i="7"/>
  <c r="Y16" i="13"/>
  <c r="S16" i="13"/>
  <c r="J16" i="7" s="1"/>
  <c r="H16" i="7"/>
  <c r="Y39" i="13"/>
  <c r="S39" i="13"/>
  <c r="J7" i="8" s="1"/>
  <c r="H7" i="8"/>
  <c r="S37" i="13"/>
  <c r="J5" i="8" s="1"/>
  <c r="Y37" i="13"/>
  <c r="H5" i="8"/>
  <c r="Y74" i="13"/>
  <c r="S74" i="13"/>
  <c r="J42" i="8" s="1"/>
  <c r="H42" i="8"/>
  <c r="Y176" i="13"/>
  <c r="S176" i="13"/>
  <c r="J18" i="10" s="1"/>
  <c r="H18" i="10"/>
  <c r="C10" i="16"/>
  <c r="D10" i="16" s="1"/>
  <c r="M223" i="15"/>
  <c r="M219" i="15"/>
  <c r="M153" i="15"/>
  <c r="M225" i="15"/>
  <c r="M183" i="15"/>
  <c r="M163" i="15"/>
  <c r="M138" i="15"/>
  <c r="M130" i="15"/>
  <c r="M171" i="15"/>
  <c r="M231" i="15"/>
  <c r="M201" i="15"/>
  <c r="M164" i="15"/>
  <c r="M189" i="15"/>
  <c r="M213" i="15"/>
  <c r="M199" i="15"/>
  <c r="M194" i="15"/>
  <c r="M217" i="15"/>
  <c r="M185" i="15"/>
  <c r="M175" i="15"/>
  <c r="M165" i="15"/>
  <c r="M132" i="15"/>
  <c r="M157" i="15"/>
  <c r="M159" i="15"/>
  <c r="M139" i="15"/>
  <c r="M221" i="15"/>
  <c r="M200" i="15"/>
  <c r="M177" i="15"/>
  <c r="M141" i="15"/>
  <c r="M117" i="15"/>
  <c r="M211" i="15"/>
  <c r="M207" i="15"/>
  <c r="M187" i="15"/>
  <c r="M169" i="15"/>
  <c r="M144" i="15"/>
  <c r="M140" i="15"/>
  <c r="M131" i="15"/>
  <c r="M95" i="15"/>
  <c r="M83" i="15"/>
  <c r="M150" i="15"/>
  <c r="M70" i="15"/>
  <c r="M91" i="15"/>
  <c r="M79" i="15"/>
  <c r="M74" i="15"/>
  <c r="M195" i="15"/>
  <c r="M63" i="15"/>
  <c r="M182" i="15"/>
  <c r="M209" i="15"/>
  <c r="M68" i="15"/>
  <c r="M170" i="15"/>
  <c r="M86" i="15"/>
  <c r="M96" i="15"/>
  <c r="M197" i="15"/>
  <c r="M72" i="15"/>
  <c r="M84" i="15"/>
  <c r="M62" i="15"/>
  <c r="M50" i="15"/>
  <c r="M32" i="15"/>
  <c r="M38" i="15"/>
  <c r="M44" i="15"/>
  <c r="M26" i="15"/>
  <c r="M20" i="15"/>
  <c r="M8" i="15"/>
  <c r="M92" i="15"/>
  <c r="M71" i="15"/>
  <c r="Y3" i="13"/>
  <c r="S3" i="13"/>
  <c r="J3" i="7" s="1"/>
  <c r="O198" i="6"/>
  <c r="O190" i="6"/>
  <c r="O170" i="6"/>
  <c r="O168" i="6"/>
  <c r="O147" i="6"/>
  <c r="O131" i="6"/>
  <c r="O115" i="6"/>
  <c r="O196" i="6"/>
  <c r="O194" i="6"/>
  <c r="O185" i="6"/>
  <c r="O183" i="6"/>
  <c r="O138" i="6"/>
  <c r="O129" i="6"/>
  <c r="O107" i="6"/>
  <c r="O99" i="6"/>
  <c r="O91" i="6"/>
  <c r="O83" i="6"/>
  <c r="O75" i="6"/>
  <c r="O63" i="6"/>
  <c r="O43" i="6"/>
  <c r="O162" i="6"/>
  <c r="O67" i="6"/>
  <c r="O202" i="6"/>
  <c r="O153" i="6"/>
  <c r="O130" i="6"/>
  <c r="O197" i="6"/>
  <c r="O195" i="6"/>
  <c r="O163" i="6"/>
  <c r="O154" i="6"/>
  <c r="O145" i="6"/>
  <c r="O127" i="6"/>
  <c r="O182" i="6"/>
  <c r="O122" i="6"/>
  <c r="O113" i="6"/>
  <c r="O184" i="6"/>
  <c r="O149" i="6"/>
  <c r="O146" i="6"/>
  <c r="O103" i="6"/>
  <c r="O79" i="6"/>
  <c r="O51" i="6"/>
  <c r="O35" i="6"/>
  <c r="O46" i="6"/>
  <c r="O15" i="6"/>
  <c r="P143" i="5"/>
  <c r="P140" i="5"/>
  <c r="P137" i="5"/>
  <c r="P134" i="5"/>
  <c r="P131" i="5"/>
  <c r="P128" i="5"/>
  <c r="P125" i="5"/>
  <c r="P122" i="5"/>
  <c r="P119" i="5"/>
  <c r="P116" i="5"/>
  <c r="O86" i="6"/>
  <c r="O151" i="6"/>
  <c r="O143" i="6"/>
  <c r="O23" i="6"/>
  <c r="O95" i="6"/>
  <c r="O71" i="6"/>
  <c r="O24" i="6"/>
  <c r="O17" i="6"/>
  <c r="O186" i="6"/>
  <c r="O178" i="6"/>
  <c r="O137" i="6"/>
  <c r="O177" i="6"/>
  <c r="O161" i="6"/>
  <c r="O139" i="6"/>
  <c r="O87" i="6"/>
  <c r="O19" i="6"/>
  <c r="O155" i="6"/>
  <c r="O123" i="6"/>
  <c r="O55" i="6"/>
  <c r="O48" i="6"/>
  <c r="P219" i="5"/>
  <c r="P216" i="5"/>
  <c r="P213" i="5"/>
  <c r="P210" i="5"/>
  <c r="P207" i="5"/>
  <c r="P204" i="5"/>
  <c r="P201" i="5"/>
  <c r="P198" i="5"/>
  <c r="P195" i="5"/>
  <c r="P192" i="5"/>
  <c r="P189" i="5"/>
  <c r="P186" i="5"/>
  <c r="P183" i="5"/>
  <c r="P180" i="5"/>
  <c r="P177" i="5"/>
  <c r="P174" i="5"/>
  <c r="P171" i="5"/>
  <c r="P168" i="5"/>
  <c r="O121" i="6"/>
  <c r="O104" i="6"/>
  <c r="O72" i="6"/>
  <c r="O59" i="6"/>
  <c r="O52" i="6"/>
  <c r="O78" i="6"/>
  <c r="O28" i="6"/>
  <c r="P208" i="5"/>
  <c r="P172" i="5"/>
  <c r="P136" i="5"/>
  <c r="O25" i="6"/>
  <c r="P211" i="5"/>
  <c r="P175" i="5"/>
  <c r="P139" i="5"/>
  <c r="P214" i="5"/>
  <c r="P178" i="5"/>
  <c r="P142" i="5"/>
  <c r="O96" i="6"/>
  <c r="O32" i="6"/>
  <c r="P217" i="5"/>
  <c r="P181" i="5"/>
  <c r="O102" i="6"/>
  <c r="O74" i="6"/>
  <c r="P220" i="5"/>
  <c r="P184" i="5"/>
  <c r="P148" i="5"/>
  <c r="O119" i="6"/>
  <c r="O47" i="6"/>
  <c r="O27" i="6"/>
  <c r="O7" i="6"/>
  <c r="P223" i="5"/>
  <c r="P187" i="5"/>
  <c r="P151" i="5"/>
  <c r="O134" i="6"/>
  <c r="O114" i="6"/>
  <c r="P193" i="5"/>
  <c r="P157" i="5"/>
  <c r="P121" i="5"/>
  <c r="P107" i="5"/>
  <c r="P98" i="5"/>
  <c r="O41" i="6"/>
  <c r="O11" i="6"/>
  <c r="P199" i="5"/>
  <c r="P163" i="5"/>
  <c r="O117" i="6"/>
  <c r="O94" i="6"/>
  <c r="O21" i="6"/>
  <c r="P202" i="5"/>
  <c r="P166" i="5"/>
  <c r="P205" i="5"/>
  <c r="P196" i="5"/>
  <c r="P169" i="5"/>
  <c r="P160" i="5"/>
  <c r="M232" i="1"/>
  <c r="M231" i="1"/>
  <c r="M230" i="1"/>
  <c r="M229" i="1"/>
  <c r="M228" i="1"/>
  <c r="M227" i="1"/>
  <c r="M226" i="1"/>
  <c r="M225" i="1"/>
  <c r="M224" i="1"/>
  <c r="M223" i="1"/>
  <c r="M222" i="1"/>
  <c r="M221" i="1"/>
  <c r="M220" i="1"/>
  <c r="M219" i="1"/>
  <c r="M218" i="1"/>
  <c r="M217" i="1"/>
  <c r="M216" i="1"/>
  <c r="O70" i="6"/>
  <c r="O44" i="6"/>
  <c r="P118" i="5"/>
  <c r="P113" i="5"/>
  <c r="P92" i="5"/>
  <c r="P86" i="5"/>
  <c r="P80" i="5"/>
  <c r="P74" i="5"/>
  <c r="P68" i="5"/>
  <c r="P62" i="5"/>
  <c r="P56" i="5"/>
  <c r="P133" i="5"/>
  <c r="O50" i="6"/>
  <c r="P226" i="5"/>
  <c r="P190" i="5"/>
  <c r="P154" i="5"/>
  <c r="P124" i="5"/>
  <c r="P100" i="5"/>
  <c r="P106" i="5"/>
  <c r="P101" i="5"/>
  <c r="O176" i="6"/>
  <c r="O39" i="6"/>
  <c r="P115" i="5"/>
  <c r="P104" i="5"/>
  <c r="P145" i="5"/>
  <c r="P127" i="5"/>
  <c r="P91" i="5"/>
  <c r="P85" i="5"/>
  <c r="P79" i="5"/>
  <c r="P73" i="5"/>
  <c r="P67" i="5"/>
  <c r="P61" i="5"/>
  <c r="P55" i="5"/>
  <c r="O106" i="6"/>
  <c r="O98" i="6"/>
  <c r="O31" i="6"/>
  <c r="P70" i="5"/>
  <c r="P49" i="5"/>
  <c r="P47" i="5"/>
  <c r="P43" i="5"/>
  <c r="P41" i="5"/>
  <c r="P37" i="5"/>
  <c r="P35" i="5"/>
  <c r="P31" i="5"/>
  <c r="P29" i="5"/>
  <c r="P25" i="5"/>
  <c r="P23" i="5"/>
  <c r="P19" i="5"/>
  <c r="P17" i="5"/>
  <c r="P13" i="5"/>
  <c r="P11" i="5"/>
  <c r="P7" i="5"/>
  <c r="P5" i="5"/>
  <c r="M188" i="1"/>
  <c r="M176" i="1"/>
  <c r="P64" i="5"/>
  <c r="M215" i="1"/>
  <c r="M209" i="1"/>
  <c r="M203" i="1"/>
  <c r="M197" i="1"/>
  <c r="M189" i="1"/>
  <c r="M177" i="1"/>
  <c r="P103" i="5"/>
  <c r="P58" i="5"/>
  <c r="P110" i="5"/>
  <c r="P130" i="5"/>
  <c r="M192" i="1"/>
  <c r="M180" i="1"/>
  <c r="M211" i="1"/>
  <c r="M205" i="1"/>
  <c r="M199" i="1"/>
  <c r="M193" i="1"/>
  <c r="M181" i="1"/>
  <c r="P109" i="5"/>
  <c r="P95" i="5"/>
  <c r="P89" i="5"/>
  <c r="P52" i="5"/>
  <c r="P50" i="5"/>
  <c r="P46" i="5"/>
  <c r="P44" i="5"/>
  <c r="P40" i="5"/>
  <c r="P38" i="5"/>
  <c r="P34" i="5"/>
  <c r="P32" i="5"/>
  <c r="P28" i="5"/>
  <c r="P26" i="5"/>
  <c r="P22" i="5"/>
  <c r="P20" i="5"/>
  <c r="P16" i="5"/>
  <c r="P14" i="5"/>
  <c r="P10" i="5"/>
  <c r="P8" i="5"/>
  <c r="P4" i="5"/>
  <c r="P83" i="5"/>
  <c r="M212" i="1"/>
  <c r="M206" i="1"/>
  <c r="M200" i="1"/>
  <c r="M194" i="1"/>
  <c r="M183" i="1"/>
  <c r="P77" i="5"/>
  <c r="M184" i="1"/>
  <c r="P112" i="5"/>
  <c r="P97" i="5"/>
  <c r="P94" i="5"/>
  <c r="P88" i="5"/>
  <c r="P71" i="5"/>
  <c r="M213" i="1"/>
  <c r="M207" i="1"/>
  <c r="M201" i="1"/>
  <c r="M195" i="1"/>
  <c r="M185" i="1"/>
  <c r="P59" i="5"/>
  <c r="M103" i="1"/>
  <c r="M100" i="1"/>
  <c r="M97" i="1"/>
  <c r="M94" i="1"/>
  <c r="M91" i="1"/>
  <c r="M88" i="1"/>
  <c r="M85" i="1"/>
  <c r="M82" i="1"/>
  <c r="P82" i="5"/>
  <c r="P65" i="5"/>
  <c r="M214" i="1"/>
  <c r="M178" i="1"/>
  <c r="M49" i="1"/>
  <c r="M41" i="1"/>
  <c r="M38" i="1"/>
  <c r="M35" i="1"/>
  <c r="M31" i="1"/>
  <c r="M27" i="1"/>
  <c r="M24" i="1"/>
  <c r="M21" i="1"/>
  <c r="M17" i="1"/>
  <c r="M14" i="1"/>
  <c r="M208" i="1"/>
  <c r="M191" i="1"/>
  <c r="M104" i="1"/>
  <c r="M101" i="1"/>
  <c r="M98" i="1"/>
  <c r="M95" i="1"/>
  <c r="M92" i="1"/>
  <c r="M89" i="1"/>
  <c r="M86" i="1"/>
  <c r="M83" i="1"/>
  <c r="M48" i="1"/>
  <c r="M42" i="1"/>
  <c r="M39" i="1"/>
  <c r="M36" i="1"/>
  <c r="M33" i="1"/>
  <c r="M30" i="1"/>
  <c r="M28" i="1"/>
  <c r="M25" i="1"/>
  <c r="M22" i="1"/>
  <c r="M20" i="1"/>
  <c r="M18" i="1"/>
  <c r="M15" i="1"/>
  <c r="M13" i="1"/>
  <c r="M202"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7" i="1"/>
  <c r="M46" i="1"/>
  <c r="M45" i="1"/>
  <c r="M44" i="1"/>
  <c r="M43" i="1"/>
  <c r="M40" i="1"/>
  <c r="M37" i="1"/>
  <c r="M34" i="1"/>
  <c r="M32" i="1"/>
  <c r="M29" i="1"/>
  <c r="M26" i="1"/>
  <c r="M23" i="1"/>
  <c r="M19" i="1"/>
  <c r="M16" i="1"/>
  <c r="M210" i="1"/>
  <c r="M190" i="1"/>
  <c r="M175" i="1"/>
  <c r="M173" i="1"/>
  <c r="M171" i="1"/>
  <c r="M169" i="1"/>
  <c r="M167" i="1"/>
  <c r="M165" i="1"/>
  <c r="M163" i="1"/>
  <c r="M161" i="1"/>
  <c r="M159" i="1"/>
  <c r="M157" i="1"/>
  <c r="M155" i="1"/>
  <c r="M153" i="1"/>
  <c r="M151" i="1"/>
  <c r="M149" i="1"/>
  <c r="M147" i="1"/>
  <c r="M145" i="1"/>
  <c r="M143" i="1"/>
  <c r="M141" i="1"/>
  <c r="M139" i="1"/>
  <c r="M137" i="1"/>
  <c r="M135" i="1"/>
  <c r="M133" i="1"/>
  <c r="M131" i="1"/>
  <c r="M129" i="1"/>
  <c r="M127" i="1"/>
  <c r="M125" i="1"/>
  <c r="M123" i="1"/>
  <c r="M121" i="1"/>
  <c r="M119" i="1"/>
  <c r="M117" i="1"/>
  <c r="M115" i="1"/>
  <c r="M113" i="1"/>
  <c r="M111" i="1"/>
  <c r="M109" i="1"/>
  <c r="M107" i="1"/>
  <c r="M102" i="1"/>
  <c r="M99" i="1"/>
  <c r="M96" i="1"/>
  <c r="M93" i="1"/>
  <c r="M90" i="1"/>
  <c r="M87" i="1"/>
  <c r="M84" i="1"/>
  <c r="M81" i="1"/>
  <c r="P76" i="5"/>
  <c r="M198" i="1"/>
  <c r="M187" i="1"/>
  <c r="M179" i="1"/>
  <c r="M182" i="1"/>
  <c r="M9" i="1"/>
  <c r="M174" i="1"/>
  <c r="M168" i="1"/>
  <c r="M162" i="1"/>
  <c r="M156" i="1"/>
  <c r="M150" i="1"/>
  <c r="M144" i="1"/>
  <c r="M138" i="1"/>
  <c r="M132" i="1"/>
  <c r="M126" i="1"/>
  <c r="M120" i="1"/>
  <c r="M114" i="1"/>
  <c r="M108" i="1"/>
  <c r="M196" i="1"/>
  <c r="M7" i="1"/>
  <c r="M204" i="1"/>
  <c r="M12" i="1"/>
  <c r="M5" i="1"/>
  <c r="M10" i="1"/>
  <c r="M11" i="1"/>
  <c r="M186" i="1"/>
  <c r="M172" i="1"/>
  <c r="M166" i="1"/>
  <c r="M160" i="1"/>
  <c r="M154" i="1"/>
  <c r="M148" i="1"/>
  <c r="M142" i="1"/>
  <c r="M136" i="1"/>
  <c r="M130" i="1"/>
  <c r="M124" i="1"/>
  <c r="M118" i="1"/>
  <c r="M112" i="1"/>
  <c r="M106" i="1"/>
  <c r="M3" i="1"/>
  <c r="M8" i="1"/>
  <c r="M105" i="1"/>
  <c r="M170" i="1"/>
  <c r="M164" i="1"/>
  <c r="M158" i="1"/>
  <c r="M152" i="1"/>
  <c r="M146" i="1"/>
  <c r="M140" i="1"/>
  <c r="M134" i="1"/>
  <c r="M128" i="1"/>
  <c r="M122" i="1"/>
  <c r="M116" i="1"/>
  <c r="M110" i="1"/>
  <c r="M6" i="1"/>
  <c r="M4" i="1"/>
  <c r="P9" i="5"/>
  <c r="P209" i="5"/>
  <c r="P164" i="5"/>
  <c r="P69" i="5"/>
  <c r="P167" i="5"/>
  <c r="O13" i="6"/>
  <c r="P146" i="5"/>
  <c r="O126" i="6"/>
  <c r="O29" i="6"/>
  <c r="O68" i="6"/>
  <c r="O187" i="6"/>
  <c r="O10" i="6"/>
  <c r="O120" i="6"/>
  <c r="O172" i="6"/>
  <c r="O160" i="6"/>
  <c r="M22" i="15"/>
  <c r="M48" i="15"/>
  <c r="M57" i="15"/>
  <c r="M24" i="15"/>
  <c r="M65" i="15"/>
  <c r="M81" i="15"/>
  <c r="M85" i="15"/>
  <c r="M161" i="15"/>
  <c r="M224" i="15"/>
  <c r="M124" i="15"/>
  <c r="M118" i="15"/>
  <c r="M168" i="15"/>
  <c r="M202" i="15"/>
  <c r="M184" i="15"/>
  <c r="M29" i="15"/>
  <c r="M97" i="15"/>
  <c r="M111" i="15"/>
  <c r="M107" i="15"/>
  <c r="M232" i="15"/>
  <c r="M21" i="15"/>
  <c r="M33" i="15"/>
  <c r="M99" i="15"/>
  <c r="M203" i="15"/>
  <c r="M148" i="15"/>
  <c r="O22" i="6"/>
  <c r="O156" i="6"/>
  <c r="M80" i="15"/>
  <c r="M101" i="15"/>
  <c r="M98" i="15"/>
  <c r="M142" i="15"/>
  <c r="M226" i="15"/>
  <c r="M53" i="15"/>
  <c r="M46" i="15"/>
  <c r="M186" i="15"/>
  <c r="M102" i="15"/>
  <c r="M214" i="15"/>
  <c r="M115" i="15"/>
  <c r="P57" i="5"/>
  <c r="O192" i="6"/>
  <c r="M11" i="15"/>
  <c r="P3" i="5"/>
  <c r="O175" i="6"/>
  <c r="O144" i="6"/>
  <c r="M129" i="15"/>
  <c r="P12" i="5"/>
  <c r="P15" i="5"/>
  <c r="P194" i="5"/>
  <c r="P108" i="5"/>
  <c r="P200" i="5"/>
  <c r="P75" i="5"/>
  <c r="P203" i="5"/>
  <c r="P138" i="5"/>
  <c r="O108" i="6"/>
  <c r="P165" i="5"/>
  <c r="P123" i="5"/>
  <c r="O34" i="6"/>
  <c r="O124" i="6"/>
  <c r="O18" i="6"/>
  <c r="O57" i="6"/>
  <c r="O152" i="6"/>
  <c r="O188" i="6"/>
  <c r="M30" i="15"/>
  <c r="M56" i="15"/>
  <c r="M9" i="15"/>
  <c r="M28" i="15"/>
  <c r="M15" i="15"/>
  <c r="M13" i="15"/>
  <c r="M109" i="15"/>
  <c r="M198" i="15"/>
  <c r="M128" i="15"/>
  <c r="M178" i="15"/>
  <c r="M42" i="15"/>
  <c r="M35" i="15"/>
  <c r="M31" i="15"/>
  <c r="M147" i="15"/>
  <c r="M212" i="15"/>
  <c r="P87" i="5"/>
  <c r="P218" i="5"/>
  <c r="O100" i="6"/>
  <c r="O200" i="6"/>
  <c r="M52" i="15"/>
  <c r="M17" i="15"/>
  <c r="M40" i="15"/>
  <c r="M37" i="15"/>
  <c r="M41" i="15"/>
  <c r="M34" i="15"/>
  <c r="M94" i="15"/>
  <c r="M119" i="15"/>
  <c r="M216" i="15"/>
  <c r="M222" i="15"/>
  <c r="P147" i="5"/>
  <c r="M87" i="15"/>
  <c r="M155" i="15"/>
  <c r="M158" i="15"/>
  <c r="P60" i="5"/>
  <c r="P120" i="5"/>
  <c r="P150" i="5"/>
  <c r="O8" i="6"/>
  <c r="O14" i="6"/>
  <c r="O105" i="6"/>
  <c r="M12" i="15"/>
  <c r="M49" i="15"/>
  <c r="P36" i="5"/>
  <c r="P21" i="5"/>
  <c r="P54" i="5"/>
  <c r="P135" i="5"/>
  <c r="O60" i="6"/>
  <c r="P81" i="5"/>
  <c r="P222" i="5"/>
  <c r="P155" i="5"/>
  <c r="O171" i="6"/>
  <c r="P182" i="5"/>
  <c r="P159" i="5"/>
  <c r="O150" i="6"/>
  <c r="O148" i="6"/>
  <c r="O76" i="6"/>
  <c r="O173" i="6"/>
  <c r="M45" i="15"/>
  <c r="M5" i="15"/>
  <c r="M36" i="15"/>
  <c r="M82" i="15"/>
  <c r="M136" i="15"/>
  <c r="M210" i="15"/>
  <c r="P191" i="5"/>
  <c r="P149" i="5"/>
  <c r="P176" i="5"/>
  <c r="O167" i="6"/>
  <c r="O30" i="6"/>
  <c r="O69" i="6"/>
  <c r="O193" i="6"/>
  <c r="M39" i="15"/>
  <c r="M75" i="15"/>
  <c r="M66" i="15"/>
  <c r="P90" i="5"/>
  <c r="P232" i="5"/>
  <c r="O165" i="6"/>
  <c r="O181" i="6"/>
  <c r="O118" i="6"/>
  <c r="O89" i="6"/>
  <c r="O164" i="6"/>
  <c r="M149" i="15"/>
  <c r="M88" i="15"/>
  <c r="M121" i="15"/>
  <c r="M205" i="15"/>
  <c r="P158" i="5"/>
  <c r="P197" i="5"/>
  <c r="O6" i="6"/>
  <c r="O128" i="6"/>
  <c r="M7" i="15"/>
  <c r="P63" i="5"/>
  <c r="P129" i="5"/>
  <c r="M10" i="15"/>
  <c r="M19" i="15"/>
  <c r="P24" i="5"/>
  <c r="P66" i="5"/>
  <c r="P27" i="5"/>
  <c r="O54" i="6"/>
  <c r="P153" i="5"/>
  <c r="M162" i="15"/>
  <c r="O4" i="6"/>
  <c r="P6" i="5"/>
  <c r="P48" i="5"/>
  <c r="P33" i="5"/>
  <c r="O135" i="6"/>
  <c r="P99" i="5"/>
  <c r="P117" i="5"/>
  <c r="P93" i="5"/>
  <c r="O37" i="6"/>
  <c r="P227" i="5"/>
  <c r="P185" i="5"/>
  <c r="O33" i="6"/>
  <c r="P212" i="5"/>
  <c r="O189" i="6"/>
  <c r="O199" i="6"/>
  <c r="O111" i="6"/>
  <c r="O66" i="6"/>
  <c r="O77" i="6"/>
  <c r="M25" i="15"/>
  <c r="M54" i="15"/>
  <c r="M51" i="15"/>
  <c r="M6" i="15"/>
  <c r="M47" i="15"/>
  <c r="M43" i="15"/>
  <c r="M103" i="15"/>
  <c r="M113" i="15"/>
  <c r="M100" i="15"/>
  <c r="M196" i="15"/>
  <c r="M146" i="15"/>
  <c r="M229" i="15"/>
  <c r="M167" i="15"/>
  <c r="M228" i="15"/>
  <c r="P221" i="5"/>
  <c r="O36" i="6"/>
  <c r="O9" i="6"/>
  <c r="O42" i="6"/>
  <c r="O125" i="6"/>
  <c r="O158" i="6"/>
  <c r="O85" i="6"/>
  <c r="M59" i="15"/>
  <c r="M18" i="15"/>
  <c r="M110" i="15"/>
  <c r="M123" i="15"/>
  <c r="M172" i="15"/>
  <c r="M55" i="15"/>
  <c r="M181" i="15"/>
  <c r="M215" i="15"/>
  <c r="O12" i="6"/>
  <c r="O133" i="6"/>
  <c r="P224" i="5"/>
  <c r="O141" i="6"/>
  <c r="O97" i="6"/>
  <c r="O142" i="6"/>
  <c r="O174" i="6"/>
  <c r="P30" i="5"/>
  <c r="P39" i="5"/>
  <c r="P105" i="5"/>
  <c r="O61" i="6"/>
  <c r="P114" i="5"/>
  <c r="O88" i="6"/>
  <c r="M76" i="15"/>
  <c r="M67" i="15"/>
  <c r="M112" i="15"/>
  <c r="M108" i="15"/>
  <c r="M151" i="15"/>
  <c r="M191" i="15"/>
  <c r="M188" i="15"/>
  <c r="M160" i="15"/>
  <c r="M174" i="15"/>
  <c r="O157" i="6"/>
  <c r="M218" i="15"/>
  <c r="M3" i="15"/>
  <c r="M69" i="15"/>
  <c r="M156" i="15"/>
  <c r="M173" i="15"/>
  <c r="M120" i="15"/>
  <c r="M208" i="15"/>
  <c r="M206" i="15"/>
  <c r="M192" i="15"/>
  <c r="M179" i="15"/>
  <c r="P18" i="5"/>
  <c r="P84" i="5"/>
  <c r="P45" i="5"/>
  <c r="P96" i="5"/>
  <c r="P230" i="5"/>
  <c r="P132" i="5"/>
  <c r="P170" i="5"/>
  <c r="O92" i="6"/>
  <c r="O3" i="6"/>
  <c r="P231" i="5"/>
  <c r="O26" i="6"/>
  <c r="O159" i="6"/>
  <c r="O45" i="6"/>
  <c r="O180" i="6"/>
  <c r="O49" i="6"/>
  <c r="O110" i="6"/>
  <c r="O93" i="6"/>
  <c r="O166" i="6"/>
  <c r="M14" i="15"/>
  <c r="M4" i="15"/>
  <c r="M145" i="15"/>
  <c r="M176" i="15"/>
  <c r="M78" i="15"/>
  <c r="M58" i="15"/>
  <c r="M105" i="15"/>
  <c r="M133" i="15"/>
  <c r="M77" i="15"/>
  <c r="M104" i="15"/>
  <c r="M127" i="15"/>
  <c r="M122" i="15"/>
  <c r="M227" i="15"/>
  <c r="M230" i="15"/>
  <c r="M126" i="15"/>
  <c r="M143" i="15"/>
  <c r="P102" i="5"/>
  <c r="P173" i="5"/>
  <c r="P126" i="5"/>
  <c r="O58" i="6"/>
  <c r="P228" i="5"/>
  <c r="P152" i="5"/>
  <c r="P179" i="5"/>
  <c r="O64" i="6"/>
  <c r="O179" i="6"/>
  <c r="M61" i="15"/>
  <c r="M90" i="15"/>
  <c r="M135" i="15"/>
  <c r="M125" i="15"/>
  <c r="M220" i="15"/>
  <c r="M106" i="15"/>
  <c r="M137" i="15"/>
  <c r="M152" i="15"/>
  <c r="M193" i="15"/>
  <c r="M190" i="15"/>
  <c r="M204" i="15"/>
  <c r="O5" i="6"/>
  <c r="O80" i="6"/>
  <c r="P188" i="5"/>
  <c r="P215" i="5"/>
  <c r="P229" i="5"/>
  <c r="O169" i="6"/>
  <c r="O116" i="6"/>
  <c r="M93" i="15"/>
  <c r="M154" i="15"/>
  <c r="O82" i="6"/>
  <c r="O20" i="6"/>
  <c r="O56" i="6"/>
  <c r="O201" i="6"/>
  <c r="O136" i="6"/>
  <c r="P42" i="5"/>
  <c r="P72" i="5"/>
  <c r="P141" i="5"/>
  <c r="P51" i="5"/>
  <c r="P111" i="5"/>
  <c r="O65" i="6"/>
  <c r="P156" i="5"/>
  <c r="P206" i="5"/>
  <c r="O191" i="6"/>
  <c r="O40" i="6"/>
  <c r="O16" i="6"/>
  <c r="P162" i="5"/>
  <c r="O84" i="6"/>
  <c r="O53" i="6"/>
  <c r="O38" i="6"/>
  <c r="O73" i="6"/>
  <c r="O140" i="6"/>
  <c r="O101" i="6"/>
  <c r="M27" i="15"/>
  <c r="M16" i="15"/>
  <c r="M23" i="15"/>
  <c r="M73" i="15"/>
  <c r="M60" i="15"/>
  <c r="M114" i="15"/>
  <c r="M166" i="15"/>
  <c r="M89" i="15"/>
  <c r="M116" i="15"/>
  <c r="M134" i="15"/>
  <c r="M180" i="15"/>
  <c r="P53" i="5"/>
  <c r="P225" i="5"/>
  <c r="P144" i="5"/>
  <c r="O90" i="6"/>
  <c r="O132" i="6"/>
  <c r="O62" i="6"/>
  <c r="O81" i="6"/>
  <c r="O109" i="6"/>
  <c r="M64" i="15"/>
  <c r="P161" i="5"/>
  <c r="O112" i="6"/>
  <c r="P78" i="5"/>
  <c r="C14" i="16"/>
  <c r="D14" i="16" s="1"/>
  <c r="C11" i="16"/>
  <c r="D11" i="16" s="1"/>
  <c r="C13" i="16"/>
  <c r="D13" i="16" s="1"/>
  <c r="C12" i="16"/>
  <c r="D12" i="16" s="1"/>
  <c r="H3" i="7"/>
  <c r="B30" i="14"/>
  <c r="D30" i="14"/>
  <c r="B31" i="14"/>
  <c r="D31" i="14"/>
  <c r="B26" i="14" l="1"/>
  <c r="D27" i="14"/>
  <c r="Z74" i="13"/>
  <c r="C26" i="14"/>
  <c r="Z170" i="13"/>
  <c r="Z21" i="13"/>
  <c r="M162" i="5"/>
  <c r="L162" i="5"/>
  <c r="K162" i="5"/>
  <c r="J162" i="5"/>
  <c r="I162" i="5"/>
  <c r="E162" i="5"/>
  <c r="F162" i="5" s="1"/>
  <c r="D162" i="5"/>
  <c r="B162" i="5"/>
  <c r="N162" i="5"/>
  <c r="G162" i="5"/>
  <c r="C162" i="5"/>
  <c r="O162" i="5"/>
  <c r="H162" i="5"/>
  <c r="C196" i="15"/>
  <c r="I196" i="15"/>
  <c r="D196" i="15"/>
  <c r="L196" i="15"/>
  <c r="K196" i="15"/>
  <c r="B196" i="15"/>
  <c r="J196" i="15"/>
  <c r="H196" i="15"/>
  <c r="G196" i="15"/>
  <c r="F196" i="15"/>
  <c r="E196" i="15"/>
  <c r="K78" i="5"/>
  <c r="J78" i="5"/>
  <c r="I78" i="5"/>
  <c r="E78" i="5"/>
  <c r="F78" i="5" s="1"/>
  <c r="D78" i="5"/>
  <c r="L78" i="5"/>
  <c r="H78" i="5"/>
  <c r="G78" i="5"/>
  <c r="B78" i="5"/>
  <c r="O78" i="5"/>
  <c r="N78" i="5"/>
  <c r="M78" i="5"/>
  <c r="C78" i="5"/>
  <c r="M111" i="5"/>
  <c r="K111" i="5"/>
  <c r="J111" i="5"/>
  <c r="I111" i="5"/>
  <c r="E111" i="5"/>
  <c r="F111" i="5" s="1"/>
  <c r="D111" i="5"/>
  <c r="B111" i="5"/>
  <c r="O111" i="5"/>
  <c r="L111" i="5"/>
  <c r="C111" i="5"/>
  <c r="H111" i="5"/>
  <c r="G111" i="5"/>
  <c r="N111" i="5"/>
  <c r="M126" i="5"/>
  <c r="L126" i="5"/>
  <c r="K126" i="5"/>
  <c r="J126" i="5"/>
  <c r="I126" i="5"/>
  <c r="E126" i="5"/>
  <c r="F126" i="5" s="1"/>
  <c r="D126" i="5"/>
  <c r="B126" i="5"/>
  <c r="N126" i="5"/>
  <c r="O126" i="5"/>
  <c r="C126" i="5"/>
  <c r="H126" i="5"/>
  <c r="G126" i="5"/>
  <c r="M105" i="5"/>
  <c r="K105" i="5"/>
  <c r="J105" i="5"/>
  <c r="I105" i="5"/>
  <c r="E105" i="5"/>
  <c r="F105" i="5" s="1"/>
  <c r="D105" i="5"/>
  <c r="N105" i="5"/>
  <c r="C105" i="5"/>
  <c r="O105" i="5"/>
  <c r="L105" i="5"/>
  <c r="G105" i="5"/>
  <c r="H105" i="5"/>
  <c r="B105" i="5"/>
  <c r="G134" i="15"/>
  <c r="E134" i="15"/>
  <c r="D134" i="15"/>
  <c r="C134" i="15"/>
  <c r="K134" i="15"/>
  <c r="I134" i="15"/>
  <c r="H134" i="15"/>
  <c r="F134" i="15"/>
  <c r="B134" i="15"/>
  <c r="L134" i="15"/>
  <c r="J134" i="15"/>
  <c r="N169" i="6"/>
  <c r="B169" i="6"/>
  <c r="L169" i="6"/>
  <c r="I169" i="6"/>
  <c r="D169" i="6"/>
  <c r="C169" i="6"/>
  <c r="G169" i="6"/>
  <c r="E169" i="6"/>
  <c r="M169" i="6"/>
  <c r="K169" i="6"/>
  <c r="J169" i="6"/>
  <c r="F169" i="6"/>
  <c r="H169" i="6"/>
  <c r="N159" i="6"/>
  <c r="B159" i="6"/>
  <c r="F159" i="6"/>
  <c r="E159" i="6"/>
  <c r="M159" i="6"/>
  <c r="K159" i="6"/>
  <c r="G159" i="6"/>
  <c r="J159" i="6"/>
  <c r="H159" i="6"/>
  <c r="L159" i="6"/>
  <c r="C159" i="6"/>
  <c r="I159" i="6"/>
  <c r="D159" i="6"/>
  <c r="C160" i="15"/>
  <c r="I160" i="15"/>
  <c r="D160" i="15"/>
  <c r="L160" i="15"/>
  <c r="B160" i="15"/>
  <c r="K160" i="15"/>
  <c r="H160" i="15"/>
  <c r="G160" i="15"/>
  <c r="F160" i="15"/>
  <c r="E160" i="15"/>
  <c r="J160" i="15"/>
  <c r="C172" i="15"/>
  <c r="I172" i="15"/>
  <c r="D172" i="15"/>
  <c r="L172" i="15"/>
  <c r="K172" i="15"/>
  <c r="B172" i="15"/>
  <c r="F172" i="15"/>
  <c r="E172" i="15"/>
  <c r="G172" i="15"/>
  <c r="J172" i="15"/>
  <c r="H172" i="15"/>
  <c r="H54" i="15"/>
  <c r="G54" i="15"/>
  <c r="F54" i="15"/>
  <c r="E54" i="15"/>
  <c r="B54" i="15"/>
  <c r="L54" i="15"/>
  <c r="K54" i="15"/>
  <c r="J54" i="15"/>
  <c r="I54" i="15"/>
  <c r="C54" i="15"/>
  <c r="D54" i="15"/>
  <c r="H121" i="15"/>
  <c r="L121" i="15"/>
  <c r="E121" i="15"/>
  <c r="K121" i="15"/>
  <c r="J121" i="15"/>
  <c r="I121" i="15"/>
  <c r="G121" i="15"/>
  <c r="D121" i="15"/>
  <c r="C121" i="15"/>
  <c r="F121" i="15"/>
  <c r="B121" i="15"/>
  <c r="F60" i="6"/>
  <c r="D60" i="6"/>
  <c r="J60" i="6"/>
  <c r="N60" i="6"/>
  <c r="M60" i="6"/>
  <c r="L60" i="6"/>
  <c r="K60" i="6"/>
  <c r="E60" i="6"/>
  <c r="I60" i="6"/>
  <c r="H60" i="6"/>
  <c r="G60" i="6"/>
  <c r="C60" i="6"/>
  <c r="B60" i="6"/>
  <c r="I40" i="15"/>
  <c r="H40" i="15"/>
  <c r="G40" i="15"/>
  <c r="D40" i="15"/>
  <c r="B40" i="15"/>
  <c r="C40" i="15"/>
  <c r="K40" i="15"/>
  <c r="J40" i="15"/>
  <c r="F40" i="15"/>
  <c r="E40" i="15"/>
  <c r="L40" i="15"/>
  <c r="B118" i="15"/>
  <c r="G118" i="15"/>
  <c r="E118" i="15"/>
  <c r="D118" i="15"/>
  <c r="C118" i="15"/>
  <c r="K118" i="15"/>
  <c r="J118" i="15"/>
  <c r="H118" i="15"/>
  <c r="F118" i="15"/>
  <c r="L118" i="15"/>
  <c r="I118" i="15"/>
  <c r="Z72" i="13"/>
  <c r="Z84" i="13"/>
  <c r="Z151" i="13"/>
  <c r="Z164" i="13"/>
  <c r="Z115" i="13"/>
  <c r="Z118" i="13"/>
  <c r="Z55" i="13"/>
  <c r="Z129" i="13"/>
  <c r="M135" i="5"/>
  <c r="L135" i="5"/>
  <c r="K135" i="5"/>
  <c r="J135" i="5"/>
  <c r="I135" i="5"/>
  <c r="E135" i="5"/>
  <c r="F135" i="5" s="1"/>
  <c r="D135" i="5"/>
  <c r="G135" i="5"/>
  <c r="C135" i="5"/>
  <c r="N135" i="5"/>
  <c r="B135" i="5"/>
  <c r="O135" i="5"/>
  <c r="H135" i="5"/>
  <c r="E158" i="15"/>
  <c r="C158" i="15"/>
  <c r="K158" i="15"/>
  <c r="H158" i="15"/>
  <c r="L158" i="15"/>
  <c r="B158" i="15"/>
  <c r="J158" i="15"/>
  <c r="G158" i="15"/>
  <c r="I158" i="15"/>
  <c r="F158" i="15"/>
  <c r="D158" i="15"/>
  <c r="C17" i="15"/>
  <c r="B17" i="15"/>
  <c r="L17" i="15"/>
  <c r="K17" i="15"/>
  <c r="J17" i="15"/>
  <c r="I17" i="15"/>
  <c r="G17" i="15"/>
  <c r="H17" i="15"/>
  <c r="F17" i="15"/>
  <c r="E17" i="15"/>
  <c r="D17" i="15"/>
  <c r="L128" i="15"/>
  <c r="K128" i="15"/>
  <c r="E128" i="15"/>
  <c r="I128" i="15"/>
  <c r="H128" i="15"/>
  <c r="G128" i="15"/>
  <c r="F128" i="15"/>
  <c r="D128" i="15"/>
  <c r="C128" i="15"/>
  <c r="J128" i="15"/>
  <c r="B128" i="15"/>
  <c r="E18" i="6"/>
  <c r="D18" i="6"/>
  <c r="C18" i="6"/>
  <c r="K18" i="6"/>
  <c r="G18" i="6"/>
  <c r="F18" i="6"/>
  <c r="B18" i="6"/>
  <c r="L18" i="6"/>
  <c r="J18" i="6"/>
  <c r="N18" i="6"/>
  <c r="M18" i="6"/>
  <c r="I18" i="6"/>
  <c r="H18" i="6"/>
  <c r="G15" i="5"/>
  <c r="E15" i="5"/>
  <c r="F15" i="5" s="1"/>
  <c r="D15" i="5"/>
  <c r="N15" i="5"/>
  <c r="B15" i="5"/>
  <c r="K15" i="5"/>
  <c r="J15" i="5"/>
  <c r="I15" i="5"/>
  <c r="O15" i="5"/>
  <c r="M15" i="5"/>
  <c r="L15" i="5"/>
  <c r="H15" i="5"/>
  <c r="C15" i="5"/>
  <c r="K186" i="15"/>
  <c r="G186" i="15"/>
  <c r="H186" i="15"/>
  <c r="B186" i="15"/>
  <c r="D186" i="15"/>
  <c r="L186" i="15"/>
  <c r="J186" i="15"/>
  <c r="I186" i="15"/>
  <c r="F186" i="15"/>
  <c r="E186" i="15"/>
  <c r="C186" i="15"/>
  <c r="D99" i="15"/>
  <c r="C99" i="15"/>
  <c r="B99" i="15"/>
  <c r="L99" i="15"/>
  <c r="K99" i="15"/>
  <c r="H99" i="15"/>
  <c r="J99" i="15"/>
  <c r="I99" i="15"/>
  <c r="G99" i="15"/>
  <c r="F99" i="15"/>
  <c r="E99" i="15"/>
  <c r="E124" i="15"/>
  <c r="L124" i="15"/>
  <c r="F124" i="15"/>
  <c r="J124" i="15"/>
  <c r="I124" i="15"/>
  <c r="H124" i="15"/>
  <c r="G124" i="15"/>
  <c r="D124" i="15"/>
  <c r="C124" i="15"/>
  <c r="K124" i="15"/>
  <c r="B124" i="15"/>
  <c r="K120" i="6"/>
  <c r="C120" i="6"/>
  <c r="N120" i="6"/>
  <c r="B120" i="6"/>
  <c r="I120" i="6"/>
  <c r="G120" i="6"/>
  <c r="E120" i="6"/>
  <c r="M120" i="6"/>
  <c r="L120" i="6"/>
  <c r="J120" i="6"/>
  <c r="H120" i="6"/>
  <c r="F120" i="6"/>
  <c r="D120" i="6"/>
  <c r="G9" i="5"/>
  <c r="E9" i="5"/>
  <c r="F9" i="5" s="1"/>
  <c r="D9" i="5"/>
  <c r="N9" i="5"/>
  <c r="B9" i="5"/>
  <c r="K9" i="5"/>
  <c r="J9" i="5"/>
  <c r="I9" i="5"/>
  <c r="O9" i="5"/>
  <c r="M9" i="5"/>
  <c r="L9" i="5"/>
  <c r="H9" i="5"/>
  <c r="C9" i="5"/>
  <c r="L164" i="1"/>
  <c r="G164" i="1"/>
  <c r="D164" i="1"/>
  <c r="C164" i="1"/>
  <c r="B164" i="1"/>
  <c r="N164" i="1"/>
  <c r="I164" i="1"/>
  <c r="H164" i="1"/>
  <c r="E164" i="1"/>
  <c r="F164" i="1" s="1"/>
  <c r="L148" i="1"/>
  <c r="G148" i="1"/>
  <c r="D148" i="1"/>
  <c r="C148" i="1"/>
  <c r="B148" i="1"/>
  <c r="N148" i="1"/>
  <c r="I148" i="1"/>
  <c r="H148" i="1"/>
  <c r="E148" i="1"/>
  <c r="F148" i="1" s="1"/>
  <c r="C196" i="1"/>
  <c r="B196" i="1"/>
  <c r="L196" i="1"/>
  <c r="G196" i="1"/>
  <c r="D196" i="1"/>
  <c r="N196" i="1"/>
  <c r="H196" i="1"/>
  <c r="I196" i="1"/>
  <c r="E196" i="1"/>
  <c r="F196" i="1" s="1"/>
  <c r="L174" i="1"/>
  <c r="G174" i="1"/>
  <c r="D174" i="1"/>
  <c r="C174" i="1"/>
  <c r="B174" i="1"/>
  <c r="N174" i="1"/>
  <c r="I174" i="1"/>
  <c r="H174" i="1"/>
  <c r="E174" i="1"/>
  <c r="F174" i="1" s="1"/>
  <c r="L96" i="1"/>
  <c r="G96" i="1"/>
  <c r="C96" i="1"/>
  <c r="B96" i="1"/>
  <c r="E96" i="1"/>
  <c r="F96" i="1" s="1"/>
  <c r="I96" i="1"/>
  <c r="H96" i="1"/>
  <c r="N96" i="1"/>
  <c r="D96" i="1"/>
  <c r="L125" i="1"/>
  <c r="G125" i="1"/>
  <c r="D125" i="1"/>
  <c r="C125" i="1"/>
  <c r="B125" i="1"/>
  <c r="E125" i="1"/>
  <c r="F125" i="1" s="1"/>
  <c r="H125" i="1"/>
  <c r="N125" i="1"/>
  <c r="I125" i="1"/>
  <c r="L149" i="1"/>
  <c r="G149" i="1"/>
  <c r="D149" i="1"/>
  <c r="C149" i="1"/>
  <c r="B149" i="1"/>
  <c r="E149" i="1"/>
  <c r="F149" i="1" s="1"/>
  <c r="H149" i="1"/>
  <c r="N149" i="1"/>
  <c r="I149" i="1"/>
  <c r="L173" i="1"/>
  <c r="G173" i="1"/>
  <c r="D173" i="1"/>
  <c r="C173" i="1"/>
  <c r="B173" i="1"/>
  <c r="E173" i="1"/>
  <c r="F173" i="1" s="1"/>
  <c r="H173" i="1"/>
  <c r="N173" i="1"/>
  <c r="I173" i="1"/>
  <c r="E40" i="1"/>
  <c r="F40" i="1" s="1"/>
  <c r="D40" i="1"/>
  <c r="B40" i="1"/>
  <c r="N40" i="1"/>
  <c r="I40" i="1"/>
  <c r="G40" i="1"/>
  <c r="L40" i="1"/>
  <c r="H40" i="1"/>
  <c r="C40" i="1"/>
  <c r="E56" i="1"/>
  <c r="F56" i="1" s="1"/>
  <c r="D56" i="1"/>
  <c r="B56" i="1"/>
  <c r="N56" i="1"/>
  <c r="I56" i="1"/>
  <c r="G56" i="1"/>
  <c r="K56" i="1"/>
  <c r="L56" i="1"/>
  <c r="H56" i="1"/>
  <c r="C56" i="1"/>
  <c r="E68" i="1"/>
  <c r="F68" i="1" s="1"/>
  <c r="D68" i="1"/>
  <c r="B68" i="1"/>
  <c r="N68" i="1"/>
  <c r="I68" i="1"/>
  <c r="G68" i="1"/>
  <c r="K68" i="1"/>
  <c r="L68" i="1"/>
  <c r="H68" i="1"/>
  <c r="C68" i="1"/>
  <c r="E80" i="1"/>
  <c r="F80" i="1" s="1"/>
  <c r="D80" i="1"/>
  <c r="B80" i="1"/>
  <c r="N80" i="1"/>
  <c r="I80" i="1"/>
  <c r="G80" i="1"/>
  <c r="L80" i="1"/>
  <c r="H80" i="1"/>
  <c r="C80" i="1"/>
  <c r="E39" i="1"/>
  <c r="F39" i="1" s="1"/>
  <c r="D39" i="1"/>
  <c r="B39" i="1"/>
  <c r="N39" i="1"/>
  <c r="I39" i="1"/>
  <c r="G39" i="1"/>
  <c r="H39" i="1"/>
  <c r="C39" i="1"/>
  <c r="L39" i="1"/>
  <c r="C208" i="1"/>
  <c r="B208" i="1"/>
  <c r="L208" i="1"/>
  <c r="G208" i="1"/>
  <c r="D208" i="1"/>
  <c r="N208" i="1"/>
  <c r="I208" i="1"/>
  <c r="E208" i="1"/>
  <c r="F208" i="1" s="1"/>
  <c r="H208" i="1"/>
  <c r="C214" i="1"/>
  <c r="B214" i="1"/>
  <c r="L214" i="1"/>
  <c r="G214" i="1"/>
  <c r="D214" i="1"/>
  <c r="I214" i="1"/>
  <c r="H214" i="1"/>
  <c r="N214" i="1"/>
  <c r="E214" i="1"/>
  <c r="F214" i="1" s="1"/>
  <c r="C185" i="1"/>
  <c r="I185" i="1"/>
  <c r="H185" i="1"/>
  <c r="E185" i="1"/>
  <c r="F185" i="1" s="1"/>
  <c r="D185" i="1"/>
  <c r="N185" i="1"/>
  <c r="B185" i="1"/>
  <c r="L185" i="1"/>
  <c r="G185" i="1"/>
  <c r="C183" i="1"/>
  <c r="G183" i="1"/>
  <c r="B183" i="1"/>
  <c r="L183" i="1"/>
  <c r="N183" i="1"/>
  <c r="I183" i="1"/>
  <c r="D183" i="1"/>
  <c r="H183" i="1"/>
  <c r="E183" i="1"/>
  <c r="F183" i="1" s="1"/>
  <c r="O22" i="5"/>
  <c r="C22" i="5"/>
  <c r="N22" i="5"/>
  <c r="B22" i="5"/>
  <c r="M22" i="5"/>
  <c r="L22" i="5"/>
  <c r="J22" i="5"/>
  <c r="G22" i="5"/>
  <c r="E22" i="5"/>
  <c r="F22" i="5" s="1"/>
  <c r="K22" i="5"/>
  <c r="I22" i="5"/>
  <c r="H22" i="5"/>
  <c r="D22" i="5"/>
  <c r="O95" i="5"/>
  <c r="C95" i="5"/>
  <c r="N95" i="5"/>
  <c r="B95" i="5"/>
  <c r="M95" i="5"/>
  <c r="I95" i="5"/>
  <c r="H95" i="5"/>
  <c r="L95" i="5"/>
  <c r="E95" i="5"/>
  <c r="F95" i="5" s="1"/>
  <c r="K95" i="5"/>
  <c r="J95" i="5"/>
  <c r="G95" i="5"/>
  <c r="D95" i="5"/>
  <c r="I103" i="5"/>
  <c r="G103" i="5"/>
  <c r="E103" i="5"/>
  <c r="F103" i="5" s="1"/>
  <c r="M103" i="5"/>
  <c r="L103" i="5"/>
  <c r="B103" i="5"/>
  <c r="O103" i="5"/>
  <c r="N103" i="5"/>
  <c r="H103" i="5"/>
  <c r="D103" i="5"/>
  <c r="C103" i="5"/>
  <c r="K103" i="5"/>
  <c r="J103" i="5"/>
  <c r="K11" i="5"/>
  <c r="J11" i="5"/>
  <c r="I11" i="5"/>
  <c r="H11" i="5"/>
  <c r="O11" i="5"/>
  <c r="C11" i="5"/>
  <c r="N11" i="5"/>
  <c r="B11" i="5"/>
  <c r="M11" i="5"/>
  <c r="L11" i="5"/>
  <c r="G11" i="5"/>
  <c r="E11" i="5"/>
  <c r="F11" i="5" s="1"/>
  <c r="D11" i="5"/>
  <c r="K47" i="5"/>
  <c r="J47" i="5"/>
  <c r="I47" i="5"/>
  <c r="H47" i="5"/>
  <c r="O47" i="5"/>
  <c r="C47" i="5"/>
  <c r="N47" i="5"/>
  <c r="B47" i="5"/>
  <c r="M47" i="5"/>
  <c r="L47" i="5"/>
  <c r="G47" i="5"/>
  <c r="E47" i="5"/>
  <c r="F47" i="5" s="1"/>
  <c r="D47" i="5"/>
  <c r="G91" i="5"/>
  <c r="E91" i="5"/>
  <c r="F91" i="5" s="1"/>
  <c r="M91" i="5"/>
  <c r="L91" i="5"/>
  <c r="N91" i="5"/>
  <c r="K91" i="5"/>
  <c r="J91" i="5"/>
  <c r="I91" i="5"/>
  <c r="D91" i="5"/>
  <c r="C91" i="5"/>
  <c r="B91" i="5"/>
  <c r="H91" i="5"/>
  <c r="O91" i="5"/>
  <c r="I190" i="5"/>
  <c r="H190" i="5"/>
  <c r="G190" i="5"/>
  <c r="E190" i="5"/>
  <c r="F190" i="5" s="1"/>
  <c r="M190" i="5"/>
  <c r="L190" i="5"/>
  <c r="C190" i="5"/>
  <c r="B190" i="5"/>
  <c r="O190" i="5"/>
  <c r="K190" i="5"/>
  <c r="J190" i="5"/>
  <c r="D190" i="5"/>
  <c r="N190" i="5"/>
  <c r="I118" i="5"/>
  <c r="H118" i="5"/>
  <c r="G118" i="5"/>
  <c r="E118" i="5"/>
  <c r="F118" i="5" s="1"/>
  <c r="M118" i="5"/>
  <c r="L118" i="5"/>
  <c r="O118" i="5"/>
  <c r="N118" i="5"/>
  <c r="K118" i="5"/>
  <c r="D118" i="5"/>
  <c r="J118" i="5"/>
  <c r="C118" i="5"/>
  <c r="B118" i="5"/>
  <c r="C225" i="1"/>
  <c r="B225" i="1"/>
  <c r="E225" i="1"/>
  <c r="F225" i="1" s="1"/>
  <c r="L225" i="1"/>
  <c r="I225" i="1"/>
  <c r="D225" i="1"/>
  <c r="H225" i="1"/>
  <c r="G225" i="1"/>
  <c r="N225" i="1"/>
  <c r="I166" i="5"/>
  <c r="H166" i="5"/>
  <c r="G166" i="5"/>
  <c r="E166" i="5"/>
  <c r="F166" i="5" s="1"/>
  <c r="M166" i="5"/>
  <c r="L166" i="5"/>
  <c r="N166" i="5"/>
  <c r="K166" i="5"/>
  <c r="J166" i="5"/>
  <c r="D166" i="5"/>
  <c r="C166" i="5"/>
  <c r="B166" i="5"/>
  <c r="O166" i="5"/>
  <c r="I157" i="5"/>
  <c r="H157" i="5"/>
  <c r="G157" i="5"/>
  <c r="E157" i="5"/>
  <c r="F157" i="5" s="1"/>
  <c r="M157" i="5"/>
  <c r="L157" i="5"/>
  <c r="D157" i="5"/>
  <c r="C157" i="5"/>
  <c r="B157" i="5"/>
  <c r="N157" i="5"/>
  <c r="K157" i="5"/>
  <c r="O157" i="5"/>
  <c r="J157" i="5"/>
  <c r="I184" i="5"/>
  <c r="H184" i="5"/>
  <c r="G184" i="5"/>
  <c r="E184" i="5"/>
  <c r="F184" i="5" s="1"/>
  <c r="M184" i="5"/>
  <c r="L184" i="5"/>
  <c r="O184" i="5"/>
  <c r="K184" i="5"/>
  <c r="D184" i="5"/>
  <c r="C184" i="5"/>
  <c r="N184" i="5"/>
  <c r="J184" i="5"/>
  <c r="B184" i="5"/>
  <c r="I175" i="5"/>
  <c r="H175" i="5"/>
  <c r="G175" i="5"/>
  <c r="E175" i="5"/>
  <c r="F175" i="5" s="1"/>
  <c r="M175" i="5"/>
  <c r="L175" i="5"/>
  <c r="O175" i="5"/>
  <c r="N175" i="5"/>
  <c r="K175" i="5"/>
  <c r="J175" i="5"/>
  <c r="C175" i="5"/>
  <c r="D175" i="5"/>
  <c r="B175" i="5"/>
  <c r="H121" i="6"/>
  <c r="L121" i="6"/>
  <c r="K121" i="6"/>
  <c r="J121" i="6"/>
  <c r="G121" i="6"/>
  <c r="E121" i="6"/>
  <c r="I121" i="6"/>
  <c r="B121" i="6"/>
  <c r="M121" i="6"/>
  <c r="F121" i="6"/>
  <c r="N121" i="6"/>
  <c r="D121" i="6"/>
  <c r="C121" i="6"/>
  <c r="M201" i="5"/>
  <c r="L201" i="5"/>
  <c r="K201" i="5"/>
  <c r="J201" i="5"/>
  <c r="I201" i="5"/>
  <c r="E201" i="5"/>
  <c r="F201" i="5" s="1"/>
  <c r="D201" i="5"/>
  <c r="C201" i="5"/>
  <c r="B201" i="5"/>
  <c r="O201" i="5"/>
  <c r="H201" i="5"/>
  <c r="G201" i="5"/>
  <c r="N201" i="5"/>
  <c r="I87" i="6"/>
  <c r="G87" i="6"/>
  <c r="E87" i="6"/>
  <c r="M87" i="6"/>
  <c r="F87" i="6"/>
  <c r="D87" i="6"/>
  <c r="C87" i="6"/>
  <c r="B87" i="6"/>
  <c r="N87" i="6"/>
  <c r="H87" i="6"/>
  <c r="L87" i="6"/>
  <c r="J87" i="6"/>
  <c r="K87" i="6"/>
  <c r="N143" i="6"/>
  <c r="B143" i="6"/>
  <c r="F143" i="6"/>
  <c r="E143" i="6"/>
  <c r="M143" i="6"/>
  <c r="K143" i="6"/>
  <c r="G143" i="6"/>
  <c r="J143" i="6"/>
  <c r="I143" i="6"/>
  <c r="H143" i="6"/>
  <c r="D143" i="6"/>
  <c r="L143" i="6"/>
  <c r="C143" i="6"/>
  <c r="E143" i="5"/>
  <c r="F143" i="5" s="1"/>
  <c r="D143" i="5"/>
  <c r="O143" i="5"/>
  <c r="C143" i="5"/>
  <c r="N143" i="5"/>
  <c r="B143" i="5"/>
  <c r="M143" i="5"/>
  <c r="I143" i="5"/>
  <c r="H143" i="5"/>
  <c r="K143" i="5"/>
  <c r="G143" i="5"/>
  <c r="L143" i="5"/>
  <c r="J143" i="5"/>
  <c r="N182" i="6"/>
  <c r="B182" i="6"/>
  <c r="M182" i="6"/>
  <c r="K182" i="6"/>
  <c r="D182" i="6"/>
  <c r="H182" i="6"/>
  <c r="G182" i="6"/>
  <c r="L182" i="6"/>
  <c r="E182" i="6"/>
  <c r="C182" i="6"/>
  <c r="I182" i="6"/>
  <c r="F182" i="6"/>
  <c r="J182" i="6"/>
  <c r="N43" i="6"/>
  <c r="B43" i="6"/>
  <c r="M43" i="6"/>
  <c r="L43" i="6"/>
  <c r="H43" i="6"/>
  <c r="K43" i="6"/>
  <c r="J43" i="6"/>
  <c r="E43" i="6"/>
  <c r="D43" i="6"/>
  <c r="I43" i="6"/>
  <c r="G43" i="6"/>
  <c r="F43" i="6"/>
  <c r="C43" i="6"/>
  <c r="H196" i="6"/>
  <c r="G196" i="6"/>
  <c r="E196" i="6"/>
  <c r="M196" i="6"/>
  <c r="J196" i="6"/>
  <c r="B196" i="6"/>
  <c r="K196" i="6"/>
  <c r="F196" i="6"/>
  <c r="C196" i="6"/>
  <c r="N196" i="6"/>
  <c r="L196" i="6"/>
  <c r="I196" i="6"/>
  <c r="D196" i="6"/>
  <c r="L8" i="15"/>
  <c r="K8" i="15"/>
  <c r="J8" i="15"/>
  <c r="I8" i="15"/>
  <c r="H8" i="15"/>
  <c r="G8" i="15"/>
  <c r="F8" i="15"/>
  <c r="D8" i="15"/>
  <c r="C8" i="15"/>
  <c r="B8" i="15"/>
  <c r="E8" i="15"/>
  <c r="L91" i="15"/>
  <c r="K91" i="15"/>
  <c r="J91" i="15"/>
  <c r="I91" i="15"/>
  <c r="G91" i="15"/>
  <c r="D91" i="15"/>
  <c r="F91" i="15"/>
  <c r="E91" i="15"/>
  <c r="C91" i="15"/>
  <c r="B91" i="15"/>
  <c r="H91" i="15"/>
  <c r="C117" i="15"/>
  <c r="H117" i="15"/>
  <c r="D117" i="15"/>
  <c r="B117" i="15"/>
  <c r="L117" i="15"/>
  <c r="J117" i="15"/>
  <c r="I117" i="15"/>
  <c r="K117" i="15"/>
  <c r="G117" i="15"/>
  <c r="E117" i="15"/>
  <c r="F117" i="15"/>
  <c r="F217" i="15"/>
  <c r="D217" i="15"/>
  <c r="L217" i="15"/>
  <c r="K217" i="15"/>
  <c r="E217" i="15"/>
  <c r="I217" i="15"/>
  <c r="G217" i="15"/>
  <c r="B217" i="15"/>
  <c r="C217" i="15"/>
  <c r="J217" i="15"/>
  <c r="H217" i="15"/>
  <c r="D183" i="15"/>
  <c r="B183" i="15"/>
  <c r="J183" i="15"/>
  <c r="K183" i="15"/>
  <c r="G183" i="15"/>
  <c r="L183" i="15"/>
  <c r="I183" i="15"/>
  <c r="H183" i="15"/>
  <c r="F183" i="15"/>
  <c r="C183" i="15"/>
  <c r="E183" i="15"/>
  <c r="Z102" i="13"/>
  <c r="Z44" i="13"/>
  <c r="Z175" i="13"/>
  <c r="K96" i="1" s="1"/>
  <c r="Z32" i="13"/>
  <c r="K194" i="1" s="1"/>
  <c r="Z58" i="13"/>
  <c r="Z52" i="13"/>
  <c r="K42" i="1" s="1"/>
  <c r="Z98" i="13"/>
  <c r="K15" i="1" s="1"/>
  <c r="Z61" i="13"/>
  <c r="K79" i="1" s="1"/>
  <c r="Z79" i="13"/>
  <c r="Z145" i="13"/>
  <c r="Z169" i="13"/>
  <c r="Z158" i="13"/>
  <c r="K175" i="1" s="1"/>
  <c r="Z73" i="13"/>
  <c r="Z178" i="13"/>
  <c r="Z50" i="13"/>
  <c r="Z179" i="13"/>
  <c r="Z18" i="13"/>
  <c r="Z166" i="13"/>
  <c r="C81" i="6"/>
  <c r="M81" i="6"/>
  <c r="K81" i="6"/>
  <c r="G81" i="6"/>
  <c r="J81" i="6"/>
  <c r="I81" i="6"/>
  <c r="H81" i="6"/>
  <c r="F81" i="6"/>
  <c r="N81" i="6"/>
  <c r="L81" i="6"/>
  <c r="E81" i="6"/>
  <c r="D81" i="6"/>
  <c r="B81" i="6"/>
  <c r="L108" i="15"/>
  <c r="C108" i="15"/>
  <c r="B108" i="15"/>
  <c r="K108" i="15"/>
  <c r="J108" i="15"/>
  <c r="H108" i="15"/>
  <c r="G108" i="15"/>
  <c r="I108" i="15"/>
  <c r="F108" i="15"/>
  <c r="E108" i="15"/>
  <c r="D108" i="15"/>
  <c r="K140" i="6"/>
  <c r="C140" i="6"/>
  <c r="N140" i="6"/>
  <c r="B140" i="6"/>
  <c r="M140" i="6"/>
  <c r="J140" i="6"/>
  <c r="H140" i="6"/>
  <c r="D140" i="6"/>
  <c r="G140" i="6"/>
  <c r="F140" i="6"/>
  <c r="E140" i="6"/>
  <c r="L140" i="6"/>
  <c r="I140" i="6"/>
  <c r="K116" i="6"/>
  <c r="C116" i="6"/>
  <c r="N116" i="6"/>
  <c r="B116" i="6"/>
  <c r="F116" i="6"/>
  <c r="D116" i="6"/>
  <c r="J116" i="6"/>
  <c r="E116" i="6"/>
  <c r="M116" i="6"/>
  <c r="G116" i="6"/>
  <c r="L116" i="6"/>
  <c r="I116" i="6"/>
  <c r="H116" i="6"/>
  <c r="C105" i="15"/>
  <c r="D105" i="15"/>
  <c r="B105" i="15"/>
  <c r="L105" i="15"/>
  <c r="K105" i="15"/>
  <c r="I105" i="15"/>
  <c r="H105" i="15"/>
  <c r="J105" i="15"/>
  <c r="G105" i="15"/>
  <c r="E105" i="15"/>
  <c r="F105" i="15"/>
  <c r="G18" i="5"/>
  <c r="E18" i="5"/>
  <c r="F18" i="5" s="1"/>
  <c r="D18" i="5"/>
  <c r="N18" i="5"/>
  <c r="B18" i="5"/>
  <c r="K18" i="5"/>
  <c r="J18" i="5"/>
  <c r="I18" i="5"/>
  <c r="O18" i="5"/>
  <c r="M18" i="5"/>
  <c r="L18" i="5"/>
  <c r="H18" i="5"/>
  <c r="C18" i="5"/>
  <c r="G55" i="15"/>
  <c r="F55" i="15"/>
  <c r="E55" i="15"/>
  <c r="D55" i="15"/>
  <c r="K55" i="15"/>
  <c r="C55" i="15"/>
  <c r="B55" i="15"/>
  <c r="L55" i="15"/>
  <c r="H55" i="15"/>
  <c r="J55" i="15"/>
  <c r="I55" i="15"/>
  <c r="K112" i="6"/>
  <c r="C112" i="6"/>
  <c r="N112" i="6"/>
  <c r="B112" i="6"/>
  <c r="L112" i="6"/>
  <c r="G112" i="6"/>
  <c r="H112" i="6"/>
  <c r="F112" i="6"/>
  <c r="E112" i="6"/>
  <c r="M112" i="6"/>
  <c r="J112" i="6"/>
  <c r="I112" i="6"/>
  <c r="D112" i="6"/>
  <c r="C220" i="15"/>
  <c r="I220" i="15"/>
  <c r="D220" i="15"/>
  <c r="L220" i="15"/>
  <c r="K220" i="15"/>
  <c r="F220" i="15"/>
  <c r="B220" i="15"/>
  <c r="J220" i="15"/>
  <c r="H220" i="15"/>
  <c r="G220" i="15"/>
  <c r="E220" i="15"/>
  <c r="H179" i="15"/>
  <c r="F179" i="15"/>
  <c r="B179" i="15"/>
  <c r="G179" i="15"/>
  <c r="D179" i="15"/>
  <c r="K179" i="15"/>
  <c r="L179" i="15"/>
  <c r="J179" i="15"/>
  <c r="I179" i="15"/>
  <c r="E179" i="15"/>
  <c r="C179" i="15"/>
  <c r="G39" i="5"/>
  <c r="E39" i="5"/>
  <c r="F39" i="5" s="1"/>
  <c r="D39" i="5"/>
  <c r="N39" i="5"/>
  <c r="B39" i="5"/>
  <c r="K39" i="5"/>
  <c r="J39" i="5"/>
  <c r="I39" i="5"/>
  <c r="O39" i="5"/>
  <c r="M39" i="5"/>
  <c r="L39" i="5"/>
  <c r="H39" i="5"/>
  <c r="C39" i="5"/>
  <c r="K93" i="5"/>
  <c r="J93" i="5"/>
  <c r="I93" i="5"/>
  <c r="E93" i="5"/>
  <c r="F93" i="5" s="1"/>
  <c r="D93" i="5"/>
  <c r="G93" i="5"/>
  <c r="N93" i="5"/>
  <c r="H93" i="5"/>
  <c r="C93" i="5"/>
  <c r="O93" i="5"/>
  <c r="M93" i="5"/>
  <c r="L93" i="5"/>
  <c r="B93" i="5"/>
  <c r="C5" i="15"/>
  <c r="B5" i="15"/>
  <c r="L5" i="15"/>
  <c r="K5" i="15"/>
  <c r="J5" i="15"/>
  <c r="I5" i="15"/>
  <c r="G5" i="15"/>
  <c r="H5" i="15"/>
  <c r="F5" i="15"/>
  <c r="E5" i="15"/>
  <c r="D5" i="15"/>
  <c r="L158" i="1"/>
  <c r="G158" i="1"/>
  <c r="D158" i="1"/>
  <c r="C158" i="1"/>
  <c r="B158" i="1"/>
  <c r="N158" i="1"/>
  <c r="I158" i="1"/>
  <c r="H158" i="1"/>
  <c r="E158" i="1"/>
  <c r="F158" i="1" s="1"/>
  <c r="L168" i="1"/>
  <c r="G168" i="1"/>
  <c r="D168" i="1"/>
  <c r="C168" i="1"/>
  <c r="B168" i="1"/>
  <c r="N168" i="1"/>
  <c r="I168" i="1"/>
  <c r="H168" i="1"/>
  <c r="E168" i="1"/>
  <c r="F168" i="1" s="1"/>
  <c r="L147" i="1"/>
  <c r="G147" i="1"/>
  <c r="D147" i="1"/>
  <c r="C147" i="1"/>
  <c r="B147" i="1"/>
  <c r="E147" i="1"/>
  <c r="F147" i="1" s="1"/>
  <c r="H147" i="1"/>
  <c r="N147" i="1"/>
  <c r="I147" i="1"/>
  <c r="E37" i="1"/>
  <c r="F37" i="1" s="1"/>
  <c r="D37" i="1"/>
  <c r="B37" i="1"/>
  <c r="N37" i="1"/>
  <c r="I37" i="1"/>
  <c r="G37" i="1"/>
  <c r="L37" i="1"/>
  <c r="H37" i="1"/>
  <c r="C37" i="1"/>
  <c r="E67" i="1"/>
  <c r="F67" i="1" s="1"/>
  <c r="D67" i="1"/>
  <c r="B67" i="1"/>
  <c r="N67" i="1"/>
  <c r="I67" i="1"/>
  <c r="G67" i="1"/>
  <c r="L67" i="1"/>
  <c r="K67" i="1"/>
  <c r="H67" i="1"/>
  <c r="C67" i="1"/>
  <c r="E36" i="1"/>
  <c r="F36" i="1" s="1"/>
  <c r="D36" i="1"/>
  <c r="B36" i="1"/>
  <c r="N36" i="1"/>
  <c r="I36" i="1"/>
  <c r="G36" i="1"/>
  <c r="H36" i="1"/>
  <c r="C36" i="1"/>
  <c r="L36" i="1"/>
  <c r="C178" i="1"/>
  <c r="N178" i="1"/>
  <c r="G178" i="1"/>
  <c r="E178" i="1"/>
  <c r="F178" i="1" s="1"/>
  <c r="L178" i="1"/>
  <c r="I178" i="1"/>
  <c r="B178" i="1"/>
  <c r="H178" i="1"/>
  <c r="D178" i="1"/>
  <c r="O77" i="5"/>
  <c r="C77" i="5"/>
  <c r="N77" i="5"/>
  <c r="B77" i="5"/>
  <c r="M77" i="5"/>
  <c r="I77" i="5"/>
  <c r="H77" i="5"/>
  <c r="E77" i="5"/>
  <c r="F77" i="5" s="1"/>
  <c r="D77" i="5"/>
  <c r="L77" i="5"/>
  <c r="K77" i="5"/>
  <c r="J77" i="5"/>
  <c r="G77" i="5"/>
  <c r="O89" i="5"/>
  <c r="C89" i="5"/>
  <c r="N89" i="5"/>
  <c r="B89" i="5"/>
  <c r="M89" i="5"/>
  <c r="I89" i="5"/>
  <c r="H89" i="5"/>
  <c r="E89" i="5"/>
  <c r="F89" i="5" s="1"/>
  <c r="D89" i="5"/>
  <c r="L89" i="5"/>
  <c r="K89" i="5"/>
  <c r="J89" i="5"/>
  <c r="G89" i="5"/>
  <c r="O43" i="5"/>
  <c r="C43" i="5"/>
  <c r="N43" i="5"/>
  <c r="B43" i="5"/>
  <c r="M43" i="5"/>
  <c r="L43" i="5"/>
  <c r="J43" i="5"/>
  <c r="G43" i="5"/>
  <c r="E43" i="5"/>
  <c r="F43" i="5" s="1"/>
  <c r="K43" i="5"/>
  <c r="I43" i="5"/>
  <c r="H43" i="5"/>
  <c r="D43" i="5"/>
  <c r="I154" i="5"/>
  <c r="H154" i="5"/>
  <c r="G154" i="5"/>
  <c r="E154" i="5"/>
  <c r="F154" i="5" s="1"/>
  <c r="M154" i="5"/>
  <c r="L154" i="5"/>
  <c r="C154" i="5"/>
  <c r="B154" i="5"/>
  <c r="O154" i="5"/>
  <c r="K154" i="5"/>
  <c r="J154" i="5"/>
  <c r="D154" i="5"/>
  <c r="N154" i="5"/>
  <c r="C224" i="1"/>
  <c r="B224" i="1"/>
  <c r="L224" i="1"/>
  <c r="H224" i="1"/>
  <c r="G224" i="1"/>
  <c r="N224" i="1"/>
  <c r="E224" i="1"/>
  <c r="F224" i="1" s="1"/>
  <c r="D224" i="1"/>
  <c r="I224" i="1"/>
  <c r="I121" i="5"/>
  <c r="H121" i="5"/>
  <c r="G121" i="5"/>
  <c r="E121" i="5"/>
  <c r="F121" i="5" s="1"/>
  <c r="M121" i="5"/>
  <c r="L121" i="5"/>
  <c r="D121" i="5"/>
  <c r="B121" i="5"/>
  <c r="C121" i="5"/>
  <c r="O121" i="5"/>
  <c r="N121" i="5"/>
  <c r="K121" i="5"/>
  <c r="J121" i="5"/>
  <c r="I139" i="5"/>
  <c r="H139" i="5"/>
  <c r="G139" i="5"/>
  <c r="E139" i="5"/>
  <c r="F139" i="5" s="1"/>
  <c r="M139" i="5"/>
  <c r="L139" i="5"/>
  <c r="O139" i="5"/>
  <c r="K139" i="5"/>
  <c r="J139" i="5"/>
  <c r="C139" i="5"/>
  <c r="B139" i="5"/>
  <c r="N139" i="5"/>
  <c r="D139" i="5"/>
  <c r="M198" i="5"/>
  <c r="L198" i="5"/>
  <c r="K198" i="5"/>
  <c r="J198" i="5"/>
  <c r="I198" i="5"/>
  <c r="E198" i="5"/>
  <c r="F198" i="5" s="1"/>
  <c r="D198" i="5"/>
  <c r="B198" i="5"/>
  <c r="N198" i="5"/>
  <c r="G198" i="5"/>
  <c r="C198" i="5"/>
  <c r="O198" i="5"/>
  <c r="H198" i="5"/>
  <c r="E140" i="5"/>
  <c r="F140" i="5" s="1"/>
  <c r="D140" i="5"/>
  <c r="O140" i="5"/>
  <c r="C140" i="5"/>
  <c r="N140" i="5"/>
  <c r="B140" i="5"/>
  <c r="M140" i="5"/>
  <c r="I140" i="5"/>
  <c r="H140" i="5"/>
  <c r="L140" i="5"/>
  <c r="K140" i="5"/>
  <c r="J140" i="5"/>
  <c r="G140" i="5"/>
  <c r="E162" i="6"/>
  <c r="I162" i="6"/>
  <c r="H162" i="6"/>
  <c r="C162" i="6"/>
  <c r="N162" i="6"/>
  <c r="J162" i="6"/>
  <c r="M162" i="6"/>
  <c r="L162" i="6"/>
  <c r="G162" i="6"/>
  <c r="D162" i="6"/>
  <c r="K162" i="6"/>
  <c r="F162" i="6"/>
  <c r="B162" i="6"/>
  <c r="N194" i="6"/>
  <c r="B194" i="6"/>
  <c r="M194" i="6"/>
  <c r="K194" i="6"/>
  <c r="J194" i="6"/>
  <c r="G194" i="6"/>
  <c r="L194" i="6"/>
  <c r="E194" i="6"/>
  <c r="I194" i="6"/>
  <c r="H194" i="6"/>
  <c r="F194" i="6"/>
  <c r="C194" i="6"/>
  <c r="D194" i="6"/>
  <c r="K92" i="15"/>
  <c r="J92" i="15"/>
  <c r="I92" i="15"/>
  <c r="H92" i="15"/>
  <c r="F92" i="15"/>
  <c r="C92" i="15"/>
  <c r="L92" i="15"/>
  <c r="G92" i="15"/>
  <c r="E92" i="15"/>
  <c r="D92" i="15"/>
  <c r="B92" i="15"/>
  <c r="L79" i="15"/>
  <c r="K79" i="15"/>
  <c r="J79" i="15"/>
  <c r="I79" i="15"/>
  <c r="G79" i="15"/>
  <c r="D79" i="15"/>
  <c r="F79" i="15"/>
  <c r="H79" i="15"/>
  <c r="E79" i="15"/>
  <c r="B79" i="15"/>
  <c r="C79" i="15"/>
  <c r="B185" i="15"/>
  <c r="L185" i="15"/>
  <c r="H185" i="15"/>
  <c r="F185" i="15"/>
  <c r="I185" i="15"/>
  <c r="K185" i="15"/>
  <c r="J185" i="15"/>
  <c r="G185" i="15"/>
  <c r="E185" i="15"/>
  <c r="D185" i="15"/>
  <c r="C185" i="15"/>
  <c r="Z128" i="13"/>
  <c r="D116" i="15"/>
  <c r="C116" i="15"/>
  <c r="B116" i="15"/>
  <c r="L116" i="15"/>
  <c r="K116" i="15"/>
  <c r="I116" i="15"/>
  <c r="H116" i="15"/>
  <c r="J116" i="15"/>
  <c r="G116" i="15"/>
  <c r="E116" i="15"/>
  <c r="F116" i="15"/>
  <c r="E38" i="6"/>
  <c r="D38" i="6"/>
  <c r="C38" i="6"/>
  <c r="K38" i="6"/>
  <c r="F38" i="6"/>
  <c r="B38" i="6"/>
  <c r="J38" i="6"/>
  <c r="I38" i="6"/>
  <c r="M38" i="6"/>
  <c r="L38" i="6"/>
  <c r="H38" i="6"/>
  <c r="G38" i="6"/>
  <c r="N38" i="6"/>
  <c r="J229" i="5"/>
  <c r="I229" i="5"/>
  <c r="H229" i="5"/>
  <c r="G229" i="5"/>
  <c r="E229" i="5"/>
  <c r="F229" i="5" s="1"/>
  <c r="N229" i="5"/>
  <c r="M229" i="5"/>
  <c r="D229" i="5"/>
  <c r="C229" i="5"/>
  <c r="B229" i="5"/>
  <c r="O229" i="5"/>
  <c r="L229" i="5"/>
  <c r="K229" i="5"/>
  <c r="L78" i="15"/>
  <c r="K78" i="15"/>
  <c r="J78" i="15"/>
  <c r="H78" i="15"/>
  <c r="E78" i="15"/>
  <c r="I78" i="15"/>
  <c r="G78" i="15"/>
  <c r="F78" i="15"/>
  <c r="D78" i="15"/>
  <c r="B78" i="15"/>
  <c r="C78" i="15"/>
  <c r="G192" i="15"/>
  <c r="E192" i="15"/>
  <c r="I192" i="15"/>
  <c r="B192" i="15"/>
  <c r="J192" i="15"/>
  <c r="F192" i="15"/>
  <c r="D192" i="15"/>
  <c r="C192" i="15"/>
  <c r="L192" i="15"/>
  <c r="K192" i="15"/>
  <c r="H192" i="15"/>
  <c r="G30" i="5"/>
  <c r="E30" i="5"/>
  <c r="F30" i="5" s="1"/>
  <c r="D30" i="5"/>
  <c r="N30" i="5"/>
  <c r="B30" i="5"/>
  <c r="K30" i="5"/>
  <c r="J30" i="5"/>
  <c r="I30" i="5"/>
  <c r="O30" i="5"/>
  <c r="M30" i="5"/>
  <c r="L30" i="5"/>
  <c r="H30" i="5"/>
  <c r="C30" i="5"/>
  <c r="L25" i="15"/>
  <c r="K25" i="15"/>
  <c r="J25" i="15"/>
  <c r="G25" i="15"/>
  <c r="E25" i="15"/>
  <c r="B25" i="15"/>
  <c r="H25" i="15"/>
  <c r="I25" i="15"/>
  <c r="F25" i="15"/>
  <c r="D25" i="15"/>
  <c r="C25" i="15"/>
  <c r="J64" i="15"/>
  <c r="I64" i="15"/>
  <c r="H64" i="15"/>
  <c r="G64" i="15"/>
  <c r="D64" i="15"/>
  <c r="B64" i="15"/>
  <c r="L64" i="15"/>
  <c r="F64" i="15"/>
  <c r="K64" i="15"/>
  <c r="E64" i="15"/>
  <c r="C64" i="15"/>
  <c r="C53" i="6"/>
  <c r="M53" i="6"/>
  <c r="G53" i="6"/>
  <c r="K53" i="6"/>
  <c r="J53" i="6"/>
  <c r="I53" i="6"/>
  <c r="H53" i="6"/>
  <c r="B53" i="6"/>
  <c r="L53" i="6"/>
  <c r="F53" i="6"/>
  <c r="E53" i="6"/>
  <c r="D53" i="6"/>
  <c r="N53" i="6"/>
  <c r="K72" i="5"/>
  <c r="J72" i="5"/>
  <c r="I72" i="5"/>
  <c r="E72" i="5"/>
  <c r="F72" i="5" s="1"/>
  <c r="D72" i="5"/>
  <c r="L72" i="5"/>
  <c r="H72" i="5"/>
  <c r="G72" i="5"/>
  <c r="B72" i="5"/>
  <c r="O72" i="5"/>
  <c r="N72" i="5"/>
  <c r="M72" i="5"/>
  <c r="C72" i="5"/>
  <c r="E215" i="5"/>
  <c r="F215" i="5" s="1"/>
  <c r="D215" i="5"/>
  <c r="O215" i="5"/>
  <c r="C215" i="5"/>
  <c r="N215" i="5"/>
  <c r="B215" i="5"/>
  <c r="M215" i="5"/>
  <c r="I215" i="5"/>
  <c r="H215" i="5"/>
  <c r="K215" i="5"/>
  <c r="J215" i="5"/>
  <c r="L215" i="5"/>
  <c r="G215" i="5"/>
  <c r="F135" i="15"/>
  <c r="L135" i="15"/>
  <c r="G135" i="15"/>
  <c r="E135" i="15"/>
  <c r="D135" i="15"/>
  <c r="K135" i="15"/>
  <c r="J135" i="15"/>
  <c r="I135" i="15"/>
  <c r="C135" i="15"/>
  <c r="B135" i="15"/>
  <c r="H135" i="15"/>
  <c r="F143" i="15"/>
  <c r="G143" i="15"/>
  <c r="B143" i="15"/>
  <c r="L143" i="15"/>
  <c r="I143" i="15"/>
  <c r="K143" i="15"/>
  <c r="J143" i="15"/>
  <c r="H143" i="15"/>
  <c r="E143" i="15"/>
  <c r="C143" i="15"/>
  <c r="D143" i="15"/>
  <c r="K176" i="15"/>
  <c r="I176" i="15"/>
  <c r="E176" i="15"/>
  <c r="G176" i="15"/>
  <c r="F176" i="15"/>
  <c r="L176" i="15"/>
  <c r="J176" i="15"/>
  <c r="D176" i="15"/>
  <c r="H176" i="15"/>
  <c r="C176" i="15"/>
  <c r="B176" i="15"/>
  <c r="J231" i="5"/>
  <c r="H231" i="5"/>
  <c r="D231" i="5"/>
  <c r="I231" i="5"/>
  <c r="G231" i="5"/>
  <c r="E231" i="5"/>
  <c r="F231" i="5" s="1"/>
  <c r="C231" i="5"/>
  <c r="N231" i="5"/>
  <c r="M231" i="5"/>
  <c r="L231" i="5"/>
  <c r="K231" i="5"/>
  <c r="B231" i="5"/>
  <c r="O231" i="5"/>
  <c r="E206" i="15"/>
  <c r="C206" i="15"/>
  <c r="K206" i="15"/>
  <c r="H206" i="15"/>
  <c r="L206" i="15"/>
  <c r="B206" i="15"/>
  <c r="J206" i="15"/>
  <c r="I206" i="15"/>
  <c r="G206" i="15"/>
  <c r="F206" i="15"/>
  <c r="D206" i="15"/>
  <c r="H191" i="15"/>
  <c r="F191" i="15"/>
  <c r="B191" i="15"/>
  <c r="G191" i="15"/>
  <c r="D191" i="15"/>
  <c r="L191" i="15"/>
  <c r="K191" i="15"/>
  <c r="J191" i="15"/>
  <c r="I191" i="15"/>
  <c r="C191" i="15"/>
  <c r="E191" i="15"/>
  <c r="N174" i="6"/>
  <c r="B174" i="6"/>
  <c r="K174" i="6"/>
  <c r="D174" i="6"/>
  <c r="H174" i="6"/>
  <c r="G174" i="6"/>
  <c r="I174" i="6"/>
  <c r="E174" i="6"/>
  <c r="M174" i="6"/>
  <c r="J174" i="6"/>
  <c r="L174" i="6"/>
  <c r="F174" i="6"/>
  <c r="C174" i="6"/>
  <c r="J110" i="15"/>
  <c r="C110" i="15"/>
  <c r="B110" i="15"/>
  <c r="L110" i="15"/>
  <c r="K110" i="15"/>
  <c r="H110" i="15"/>
  <c r="G110" i="15"/>
  <c r="I110" i="15"/>
  <c r="F110" i="15"/>
  <c r="E110" i="15"/>
  <c r="D110" i="15"/>
  <c r="F229" i="15"/>
  <c r="D229" i="15"/>
  <c r="L229" i="15"/>
  <c r="K229" i="15"/>
  <c r="E229" i="15"/>
  <c r="H229" i="15"/>
  <c r="G229" i="15"/>
  <c r="J229" i="15"/>
  <c r="I229" i="15"/>
  <c r="C229" i="15"/>
  <c r="B229" i="15"/>
  <c r="C77" i="6"/>
  <c r="M77" i="6"/>
  <c r="K77" i="6"/>
  <c r="G77" i="6"/>
  <c r="B77" i="6"/>
  <c r="I77" i="6"/>
  <c r="N77" i="6"/>
  <c r="L77" i="6"/>
  <c r="J77" i="6"/>
  <c r="H77" i="6"/>
  <c r="F77" i="6"/>
  <c r="D77" i="6"/>
  <c r="E77" i="6"/>
  <c r="K99" i="5"/>
  <c r="J99" i="5"/>
  <c r="I99" i="5"/>
  <c r="E99" i="5"/>
  <c r="F99" i="5" s="1"/>
  <c r="D99" i="5"/>
  <c r="G99" i="5"/>
  <c r="O99" i="5"/>
  <c r="N99" i="5"/>
  <c r="M99" i="5"/>
  <c r="L99" i="5"/>
  <c r="H99" i="5"/>
  <c r="C99" i="5"/>
  <c r="B99" i="5"/>
  <c r="L19" i="15"/>
  <c r="K19" i="15"/>
  <c r="J19" i="15"/>
  <c r="I19" i="15"/>
  <c r="H19" i="15"/>
  <c r="G19" i="15"/>
  <c r="E19" i="15"/>
  <c r="F19" i="15"/>
  <c r="D19" i="15"/>
  <c r="C19" i="15"/>
  <c r="B19" i="15"/>
  <c r="L149" i="15"/>
  <c r="G149" i="15"/>
  <c r="F149" i="15"/>
  <c r="H149" i="15"/>
  <c r="E149" i="15"/>
  <c r="D149" i="15"/>
  <c r="B149" i="15"/>
  <c r="K149" i="15"/>
  <c r="I149" i="15"/>
  <c r="C149" i="15"/>
  <c r="J149" i="15"/>
  <c r="C69" i="6"/>
  <c r="M69" i="6"/>
  <c r="K69" i="6"/>
  <c r="G69" i="6"/>
  <c r="B69" i="6"/>
  <c r="I69" i="6"/>
  <c r="H69" i="6"/>
  <c r="F69" i="6"/>
  <c r="J69" i="6"/>
  <c r="E69" i="6"/>
  <c r="D69" i="6"/>
  <c r="N69" i="6"/>
  <c r="L69" i="6"/>
  <c r="N173" i="6"/>
  <c r="B173" i="6"/>
  <c r="E173" i="6"/>
  <c r="I173" i="6"/>
  <c r="H173" i="6"/>
  <c r="C173" i="6"/>
  <c r="J173" i="6"/>
  <c r="L173" i="6"/>
  <c r="K173" i="6"/>
  <c r="G173" i="6"/>
  <c r="F173" i="6"/>
  <c r="M173" i="6"/>
  <c r="D173" i="6"/>
  <c r="K54" i="5"/>
  <c r="J54" i="5"/>
  <c r="I54" i="5"/>
  <c r="E54" i="5"/>
  <c r="F54" i="5" s="1"/>
  <c r="L54" i="5"/>
  <c r="H54" i="5"/>
  <c r="G54" i="5"/>
  <c r="C54" i="5"/>
  <c r="O54" i="5"/>
  <c r="N54" i="5"/>
  <c r="M54" i="5"/>
  <c r="B54" i="5"/>
  <c r="D54" i="5"/>
  <c r="H155" i="15"/>
  <c r="F155" i="15"/>
  <c r="B155" i="15"/>
  <c r="G155" i="15"/>
  <c r="D155" i="15"/>
  <c r="J155" i="15"/>
  <c r="I155" i="15"/>
  <c r="E155" i="15"/>
  <c r="K155" i="15"/>
  <c r="C155" i="15"/>
  <c r="L155" i="15"/>
  <c r="I52" i="15"/>
  <c r="H52" i="15"/>
  <c r="G52" i="15"/>
  <c r="D52" i="15"/>
  <c r="B52" i="15"/>
  <c r="C52" i="15"/>
  <c r="K52" i="15"/>
  <c r="L52" i="15"/>
  <c r="E52" i="15"/>
  <c r="J52" i="15"/>
  <c r="F52" i="15"/>
  <c r="K198" i="15"/>
  <c r="G198" i="15"/>
  <c r="H198" i="15"/>
  <c r="B198" i="15"/>
  <c r="D198" i="15"/>
  <c r="L198" i="15"/>
  <c r="J198" i="15"/>
  <c r="I198" i="15"/>
  <c r="F198" i="15"/>
  <c r="E198" i="15"/>
  <c r="C198" i="15"/>
  <c r="K124" i="6"/>
  <c r="C124" i="6"/>
  <c r="N124" i="6"/>
  <c r="B124" i="6"/>
  <c r="M124" i="6"/>
  <c r="J124" i="6"/>
  <c r="H124" i="6"/>
  <c r="D124" i="6"/>
  <c r="G124" i="6"/>
  <c r="L124" i="6"/>
  <c r="I124" i="6"/>
  <c r="F124" i="6"/>
  <c r="E124" i="6"/>
  <c r="G12" i="5"/>
  <c r="E12" i="5"/>
  <c r="F12" i="5" s="1"/>
  <c r="D12" i="5"/>
  <c r="N12" i="5"/>
  <c r="B12" i="5"/>
  <c r="K12" i="5"/>
  <c r="J12" i="5"/>
  <c r="I12" i="5"/>
  <c r="O12" i="5"/>
  <c r="M12" i="5"/>
  <c r="L12" i="5"/>
  <c r="H12" i="5"/>
  <c r="C12" i="5"/>
  <c r="C46" i="15"/>
  <c r="B46" i="15"/>
  <c r="J46" i="15"/>
  <c r="H46" i="15"/>
  <c r="D46" i="15"/>
  <c r="L46" i="15"/>
  <c r="I46" i="15"/>
  <c r="K46" i="15"/>
  <c r="G46" i="15"/>
  <c r="F46" i="15"/>
  <c r="E46" i="15"/>
  <c r="D33" i="15"/>
  <c r="C33" i="15"/>
  <c r="B33" i="15"/>
  <c r="K33" i="15"/>
  <c r="I33" i="15"/>
  <c r="L33" i="15"/>
  <c r="J33" i="15"/>
  <c r="H33" i="15"/>
  <c r="G33" i="15"/>
  <c r="E33" i="15"/>
  <c r="F33" i="15"/>
  <c r="K224" i="15"/>
  <c r="I224" i="15"/>
  <c r="E224" i="15"/>
  <c r="G224" i="15"/>
  <c r="J224" i="15"/>
  <c r="F224" i="15"/>
  <c r="C224" i="15"/>
  <c r="L224" i="15"/>
  <c r="H224" i="15"/>
  <c r="D224" i="15"/>
  <c r="B224" i="15"/>
  <c r="E10" i="6"/>
  <c r="D10" i="6"/>
  <c r="C10" i="6"/>
  <c r="K10" i="6"/>
  <c r="B10" i="6"/>
  <c r="N10" i="6"/>
  <c r="I10" i="6"/>
  <c r="H10" i="6"/>
  <c r="M10" i="6"/>
  <c r="L10" i="6"/>
  <c r="J10" i="6"/>
  <c r="G10" i="6"/>
  <c r="F10" i="6"/>
  <c r="D4" i="1"/>
  <c r="B4" i="1"/>
  <c r="N4" i="1"/>
  <c r="I4" i="1"/>
  <c r="L4" i="1"/>
  <c r="G4" i="1"/>
  <c r="H4" i="1"/>
  <c r="E4" i="1"/>
  <c r="F4" i="1" s="1"/>
  <c r="C4" i="1"/>
  <c r="L170" i="1"/>
  <c r="G170" i="1"/>
  <c r="D170" i="1"/>
  <c r="C170" i="1"/>
  <c r="B170" i="1"/>
  <c r="N170" i="1"/>
  <c r="I170" i="1"/>
  <c r="H170" i="1"/>
  <c r="E170" i="1"/>
  <c r="F170" i="1" s="1"/>
  <c r="L154" i="1"/>
  <c r="G154" i="1"/>
  <c r="D154" i="1"/>
  <c r="C154" i="1"/>
  <c r="B154" i="1"/>
  <c r="N154" i="1"/>
  <c r="I154" i="1"/>
  <c r="H154" i="1"/>
  <c r="E154" i="1"/>
  <c r="F154" i="1" s="1"/>
  <c r="L108" i="1"/>
  <c r="G108" i="1"/>
  <c r="D108" i="1"/>
  <c r="C108" i="1"/>
  <c r="B108" i="1"/>
  <c r="N108" i="1"/>
  <c r="I108" i="1"/>
  <c r="H108" i="1"/>
  <c r="E108" i="1"/>
  <c r="F108" i="1" s="1"/>
  <c r="D9" i="1"/>
  <c r="B9" i="1"/>
  <c r="N9" i="1"/>
  <c r="I9" i="1"/>
  <c r="H9" i="1"/>
  <c r="L9" i="1"/>
  <c r="G9" i="1"/>
  <c r="C9" i="1"/>
  <c r="E9" i="1"/>
  <c r="F9" i="1" s="1"/>
  <c r="L99" i="1"/>
  <c r="G99" i="1"/>
  <c r="C99" i="1"/>
  <c r="B99" i="1"/>
  <c r="E99" i="1"/>
  <c r="F99" i="1" s="1"/>
  <c r="I99" i="1"/>
  <c r="H99" i="1"/>
  <c r="D99" i="1"/>
  <c r="N99" i="1"/>
  <c r="L127" i="1"/>
  <c r="K127" i="1"/>
  <c r="G127" i="1"/>
  <c r="D127" i="1"/>
  <c r="C127" i="1"/>
  <c r="B127" i="1"/>
  <c r="E127" i="1"/>
  <c r="F127" i="1" s="1"/>
  <c r="H127" i="1"/>
  <c r="I127" i="1"/>
  <c r="N127" i="1"/>
  <c r="L151" i="1"/>
  <c r="G151" i="1"/>
  <c r="D151" i="1"/>
  <c r="C151" i="1"/>
  <c r="B151" i="1"/>
  <c r="E151" i="1"/>
  <c r="F151" i="1" s="1"/>
  <c r="H151" i="1"/>
  <c r="N151" i="1"/>
  <c r="I151" i="1"/>
  <c r="L175" i="1"/>
  <c r="G175" i="1"/>
  <c r="D175" i="1"/>
  <c r="C175" i="1"/>
  <c r="B175" i="1"/>
  <c r="E175" i="1"/>
  <c r="F175" i="1" s="1"/>
  <c r="H175" i="1"/>
  <c r="I175" i="1"/>
  <c r="N175" i="1"/>
  <c r="E43" i="1"/>
  <c r="F43" i="1" s="1"/>
  <c r="D43" i="1"/>
  <c r="B43" i="1"/>
  <c r="N43" i="1"/>
  <c r="I43" i="1"/>
  <c r="G43" i="1"/>
  <c r="L43" i="1"/>
  <c r="K43" i="1"/>
  <c r="H43" i="1"/>
  <c r="C43" i="1"/>
  <c r="E57" i="1"/>
  <c r="F57" i="1" s="1"/>
  <c r="D57" i="1"/>
  <c r="B57" i="1"/>
  <c r="N57" i="1"/>
  <c r="I57" i="1"/>
  <c r="G57" i="1"/>
  <c r="H57" i="1"/>
  <c r="C57" i="1"/>
  <c r="L57" i="1"/>
  <c r="E69" i="1"/>
  <c r="F69" i="1" s="1"/>
  <c r="D69" i="1"/>
  <c r="B69" i="1"/>
  <c r="N69" i="1"/>
  <c r="I69" i="1"/>
  <c r="G69" i="1"/>
  <c r="H69" i="1"/>
  <c r="C69" i="1"/>
  <c r="L69" i="1"/>
  <c r="C202" i="1"/>
  <c r="B202" i="1"/>
  <c r="L202" i="1"/>
  <c r="G202" i="1"/>
  <c r="D202" i="1"/>
  <c r="N202" i="1"/>
  <c r="E202" i="1"/>
  <c r="F202" i="1" s="1"/>
  <c r="I202" i="1"/>
  <c r="H202" i="1"/>
  <c r="E42" i="1"/>
  <c r="F42" i="1" s="1"/>
  <c r="D42" i="1"/>
  <c r="B42" i="1"/>
  <c r="N42" i="1"/>
  <c r="I42" i="1"/>
  <c r="G42" i="1"/>
  <c r="H42" i="1"/>
  <c r="C42" i="1"/>
  <c r="L42" i="1"/>
  <c r="D14" i="1"/>
  <c r="B14" i="1"/>
  <c r="N14" i="1"/>
  <c r="I14" i="1"/>
  <c r="E14" i="1"/>
  <c r="F14" i="1" s="1"/>
  <c r="C14" i="1"/>
  <c r="L14" i="1"/>
  <c r="H14" i="1"/>
  <c r="G14" i="1"/>
  <c r="O65" i="5"/>
  <c r="C65" i="5"/>
  <c r="N65" i="5"/>
  <c r="B65" i="5"/>
  <c r="M65" i="5"/>
  <c r="I65" i="5"/>
  <c r="H65" i="5"/>
  <c r="E65" i="5"/>
  <c r="F65" i="5" s="1"/>
  <c r="D65" i="5"/>
  <c r="L65" i="5"/>
  <c r="K65" i="5"/>
  <c r="J65" i="5"/>
  <c r="G65" i="5"/>
  <c r="C195" i="1"/>
  <c r="B195" i="1"/>
  <c r="I195" i="1"/>
  <c r="H195" i="1"/>
  <c r="E195" i="1"/>
  <c r="F195" i="1" s="1"/>
  <c r="D195" i="1"/>
  <c r="N195" i="1"/>
  <c r="G195" i="1"/>
  <c r="L195" i="1"/>
  <c r="C194" i="1"/>
  <c r="B194" i="1"/>
  <c r="G194" i="1"/>
  <c r="L194" i="1"/>
  <c r="I194" i="1"/>
  <c r="H194" i="1"/>
  <c r="E194" i="1"/>
  <c r="F194" i="1" s="1"/>
  <c r="D194" i="1"/>
  <c r="N194" i="1"/>
  <c r="K26" i="5"/>
  <c r="J26" i="5"/>
  <c r="I26" i="5"/>
  <c r="H26" i="5"/>
  <c r="O26" i="5"/>
  <c r="C26" i="5"/>
  <c r="N26" i="5"/>
  <c r="B26" i="5"/>
  <c r="M26" i="5"/>
  <c r="L26" i="5"/>
  <c r="G26" i="5"/>
  <c r="E26" i="5"/>
  <c r="F26" i="5" s="1"/>
  <c r="D26" i="5"/>
  <c r="I109" i="5"/>
  <c r="G109" i="5"/>
  <c r="E109" i="5"/>
  <c r="F109" i="5" s="1"/>
  <c r="M109" i="5"/>
  <c r="L109" i="5"/>
  <c r="N109" i="5"/>
  <c r="C109" i="5"/>
  <c r="B109" i="5"/>
  <c r="K109" i="5"/>
  <c r="J109" i="5"/>
  <c r="H109" i="5"/>
  <c r="O109" i="5"/>
  <c r="D109" i="5"/>
  <c r="C177" i="1"/>
  <c r="N177" i="1"/>
  <c r="I177" i="1"/>
  <c r="E177" i="1"/>
  <c r="F177" i="1" s="1"/>
  <c r="D177" i="1"/>
  <c r="G177" i="1"/>
  <c r="B177" i="1"/>
  <c r="H177" i="1"/>
  <c r="L177" i="1"/>
  <c r="O13" i="5"/>
  <c r="C13" i="5"/>
  <c r="N13" i="5"/>
  <c r="B13" i="5"/>
  <c r="M13" i="5"/>
  <c r="L13" i="5"/>
  <c r="J13" i="5"/>
  <c r="G13" i="5"/>
  <c r="E13" i="5"/>
  <c r="F13" i="5" s="1"/>
  <c r="K13" i="5"/>
  <c r="I13" i="5"/>
  <c r="H13" i="5"/>
  <c r="D13" i="5"/>
  <c r="O49" i="5"/>
  <c r="C49" i="5"/>
  <c r="N49" i="5"/>
  <c r="B49" i="5"/>
  <c r="M49" i="5"/>
  <c r="L49" i="5"/>
  <c r="J49" i="5"/>
  <c r="G49" i="5"/>
  <c r="E49" i="5"/>
  <c r="F49" i="5" s="1"/>
  <c r="K49" i="5"/>
  <c r="I49" i="5"/>
  <c r="H49" i="5"/>
  <c r="D49" i="5"/>
  <c r="I127" i="5"/>
  <c r="H127" i="5"/>
  <c r="G127" i="5"/>
  <c r="E127" i="5"/>
  <c r="F127" i="5" s="1"/>
  <c r="M127" i="5"/>
  <c r="L127" i="5"/>
  <c r="K127" i="5"/>
  <c r="D127" i="5"/>
  <c r="N127" i="5"/>
  <c r="J127" i="5"/>
  <c r="C127" i="5"/>
  <c r="B127" i="5"/>
  <c r="O127" i="5"/>
  <c r="I226" i="5"/>
  <c r="H226" i="5"/>
  <c r="G226" i="5"/>
  <c r="E226" i="5"/>
  <c r="F226" i="5" s="1"/>
  <c r="M226" i="5"/>
  <c r="L226" i="5"/>
  <c r="C226" i="5"/>
  <c r="B226" i="5"/>
  <c r="O226" i="5"/>
  <c r="K226" i="5"/>
  <c r="J226" i="5"/>
  <c r="D226" i="5"/>
  <c r="N226" i="5"/>
  <c r="L44" i="6"/>
  <c r="K44" i="6"/>
  <c r="J44" i="6"/>
  <c r="I44" i="6"/>
  <c r="E44" i="6"/>
  <c r="C44" i="6"/>
  <c r="B44" i="6"/>
  <c r="H44" i="6"/>
  <c r="G44" i="6"/>
  <c r="N44" i="6"/>
  <c r="F44" i="6"/>
  <c r="D44" i="6"/>
  <c r="M44" i="6"/>
  <c r="C226" i="1"/>
  <c r="B226" i="1"/>
  <c r="I226" i="1"/>
  <c r="H226" i="1"/>
  <c r="E226" i="1"/>
  <c r="F226" i="1" s="1"/>
  <c r="D226" i="1"/>
  <c r="N226" i="1"/>
  <c r="L226" i="1"/>
  <c r="G226" i="1"/>
  <c r="I202" i="5"/>
  <c r="H202" i="5"/>
  <c r="G202" i="5"/>
  <c r="E202" i="5"/>
  <c r="F202" i="5" s="1"/>
  <c r="M202" i="5"/>
  <c r="L202" i="5"/>
  <c r="N202" i="5"/>
  <c r="K202" i="5"/>
  <c r="J202" i="5"/>
  <c r="D202" i="5"/>
  <c r="C202" i="5"/>
  <c r="B202" i="5"/>
  <c r="O202" i="5"/>
  <c r="I193" i="5"/>
  <c r="H193" i="5"/>
  <c r="G193" i="5"/>
  <c r="E193" i="5"/>
  <c r="F193" i="5" s="1"/>
  <c r="M193" i="5"/>
  <c r="L193" i="5"/>
  <c r="D193" i="5"/>
  <c r="C193" i="5"/>
  <c r="B193" i="5"/>
  <c r="N193" i="5"/>
  <c r="K193" i="5"/>
  <c r="O193" i="5"/>
  <c r="J193" i="5"/>
  <c r="I220" i="5"/>
  <c r="H220" i="5"/>
  <c r="G220" i="5"/>
  <c r="E220" i="5"/>
  <c r="F220" i="5" s="1"/>
  <c r="M220" i="5"/>
  <c r="L220" i="5"/>
  <c r="O220" i="5"/>
  <c r="K220" i="5"/>
  <c r="D220" i="5"/>
  <c r="C220" i="5"/>
  <c r="N220" i="5"/>
  <c r="J220" i="5"/>
  <c r="B220" i="5"/>
  <c r="I211" i="5"/>
  <c r="H211" i="5"/>
  <c r="G211" i="5"/>
  <c r="E211" i="5"/>
  <c r="F211" i="5" s="1"/>
  <c r="M211" i="5"/>
  <c r="L211" i="5"/>
  <c r="O211" i="5"/>
  <c r="N211" i="5"/>
  <c r="K211" i="5"/>
  <c r="J211" i="5"/>
  <c r="C211" i="5"/>
  <c r="D211" i="5"/>
  <c r="B211" i="5"/>
  <c r="M168" i="5"/>
  <c r="L168" i="5"/>
  <c r="K168" i="5"/>
  <c r="J168" i="5"/>
  <c r="I168" i="5"/>
  <c r="E168" i="5"/>
  <c r="F168" i="5" s="1"/>
  <c r="D168" i="5"/>
  <c r="C168" i="5"/>
  <c r="B168" i="5"/>
  <c r="N168" i="5"/>
  <c r="H168" i="5"/>
  <c r="O168" i="5"/>
  <c r="G168" i="5"/>
  <c r="M204" i="5"/>
  <c r="L204" i="5"/>
  <c r="K204" i="5"/>
  <c r="J204" i="5"/>
  <c r="I204" i="5"/>
  <c r="E204" i="5"/>
  <c r="F204" i="5" s="1"/>
  <c r="D204" i="5"/>
  <c r="C204" i="5"/>
  <c r="B204" i="5"/>
  <c r="N204" i="5"/>
  <c r="H204" i="5"/>
  <c r="O204" i="5"/>
  <c r="G204" i="5"/>
  <c r="N139" i="6"/>
  <c r="B139" i="6"/>
  <c r="F139" i="6"/>
  <c r="E139" i="6"/>
  <c r="L139" i="6"/>
  <c r="J139" i="6"/>
  <c r="H139" i="6"/>
  <c r="M139" i="6"/>
  <c r="I139" i="6"/>
  <c r="C139" i="6"/>
  <c r="K139" i="6"/>
  <c r="D139" i="6"/>
  <c r="G139" i="6"/>
  <c r="N151" i="6"/>
  <c r="B151" i="6"/>
  <c r="F151" i="6"/>
  <c r="E151" i="6"/>
  <c r="I151" i="6"/>
  <c r="G151" i="6"/>
  <c r="C151" i="6"/>
  <c r="M151" i="6"/>
  <c r="L151" i="6"/>
  <c r="K151" i="6"/>
  <c r="J151" i="6"/>
  <c r="H151" i="6"/>
  <c r="D151" i="6"/>
  <c r="N15" i="6"/>
  <c r="B15" i="6"/>
  <c r="M15" i="6"/>
  <c r="L15" i="6"/>
  <c r="H15" i="6"/>
  <c r="K15" i="6"/>
  <c r="J15" i="6"/>
  <c r="I15" i="6"/>
  <c r="D15" i="6"/>
  <c r="C15" i="6"/>
  <c r="G15" i="6"/>
  <c r="F15" i="6"/>
  <c r="E15" i="6"/>
  <c r="N127" i="6"/>
  <c r="B127" i="6"/>
  <c r="F127" i="6"/>
  <c r="E127" i="6"/>
  <c r="M127" i="6"/>
  <c r="K127" i="6"/>
  <c r="G127" i="6"/>
  <c r="J127" i="6"/>
  <c r="L127" i="6"/>
  <c r="I127" i="6"/>
  <c r="H127" i="6"/>
  <c r="D127" i="6"/>
  <c r="C127" i="6"/>
  <c r="I63" i="6"/>
  <c r="G63" i="6"/>
  <c r="M63" i="6"/>
  <c r="N63" i="6"/>
  <c r="L63" i="6"/>
  <c r="K63" i="6"/>
  <c r="E63" i="6"/>
  <c r="J63" i="6"/>
  <c r="H63" i="6"/>
  <c r="B63" i="6"/>
  <c r="D63" i="6"/>
  <c r="C63" i="6"/>
  <c r="F63" i="6"/>
  <c r="N115" i="6"/>
  <c r="B115" i="6"/>
  <c r="F115" i="6"/>
  <c r="E115" i="6"/>
  <c r="D115" i="6"/>
  <c r="J115" i="6"/>
  <c r="M115" i="6"/>
  <c r="L115" i="6"/>
  <c r="G115" i="6"/>
  <c r="K115" i="6"/>
  <c r="I115" i="6"/>
  <c r="H115" i="6"/>
  <c r="C115" i="6"/>
  <c r="L20" i="15"/>
  <c r="K20" i="15"/>
  <c r="J20" i="15"/>
  <c r="I20" i="15"/>
  <c r="H20" i="15"/>
  <c r="G20" i="15"/>
  <c r="F20" i="15"/>
  <c r="D20" i="15"/>
  <c r="C20" i="15"/>
  <c r="B20" i="15"/>
  <c r="E20" i="15"/>
  <c r="G96" i="15"/>
  <c r="F96" i="15"/>
  <c r="E96" i="15"/>
  <c r="D96" i="15"/>
  <c r="B96" i="15"/>
  <c r="K96" i="15"/>
  <c r="C96" i="15"/>
  <c r="L96" i="15"/>
  <c r="J96" i="15"/>
  <c r="H96" i="15"/>
  <c r="I96" i="15"/>
  <c r="F70" i="15"/>
  <c r="D70" i="15"/>
  <c r="C70" i="15"/>
  <c r="B70" i="15"/>
  <c r="K70" i="15"/>
  <c r="I70" i="15"/>
  <c r="L70" i="15"/>
  <c r="J70" i="15"/>
  <c r="H70" i="15"/>
  <c r="G70" i="15"/>
  <c r="E70" i="15"/>
  <c r="H141" i="15"/>
  <c r="C141" i="15"/>
  <c r="L141" i="15"/>
  <c r="E141" i="15"/>
  <c r="K141" i="15"/>
  <c r="J141" i="15"/>
  <c r="I141" i="15"/>
  <c r="F141" i="15"/>
  <c r="G141" i="15"/>
  <c r="D141" i="15"/>
  <c r="B141" i="15"/>
  <c r="E194" i="15"/>
  <c r="C194" i="15"/>
  <c r="K194" i="15"/>
  <c r="H194" i="15"/>
  <c r="B194" i="15"/>
  <c r="L194" i="15"/>
  <c r="D194" i="15"/>
  <c r="J194" i="15"/>
  <c r="F194" i="15"/>
  <c r="I194" i="15"/>
  <c r="G194" i="15"/>
  <c r="J225" i="15"/>
  <c r="H225" i="15"/>
  <c r="D225" i="15"/>
  <c r="K225" i="15"/>
  <c r="C225" i="15"/>
  <c r="B225" i="15"/>
  <c r="L225" i="15"/>
  <c r="G225" i="15"/>
  <c r="I225" i="15"/>
  <c r="F225" i="15"/>
  <c r="E225" i="15"/>
  <c r="Z37" i="13"/>
  <c r="Z162" i="13"/>
  <c r="Z171" i="13"/>
  <c r="C28" i="16"/>
  <c r="Z132" i="13"/>
  <c r="K125" i="1" s="1"/>
  <c r="Z117" i="13"/>
  <c r="Z160" i="13"/>
  <c r="Z123" i="13"/>
  <c r="Z107" i="13"/>
  <c r="Z64" i="13"/>
  <c r="K88" i="1" s="1"/>
  <c r="Z173" i="13"/>
  <c r="Z108" i="13"/>
  <c r="K45" i="1" s="1"/>
  <c r="Z155" i="13"/>
  <c r="Z149" i="13"/>
  <c r="K196" i="1" s="1"/>
  <c r="Z143" i="13"/>
  <c r="K185" i="1" s="1"/>
  <c r="Z153" i="13"/>
  <c r="K202" i="1" s="1"/>
  <c r="Z144" i="13"/>
  <c r="Z110" i="13"/>
  <c r="F80" i="6"/>
  <c r="D80" i="6"/>
  <c r="N80" i="6"/>
  <c r="B80" i="6"/>
  <c r="J80" i="6"/>
  <c r="I80" i="6"/>
  <c r="H80" i="6"/>
  <c r="G80" i="6"/>
  <c r="E80" i="6"/>
  <c r="L80" i="6"/>
  <c r="K80" i="6"/>
  <c r="C80" i="6"/>
  <c r="M80" i="6"/>
  <c r="C59" i="15"/>
  <c r="B59" i="15"/>
  <c r="L59" i="15"/>
  <c r="I59" i="15"/>
  <c r="G59" i="15"/>
  <c r="K59" i="15"/>
  <c r="J59" i="15"/>
  <c r="H59" i="15"/>
  <c r="E59" i="15"/>
  <c r="D59" i="15"/>
  <c r="F59" i="15"/>
  <c r="G180" i="15"/>
  <c r="E180" i="15"/>
  <c r="I180" i="15"/>
  <c r="B180" i="15"/>
  <c r="J180" i="15"/>
  <c r="K180" i="15"/>
  <c r="H180" i="15"/>
  <c r="F180" i="15"/>
  <c r="D180" i="15"/>
  <c r="C180" i="15"/>
  <c r="L180" i="15"/>
  <c r="B106" i="15"/>
  <c r="D106" i="15"/>
  <c r="C106" i="15"/>
  <c r="L106" i="15"/>
  <c r="K106" i="15"/>
  <c r="I106" i="15"/>
  <c r="H106" i="15"/>
  <c r="F106" i="15"/>
  <c r="E106" i="15"/>
  <c r="J106" i="15"/>
  <c r="G106" i="15"/>
  <c r="G45" i="6"/>
  <c r="J45" i="6"/>
  <c r="I45" i="6"/>
  <c r="H45" i="6"/>
  <c r="F45" i="6"/>
  <c r="B45" i="6"/>
  <c r="K45" i="6"/>
  <c r="E45" i="6"/>
  <c r="D45" i="6"/>
  <c r="C45" i="6"/>
  <c r="N45" i="6"/>
  <c r="M45" i="6"/>
  <c r="L45" i="6"/>
  <c r="K174" i="15"/>
  <c r="G174" i="15"/>
  <c r="H174" i="15"/>
  <c r="B174" i="15"/>
  <c r="D174" i="15"/>
  <c r="J174" i="15"/>
  <c r="L174" i="15"/>
  <c r="I174" i="15"/>
  <c r="F174" i="15"/>
  <c r="E174" i="15"/>
  <c r="C174" i="15"/>
  <c r="E221" i="5"/>
  <c r="F221" i="5" s="1"/>
  <c r="D221" i="5"/>
  <c r="O221" i="5"/>
  <c r="C221" i="5"/>
  <c r="N221" i="5"/>
  <c r="B221" i="5"/>
  <c r="M221" i="5"/>
  <c r="I221" i="5"/>
  <c r="H221" i="5"/>
  <c r="J221" i="5"/>
  <c r="G221" i="5"/>
  <c r="L221" i="5"/>
  <c r="K221" i="5"/>
  <c r="C73" i="6"/>
  <c r="M73" i="6"/>
  <c r="K73" i="6"/>
  <c r="G73" i="6"/>
  <c r="J73" i="6"/>
  <c r="I73" i="6"/>
  <c r="H73" i="6"/>
  <c r="F73" i="6"/>
  <c r="N73" i="6"/>
  <c r="B73" i="6"/>
  <c r="L73" i="6"/>
  <c r="D73" i="6"/>
  <c r="E73" i="6"/>
  <c r="G51" i="5"/>
  <c r="E51" i="5"/>
  <c r="F51" i="5" s="1"/>
  <c r="D51" i="5"/>
  <c r="N51" i="5"/>
  <c r="B51" i="5"/>
  <c r="K51" i="5"/>
  <c r="J51" i="5"/>
  <c r="I51" i="5"/>
  <c r="O51" i="5"/>
  <c r="M51" i="5"/>
  <c r="L51" i="5"/>
  <c r="H51" i="5"/>
  <c r="C51" i="5"/>
  <c r="E173" i="5"/>
  <c r="F173" i="5" s="1"/>
  <c r="D173" i="5"/>
  <c r="O173" i="5"/>
  <c r="C173" i="5"/>
  <c r="N173" i="5"/>
  <c r="B173" i="5"/>
  <c r="M173" i="5"/>
  <c r="I173" i="5"/>
  <c r="H173" i="5"/>
  <c r="K173" i="5"/>
  <c r="G173" i="5"/>
  <c r="L173" i="5"/>
  <c r="J173" i="5"/>
  <c r="D58" i="15"/>
  <c r="C58" i="15"/>
  <c r="B58" i="15"/>
  <c r="J58" i="15"/>
  <c r="H58" i="15"/>
  <c r="K58" i="15"/>
  <c r="I58" i="15"/>
  <c r="G58" i="15"/>
  <c r="F58" i="15"/>
  <c r="E58" i="15"/>
  <c r="L58" i="15"/>
  <c r="G228" i="15"/>
  <c r="E228" i="15"/>
  <c r="I228" i="15"/>
  <c r="B228" i="15"/>
  <c r="L228" i="15"/>
  <c r="J228" i="15"/>
  <c r="F228" i="15"/>
  <c r="K228" i="15"/>
  <c r="D228" i="15"/>
  <c r="H228" i="15"/>
  <c r="C228" i="15"/>
  <c r="K66" i="5"/>
  <c r="J66" i="5"/>
  <c r="I66" i="5"/>
  <c r="E66" i="5"/>
  <c r="F66" i="5" s="1"/>
  <c r="D66" i="5"/>
  <c r="L66" i="5"/>
  <c r="H66" i="5"/>
  <c r="G66" i="5"/>
  <c r="B66" i="5"/>
  <c r="O66" i="5"/>
  <c r="N66" i="5"/>
  <c r="M66" i="5"/>
  <c r="C66" i="5"/>
  <c r="J39" i="15"/>
  <c r="I39" i="15"/>
  <c r="H39" i="15"/>
  <c r="E39" i="15"/>
  <c r="C39" i="15"/>
  <c r="L39" i="15"/>
  <c r="K39" i="15"/>
  <c r="G39" i="15"/>
  <c r="F39" i="15"/>
  <c r="B39" i="15"/>
  <c r="D39" i="15"/>
  <c r="K60" i="5"/>
  <c r="J60" i="5"/>
  <c r="I60" i="5"/>
  <c r="E60" i="5"/>
  <c r="F60" i="5" s="1"/>
  <c r="D60" i="5"/>
  <c r="L60" i="5"/>
  <c r="H60" i="5"/>
  <c r="G60" i="5"/>
  <c r="B60" i="5"/>
  <c r="O60" i="5"/>
  <c r="N60" i="5"/>
  <c r="M60" i="5"/>
  <c r="C60" i="5"/>
  <c r="I178" i="15"/>
  <c r="G178" i="15"/>
  <c r="C178" i="15"/>
  <c r="D178" i="15"/>
  <c r="H178" i="15"/>
  <c r="L178" i="15"/>
  <c r="K178" i="15"/>
  <c r="J178" i="15"/>
  <c r="F178" i="15"/>
  <c r="E178" i="15"/>
  <c r="B178" i="15"/>
  <c r="C57" i="6"/>
  <c r="M57" i="6"/>
  <c r="G57" i="6"/>
  <c r="L57" i="6"/>
  <c r="K57" i="6"/>
  <c r="J57" i="6"/>
  <c r="I57" i="6"/>
  <c r="D57" i="6"/>
  <c r="B57" i="6"/>
  <c r="N57" i="6"/>
  <c r="H57" i="6"/>
  <c r="F57" i="6"/>
  <c r="E57" i="6"/>
  <c r="E194" i="5"/>
  <c r="F194" i="5" s="1"/>
  <c r="D194" i="5"/>
  <c r="O194" i="5"/>
  <c r="C194" i="5"/>
  <c r="N194" i="5"/>
  <c r="B194" i="5"/>
  <c r="M194" i="5"/>
  <c r="I194" i="5"/>
  <c r="H194" i="5"/>
  <c r="L194" i="5"/>
  <c r="K194" i="5"/>
  <c r="J194" i="5"/>
  <c r="G194" i="5"/>
  <c r="F102" i="15"/>
  <c r="C102" i="15"/>
  <c r="B102" i="15"/>
  <c r="L102" i="15"/>
  <c r="K102" i="15"/>
  <c r="H102" i="15"/>
  <c r="I102" i="15"/>
  <c r="J102" i="15"/>
  <c r="G102" i="15"/>
  <c r="E102" i="15"/>
  <c r="D102" i="15"/>
  <c r="H203" i="15"/>
  <c r="F203" i="15"/>
  <c r="B203" i="15"/>
  <c r="G203" i="15"/>
  <c r="D203" i="15"/>
  <c r="L203" i="15"/>
  <c r="K203" i="15"/>
  <c r="J203" i="15"/>
  <c r="I203" i="15"/>
  <c r="E203" i="15"/>
  <c r="C203" i="15"/>
  <c r="E172" i="6"/>
  <c r="G172" i="6"/>
  <c r="C172" i="6"/>
  <c r="K172" i="6"/>
  <c r="J172" i="6"/>
  <c r="M172" i="6"/>
  <c r="F172" i="6"/>
  <c r="L172" i="6"/>
  <c r="N172" i="6"/>
  <c r="I172" i="6"/>
  <c r="H172" i="6"/>
  <c r="D172" i="6"/>
  <c r="B172" i="6"/>
  <c r="E209" i="5"/>
  <c r="F209" i="5" s="1"/>
  <c r="D209" i="5"/>
  <c r="O209" i="5"/>
  <c r="C209" i="5"/>
  <c r="N209" i="5"/>
  <c r="B209" i="5"/>
  <c r="M209" i="5"/>
  <c r="I209" i="5"/>
  <c r="H209" i="5"/>
  <c r="K209" i="5"/>
  <c r="G209" i="5"/>
  <c r="L209" i="5"/>
  <c r="J209" i="5"/>
  <c r="L142" i="1"/>
  <c r="G142" i="1"/>
  <c r="D142" i="1"/>
  <c r="C142" i="1"/>
  <c r="B142" i="1"/>
  <c r="N142" i="1"/>
  <c r="I142" i="1"/>
  <c r="H142" i="1"/>
  <c r="E142" i="1"/>
  <c r="F142" i="1" s="1"/>
  <c r="D7" i="1"/>
  <c r="B7" i="1"/>
  <c r="N7" i="1"/>
  <c r="I7" i="1"/>
  <c r="L7" i="1"/>
  <c r="K7" i="1"/>
  <c r="H7" i="1"/>
  <c r="G7" i="1"/>
  <c r="E7" i="1"/>
  <c r="F7" i="1" s="1"/>
  <c r="C7" i="1"/>
  <c r="L93" i="1"/>
  <c r="G93" i="1"/>
  <c r="C93" i="1"/>
  <c r="B93" i="1"/>
  <c r="E93" i="1"/>
  <c r="F93" i="1" s="1"/>
  <c r="I93" i="1"/>
  <c r="H93" i="1"/>
  <c r="N93" i="1"/>
  <c r="D93" i="1"/>
  <c r="L123" i="1"/>
  <c r="G123" i="1"/>
  <c r="D123" i="1"/>
  <c r="C123" i="1"/>
  <c r="B123" i="1"/>
  <c r="E123" i="1"/>
  <c r="F123" i="1" s="1"/>
  <c r="H123" i="1"/>
  <c r="N123" i="1"/>
  <c r="I123" i="1"/>
  <c r="L171" i="1"/>
  <c r="G171" i="1"/>
  <c r="D171" i="1"/>
  <c r="C171" i="1"/>
  <c r="B171" i="1"/>
  <c r="E171" i="1"/>
  <c r="F171" i="1" s="1"/>
  <c r="H171" i="1"/>
  <c r="N171" i="1"/>
  <c r="I171" i="1"/>
  <c r="E55" i="1"/>
  <c r="F55" i="1" s="1"/>
  <c r="D55" i="1"/>
  <c r="B55" i="1"/>
  <c r="N55" i="1"/>
  <c r="I55" i="1"/>
  <c r="G55" i="1"/>
  <c r="L55" i="1"/>
  <c r="H55" i="1"/>
  <c r="C55" i="1"/>
  <c r="E79" i="1"/>
  <c r="F79" i="1" s="1"/>
  <c r="D79" i="1"/>
  <c r="B79" i="1"/>
  <c r="N79" i="1"/>
  <c r="I79" i="1"/>
  <c r="G79" i="1"/>
  <c r="L79" i="1"/>
  <c r="H79" i="1"/>
  <c r="C79" i="1"/>
  <c r="C191" i="1"/>
  <c r="B191" i="1"/>
  <c r="L191" i="1"/>
  <c r="H191" i="1"/>
  <c r="G191" i="1"/>
  <c r="N191" i="1"/>
  <c r="I191" i="1"/>
  <c r="D191" i="1"/>
  <c r="E191" i="1"/>
  <c r="F191" i="1" s="1"/>
  <c r="O59" i="5"/>
  <c r="C59" i="5"/>
  <c r="N59" i="5"/>
  <c r="B59" i="5"/>
  <c r="M59" i="5"/>
  <c r="I59" i="5"/>
  <c r="H59" i="5"/>
  <c r="E59" i="5"/>
  <c r="F59" i="5" s="1"/>
  <c r="D59" i="5"/>
  <c r="L59" i="5"/>
  <c r="K59" i="5"/>
  <c r="J59" i="5"/>
  <c r="G59" i="5"/>
  <c r="K20" i="5"/>
  <c r="J20" i="5"/>
  <c r="I20" i="5"/>
  <c r="H20" i="5"/>
  <c r="O20" i="5"/>
  <c r="C20" i="5"/>
  <c r="N20" i="5"/>
  <c r="B20" i="5"/>
  <c r="M20" i="5"/>
  <c r="L20" i="5"/>
  <c r="G20" i="5"/>
  <c r="E20" i="5"/>
  <c r="F20" i="5" s="1"/>
  <c r="D20" i="5"/>
  <c r="G58" i="5"/>
  <c r="E58" i="5"/>
  <c r="F58" i="5" s="1"/>
  <c r="M58" i="5"/>
  <c r="L58" i="5"/>
  <c r="C58" i="5"/>
  <c r="B58" i="5"/>
  <c r="O58" i="5"/>
  <c r="J58" i="5"/>
  <c r="I58" i="5"/>
  <c r="H58" i="5"/>
  <c r="N58" i="5"/>
  <c r="K58" i="5"/>
  <c r="D58" i="5"/>
  <c r="O7" i="5"/>
  <c r="C7" i="5"/>
  <c r="N7" i="5"/>
  <c r="B7" i="5"/>
  <c r="M7" i="5"/>
  <c r="L7" i="5"/>
  <c r="J7" i="5"/>
  <c r="G7" i="5"/>
  <c r="E7" i="5"/>
  <c r="F7" i="5" s="1"/>
  <c r="K7" i="5"/>
  <c r="I7" i="5"/>
  <c r="H7" i="5"/>
  <c r="D7" i="5"/>
  <c r="G85" i="5"/>
  <c r="E85" i="5"/>
  <c r="F85" i="5" s="1"/>
  <c r="M85" i="5"/>
  <c r="L85" i="5"/>
  <c r="N85" i="5"/>
  <c r="K85" i="5"/>
  <c r="J85" i="5"/>
  <c r="I85" i="5"/>
  <c r="D85" i="5"/>
  <c r="H85" i="5"/>
  <c r="C85" i="5"/>
  <c r="B85" i="5"/>
  <c r="O85" i="5"/>
  <c r="E113" i="5"/>
  <c r="F113" i="5" s="1"/>
  <c r="O113" i="5"/>
  <c r="C113" i="5"/>
  <c r="N113" i="5"/>
  <c r="B113" i="5"/>
  <c r="M113" i="5"/>
  <c r="I113" i="5"/>
  <c r="H113" i="5"/>
  <c r="L113" i="5"/>
  <c r="D113" i="5"/>
  <c r="K113" i="5"/>
  <c r="J113" i="5"/>
  <c r="G113" i="5"/>
  <c r="I205" i="5"/>
  <c r="H205" i="5"/>
  <c r="G205" i="5"/>
  <c r="E205" i="5"/>
  <c r="F205" i="5" s="1"/>
  <c r="M205" i="5"/>
  <c r="L205" i="5"/>
  <c r="O205" i="5"/>
  <c r="N205" i="5"/>
  <c r="K205" i="5"/>
  <c r="J205" i="5"/>
  <c r="D205" i="5"/>
  <c r="C205" i="5"/>
  <c r="B205" i="5"/>
  <c r="I148" i="5"/>
  <c r="H148" i="5"/>
  <c r="G148" i="5"/>
  <c r="E148" i="5"/>
  <c r="F148" i="5" s="1"/>
  <c r="M148" i="5"/>
  <c r="L148" i="5"/>
  <c r="O148" i="5"/>
  <c r="K148" i="5"/>
  <c r="D148" i="5"/>
  <c r="J148" i="5"/>
  <c r="C148" i="5"/>
  <c r="B148" i="5"/>
  <c r="N148" i="5"/>
  <c r="F104" i="6"/>
  <c r="D104" i="6"/>
  <c r="N104" i="6"/>
  <c r="B104" i="6"/>
  <c r="J104" i="6"/>
  <c r="I104" i="6"/>
  <c r="H104" i="6"/>
  <c r="G104" i="6"/>
  <c r="E104" i="6"/>
  <c r="L104" i="6"/>
  <c r="K104" i="6"/>
  <c r="M104" i="6"/>
  <c r="C104" i="6"/>
  <c r="N19" i="6"/>
  <c r="B19" i="6"/>
  <c r="M19" i="6"/>
  <c r="L19" i="6"/>
  <c r="H19" i="6"/>
  <c r="G19" i="6"/>
  <c r="F19" i="6"/>
  <c r="E19" i="6"/>
  <c r="D19" i="6"/>
  <c r="C19" i="6"/>
  <c r="K19" i="6"/>
  <c r="I19" i="6"/>
  <c r="J19" i="6"/>
  <c r="N23" i="6"/>
  <c r="B23" i="6"/>
  <c r="M23" i="6"/>
  <c r="L23" i="6"/>
  <c r="H23" i="6"/>
  <c r="K23" i="6"/>
  <c r="F23" i="6"/>
  <c r="E23" i="6"/>
  <c r="J23" i="6"/>
  <c r="I23" i="6"/>
  <c r="G23" i="6"/>
  <c r="D23" i="6"/>
  <c r="C23" i="6"/>
  <c r="E122" i="6"/>
  <c r="I122" i="6"/>
  <c r="H122" i="6"/>
  <c r="L122" i="6"/>
  <c r="J122" i="6"/>
  <c r="F122" i="6"/>
  <c r="D122" i="6"/>
  <c r="C122" i="6"/>
  <c r="B122" i="6"/>
  <c r="N122" i="6"/>
  <c r="M122" i="6"/>
  <c r="K122" i="6"/>
  <c r="G122" i="6"/>
  <c r="B197" i="15"/>
  <c r="L197" i="15"/>
  <c r="H197" i="15"/>
  <c r="F197" i="15"/>
  <c r="I197" i="15"/>
  <c r="G197" i="15"/>
  <c r="E197" i="15"/>
  <c r="D197" i="15"/>
  <c r="C197" i="15"/>
  <c r="K197" i="15"/>
  <c r="J197" i="15"/>
  <c r="L211" i="15"/>
  <c r="J211" i="15"/>
  <c r="F211" i="15"/>
  <c r="K211" i="15"/>
  <c r="D211" i="15"/>
  <c r="I211" i="15"/>
  <c r="G211" i="15"/>
  <c r="B211" i="15"/>
  <c r="E211" i="15"/>
  <c r="C211" i="15"/>
  <c r="H211" i="15"/>
  <c r="L163" i="15"/>
  <c r="J163" i="15"/>
  <c r="F163" i="15"/>
  <c r="K163" i="15"/>
  <c r="D163" i="15"/>
  <c r="I163" i="15"/>
  <c r="H163" i="15"/>
  <c r="G163" i="15"/>
  <c r="E163" i="15"/>
  <c r="C163" i="15"/>
  <c r="B163" i="15"/>
  <c r="Z20" i="13"/>
  <c r="K116" i="1" s="1"/>
  <c r="E161" i="5"/>
  <c r="F161" i="5" s="1"/>
  <c r="D161" i="5"/>
  <c r="O161" i="5"/>
  <c r="C161" i="5"/>
  <c r="N161" i="5"/>
  <c r="B161" i="5"/>
  <c r="M161" i="5"/>
  <c r="I161" i="5"/>
  <c r="H161" i="5"/>
  <c r="L161" i="5"/>
  <c r="K161" i="5"/>
  <c r="J161" i="5"/>
  <c r="G161" i="5"/>
  <c r="M141" i="5"/>
  <c r="L141" i="5"/>
  <c r="K141" i="5"/>
  <c r="J141" i="5"/>
  <c r="I141" i="5"/>
  <c r="E141" i="5"/>
  <c r="F141" i="5" s="1"/>
  <c r="D141" i="5"/>
  <c r="N141" i="5"/>
  <c r="H141" i="5"/>
  <c r="G141" i="5"/>
  <c r="C141" i="5"/>
  <c r="B141" i="5"/>
  <c r="O141" i="5"/>
  <c r="D125" i="15"/>
  <c r="L125" i="15"/>
  <c r="F125" i="15"/>
  <c r="K125" i="15"/>
  <c r="J125" i="15"/>
  <c r="I125" i="15"/>
  <c r="H125" i="15"/>
  <c r="E125" i="15"/>
  <c r="C125" i="15"/>
  <c r="B125" i="15"/>
  <c r="G125" i="15"/>
  <c r="M102" i="5"/>
  <c r="K102" i="5"/>
  <c r="J102" i="5"/>
  <c r="I102" i="5"/>
  <c r="E102" i="5"/>
  <c r="F102" i="5" s="1"/>
  <c r="D102" i="5"/>
  <c r="H102" i="5"/>
  <c r="O102" i="5"/>
  <c r="N102" i="5"/>
  <c r="L102" i="5"/>
  <c r="G102" i="5"/>
  <c r="C102" i="5"/>
  <c r="B102" i="5"/>
  <c r="E26" i="6"/>
  <c r="D26" i="6"/>
  <c r="C26" i="6"/>
  <c r="K26" i="6"/>
  <c r="I26" i="6"/>
  <c r="H26" i="6"/>
  <c r="G26" i="6"/>
  <c r="F26" i="6"/>
  <c r="B26" i="6"/>
  <c r="N26" i="6"/>
  <c r="M26" i="6"/>
  <c r="J26" i="6"/>
  <c r="L26" i="6"/>
  <c r="K188" i="15"/>
  <c r="I188" i="15"/>
  <c r="E188" i="15"/>
  <c r="G188" i="15"/>
  <c r="F188" i="15"/>
  <c r="L188" i="15"/>
  <c r="J188" i="15"/>
  <c r="H188" i="15"/>
  <c r="D188" i="15"/>
  <c r="C188" i="15"/>
  <c r="B188" i="15"/>
  <c r="F123" i="15"/>
  <c r="L123" i="15"/>
  <c r="E123" i="15"/>
  <c r="G123" i="15"/>
  <c r="D123" i="15"/>
  <c r="C123" i="15"/>
  <c r="B123" i="15"/>
  <c r="K123" i="15"/>
  <c r="J123" i="15"/>
  <c r="I123" i="15"/>
  <c r="H123" i="15"/>
  <c r="H167" i="15"/>
  <c r="F167" i="15"/>
  <c r="B167" i="15"/>
  <c r="G167" i="15"/>
  <c r="D167" i="15"/>
  <c r="E167" i="15"/>
  <c r="C167" i="15"/>
  <c r="L167" i="15"/>
  <c r="K167" i="15"/>
  <c r="I167" i="15"/>
  <c r="J167" i="15"/>
  <c r="M117" i="5"/>
  <c r="L117" i="5"/>
  <c r="K117" i="5"/>
  <c r="J117" i="5"/>
  <c r="I117" i="5"/>
  <c r="E117" i="5"/>
  <c r="F117" i="5" s="1"/>
  <c r="D117" i="5"/>
  <c r="H117" i="5"/>
  <c r="C117" i="5"/>
  <c r="B117" i="5"/>
  <c r="O117" i="5"/>
  <c r="N117" i="5"/>
  <c r="G117" i="5"/>
  <c r="G24" i="5"/>
  <c r="E24" i="5"/>
  <c r="F24" i="5" s="1"/>
  <c r="D24" i="5"/>
  <c r="N24" i="5"/>
  <c r="B24" i="5"/>
  <c r="K24" i="5"/>
  <c r="J24" i="5"/>
  <c r="I24" i="5"/>
  <c r="O24" i="5"/>
  <c r="M24" i="5"/>
  <c r="L24" i="5"/>
  <c r="H24" i="5"/>
  <c r="C24" i="5"/>
  <c r="C88" i="15"/>
  <c r="B88" i="15"/>
  <c r="L88" i="15"/>
  <c r="J88" i="15"/>
  <c r="G88" i="15"/>
  <c r="K88" i="15"/>
  <c r="I88" i="15"/>
  <c r="F88" i="15"/>
  <c r="D88" i="15"/>
  <c r="H88" i="15"/>
  <c r="E88" i="15"/>
  <c r="E193" i="6"/>
  <c r="D193" i="6"/>
  <c r="N193" i="6"/>
  <c r="B193" i="6"/>
  <c r="K193" i="6"/>
  <c r="H193" i="6"/>
  <c r="M193" i="6"/>
  <c r="J193" i="6"/>
  <c r="G193" i="6"/>
  <c r="L193" i="6"/>
  <c r="C193" i="6"/>
  <c r="I193" i="6"/>
  <c r="F193" i="6"/>
  <c r="D45" i="15"/>
  <c r="C45" i="15"/>
  <c r="B45" i="15"/>
  <c r="K45" i="15"/>
  <c r="I45" i="15"/>
  <c r="L45" i="15"/>
  <c r="J45" i="15"/>
  <c r="H45" i="15"/>
  <c r="G45" i="15"/>
  <c r="E45" i="15"/>
  <c r="F45" i="15"/>
  <c r="B89" i="15"/>
  <c r="L89" i="15"/>
  <c r="K89" i="15"/>
  <c r="I89" i="15"/>
  <c r="F89" i="15"/>
  <c r="D89" i="15"/>
  <c r="C89" i="15"/>
  <c r="J89" i="15"/>
  <c r="H89" i="15"/>
  <c r="E89" i="15"/>
  <c r="G89" i="15"/>
  <c r="C109" i="6"/>
  <c r="M109" i="6"/>
  <c r="K109" i="6"/>
  <c r="G109" i="6"/>
  <c r="B109" i="6"/>
  <c r="I109" i="6"/>
  <c r="H109" i="6"/>
  <c r="F109" i="6"/>
  <c r="E109" i="6"/>
  <c r="D109" i="6"/>
  <c r="N109" i="6"/>
  <c r="L109" i="6"/>
  <c r="J109" i="6"/>
  <c r="I166" i="15"/>
  <c r="G166" i="15"/>
  <c r="C166" i="15"/>
  <c r="D166" i="15"/>
  <c r="H166" i="15"/>
  <c r="L166" i="15"/>
  <c r="K166" i="15"/>
  <c r="J166" i="15"/>
  <c r="E166" i="15"/>
  <c r="F166" i="15"/>
  <c r="B166" i="15"/>
  <c r="F84" i="6"/>
  <c r="D84" i="6"/>
  <c r="N84" i="6"/>
  <c r="B84" i="6"/>
  <c r="J84" i="6"/>
  <c r="M84" i="6"/>
  <c r="H84" i="6"/>
  <c r="G84" i="6"/>
  <c r="E84" i="6"/>
  <c r="C84" i="6"/>
  <c r="K84" i="6"/>
  <c r="I84" i="6"/>
  <c r="L84" i="6"/>
  <c r="G42" i="5"/>
  <c r="E42" i="5"/>
  <c r="F42" i="5" s="1"/>
  <c r="D42" i="5"/>
  <c r="N42" i="5"/>
  <c r="B42" i="5"/>
  <c r="K42" i="5"/>
  <c r="J42" i="5"/>
  <c r="I42" i="5"/>
  <c r="O42" i="5"/>
  <c r="M42" i="5"/>
  <c r="L42" i="5"/>
  <c r="H42" i="5"/>
  <c r="C42" i="5"/>
  <c r="E188" i="5"/>
  <c r="F188" i="5" s="1"/>
  <c r="D188" i="5"/>
  <c r="O188" i="5"/>
  <c r="C188" i="5"/>
  <c r="N188" i="5"/>
  <c r="B188" i="5"/>
  <c r="M188" i="5"/>
  <c r="I188" i="5"/>
  <c r="H188" i="5"/>
  <c r="K188" i="5"/>
  <c r="J188" i="5"/>
  <c r="G188" i="5"/>
  <c r="L188" i="5"/>
  <c r="L90" i="15"/>
  <c r="K90" i="15"/>
  <c r="J90" i="15"/>
  <c r="H90" i="15"/>
  <c r="E90" i="15"/>
  <c r="I90" i="15"/>
  <c r="G90" i="15"/>
  <c r="F90" i="15"/>
  <c r="D90" i="15"/>
  <c r="B90" i="15"/>
  <c r="C90" i="15"/>
  <c r="C126" i="15"/>
  <c r="L126" i="15"/>
  <c r="F126" i="15"/>
  <c r="B126" i="15"/>
  <c r="K126" i="15"/>
  <c r="I126" i="15"/>
  <c r="H126" i="15"/>
  <c r="J126" i="15"/>
  <c r="E126" i="15"/>
  <c r="G126" i="15"/>
  <c r="D126" i="15"/>
  <c r="D145" i="15"/>
  <c r="K145" i="15"/>
  <c r="B145" i="15"/>
  <c r="I145" i="15"/>
  <c r="H145" i="15"/>
  <c r="G145" i="15"/>
  <c r="F145" i="15"/>
  <c r="C145" i="15"/>
  <c r="L145" i="15"/>
  <c r="J145" i="15"/>
  <c r="E145" i="15"/>
  <c r="N3" i="6"/>
  <c r="B3" i="6"/>
  <c r="L3" i="6"/>
  <c r="H3" i="6"/>
  <c r="I3" i="6"/>
  <c r="G3" i="6"/>
  <c r="F3" i="6"/>
  <c r="E3" i="6"/>
  <c r="D3" i="6"/>
  <c r="M3" i="6"/>
  <c r="K3" i="6"/>
  <c r="J3" i="6"/>
  <c r="C3" i="6"/>
  <c r="C208" i="15"/>
  <c r="I208" i="15"/>
  <c r="D208" i="15"/>
  <c r="L208" i="15"/>
  <c r="B208" i="15"/>
  <c r="K208" i="15"/>
  <c r="J208" i="15"/>
  <c r="H208" i="15"/>
  <c r="G208" i="15"/>
  <c r="F208" i="15"/>
  <c r="E208" i="15"/>
  <c r="J151" i="15"/>
  <c r="F151" i="15"/>
  <c r="L151" i="15"/>
  <c r="E151" i="15"/>
  <c r="K151" i="15"/>
  <c r="B151" i="15"/>
  <c r="I151" i="15"/>
  <c r="D151" i="15"/>
  <c r="G151" i="15"/>
  <c r="C151" i="15"/>
  <c r="H151" i="15"/>
  <c r="E142" i="6"/>
  <c r="I142" i="6"/>
  <c r="H142" i="6"/>
  <c r="M142" i="6"/>
  <c r="K142" i="6"/>
  <c r="D142" i="6"/>
  <c r="B142" i="6"/>
  <c r="L142" i="6"/>
  <c r="J142" i="6"/>
  <c r="G142" i="6"/>
  <c r="N142" i="6"/>
  <c r="F142" i="6"/>
  <c r="C142" i="6"/>
  <c r="B18" i="15"/>
  <c r="L18" i="15"/>
  <c r="K18" i="15"/>
  <c r="J18" i="15"/>
  <c r="I18" i="15"/>
  <c r="H18" i="15"/>
  <c r="F18" i="15"/>
  <c r="D18" i="15"/>
  <c r="G18" i="15"/>
  <c r="E18" i="15"/>
  <c r="C18" i="15"/>
  <c r="C146" i="15"/>
  <c r="J146" i="15"/>
  <c r="D146" i="15"/>
  <c r="K146" i="15"/>
  <c r="L146" i="15"/>
  <c r="I146" i="15"/>
  <c r="G146" i="15"/>
  <c r="B146" i="15"/>
  <c r="F146" i="15"/>
  <c r="E146" i="15"/>
  <c r="H146" i="15"/>
  <c r="L66" i="6"/>
  <c r="J66" i="6"/>
  <c r="D66" i="6"/>
  <c r="N66" i="6"/>
  <c r="M66" i="6"/>
  <c r="G66" i="6"/>
  <c r="F66" i="6"/>
  <c r="E66" i="6"/>
  <c r="I66" i="6"/>
  <c r="H66" i="6"/>
  <c r="C66" i="6"/>
  <c r="B66" i="6"/>
  <c r="K66" i="6"/>
  <c r="N135" i="6"/>
  <c r="B135" i="6"/>
  <c r="F135" i="6"/>
  <c r="E135" i="6"/>
  <c r="I135" i="6"/>
  <c r="G135" i="6"/>
  <c r="C135" i="6"/>
  <c r="M135" i="6"/>
  <c r="L135" i="6"/>
  <c r="K135" i="6"/>
  <c r="H135" i="6"/>
  <c r="J135" i="6"/>
  <c r="D135" i="6"/>
  <c r="J10" i="15"/>
  <c r="I10" i="15"/>
  <c r="H10" i="15"/>
  <c r="G10" i="15"/>
  <c r="F10" i="15"/>
  <c r="E10" i="15"/>
  <c r="D10" i="15"/>
  <c r="B10" i="15"/>
  <c r="L10" i="15"/>
  <c r="K10" i="15"/>
  <c r="C10" i="15"/>
  <c r="K164" i="6"/>
  <c r="H164" i="6"/>
  <c r="C164" i="6"/>
  <c r="N164" i="6"/>
  <c r="B164" i="6"/>
  <c r="G164" i="6"/>
  <c r="E164" i="6"/>
  <c r="M164" i="6"/>
  <c r="J164" i="6"/>
  <c r="I164" i="6"/>
  <c r="F164" i="6"/>
  <c r="D164" i="6"/>
  <c r="L164" i="6"/>
  <c r="E30" i="6"/>
  <c r="D30" i="6"/>
  <c r="C30" i="6"/>
  <c r="K30" i="6"/>
  <c r="N30" i="6"/>
  <c r="M30" i="6"/>
  <c r="H30" i="6"/>
  <c r="G30" i="6"/>
  <c r="L30" i="6"/>
  <c r="J30" i="6"/>
  <c r="I30" i="6"/>
  <c r="F30" i="6"/>
  <c r="B30" i="6"/>
  <c r="F76" i="6"/>
  <c r="D76" i="6"/>
  <c r="N76" i="6"/>
  <c r="B76" i="6"/>
  <c r="J76" i="6"/>
  <c r="M76" i="6"/>
  <c r="H76" i="6"/>
  <c r="G76" i="6"/>
  <c r="E76" i="6"/>
  <c r="C76" i="6"/>
  <c r="L76" i="6"/>
  <c r="K76" i="6"/>
  <c r="I76" i="6"/>
  <c r="G21" i="5"/>
  <c r="E21" i="5"/>
  <c r="F21" i="5" s="1"/>
  <c r="D21" i="5"/>
  <c r="N21" i="5"/>
  <c r="B21" i="5"/>
  <c r="K21" i="5"/>
  <c r="J21" i="5"/>
  <c r="I21" i="5"/>
  <c r="O21" i="5"/>
  <c r="M21" i="5"/>
  <c r="L21" i="5"/>
  <c r="H21" i="5"/>
  <c r="C21" i="5"/>
  <c r="D87" i="15"/>
  <c r="C87" i="15"/>
  <c r="B87" i="15"/>
  <c r="K87" i="15"/>
  <c r="H87" i="15"/>
  <c r="I87" i="15"/>
  <c r="G87" i="15"/>
  <c r="F87" i="15"/>
  <c r="E87" i="15"/>
  <c r="L87" i="15"/>
  <c r="J87" i="15"/>
  <c r="H200" i="6"/>
  <c r="G200" i="6"/>
  <c r="E200" i="6"/>
  <c r="L200" i="6"/>
  <c r="D200" i="6"/>
  <c r="C200" i="6"/>
  <c r="N200" i="6"/>
  <c r="K200" i="6"/>
  <c r="B200" i="6"/>
  <c r="M200" i="6"/>
  <c r="J200" i="6"/>
  <c r="I200" i="6"/>
  <c r="F200" i="6"/>
  <c r="K109" i="15"/>
  <c r="C109" i="15"/>
  <c r="B109" i="15"/>
  <c r="L109" i="15"/>
  <c r="J109" i="15"/>
  <c r="H109" i="15"/>
  <c r="G109" i="15"/>
  <c r="F109" i="15"/>
  <c r="I109" i="15"/>
  <c r="E109" i="15"/>
  <c r="D109" i="15"/>
  <c r="E34" i="6"/>
  <c r="D34" i="6"/>
  <c r="C34" i="6"/>
  <c r="K34" i="6"/>
  <c r="L34" i="6"/>
  <c r="J34" i="6"/>
  <c r="I34" i="6"/>
  <c r="H34" i="6"/>
  <c r="G34" i="6"/>
  <c r="N34" i="6"/>
  <c r="F34" i="6"/>
  <c r="B34" i="6"/>
  <c r="M34" i="6"/>
  <c r="L129" i="15"/>
  <c r="F129" i="15"/>
  <c r="E129" i="15"/>
  <c r="K129" i="15"/>
  <c r="J129" i="15"/>
  <c r="I129" i="15"/>
  <c r="H129" i="15"/>
  <c r="D129" i="15"/>
  <c r="C129" i="15"/>
  <c r="G129" i="15"/>
  <c r="B129" i="15"/>
  <c r="H53" i="15"/>
  <c r="G53" i="15"/>
  <c r="F53" i="15"/>
  <c r="C53" i="15"/>
  <c r="J53" i="15"/>
  <c r="I53" i="15"/>
  <c r="E53" i="15"/>
  <c r="D53" i="15"/>
  <c r="B53" i="15"/>
  <c r="L53" i="15"/>
  <c r="K53" i="15"/>
  <c r="K21" i="15"/>
  <c r="J21" i="15"/>
  <c r="I21" i="15"/>
  <c r="H21" i="15"/>
  <c r="G21" i="15"/>
  <c r="F21" i="15"/>
  <c r="E21" i="15"/>
  <c r="C21" i="15"/>
  <c r="L21" i="15"/>
  <c r="D21" i="15"/>
  <c r="B21" i="15"/>
  <c r="B161" i="15"/>
  <c r="L161" i="15"/>
  <c r="H161" i="15"/>
  <c r="F161" i="15"/>
  <c r="I161" i="15"/>
  <c r="K161" i="15"/>
  <c r="E161" i="15"/>
  <c r="G161" i="15"/>
  <c r="D161" i="15"/>
  <c r="J161" i="15"/>
  <c r="C161" i="15"/>
  <c r="K187" i="6"/>
  <c r="J187" i="6"/>
  <c r="H187" i="6"/>
  <c r="F187" i="6"/>
  <c r="C187" i="6"/>
  <c r="M187" i="6"/>
  <c r="L187" i="6"/>
  <c r="I187" i="6"/>
  <c r="E187" i="6"/>
  <c r="B187" i="6"/>
  <c r="N187" i="6"/>
  <c r="G187" i="6"/>
  <c r="D187" i="6"/>
  <c r="D6" i="1"/>
  <c r="B6" i="1"/>
  <c r="N6" i="1"/>
  <c r="I6" i="1"/>
  <c r="H6" i="1"/>
  <c r="G6" i="1"/>
  <c r="C6" i="1"/>
  <c r="E6" i="1"/>
  <c r="F6" i="1" s="1"/>
  <c r="L6" i="1"/>
  <c r="L105" i="1"/>
  <c r="K105" i="1"/>
  <c r="G105" i="1"/>
  <c r="C105" i="1"/>
  <c r="B105" i="1"/>
  <c r="E105" i="1"/>
  <c r="F105" i="1" s="1"/>
  <c r="N105" i="1"/>
  <c r="I105" i="1"/>
  <c r="H105" i="1"/>
  <c r="D105" i="1"/>
  <c r="L160" i="1"/>
  <c r="G160" i="1"/>
  <c r="D160" i="1"/>
  <c r="C160" i="1"/>
  <c r="B160" i="1"/>
  <c r="N160" i="1"/>
  <c r="I160" i="1"/>
  <c r="H160" i="1"/>
  <c r="E160" i="1"/>
  <c r="F160" i="1" s="1"/>
  <c r="L114" i="1"/>
  <c r="K114" i="1"/>
  <c r="G114" i="1"/>
  <c r="D114" i="1"/>
  <c r="C114" i="1"/>
  <c r="B114" i="1"/>
  <c r="N114" i="1"/>
  <c r="I114" i="1"/>
  <c r="H114" i="1"/>
  <c r="E114" i="1"/>
  <c r="F114" i="1" s="1"/>
  <c r="C182" i="1"/>
  <c r="E182" i="1"/>
  <c r="F182" i="1" s="1"/>
  <c r="N182" i="1"/>
  <c r="L182" i="1"/>
  <c r="I182" i="1"/>
  <c r="D182" i="1"/>
  <c r="B182" i="1"/>
  <c r="H182" i="1"/>
  <c r="G182" i="1"/>
  <c r="L102" i="1"/>
  <c r="G102" i="1"/>
  <c r="C102" i="1"/>
  <c r="B102" i="1"/>
  <c r="E102" i="1"/>
  <c r="F102" i="1" s="1"/>
  <c r="I102" i="1"/>
  <c r="H102" i="1"/>
  <c r="N102" i="1"/>
  <c r="D102" i="1"/>
  <c r="L129" i="1"/>
  <c r="G129" i="1"/>
  <c r="D129" i="1"/>
  <c r="C129" i="1"/>
  <c r="B129" i="1"/>
  <c r="E129" i="1"/>
  <c r="F129" i="1" s="1"/>
  <c r="H129" i="1"/>
  <c r="N129" i="1"/>
  <c r="I129" i="1"/>
  <c r="L153" i="1"/>
  <c r="G153" i="1"/>
  <c r="D153" i="1"/>
  <c r="C153" i="1"/>
  <c r="B153" i="1"/>
  <c r="E153" i="1"/>
  <c r="F153" i="1" s="1"/>
  <c r="H153" i="1"/>
  <c r="N153" i="1"/>
  <c r="I153" i="1"/>
  <c r="C190" i="1"/>
  <c r="N190" i="1"/>
  <c r="I190" i="1"/>
  <c r="G190" i="1"/>
  <c r="E190" i="1"/>
  <c r="F190" i="1" s="1"/>
  <c r="B190" i="1"/>
  <c r="H190" i="1"/>
  <c r="D190" i="1"/>
  <c r="L190" i="1"/>
  <c r="E44" i="1"/>
  <c r="F44" i="1" s="1"/>
  <c r="D44" i="1"/>
  <c r="B44" i="1"/>
  <c r="N44" i="1"/>
  <c r="I44" i="1"/>
  <c r="G44" i="1"/>
  <c r="L44" i="1"/>
  <c r="H44" i="1"/>
  <c r="C44" i="1"/>
  <c r="E58" i="1"/>
  <c r="F58" i="1" s="1"/>
  <c r="D58" i="1"/>
  <c r="B58" i="1"/>
  <c r="N58" i="1"/>
  <c r="I58" i="1"/>
  <c r="G58" i="1"/>
  <c r="L58" i="1"/>
  <c r="H58" i="1"/>
  <c r="C58" i="1"/>
  <c r="E70" i="1"/>
  <c r="F70" i="1" s="1"/>
  <c r="D70" i="1"/>
  <c r="B70" i="1"/>
  <c r="N70" i="1"/>
  <c r="I70" i="1"/>
  <c r="G70" i="1"/>
  <c r="L70" i="1"/>
  <c r="H70" i="1"/>
  <c r="C70" i="1"/>
  <c r="D13" i="1"/>
  <c r="B13" i="1"/>
  <c r="N13" i="1"/>
  <c r="I13" i="1"/>
  <c r="E13" i="1"/>
  <c r="F13" i="1" s="1"/>
  <c r="C13" i="1"/>
  <c r="H13" i="1"/>
  <c r="G13" i="1"/>
  <c r="L13" i="1"/>
  <c r="E48" i="1"/>
  <c r="F48" i="1" s="1"/>
  <c r="D48" i="1"/>
  <c r="B48" i="1"/>
  <c r="N48" i="1"/>
  <c r="I48" i="1"/>
  <c r="G48" i="1"/>
  <c r="H48" i="1"/>
  <c r="C48" i="1"/>
  <c r="L48" i="1"/>
  <c r="E17" i="1"/>
  <c r="F17" i="1" s="1"/>
  <c r="D17" i="1"/>
  <c r="B17" i="1"/>
  <c r="N17" i="1"/>
  <c r="I17" i="1"/>
  <c r="L17" i="1"/>
  <c r="K17" i="1"/>
  <c r="H17" i="1"/>
  <c r="G17" i="1"/>
  <c r="C17" i="1"/>
  <c r="G82" i="5"/>
  <c r="E82" i="5"/>
  <c r="F82" i="5" s="1"/>
  <c r="M82" i="5"/>
  <c r="L82" i="5"/>
  <c r="C82" i="5"/>
  <c r="B82" i="5"/>
  <c r="O82" i="5"/>
  <c r="J82" i="5"/>
  <c r="I82" i="5"/>
  <c r="H82" i="5"/>
  <c r="K82" i="5"/>
  <c r="D82" i="5"/>
  <c r="N82" i="5"/>
  <c r="C201" i="1"/>
  <c r="B201" i="1"/>
  <c r="I201" i="1"/>
  <c r="H201" i="1"/>
  <c r="E201" i="1"/>
  <c r="F201" i="1" s="1"/>
  <c r="D201" i="1"/>
  <c r="N201" i="1"/>
  <c r="K201" i="1"/>
  <c r="G201" i="1"/>
  <c r="L201" i="1"/>
  <c r="C200" i="1"/>
  <c r="B200" i="1"/>
  <c r="G200" i="1"/>
  <c r="L200" i="1"/>
  <c r="N200" i="1"/>
  <c r="H200" i="1"/>
  <c r="E200" i="1"/>
  <c r="F200" i="1" s="1"/>
  <c r="D200" i="1"/>
  <c r="I200" i="1"/>
  <c r="O28" i="5"/>
  <c r="C28" i="5"/>
  <c r="N28" i="5"/>
  <c r="B28" i="5"/>
  <c r="M28" i="5"/>
  <c r="L28" i="5"/>
  <c r="J28" i="5"/>
  <c r="G28" i="5"/>
  <c r="E28" i="5"/>
  <c r="F28" i="5" s="1"/>
  <c r="K28" i="5"/>
  <c r="I28" i="5"/>
  <c r="H28" i="5"/>
  <c r="D28" i="5"/>
  <c r="C181" i="1"/>
  <c r="E181" i="1"/>
  <c r="F181" i="1" s="1"/>
  <c r="D181" i="1"/>
  <c r="N181" i="1"/>
  <c r="I181" i="1"/>
  <c r="H181" i="1"/>
  <c r="G181" i="1"/>
  <c r="B181" i="1"/>
  <c r="L181" i="1"/>
  <c r="C189" i="1"/>
  <c r="N189" i="1"/>
  <c r="I189" i="1"/>
  <c r="H189" i="1"/>
  <c r="E189" i="1"/>
  <c r="F189" i="1" s="1"/>
  <c r="D189" i="1"/>
  <c r="L189" i="1"/>
  <c r="G189" i="1"/>
  <c r="B189" i="1"/>
  <c r="K189" i="1"/>
  <c r="K17" i="5"/>
  <c r="J17" i="5"/>
  <c r="I17" i="5"/>
  <c r="H17" i="5"/>
  <c r="O17" i="5"/>
  <c r="C17" i="5"/>
  <c r="N17" i="5"/>
  <c r="B17" i="5"/>
  <c r="M17" i="5"/>
  <c r="L17" i="5"/>
  <c r="G17" i="5"/>
  <c r="E17" i="5"/>
  <c r="F17" i="5" s="1"/>
  <c r="D17" i="5"/>
  <c r="G70" i="5"/>
  <c r="E70" i="5"/>
  <c r="F70" i="5" s="1"/>
  <c r="M70" i="5"/>
  <c r="L70" i="5"/>
  <c r="C70" i="5"/>
  <c r="B70" i="5"/>
  <c r="O70" i="5"/>
  <c r="J70" i="5"/>
  <c r="I70" i="5"/>
  <c r="H70" i="5"/>
  <c r="N70" i="5"/>
  <c r="K70" i="5"/>
  <c r="D70" i="5"/>
  <c r="I145" i="5"/>
  <c r="H145" i="5"/>
  <c r="G145" i="5"/>
  <c r="E145" i="5"/>
  <c r="F145" i="5" s="1"/>
  <c r="M145" i="5"/>
  <c r="L145" i="5"/>
  <c r="O145" i="5"/>
  <c r="N145" i="5"/>
  <c r="J145" i="5"/>
  <c r="C145" i="5"/>
  <c r="D145" i="5"/>
  <c r="B145" i="5"/>
  <c r="K145" i="5"/>
  <c r="L50" i="6"/>
  <c r="J50" i="6"/>
  <c r="D50" i="6"/>
  <c r="K50" i="6"/>
  <c r="I50" i="6"/>
  <c r="H50" i="6"/>
  <c r="G50" i="6"/>
  <c r="B50" i="6"/>
  <c r="C50" i="6"/>
  <c r="N50" i="6"/>
  <c r="M50" i="6"/>
  <c r="F50" i="6"/>
  <c r="E50" i="6"/>
  <c r="L70" i="6"/>
  <c r="J70" i="6"/>
  <c r="H70" i="6"/>
  <c r="D70" i="6"/>
  <c r="E70" i="6"/>
  <c r="C70" i="6"/>
  <c r="B70" i="6"/>
  <c r="M70" i="6"/>
  <c r="K70" i="6"/>
  <c r="I70" i="6"/>
  <c r="G70" i="6"/>
  <c r="F70" i="6"/>
  <c r="N70" i="6"/>
  <c r="C227" i="1"/>
  <c r="B227" i="1"/>
  <c r="N227" i="1"/>
  <c r="L227" i="1"/>
  <c r="H227" i="1"/>
  <c r="G227" i="1"/>
  <c r="E227" i="1"/>
  <c r="F227" i="1" s="1"/>
  <c r="D227" i="1"/>
  <c r="I227" i="1"/>
  <c r="H21" i="6"/>
  <c r="G21" i="6"/>
  <c r="F21" i="6"/>
  <c r="N21" i="6"/>
  <c r="B21" i="6"/>
  <c r="M21" i="6"/>
  <c r="L21" i="6"/>
  <c r="K21" i="6"/>
  <c r="J21" i="6"/>
  <c r="I21" i="6"/>
  <c r="E21" i="6"/>
  <c r="D21" i="6"/>
  <c r="C21" i="6"/>
  <c r="E114" i="6"/>
  <c r="I114" i="6"/>
  <c r="H114" i="6"/>
  <c r="C114" i="6"/>
  <c r="N114" i="6"/>
  <c r="J114" i="6"/>
  <c r="L114" i="6"/>
  <c r="K114" i="6"/>
  <c r="G114" i="6"/>
  <c r="F114" i="6"/>
  <c r="M114" i="6"/>
  <c r="D114" i="6"/>
  <c r="B114" i="6"/>
  <c r="L74" i="6"/>
  <c r="J74" i="6"/>
  <c r="H74" i="6"/>
  <c r="D74" i="6"/>
  <c r="N74" i="6"/>
  <c r="M74" i="6"/>
  <c r="K74" i="6"/>
  <c r="I74" i="6"/>
  <c r="C74" i="6"/>
  <c r="F74" i="6"/>
  <c r="E74" i="6"/>
  <c r="B74" i="6"/>
  <c r="G74" i="6"/>
  <c r="H25" i="6"/>
  <c r="G25" i="6"/>
  <c r="F25" i="6"/>
  <c r="N25" i="6"/>
  <c r="B25" i="6"/>
  <c r="E25" i="6"/>
  <c r="D25" i="6"/>
  <c r="C25" i="6"/>
  <c r="L25" i="6"/>
  <c r="K25" i="6"/>
  <c r="M25" i="6"/>
  <c r="J25" i="6"/>
  <c r="I25" i="6"/>
  <c r="M171" i="5"/>
  <c r="L171" i="5"/>
  <c r="K171" i="5"/>
  <c r="J171" i="5"/>
  <c r="I171" i="5"/>
  <c r="E171" i="5"/>
  <c r="F171" i="5" s="1"/>
  <c r="D171" i="5"/>
  <c r="G171" i="5"/>
  <c r="C171" i="5"/>
  <c r="B171" i="5"/>
  <c r="O171" i="5"/>
  <c r="N171" i="5"/>
  <c r="H171" i="5"/>
  <c r="M207" i="5"/>
  <c r="L207" i="5"/>
  <c r="K207" i="5"/>
  <c r="J207" i="5"/>
  <c r="I207" i="5"/>
  <c r="E207" i="5"/>
  <c r="F207" i="5" s="1"/>
  <c r="D207" i="5"/>
  <c r="G207" i="5"/>
  <c r="C207" i="5"/>
  <c r="B207" i="5"/>
  <c r="O207" i="5"/>
  <c r="N207" i="5"/>
  <c r="H207" i="5"/>
  <c r="H161" i="6"/>
  <c r="L161" i="6"/>
  <c r="K161" i="6"/>
  <c r="C161" i="6"/>
  <c r="N161" i="6"/>
  <c r="G161" i="6"/>
  <c r="J161" i="6"/>
  <c r="I161" i="6"/>
  <c r="F161" i="6"/>
  <c r="E161" i="6"/>
  <c r="B161" i="6"/>
  <c r="M161" i="6"/>
  <c r="D161" i="6"/>
  <c r="L86" i="6"/>
  <c r="J86" i="6"/>
  <c r="H86" i="6"/>
  <c r="D86" i="6"/>
  <c r="E86" i="6"/>
  <c r="C86" i="6"/>
  <c r="B86" i="6"/>
  <c r="M86" i="6"/>
  <c r="N86" i="6"/>
  <c r="K86" i="6"/>
  <c r="I86" i="6"/>
  <c r="G86" i="6"/>
  <c r="F86" i="6"/>
  <c r="L46" i="6"/>
  <c r="J46" i="6"/>
  <c r="D46" i="6"/>
  <c r="I46" i="6"/>
  <c r="H46" i="6"/>
  <c r="G46" i="6"/>
  <c r="F46" i="6"/>
  <c r="N46" i="6"/>
  <c r="M46" i="6"/>
  <c r="K46" i="6"/>
  <c r="E46" i="6"/>
  <c r="C46" i="6"/>
  <c r="B46" i="6"/>
  <c r="H145" i="6"/>
  <c r="L145" i="6"/>
  <c r="K145" i="6"/>
  <c r="C145" i="6"/>
  <c r="N145" i="6"/>
  <c r="G145" i="6"/>
  <c r="B145" i="6"/>
  <c r="J145" i="6"/>
  <c r="M145" i="6"/>
  <c r="E145" i="6"/>
  <c r="D145" i="6"/>
  <c r="I145" i="6"/>
  <c r="F145" i="6"/>
  <c r="I75" i="6"/>
  <c r="G75" i="6"/>
  <c r="E75" i="6"/>
  <c r="M75" i="6"/>
  <c r="N75" i="6"/>
  <c r="L75" i="6"/>
  <c r="K75" i="6"/>
  <c r="D75" i="6"/>
  <c r="J75" i="6"/>
  <c r="B75" i="6"/>
  <c r="H75" i="6"/>
  <c r="F75" i="6"/>
  <c r="C75" i="6"/>
  <c r="N131" i="6"/>
  <c r="B131" i="6"/>
  <c r="F131" i="6"/>
  <c r="E131" i="6"/>
  <c r="D131" i="6"/>
  <c r="J131" i="6"/>
  <c r="G131" i="6"/>
  <c r="C131" i="6"/>
  <c r="M131" i="6"/>
  <c r="L131" i="6"/>
  <c r="K131" i="6"/>
  <c r="I131" i="6"/>
  <c r="H131" i="6"/>
  <c r="K26" i="15"/>
  <c r="J26" i="15"/>
  <c r="I26" i="15"/>
  <c r="F26" i="15"/>
  <c r="D26" i="15"/>
  <c r="H26" i="15"/>
  <c r="G26" i="15"/>
  <c r="E26" i="15"/>
  <c r="C26" i="15"/>
  <c r="B26" i="15"/>
  <c r="L26" i="15"/>
  <c r="E86" i="15"/>
  <c r="D86" i="15"/>
  <c r="C86" i="15"/>
  <c r="B86" i="15"/>
  <c r="L86" i="15"/>
  <c r="I86" i="15"/>
  <c r="K86" i="15"/>
  <c r="H86" i="15"/>
  <c r="J86" i="15"/>
  <c r="G86" i="15"/>
  <c r="F86" i="15"/>
  <c r="K150" i="15"/>
  <c r="F150" i="15"/>
  <c r="H150" i="15"/>
  <c r="J150" i="15"/>
  <c r="I150" i="15"/>
  <c r="G150" i="15"/>
  <c r="D150" i="15"/>
  <c r="E150" i="15"/>
  <c r="C150" i="15"/>
  <c r="B150" i="15"/>
  <c r="L150" i="15"/>
  <c r="J177" i="15"/>
  <c r="H177" i="15"/>
  <c r="D177" i="15"/>
  <c r="K177" i="15"/>
  <c r="B177" i="15"/>
  <c r="L177" i="15"/>
  <c r="E177" i="15"/>
  <c r="C177" i="15"/>
  <c r="I177" i="15"/>
  <c r="G177" i="15"/>
  <c r="F177" i="15"/>
  <c r="L199" i="15"/>
  <c r="J199" i="15"/>
  <c r="F199" i="15"/>
  <c r="K199" i="15"/>
  <c r="D199" i="15"/>
  <c r="I199" i="15"/>
  <c r="B199" i="15"/>
  <c r="H199" i="15"/>
  <c r="E199" i="15"/>
  <c r="C199" i="15"/>
  <c r="G199" i="15"/>
  <c r="J153" i="15"/>
  <c r="H153" i="15"/>
  <c r="D153" i="15"/>
  <c r="K153" i="15"/>
  <c r="B153" i="15"/>
  <c r="L153" i="15"/>
  <c r="I153" i="15"/>
  <c r="G153" i="15"/>
  <c r="E153" i="15"/>
  <c r="C153" i="15"/>
  <c r="F153" i="15"/>
  <c r="Z76" i="13"/>
  <c r="K153" i="1" s="1"/>
  <c r="Z99" i="13"/>
  <c r="Z135" i="13"/>
  <c r="K158" i="1" s="1"/>
  <c r="Z181" i="13"/>
  <c r="Z174" i="13"/>
  <c r="Z31" i="13"/>
  <c r="Z60" i="13"/>
  <c r="Z85" i="13"/>
  <c r="D4" i="15"/>
  <c r="C4" i="15"/>
  <c r="B4" i="15"/>
  <c r="L4" i="15"/>
  <c r="K4" i="15"/>
  <c r="J4" i="15"/>
  <c r="H4" i="15"/>
  <c r="I4" i="15"/>
  <c r="G4" i="15"/>
  <c r="F4" i="15"/>
  <c r="E4" i="15"/>
  <c r="N111" i="6"/>
  <c r="B111" i="6"/>
  <c r="F111" i="6"/>
  <c r="E111" i="6"/>
  <c r="M111" i="6"/>
  <c r="K111" i="6"/>
  <c r="G111" i="6"/>
  <c r="L111" i="6"/>
  <c r="J111" i="6"/>
  <c r="I111" i="6"/>
  <c r="H111" i="6"/>
  <c r="D111" i="6"/>
  <c r="C111" i="6"/>
  <c r="H167" i="6"/>
  <c r="C167" i="6"/>
  <c r="M167" i="6"/>
  <c r="G167" i="6"/>
  <c r="F167" i="6"/>
  <c r="L167" i="6"/>
  <c r="E167" i="6"/>
  <c r="N167" i="6"/>
  <c r="K167" i="6"/>
  <c r="I167" i="6"/>
  <c r="B167" i="6"/>
  <c r="J167" i="6"/>
  <c r="D167" i="6"/>
  <c r="K144" i="6"/>
  <c r="C144" i="6"/>
  <c r="N144" i="6"/>
  <c r="B144" i="6"/>
  <c r="L144" i="6"/>
  <c r="G144" i="6"/>
  <c r="M144" i="6"/>
  <c r="J144" i="6"/>
  <c r="H144" i="6"/>
  <c r="E144" i="6"/>
  <c r="F144" i="6"/>
  <c r="D144" i="6"/>
  <c r="I144" i="6"/>
  <c r="D8" i="1"/>
  <c r="B8" i="1"/>
  <c r="N8" i="1"/>
  <c r="I8" i="1"/>
  <c r="E8" i="1"/>
  <c r="F8" i="1" s="1"/>
  <c r="C8" i="1"/>
  <c r="H8" i="1"/>
  <c r="G8" i="1"/>
  <c r="L8" i="1"/>
  <c r="E45" i="1"/>
  <c r="F45" i="1" s="1"/>
  <c r="D45" i="1"/>
  <c r="B45" i="1"/>
  <c r="N45" i="1"/>
  <c r="I45" i="1"/>
  <c r="G45" i="1"/>
  <c r="H45" i="1"/>
  <c r="C45" i="1"/>
  <c r="L45" i="1"/>
  <c r="C193" i="1"/>
  <c r="E193" i="1"/>
  <c r="F193" i="1" s="1"/>
  <c r="D193" i="1"/>
  <c r="N193" i="1"/>
  <c r="I193" i="1"/>
  <c r="H193" i="1"/>
  <c r="G193" i="1"/>
  <c r="B193" i="1"/>
  <c r="L193" i="1"/>
  <c r="N31" i="6"/>
  <c r="B31" i="6"/>
  <c r="M31" i="6"/>
  <c r="L31" i="6"/>
  <c r="H31" i="6"/>
  <c r="D31" i="6"/>
  <c r="C31" i="6"/>
  <c r="I31" i="6"/>
  <c r="G31" i="6"/>
  <c r="F31" i="6"/>
  <c r="E31" i="6"/>
  <c r="K31" i="6"/>
  <c r="J31" i="6"/>
  <c r="L94" i="6"/>
  <c r="J94" i="6"/>
  <c r="H94" i="6"/>
  <c r="D94" i="6"/>
  <c r="E94" i="6"/>
  <c r="C94" i="6"/>
  <c r="B94" i="6"/>
  <c r="M94" i="6"/>
  <c r="K94" i="6"/>
  <c r="I94" i="6"/>
  <c r="G94" i="6"/>
  <c r="F94" i="6"/>
  <c r="N94" i="6"/>
  <c r="I136" i="5"/>
  <c r="H136" i="5"/>
  <c r="G136" i="5"/>
  <c r="E136" i="5"/>
  <c r="F136" i="5" s="1"/>
  <c r="M136" i="5"/>
  <c r="L136" i="5"/>
  <c r="N136" i="5"/>
  <c r="D136" i="5"/>
  <c r="B136" i="5"/>
  <c r="K136" i="5"/>
  <c r="J136" i="5"/>
  <c r="C136" i="5"/>
  <c r="O136" i="5"/>
  <c r="E154" i="6"/>
  <c r="I154" i="6"/>
  <c r="H154" i="6"/>
  <c r="L154" i="6"/>
  <c r="J154" i="6"/>
  <c r="F154" i="6"/>
  <c r="B154" i="6"/>
  <c r="M154" i="6"/>
  <c r="N154" i="6"/>
  <c r="K154" i="6"/>
  <c r="G154" i="6"/>
  <c r="D154" i="6"/>
  <c r="C154" i="6"/>
  <c r="I83" i="6"/>
  <c r="G83" i="6"/>
  <c r="E83" i="6"/>
  <c r="M83" i="6"/>
  <c r="N83" i="6"/>
  <c r="L83" i="6"/>
  <c r="K83" i="6"/>
  <c r="D83" i="6"/>
  <c r="J83" i="6"/>
  <c r="H83" i="6"/>
  <c r="F83" i="6"/>
  <c r="C83" i="6"/>
  <c r="B83" i="6"/>
  <c r="E170" i="15"/>
  <c r="C170" i="15"/>
  <c r="K170" i="15"/>
  <c r="H170" i="15"/>
  <c r="B170" i="15"/>
  <c r="L170" i="15"/>
  <c r="J170" i="15"/>
  <c r="I170" i="15"/>
  <c r="G170" i="15"/>
  <c r="F170" i="15"/>
  <c r="D170" i="15"/>
  <c r="H83" i="15"/>
  <c r="G83" i="15"/>
  <c r="F83" i="15"/>
  <c r="E83" i="15"/>
  <c r="C83" i="15"/>
  <c r="L83" i="15"/>
  <c r="K83" i="15"/>
  <c r="J83" i="15"/>
  <c r="D83" i="15"/>
  <c r="I83" i="15"/>
  <c r="B83" i="15"/>
  <c r="J213" i="15"/>
  <c r="H213" i="15"/>
  <c r="D213" i="15"/>
  <c r="K213" i="15"/>
  <c r="L213" i="15"/>
  <c r="E213" i="15"/>
  <c r="B213" i="15"/>
  <c r="G213" i="15"/>
  <c r="F213" i="15"/>
  <c r="C213" i="15"/>
  <c r="I213" i="15"/>
  <c r="Z116" i="13"/>
  <c r="K93" i="1" s="1"/>
  <c r="Z59" i="13"/>
  <c r="K70" i="1" s="1"/>
  <c r="Z48" i="13"/>
  <c r="Z23" i="13"/>
  <c r="K160" i="1" s="1"/>
  <c r="Z114" i="13"/>
  <c r="K72" i="1" s="1"/>
  <c r="Z141" i="13"/>
  <c r="K177" i="1" s="1"/>
  <c r="Z139" i="13"/>
  <c r="K171" i="1" s="1"/>
  <c r="Z105" i="13"/>
  <c r="Z185" i="13"/>
  <c r="K168" i="1" s="1"/>
  <c r="Z57" i="13"/>
  <c r="Z6" i="13"/>
  <c r="K44" i="1" s="1"/>
  <c r="Z113" i="13"/>
  <c r="K95" i="1" s="1"/>
  <c r="Z80" i="13"/>
  <c r="Z56" i="13"/>
  <c r="K58" i="1" s="1"/>
  <c r="E230" i="15"/>
  <c r="C230" i="15"/>
  <c r="K230" i="15"/>
  <c r="H230" i="15"/>
  <c r="L230" i="15"/>
  <c r="F230" i="15"/>
  <c r="B230" i="15"/>
  <c r="G230" i="15"/>
  <c r="D230" i="15"/>
  <c r="J230" i="15"/>
  <c r="I230" i="15"/>
  <c r="G33" i="5"/>
  <c r="E33" i="5"/>
  <c r="F33" i="5" s="1"/>
  <c r="D33" i="5"/>
  <c r="N33" i="5"/>
  <c r="B33" i="5"/>
  <c r="K33" i="5"/>
  <c r="J33" i="5"/>
  <c r="I33" i="5"/>
  <c r="O33" i="5"/>
  <c r="M33" i="5"/>
  <c r="L33" i="5"/>
  <c r="H33" i="5"/>
  <c r="C33" i="5"/>
  <c r="M147" i="5"/>
  <c r="L147" i="5"/>
  <c r="K147" i="5"/>
  <c r="J147" i="5"/>
  <c r="I147" i="5"/>
  <c r="E147" i="5"/>
  <c r="F147" i="5" s="1"/>
  <c r="D147" i="5"/>
  <c r="O147" i="5"/>
  <c r="N147" i="5"/>
  <c r="G147" i="5"/>
  <c r="B147" i="5"/>
  <c r="C147" i="5"/>
  <c r="H147" i="5"/>
  <c r="G13" i="15"/>
  <c r="F13" i="15"/>
  <c r="E13" i="15"/>
  <c r="D13" i="15"/>
  <c r="C13" i="15"/>
  <c r="B13" i="15"/>
  <c r="K13" i="15"/>
  <c r="H13" i="15"/>
  <c r="J13" i="15"/>
  <c r="L13" i="15"/>
  <c r="I13" i="15"/>
  <c r="F68" i="6"/>
  <c r="D68" i="6"/>
  <c r="N68" i="6"/>
  <c r="J68" i="6"/>
  <c r="M68" i="6"/>
  <c r="H68" i="6"/>
  <c r="L68" i="6"/>
  <c r="K68" i="6"/>
  <c r="I68" i="6"/>
  <c r="G68" i="6"/>
  <c r="E68" i="6"/>
  <c r="C68" i="6"/>
  <c r="B68" i="6"/>
  <c r="C210" i="1"/>
  <c r="B210" i="1"/>
  <c r="L210" i="1"/>
  <c r="H210" i="1"/>
  <c r="G210" i="1"/>
  <c r="E210" i="1"/>
  <c r="F210" i="1" s="1"/>
  <c r="D210" i="1"/>
  <c r="N210" i="1"/>
  <c r="I210" i="1"/>
  <c r="L82" i="1"/>
  <c r="G82" i="1"/>
  <c r="C82" i="1"/>
  <c r="B82" i="1"/>
  <c r="H82" i="1"/>
  <c r="E82" i="1"/>
  <c r="F82" i="1" s="1"/>
  <c r="N82" i="1"/>
  <c r="D82" i="1"/>
  <c r="I82" i="1"/>
  <c r="I133" i="5"/>
  <c r="H133" i="5"/>
  <c r="G133" i="5"/>
  <c r="E133" i="5"/>
  <c r="F133" i="5" s="1"/>
  <c r="M133" i="5"/>
  <c r="L133" i="5"/>
  <c r="O133" i="5"/>
  <c r="K133" i="5"/>
  <c r="C133" i="5"/>
  <c r="N133" i="5"/>
  <c r="D133" i="5"/>
  <c r="J133" i="5"/>
  <c r="B133" i="5"/>
  <c r="E134" i="6"/>
  <c r="I134" i="6"/>
  <c r="H134" i="6"/>
  <c r="G134" i="6"/>
  <c r="D134" i="6"/>
  <c r="B134" i="6"/>
  <c r="M134" i="6"/>
  <c r="J134" i="6"/>
  <c r="F134" i="6"/>
  <c r="C134" i="6"/>
  <c r="N134" i="6"/>
  <c r="L134" i="6"/>
  <c r="K134" i="6"/>
  <c r="M174" i="5"/>
  <c r="L174" i="5"/>
  <c r="K174" i="5"/>
  <c r="J174" i="5"/>
  <c r="I174" i="5"/>
  <c r="E174" i="5"/>
  <c r="F174" i="5" s="1"/>
  <c r="D174" i="5"/>
  <c r="H174" i="5"/>
  <c r="G174" i="5"/>
  <c r="C174" i="5"/>
  <c r="B174" i="5"/>
  <c r="O174" i="5"/>
  <c r="N174" i="5"/>
  <c r="N35" i="6"/>
  <c r="B35" i="6"/>
  <c r="M35" i="6"/>
  <c r="L35" i="6"/>
  <c r="H35" i="6"/>
  <c r="K35" i="6"/>
  <c r="J35" i="6"/>
  <c r="I35" i="6"/>
  <c r="G35" i="6"/>
  <c r="C35" i="6"/>
  <c r="F35" i="6"/>
  <c r="E35" i="6"/>
  <c r="D35" i="6"/>
  <c r="N147" i="6"/>
  <c r="B147" i="6"/>
  <c r="F147" i="6"/>
  <c r="E147" i="6"/>
  <c r="D147" i="6"/>
  <c r="J147" i="6"/>
  <c r="M147" i="6"/>
  <c r="L147" i="6"/>
  <c r="K147" i="6"/>
  <c r="I147" i="6"/>
  <c r="G147" i="6"/>
  <c r="H147" i="6"/>
  <c r="C147" i="6"/>
  <c r="E44" i="15"/>
  <c r="D44" i="15"/>
  <c r="C44" i="15"/>
  <c r="L44" i="15"/>
  <c r="J44" i="15"/>
  <c r="I44" i="15"/>
  <c r="H44" i="15"/>
  <c r="G44" i="15"/>
  <c r="F44" i="15"/>
  <c r="B44" i="15"/>
  <c r="K44" i="15"/>
  <c r="K200" i="15"/>
  <c r="I200" i="15"/>
  <c r="E200" i="15"/>
  <c r="G200" i="15"/>
  <c r="F200" i="15"/>
  <c r="L200" i="15"/>
  <c r="J200" i="15"/>
  <c r="H200" i="15"/>
  <c r="D200" i="15"/>
  <c r="C200" i="15"/>
  <c r="B200" i="15"/>
  <c r="D219" i="15"/>
  <c r="B219" i="15"/>
  <c r="J219" i="15"/>
  <c r="K219" i="15"/>
  <c r="H219" i="15"/>
  <c r="G219" i="15"/>
  <c r="E219" i="15"/>
  <c r="C219" i="15"/>
  <c r="L219" i="15"/>
  <c r="I219" i="15"/>
  <c r="F219" i="15"/>
  <c r="Z70" i="13"/>
  <c r="K108" i="1" s="1"/>
  <c r="Z11" i="13"/>
  <c r="K69" i="1" s="1"/>
  <c r="Z28" i="13"/>
  <c r="K174" i="1" s="1"/>
  <c r="Z180" i="13"/>
  <c r="Z133" i="13"/>
  <c r="K130" i="1" s="1"/>
  <c r="L62" i="6"/>
  <c r="J62" i="6"/>
  <c r="D62" i="6"/>
  <c r="N62" i="6"/>
  <c r="M62" i="6"/>
  <c r="K62" i="6"/>
  <c r="F62" i="6"/>
  <c r="G62" i="6"/>
  <c r="E62" i="6"/>
  <c r="C62" i="6"/>
  <c r="B62" i="6"/>
  <c r="I62" i="6"/>
  <c r="H62" i="6"/>
  <c r="B60" i="15"/>
  <c r="L60" i="15"/>
  <c r="K60" i="15"/>
  <c r="H60" i="15"/>
  <c r="F60" i="15"/>
  <c r="E60" i="15"/>
  <c r="D60" i="15"/>
  <c r="C60" i="15"/>
  <c r="J60" i="15"/>
  <c r="I60" i="15"/>
  <c r="G60" i="15"/>
  <c r="K16" i="6"/>
  <c r="J16" i="6"/>
  <c r="I16" i="6"/>
  <c r="E16" i="6"/>
  <c r="N16" i="6"/>
  <c r="M16" i="6"/>
  <c r="F16" i="6"/>
  <c r="D16" i="6"/>
  <c r="H16" i="6"/>
  <c r="G16" i="6"/>
  <c r="C16" i="6"/>
  <c r="B16" i="6"/>
  <c r="L16" i="6"/>
  <c r="E201" i="6"/>
  <c r="D201" i="6"/>
  <c r="N201" i="6"/>
  <c r="B201" i="6"/>
  <c r="L201" i="6"/>
  <c r="G201" i="6"/>
  <c r="F201" i="6"/>
  <c r="C201" i="6"/>
  <c r="K201" i="6"/>
  <c r="H201" i="6"/>
  <c r="J201" i="6"/>
  <c r="I201" i="6"/>
  <c r="M201" i="6"/>
  <c r="H5" i="6"/>
  <c r="F5" i="6"/>
  <c r="N5" i="6"/>
  <c r="B5" i="6"/>
  <c r="K5" i="6"/>
  <c r="J5" i="6"/>
  <c r="I5" i="6"/>
  <c r="G5" i="6"/>
  <c r="E5" i="6"/>
  <c r="M5" i="6"/>
  <c r="L5" i="6"/>
  <c r="C5" i="6"/>
  <c r="D5" i="6"/>
  <c r="K179" i="6"/>
  <c r="J179" i="6"/>
  <c r="H179" i="6"/>
  <c r="B179" i="6"/>
  <c r="N179" i="6"/>
  <c r="F179" i="6"/>
  <c r="E179" i="6"/>
  <c r="L179" i="6"/>
  <c r="C179" i="6"/>
  <c r="M179" i="6"/>
  <c r="I179" i="6"/>
  <c r="G179" i="6"/>
  <c r="D179" i="6"/>
  <c r="H227" i="15"/>
  <c r="F227" i="15"/>
  <c r="B227" i="15"/>
  <c r="G227" i="15"/>
  <c r="I227" i="15"/>
  <c r="D227" i="15"/>
  <c r="L227" i="15"/>
  <c r="K227" i="15"/>
  <c r="J227" i="15"/>
  <c r="E227" i="15"/>
  <c r="C227" i="15"/>
  <c r="F14" i="15"/>
  <c r="E14" i="15"/>
  <c r="D14" i="15"/>
  <c r="C14" i="15"/>
  <c r="B14" i="15"/>
  <c r="L14" i="15"/>
  <c r="J14" i="15"/>
  <c r="K14" i="15"/>
  <c r="I14" i="15"/>
  <c r="H14" i="15"/>
  <c r="G14" i="15"/>
  <c r="E170" i="5"/>
  <c r="F170" i="5" s="1"/>
  <c r="D170" i="5"/>
  <c r="O170" i="5"/>
  <c r="C170" i="5"/>
  <c r="N170" i="5"/>
  <c r="B170" i="5"/>
  <c r="M170" i="5"/>
  <c r="I170" i="5"/>
  <c r="H170" i="5"/>
  <c r="L170" i="5"/>
  <c r="J170" i="5"/>
  <c r="K170" i="5"/>
  <c r="G170" i="5"/>
  <c r="B173" i="15"/>
  <c r="L173" i="15"/>
  <c r="H173" i="15"/>
  <c r="F173" i="15"/>
  <c r="I173" i="15"/>
  <c r="K173" i="15"/>
  <c r="J173" i="15"/>
  <c r="G173" i="15"/>
  <c r="E173" i="15"/>
  <c r="C173" i="15"/>
  <c r="D173" i="15"/>
  <c r="H112" i="15"/>
  <c r="C112" i="15"/>
  <c r="B112" i="15"/>
  <c r="L112" i="15"/>
  <c r="K112" i="15"/>
  <c r="I112" i="15"/>
  <c r="G112" i="15"/>
  <c r="J112" i="15"/>
  <c r="E112" i="15"/>
  <c r="F112" i="15"/>
  <c r="D112" i="15"/>
  <c r="H141" i="6"/>
  <c r="L141" i="6"/>
  <c r="K141" i="6"/>
  <c r="M141" i="6"/>
  <c r="I141" i="6"/>
  <c r="D141" i="6"/>
  <c r="N141" i="6"/>
  <c r="J141" i="6"/>
  <c r="F141" i="6"/>
  <c r="C141" i="6"/>
  <c r="G141" i="6"/>
  <c r="E141" i="6"/>
  <c r="B141" i="6"/>
  <c r="C85" i="6"/>
  <c r="M85" i="6"/>
  <c r="K85" i="6"/>
  <c r="G85" i="6"/>
  <c r="B85" i="6"/>
  <c r="I85" i="6"/>
  <c r="H85" i="6"/>
  <c r="F85" i="6"/>
  <c r="E85" i="6"/>
  <c r="D85" i="6"/>
  <c r="N85" i="6"/>
  <c r="L85" i="6"/>
  <c r="J85" i="6"/>
  <c r="H100" i="15"/>
  <c r="C100" i="15"/>
  <c r="B100" i="15"/>
  <c r="L100" i="15"/>
  <c r="K100" i="15"/>
  <c r="G100" i="15"/>
  <c r="I100" i="15"/>
  <c r="J100" i="15"/>
  <c r="F100" i="15"/>
  <c r="E100" i="15"/>
  <c r="D100" i="15"/>
  <c r="K199" i="6"/>
  <c r="J199" i="6"/>
  <c r="H199" i="6"/>
  <c r="L199" i="6"/>
  <c r="D199" i="6"/>
  <c r="C199" i="6"/>
  <c r="I199" i="6"/>
  <c r="F199" i="6"/>
  <c r="B199" i="6"/>
  <c r="M199" i="6"/>
  <c r="N199" i="6"/>
  <c r="E199" i="6"/>
  <c r="G199" i="6"/>
  <c r="G48" i="5"/>
  <c r="E48" i="5"/>
  <c r="F48" i="5" s="1"/>
  <c r="D48" i="5"/>
  <c r="N48" i="5"/>
  <c r="B48" i="5"/>
  <c r="K48" i="5"/>
  <c r="J48" i="5"/>
  <c r="I48" i="5"/>
  <c r="O48" i="5"/>
  <c r="M48" i="5"/>
  <c r="L48" i="5"/>
  <c r="H48" i="5"/>
  <c r="C48" i="5"/>
  <c r="K63" i="5"/>
  <c r="J63" i="5"/>
  <c r="I63" i="5"/>
  <c r="E63" i="5"/>
  <c r="F63" i="5" s="1"/>
  <c r="D63" i="5"/>
  <c r="O63" i="5"/>
  <c r="M63" i="5"/>
  <c r="G63" i="5"/>
  <c r="C63" i="5"/>
  <c r="N63" i="5"/>
  <c r="L63" i="5"/>
  <c r="H63" i="5"/>
  <c r="B63" i="5"/>
  <c r="E118" i="6"/>
  <c r="I118" i="6"/>
  <c r="H118" i="6"/>
  <c r="G118" i="6"/>
  <c r="D118" i="6"/>
  <c r="B118" i="6"/>
  <c r="M118" i="6"/>
  <c r="J118" i="6"/>
  <c r="L118" i="6"/>
  <c r="K118" i="6"/>
  <c r="F118" i="6"/>
  <c r="C118" i="6"/>
  <c r="N118" i="6"/>
  <c r="E176" i="5"/>
  <c r="F176" i="5" s="1"/>
  <c r="D176" i="5"/>
  <c r="O176" i="5"/>
  <c r="C176" i="5"/>
  <c r="N176" i="5"/>
  <c r="B176" i="5"/>
  <c r="M176" i="5"/>
  <c r="I176" i="5"/>
  <c r="H176" i="5"/>
  <c r="L176" i="5"/>
  <c r="J176" i="5"/>
  <c r="G176" i="5"/>
  <c r="K176" i="5"/>
  <c r="E150" i="6"/>
  <c r="I150" i="6"/>
  <c r="H150" i="6"/>
  <c r="G150" i="6"/>
  <c r="D150" i="6"/>
  <c r="B150" i="6"/>
  <c r="M150" i="6"/>
  <c r="N150" i="6"/>
  <c r="L150" i="6"/>
  <c r="J150" i="6"/>
  <c r="C150" i="6"/>
  <c r="K150" i="6"/>
  <c r="F150" i="6"/>
  <c r="L49" i="15"/>
  <c r="K49" i="15"/>
  <c r="J49" i="15"/>
  <c r="G49" i="15"/>
  <c r="E49" i="15"/>
  <c r="B49" i="15"/>
  <c r="H49" i="15"/>
  <c r="I49" i="15"/>
  <c r="F49" i="15"/>
  <c r="D49" i="15"/>
  <c r="C49" i="15"/>
  <c r="K222" i="15"/>
  <c r="G222" i="15"/>
  <c r="H222" i="15"/>
  <c r="B222" i="15"/>
  <c r="E222" i="15"/>
  <c r="D222" i="15"/>
  <c r="J222" i="15"/>
  <c r="L222" i="15"/>
  <c r="I222" i="15"/>
  <c r="F222" i="15"/>
  <c r="C222" i="15"/>
  <c r="E218" i="5"/>
  <c r="F218" i="5" s="1"/>
  <c r="D218" i="5"/>
  <c r="O218" i="5"/>
  <c r="C218" i="5"/>
  <c r="N218" i="5"/>
  <c r="B218" i="5"/>
  <c r="M218" i="5"/>
  <c r="I218" i="5"/>
  <c r="H218" i="5"/>
  <c r="G218" i="5"/>
  <c r="L218" i="5"/>
  <c r="K218" i="5"/>
  <c r="J218" i="5"/>
  <c r="E15" i="15"/>
  <c r="D15" i="15"/>
  <c r="C15" i="15"/>
  <c r="B15" i="15"/>
  <c r="L15" i="15"/>
  <c r="K15" i="15"/>
  <c r="I15" i="15"/>
  <c r="H15" i="15"/>
  <c r="G15" i="15"/>
  <c r="F15" i="15"/>
  <c r="J15" i="15"/>
  <c r="M165" i="5"/>
  <c r="L165" i="5"/>
  <c r="K165" i="5"/>
  <c r="J165" i="5"/>
  <c r="I165" i="5"/>
  <c r="E165" i="5"/>
  <c r="F165" i="5" s="1"/>
  <c r="D165" i="5"/>
  <c r="C165" i="5"/>
  <c r="B165" i="5"/>
  <c r="O165" i="5"/>
  <c r="H165" i="5"/>
  <c r="G165" i="5"/>
  <c r="N165" i="5"/>
  <c r="K175" i="6"/>
  <c r="H175" i="6"/>
  <c r="C175" i="6"/>
  <c r="N175" i="6"/>
  <c r="G175" i="6"/>
  <c r="F175" i="6"/>
  <c r="L175" i="6"/>
  <c r="I175" i="6"/>
  <c r="M175" i="6"/>
  <c r="J175" i="6"/>
  <c r="E175" i="6"/>
  <c r="D175" i="6"/>
  <c r="B175" i="6"/>
  <c r="G142" i="15"/>
  <c r="B142" i="15"/>
  <c r="F142" i="15"/>
  <c r="L142" i="15"/>
  <c r="J142" i="15"/>
  <c r="E142" i="15"/>
  <c r="D142" i="15"/>
  <c r="C142" i="15"/>
  <c r="K142" i="15"/>
  <c r="I142" i="15"/>
  <c r="H142" i="15"/>
  <c r="C107" i="15"/>
  <c r="B107" i="15"/>
  <c r="L107" i="15"/>
  <c r="K107" i="15"/>
  <c r="J107" i="15"/>
  <c r="H107" i="15"/>
  <c r="G107" i="15"/>
  <c r="F107" i="15"/>
  <c r="D107" i="15"/>
  <c r="I107" i="15"/>
  <c r="E107" i="15"/>
  <c r="J81" i="15"/>
  <c r="I81" i="15"/>
  <c r="H81" i="15"/>
  <c r="G81" i="15"/>
  <c r="E81" i="15"/>
  <c r="B81" i="15"/>
  <c r="K81" i="15"/>
  <c r="D81" i="15"/>
  <c r="F81" i="15"/>
  <c r="C81" i="15"/>
  <c r="L81" i="15"/>
  <c r="H29" i="6"/>
  <c r="G29" i="6"/>
  <c r="F29" i="6"/>
  <c r="N29" i="6"/>
  <c r="B29" i="6"/>
  <c r="M29" i="6"/>
  <c r="L29" i="6"/>
  <c r="K29" i="6"/>
  <c r="D29" i="6"/>
  <c r="C29" i="6"/>
  <c r="I29" i="6"/>
  <c r="E29" i="6"/>
  <c r="J29" i="6"/>
  <c r="L116" i="1"/>
  <c r="G116" i="1"/>
  <c r="D116" i="1"/>
  <c r="C116" i="1"/>
  <c r="B116" i="1"/>
  <c r="N116" i="1"/>
  <c r="I116" i="1"/>
  <c r="H116" i="1"/>
  <c r="E116" i="1"/>
  <c r="F116" i="1" s="1"/>
  <c r="D3" i="1"/>
  <c r="B3" i="1"/>
  <c r="N3" i="1"/>
  <c r="I3" i="1"/>
  <c r="E3" i="1"/>
  <c r="F3" i="1" s="1"/>
  <c r="C3" i="1"/>
  <c r="L3" i="1"/>
  <c r="H3" i="1"/>
  <c r="G3" i="1"/>
  <c r="L172" i="1"/>
  <c r="G172" i="1"/>
  <c r="D172" i="1"/>
  <c r="C172" i="1"/>
  <c r="B172" i="1"/>
  <c r="N172" i="1"/>
  <c r="I172" i="1"/>
  <c r="H172" i="1"/>
  <c r="E172" i="1"/>
  <c r="F172" i="1" s="1"/>
  <c r="L126" i="1"/>
  <c r="G126" i="1"/>
  <c r="D126" i="1"/>
  <c r="C126" i="1"/>
  <c r="B126" i="1"/>
  <c r="N126" i="1"/>
  <c r="I126" i="1"/>
  <c r="H126" i="1"/>
  <c r="E126" i="1"/>
  <c r="F126" i="1" s="1"/>
  <c r="C187" i="1"/>
  <c r="L187" i="1"/>
  <c r="G187" i="1"/>
  <c r="D187" i="1"/>
  <c r="B187" i="1"/>
  <c r="H187" i="1"/>
  <c r="E187" i="1"/>
  <c r="F187" i="1" s="1"/>
  <c r="I187" i="1"/>
  <c r="N187" i="1"/>
  <c r="L109" i="1"/>
  <c r="G109" i="1"/>
  <c r="D109" i="1"/>
  <c r="C109" i="1"/>
  <c r="B109" i="1"/>
  <c r="E109" i="1"/>
  <c r="F109" i="1" s="1"/>
  <c r="H109" i="1"/>
  <c r="I109" i="1"/>
  <c r="N109" i="1"/>
  <c r="L133" i="1"/>
  <c r="G133" i="1"/>
  <c r="D133" i="1"/>
  <c r="C133" i="1"/>
  <c r="B133" i="1"/>
  <c r="E133" i="1"/>
  <c r="F133" i="1" s="1"/>
  <c r="H133" i="1"/>
  <c r="I133" i="1"/>
  <c r="N133" i="1"/>
  <c r="L157" i="1"/>
  <c r="G157" i="1"/>
  <c r="D157" i="1"/>
  <c r="C157" i="1"/>
  <c r="B157" i="1"/>
  <c r="E157" i="1"/>
  <c r="F157" i="1" s="1"/>
  <c r="H157" i="1"/>
  <c r="I157" i="1"/>
  <c r="N157" i="1"/>
  <c r="D16" i="1"/>
  <c r="B16" i="1"/>
  <c r="N16" i="1"/>
  <c r="I16" i="1"/>
  <c r="E16" i="1"/>
  <c r="F16" i="1" s="1"/>
  <c r="C16" i="1"/>
  <c r="G16" i="1"/>
  <c r="L16" i="1"/>
  <c r="H16" i="1"/>
  <c r="E46" i="1"/>
  <c r="F46" i="1" s="1"/>
  <c r="D46" i="1"/>
  <c r="B46" i="1"/>
  <c r="N46" i="1"/>
  <c r="I46" i="1"/>
  <c r="G46" i="1"/>
  <c r="L46" i="1"/>
  <c r="H46" i="1"/>
  <c r="C46" i="1"/>
  <c r="E60" i="1"/>
  <c r="F60" i="1" s="1"/>
  <c r="D60" i="1"/>
  <c r="B60" i="1"/>
  <c r="N60" i="1"/>
  <c r="I60" i="1"/>
  <c r="G60" i="1"/>
  <c r="H60" i="1"/>
  <c r="C60" i="1"/>
  <c r="L60" i="1"/>
  <c r="E72" i="1"/>
  <c r="F72" i="1" s="1"/>
  <c r="D72" i="1"/>
  <c r="B72" i="1"/>
  <c r="N72" i="1"/>
  <c r="I72" i="1"/>
  <c r="G72" i="1"/>
  <c r="H72" i="1"/>
  <c r="C72" i="1"/>
  <c r="L72" i="1"/>
  <c r="D18" i="1"/>
  <c r="B18" i="1"/>
  <c r="N18" i="1"/>
  <c r="I18" i="1"/>
  <c r="E18" i="1"/>
  <c r="F18" i="1" s="1"/>
  <c r="H18" i="1"/>
  <c r="G18" i="1"/>
  <c r="C18" i="1"/>
  <c r="L18" i="1"/>
  <c r="L86" i="1"/>
  <c r="G86" i="1"/>
  <c r="C86" i="1"/>
  <c r="B86" i="1"/>
  <c r="N86" i="1"/>
  <c r="D86" i="1"/>
  <c r="E86" i="1"/>
  <c r="F86" i="1" s="1"/>
  <c r="H86" i="1"/>
  <c r="I86" i="1"/>
  <c r="D24" i="1"/>
  <c r="B24" i="1"/>
  <c r="N24" i="1"/>
  <c r="I24" i="1"/>
  <c r="E24" i="1"/>
  <c r="F24" i="1" s="1"/>
  <c r="L24" i="1"/>
  <c r="K24" i="1"/>
  <c r="H24" i="1"/>
  <c r="G24" i="1"/>
  <c r="C24" i="1"/>
  <c r="L85" i="1"/>
  <c r="G85" i="1"/>
  <c r="C85" i="1"/>
  <c r="B85" i="1"/>
  <c r="K85" i="1"/>
  <c r="H85" i="1"/>
  <c r="E85" i="1"/>
  <c r="F85" i="1" s="1"/>
  <c r="N85" i="1"/>
  <c r="I85" i="1"/>
  <c r="D85" i="1"/>
  <c r="C213" i="1"/>
  <c r="B213" i="1"/>
  <c r="I213" i="1"/>
  <c r="H213" i="1"/>
  <c r="E213" i="1"/>
  <c r="F213" i="1" s="1"/>
  <c r="D213" i="1"/>
  <c r="N213" i="1"/>
  <c r="L213" i="1"/>
  <c r="G213" i="1"/>
  <c r="C212" i="1"/>
  <c r="B212" i="1"/>
  <c r="G212" i="1"/>
  <c r="L212" i="1"/>
  <c r="I212" i="1"/>
  <c r="H212" i="1"/>
  <c r="D212" i="1"/>
  <c r="N212" i="1"/>
  <c r="E212" i="1"/>
  <c r="F212" i="1" s="1"/>
  <c r="O34" i="5"/>
  <c r="C34" i="5"/>
  <c r="N34" i="5"/>
  <c r="B34" i="5"/>
  <c r="M34" i="5"/>
  <c r="L34" i="5"/>
  <c r="J34" i="5"/>
  <c r="G34" i="5"/>
  <c r="E34" i="5"/>
  <c r="F34" i="5" s="1"/>
  <c r="K34" i="5"/>
  <c r="I34" i="5"/>
  <c r="H34" i="5"/>
  <c r="D34" i="5"/>
  <c r="C199" i="1"/>
  <c r="B199" i="1"/>
  <c r="E199" i="1"/>
  <c r="F199" i="1" s="1"/>
  <c r="D199" i="1"/>
  <c r="N199" i="1"/>
  <c r="K199" i="1"/>
  <c r="I199" i="1"/>
  <c r="H199" i="1"/>
  <c r="G199" i="1"/>
  <c r="L199" i="1"/>
  <c r="C203" i="1"/>
  <c r="B203" i="1"/>
  <c r="N203" i="1"/>
  <c r="I203" i="1"/>
  <c r="H203" i="1"/>
  <c r="E203" i="1"/>
  <c r="F203" i="1" s="1"/>
  <c r="D203" i="1"/>
  <c r="L203" i="1"/>
  <c r="G203" i="1"/>
  <c r="K23" i="5"/>
  <c r="J23" i="5"/>
  <c r="I23" i="5"/>
  <c r="H23" i="5"/>
  <c r="O23" i="5"/>
  <c r="C23" i="5"/>
  <c r="N23" i="5"/>
  <c r="B23" i="5"/>
  <c r="M23" i="5"/>
  <c r="L23" i="5"/>
  <c r="G23" i="5"/>
  <c r="E23" i="5"/>
  <c r="F23" i="5" s="1"/>
  <c r="D23" i="5"/>
  <c r="L98" i="6"/>
  <c r="J98" i="6"/>
  <c r="H98" i="6"/>
  <c r="D98" i="6"/>
  <c r="N98" i="6"/>
  <c r="M98" i="6"/>
  <c r="K98" i="6"/>
  <c r="I98" i="6"/>
  <c r="C98" i="6"/>
  <c r="F98" i="6"/>
  <c r="E98" i="6"/>
  <c r="B98" i="6"/>
  <c r="G98" i="6"/>
  <c r="I115" i="5"/>
  <c r="G115" i="5"/>
  <c r="E115" i="5"/>
  <c r="F115" i="5" s="1"/>
  <c r="M115" i="5"/>
  <c r="L115" i="5"/>
  <c r="B115" i="5"/>
  <c r="O115" i="5"/>
  <c r="J115" i="5"/>
  <c r="H115" i="5"/>
  <c r="D115" i="5"/>
  <c r="C115" i="5"/>
  <c r="N115" i="5"/>
  <c r="K115" i="5"/>
  <c r="O56" i="5"/>
  <c r="C56" i="5"/>
  <c r="N56" i="5"/>
  <c r="B56" i="5"/>
  <c r="M56" i="5"/>
  <c r="I56" i="5"/>
  <c r="H56" i="5"/>
  <c r="L56" i="5"/>
  <c r="K56" i="5"/>
  <c r="G56" i="5"/>
  <c r="D56" i="5"/>
  <c r="J56" i="5"/>
  <c r="E56" i="5"/>
  <c r="F56" i="5" s="1"/>
  <c r="C217" i="1"/>
  <c r="B217" i="1"/>
  <c r="E217" i="1"/>
  <c r="F217" i="1" s="1"/>
  <c r="L217" i="1"/>
  <c r="I217" i="1"/>
  <c r="N217" i="1"/>
  <c r="H217" i="1"/>
  <c r="G217" i="1"/>
  <c r="D217" i="1"/>
  <c r="C229" i="1"/>
  <c r="B229" i="1"/>
  <c r="E229" i="1"/>
  <c r="F229" i="1" s="1"/>
  <c r="L229" i="1"/>
  <c r="I229" i="1"/>
  <c r="G229" i="1"/>
  <c r="N229" i="1"/>
  <c r="H229" i="1"/>
  <c r="D229" i="1"/>
  <c r="H117" i="6"/>
  <c r="L117" i="6"/>
  <c r="K117" i="6"/>
  <c r="F117" i="6"/>
  <c r="D117" i="6"/>
  <c r="B117" i="6"/>
  <c r="M117" i="6"/>
  <c r="N117" i="6"/>
  <c r="J117" i="6"/>
  <c r="I117" i="6"/>
  <c r="G117" i="6"/>
  <c r="E117" i="6"/>
  <c r="C117" i="6"/>
  <c r="I151" i="5"/>
  <c r="H151" i="5"/>
  <c r="G151" i="5"/>
  <c r="E151" i="5"/>
  <c r="F151" i="5" s="1"/>
  <c r="M151" i="5"/>
  <c r="L151" i="5"/>
  <c r="B151" i="5"/>
  <c r="N151" i="5"/>
  <c r="J151" i="5"/>
  <c r="O151" i="5"/>
  <c r="K151" i="5"/>
  <c r="D151" i="5"/>
  <c r="C151" i="5"/>
  <c r="I181" i="5"/>
  <c r="H181" i="5"/>
  <c r="G181" i="5"/>
  <c r="E181" i="5"/>
  <c r="F181" i="5" s="1"/>
  <c r="M181" i="5"/>
  <c r="L181" i="5"/>
  <c r="O181" i="5"/>
  <c r="N181" i="5"/>
  <c r="J181" i="5"/>
  <c r="C181" i="5"/>
  <c r="B181" i="5"/>
  <c r="K181" i="5"/>
  <c r="D181" i="5"/>
  <c r="I172" i="5"/>
  <c r="H172" i="5"/>
  <c r="G172" i="5"/>
  <c r="E172" i="5"/>
  <c r="F172" i="5" s="1"/>
  <c r="M172" i="5"/>
  <c r="L172" i="5"/>
  <c r="O172" i="5"/>
  <c r="N172" i="5"/>
  <c r="K172" i="5"/>
  <c r="J172" i="5"/>
  <c r="D172" i="5"/>
  <c r="B172" i="5"/>
  <c r="C172" i="5"/>
  <c r="M177" i="5"/>
  <c r="L177" i="5"/>
  <c r="K177" i="5"/>
  <c r="J177" i="5"/>
  <c r="I177" i="5"/>
  <c r="E177" i="5"/>
  <c r="F177" i="5" s="1"/>
  <c r="D177" i="5"/>
  <c r="N177" i="5"/>
  <c r="H177" i="5"/>
  <c r="G177" i="5"/>
  <c r="C177" i="5"/>
  <c r="B177" i="5"/>
  <c r="O177" i="5"/>
  <c r="M213" i="5"/>
  <c r="L213" i="5"/>
  <c r="K213" i="5"/>
  <c r="J213" i="5"/>
  <c r="I213" i="5"/>
  <c r="E213" i="5"/>
  <c r="F213" i="5" s="1"/>
  <c r="D213" i="5"/>
  <c r="N213" i="5"/>
  <c r="H213" i="5"/>
  <c r="G213" i="5"/>
  <c r="C213" i="5"/>
  <c r="B213" i="5"/>
  <c r="O213" i="5"/>
  <c r="H137" i="6"/>
  <c r="L137" i="6"/>
  <c r="K137" i="6"/>
  <c r="J137" i="6"/>
  <c r="G137" i="6"/>
  <c r="E137" i="6"/>
  <c r="I137" i="6"/>
  <c r="F137" i="6"/>
  <c r="D137" i="6"/>
  <c r="C137" i="6"/>
  <c r="B137" i="6"/>
  <c r="N137" i="6"/>
  <c r="M137" i="6"/>
  <c r="E119" i="5"/>
  <c r="F119" i="5" s="1"/>
  <c r="D119" i="5"/>
  <c r="O119" i="5"/>
  <c r="C119" i="5"/>
  <c r="N119" i="5"/>
  <c r="B119" i="5"/>
  <c r="M119" i="5"/>
  <c r="I119" i="5"/>
  <c r="H119" i="5"/>
  <c r="J119" i="5"/>
  <c r="L119" i="5"/>
  <c r="K119" i="5"/>
  <c r="G119" i="5"/>
  <c r="I51" i="6"/>
  <c r="G51" i="6"/>
  <c r="M51" i="6"/>
  <c r="K51" i="6"/>
  <c r="J51" i="6"/>
  <c r="H51" i="6"/>
  <c r="F51" i="6"/>
  <c r="B51" i="6"/>
  <c r="N51" i="6"/>
  <c r="L51" i="6"/>
  <c r="E51" i="6"/>
  <c r="D51" i="6"/>
  <c r="C51" i="6"/>
  <c r="N163" i="6"/>
  <c r="B163" i="6"/>
  <c r="K163" i="6"/>
  <c r="F163" i="6"/>
  <c r="E163" i="6"/>
  <c r="D163" i="6"/>
  <c r="J163" i="6"/>
  <c r="L163" i="6"/>
  <c r="H163" i="6"/>
  <c r="G163" i="6"/>
  <c r="C163" i="6"/>
  <c r="M163" i="6"/>
  <c r="I163" i="6"/>
  <c r="I91" i="6"/>
  <c r="G91" i="6"/>
  <c r="E91" i="6"/>
  <c r="M91" i="6"/>
  <c r="N91" i="6"/>
  <c r="L91" i="6"/>
  <c r="K91" i="6"/>
  <c r="D91" i="6"/>
  <c r="B91" i="6"/>
  <c r="J91" i="6"/>
  <c r="H91" i="6"/>
  <c r="C91" i="6"/>
  <c r="F91" i="6"/>
  <c r="E168" i="6"/>
  <c r="N168" i="6"/>
  <c r="K168" i="6"/>
  <c r="F168" i="6"/>
  <c r="D168" i="6"/>
  <c r="B168" i="6"/>
  <c r="I168" i="6"/>
  <c r="C168" i="6"/>
  <c r="M168" i="6"/>
  <c r="L168" i="6"/>
  <c r="J168" i="6"/>
  <c r="H168" i="6"/>
  <c r="G168" i="6"/>
  <c r="K38" i="15"/>
  <c r="J38" i="15"/>
  <c r="I38" i="15"/>
  <c r="F38" i="15"/>
  <c r="D38" i="15"/>
  <c r="H38" i="15"/>
  <c r="G38" i="15"/>
  <c r="E38" i="15"/>
  <c r="C38" i="15"/>
  <c r="B38" i="15"/>
  <c r="L38" i="15"/>
  <c r="D26" i="14"/>
  <c r="H95" i="15"/>
  <c r="G95" i="15"/>
  <c r="F95" i="15"/>
  <c r="E95" i="15"/>
  <c r="C95" i="15"/>
  <c r="L95" i="15"/>
  <c r="K95" i="15"/>
  <c r="J95" i="15"/>
  <c r="D95" i="15"/>
  <c r="I95" i="15"/>
  <c r="B95" i="15"/>
  <c r="B221" i="15"/>
  <c r="L221" i="15"/>
  <c r="H221" i="15"/>
  <c r="F221" i="15"/>
  <c r="K221" i="15"/>
  <c r="I221" i="15"/>
  <c r="E221" i="15"/>
  <c r="G221" i="15"/>
  <c r="D221" i="15"/>
  <c r="C221" i="15"/>
  <c r="J221" i="15"/>
  <c r="J189" i="15"/>
  <c r="H189" i="15"/>
  <c r="D189" i="15"/>
  <c r="K189" i="15"/>
  <c r="L189" i="15"/>
  <c r="B189" i="15"/>
  <c r="I189" i="15"/>
  <c r="F189" i="15"/>
  <c r="E189" i="15"/>
  <c r="C189" i="15"/>
  <c r="G189" i="15"/>
  <c r="L223" i="15"/>
  <c r="J223" i="15"/>
  <c r="F223" i="15"/>
  <c r="K223" i="15"/>
  <c r="D223" i="15"/>
  <c r="I223" i="15"/>
  <c r="C223" i="15"/>
  <c r="H223" i="15"/>
  <c r="G223" i="15"/>
  <c r="E223" i="15"/>
  <c r="B223" i="15"/>
  <c r="Z111" i="13"/>
  <c r="K82" i="1" s="1"/>
  <c r="Z90" i="13"/>
  <c r="K9" i="1" s="1"/>
  <c r="Z159" i="13"/>
  <c r="K181" i="1" s="1"/>
  <c r="Z91" i="13"/>
  <c r="Z71" i="13"/>
  <c r="Z152" i="13"/>
  <c r="K200" i="1" s="1"/>
  <c r="Z10" i="13"/>
  <c r="K64" i="1" s="1"/>
  <c r="Z86" i="13"/>
  <c r="Z167" i="13"/>
  <c r="K57" i="1" s="1"/>
  <c r="Z122" i="13"/>
  <c r="K81" i="1" s="1"/>
  <c r="Z188" i="13"/>
  <c r="K159" i="1" s="1"/>
  <c r="Z41" i="13"/>
  <c r="K18" i="1" s="1"/>
  <c r="Z65" i="13"/>
  <c r="K89" i="1" s="1"/>
  <c r="Z62" i="13"/>
  <c r="K83" i="1" s="1"/>
  <c r="Z68" i="13"/>
  <c r="K102" i="1" s="1"/>
  <c r="Z130" i="13"/>
  <c r="Z95" i="13"/>
  <c r="Z39" i="13"/>
  <c r="K13" i="1" s="1"/>
  <c r="Z17" i="13"/>
  <c r="K98" i="1" s="1"/>
  <c r="Z106" i="13"/>
  <c r="K46" i="1" s="1"/>
  <c r="Z101" i="13"/>
  <c r="K25" i="1" s="1"/>
  <c r="Z92" i="13"/>
  <c r="K28" i="1" s="1"/>
  <c r="C27" i="16"/>
  <c r="Z186" i="13"/>
  <c r="C29" i="16"/>
  <c r="Z51" i="13"/>
  <c r="K40" i="1" s="1"/>
  <c r="F92" i="6"/>
  <c r="D92" i="6"/>
  <c r="N92" i="6"/>
  <c r="B92" i="6"/>
  <c r="J92" i="6"/>
  <c r="M92" i="6"/>
  <c r="H92" i="6"/>
  <c r="L92" i="6"/>
  <c r="K92" i="6"/>
  <c r="I92" i="6"/>
  <c r="G92" i="6"/>
  <c r="E92" i="6"/>
  <c r="C92" i="6"/>
  <c r="G36" i="5"/>
  <c r="E36" i="5"/>
  <c r="F36" i="5" s="1"/>
  <c r="D36" i="5"/>
  <c r="N36" i="5"/>
  <c r="B36" i="5"/>
  <c r="K36" i="5"/>
  <c r="J36" i="5"/>
  <c r="I36" i="5"/>
  <c r="O36" i="5"/>
  <c r="M36" i="5"/>
  <c r="L36" i="5"/>
  <c r="H36" i="5"/>
  <c r="C36" i="5"/>
  <c r="C232" i="15"/>
  <c r="I232" i="15"/>
  <c r="D232" i="15"/>
  <c r="L232" i="15"/>
  <c r="E232" i="15"/>
  <c r="B232" i="15"/>
  <c r="K232" i="15"/>
  <c r="H232" i="15"/>
  <c r="J232" i="15"/>
  <c r="G232" i="15"/>
  <c r="F232" i="15"/>
  <c r="L166" i="1"/>
  <c r="G166" i="1"/>
  <c r="D166" i="1"/>
  <c r="C166" i="1"/>
  <c r="B166" i="1"/>
  <c r="N166" i="1"/>
  <c r="I166" i="1"/>
  <c r="H166" i="1"/>
  <c r="E166" i="1"/>
  <c r="F166" i="1" s="1"/>
  <c r="L131" i="1"/>
  <c r="G131" i="1"/>
  <c r="D131" i="1"/>
  <c r="C131" i="1"/>
  <c r="B131" i="1"/>
  <c r="E131" i="1"/>
  <c r="F131" i="1" s="1"/>
  <c r="H131" i="1"/>
  <c r="N131" i="1"/>
  <c r="I131" i="1"/>
  <c r="E15" i="1"/>
  <c r="F15" i="1" s="1"/>
  <c r="D15" i="1"/>
  <c r="B15" i="1"/>
  <c r="N15" i="1"/>
  <c r="I15" i="1"/>
  <c r="L15" i="1"/>
  <c r="H15" i="1"/>
  <c r="G15" i="1"/>
  <c r="C15" i="1"/>
  <c r="C207" i="1"/>
  <c r="B207" i="1"/>
  <c r="I207" i="1"/>
  <c r="H207" i="1"/>
  <c r="E207" i="1"/>
  <c r="F207" i="1" s="1"/>
  <c r="D207" i="1"/>
  <c r="N207" i="1"/>
  <c r="L207" i="1"/>
  <c r="G207" i="1"/>
  <c r="K207" i="1"/>
  <c r="C228" i="1"/>
  <c r="B228" i="1"/>
  <c r="L228" i="1"/>
  <c r="H228" i="1"/>
  <c r="G228" i="1"/>
  <c r="E228" i="1"/>
  <c r="F228" i="1" s="1"/>
  <c r="D228" i="1"/>
  <c r="N228" i="1"/>
  <c r="I228" i="1"/>
  <c r="E116" i="5"/>
  <c r="F116" i="5" s="1"/>
  <c r="O116" i="5"/>
  <c r="C116" i="5"/>
  <c r="N116" i="5"/>
  <c r="B116" i="5"/>
  <c r="M116" i="5"/>
  <c r="I116" i="5"/>
  <c r="H116" i="5"/>
  <c r="G116" i="5"/>
  <c r="L116" i="5"/>
  <c r="J116" i="5"/>
  <c r="D116" i="5"/>
  <c r="K116" i="5"/>
  <c r="K40" i="6"/>
  <c r="J40" i="6"/>
  <c r="I40" i="6"/>
  <c r="E40" i="6"/>
  <c r="H40" i="6"/>
  <c r="G40" i="6"/>
  <c r="F40" i="6"/>
  <c r="D40" i="6"/>
  <c r="C40" i="6"/>
  <c r="N40" i="6"/>
  <c r="M40" i="6"/>
  <c r="L40" i="6"/>
  <c r="B40" i="6"/>
  <c r="F64" i="6"/>
  <c r="D64" i="6"/>
  <c r="J64" i="6"/>
  <c r="N64" i="6"/>
  <c r="M64" i="6"/>
  <c r="L64" i="6"/>
  <c r="G64" i="6"/>
  <c r="C64" i="6"/>
  <c r="B64" i="6"/>
  <c r="K64" i="6"/>
  <c r="I64" i="6"/>
  <c r="H64" i="6"/>
  <c r="E64" i="6"/>
  <c r="E224" i="5"/>
  <c r="F224" i="5" s="1"/>
  <c r="D224" i="5"/>
  <c r="O224" i="5"/>
  <c r="C224" i="5"/>
  <c r="N224" i="5"/>
  <c r="B224" i="5"/>
  <c r="M224" i="5"/>
  <c r="I224" i="5"/>
  <c r="H224" i="5"/>
  <c r="K224" i="5"/>
  <c r="J224" i="5"/>
  <c r="G224" i="5"/>
  <c r="L224" i="5"/>
  <c r="E149" i="5"/>
  <c r="F149" i="5" s="1"/>
  <c r="D149" i="5"/>
  <c r="O149" i="5"/>
  <c r="C149" i="5"/>
  <c r="N149" i="5"/>
  <c r="B149" i="5"/>
  <c r="M149" i="5"/>
  <c r="I149" i="5"/>
  <c r="H149" i="5"/>
  <c r="J149" i="5"/>
  <c r="G149" i="5"/>
  <c r="L149" i="5"/>
  <c r="K149" i="5"/>
  <c r="H12" i="15"/>
  <c r="G12" i="15"/>
  <c r="F12" i="15"/>
  <c r="E12" i="15"/>
  <c r="D12" i="15"/>
  <c r="C12" i="15"/>
  <c r="B12" i="15"/>
  <c r="L12" i="15"/>
  <c r="K12" i="15"/>
  <c r="J12" i="15"/>
  <c r="I12" i="15"/>
  <c r="I28" i="15"/>
  <c r="H28" i="15"/>
  <c r="G28" i="15"/>
  <c r="D28" i="15"/>
  <c r="B28" i="15"/>
  <c r="C28" i="15"/>
  <c r="K28" i="15"/>
  <c r="L28" i="15"/>
  <c r="J28" i="15"/>
  <c r="F28" i="15"/>
  <c r="E28" i="15"/>
  <c r="I111" i="15"/>
  <c r="C111" i="15"/>
  <c r="B111" i="15"/>
  <c r="L111" i="15"/>
  <c r="K111" i="15"/>
  <c r="H111" i="15"/>
  <c r="G111" i="15"/>
  <c r="D111" i="15"/>
  <c r="F111" i="15"/>
  <c r="E111" i="15"/>
  <c r="J111" i="15"/>
  <c r="L122" i="1"/>
  <c r="K122" i="1"/>
  <c r="G122" i="1"/>
  <c r="D122" i="1"/>
  <c r="C122" i="1"/>
  <c r="B122" i="1"/>
  <c r="N122" i="1"/>
  <c r="I122" i="1"/>
  <c r="H122" i="1"/>
  <c r="E122" i="1"/>
  <c r="F122" i="1" s="1"/>
  <c r="C198" i="1"/>
  <c r="B198" i="1"/>
  <c r="L198" i="1"/>
  <c r="H198" i="1"/>
  <c r="G198" i="1"/>
  <c r="E198" i="1"/>
  <c r="F198" i="1" s="1"/>
  <c r="D198" i="1"/>
  <c r="I198" i="1"/>
  <c r="N198" i="1"/>
  <c r="L159" i="1"/>
  <c r="G159" i="1"/>
  <c r="D159" i="1"/>
  <c r="C159" i="1"/>
  <c r="B159" i="1"/>
  <c r="E159" i="1"/>
  <c r="F159" i="1" s="1"/>
  <c r="H159" i="1"/>
  <c r="N159" i="1"/>
  <c r="I159" i="1"/>
  <c r="E61" i="1"/>
  <c r="F61" i="1" s="1"/>
  <c r="D61" i="1"/>
  <c r="B61" i="1"/>
  <c r="N61" i="1"/>
  <c r="I61" i="1"/>
  <c r="G61" i="1"/>
  <c r="L61" i="1"/>
  <c r="H61" i="1"/>
  <c r="C61" i="1"/>
  <c r="L89" i="1"/>
  <c r="G89" i="1"/>
  <c r="C89" i="1"/>
  <c r="B89" i="1"/>
  <c r="N89" i="1"/>
  <c r="D89" i="1"/>
  <c r="H89" i="1"/>
  <c r="I89" i="1"/>
  <c r="E89" i="1"/>
  <c r="F89" i="1" s="1"/>
  <c r="L88" i="1"/>
  <c r="G88" i="1"/>
  <c r="C88" i="1"/>
  <c r="B88" i="1"/>
  <c r="H88" i="1"/>
  <c r="E88" i="1"/>
  <c r="F88" i="1" s="1"/>
  <c r="N88" i="1"/>
  <c r="I88" i="1"/>
  <c r="D88" i="1"/>
  <c r="C205" i="1"/>
  <c r="B205" i="1"/>
  <c r="E205" i="1"/>
  <c r="F205" i="1" s="1"/>
  <c r="D205" i="1"/>
  <c r="N205" i="1"/>
  <c r="K205" i="1"/>
  <c r="I205" i="1"/>
  <c r="H205" i="1"/>
  <c r="L205" i="1"/>
  <c r="G205" i="1"/>
  <c r="O25" i="5"/>
  <c r="C25" i="5"/>
  <c r="N25" i="5"/>
  <c r="B25" i="5"/>
  <c r="M25" i="5"/>
  <c r="L25" i="5"/>
  <c r="J25" i="5"/>
  <c r="G25" i="5"/>
  <c r="E25" i="5"/>
  <c r="F25" i="5" s="1"/>
  <c r="K25" i="5"/>
  <c r="I25" i="5"/>
  <c r="H25" i="5"/>
  <c r="D25" i="5"/>
  <c r="O62" i="5"/>
  <c r="C62" i="5"/>
  <c r="N62" i="5"/>
  <c r="B62" i="5"/>
  <c r="M62" i="5"/>
  <c r="I62" i="5"/>
  <c r="H62" i="5"/>
  <c r="L62" i="5"/>
  <c r="K62" i="5"/>
  <c r="G62" i="5"/>
  <c r="D62" i="5"/>
  <c r="E62" i="5"/>
  <c r="F62" i="5" s="1"/>
  <c r="J62" i="5"/>
  <c r="I217" i="5"/>
  <c r="H217" i="5"/>
  <c r="G217" i="5"/>
  <c r="E217" i="5"/>
  <c r="F217" i="5" s="1"/>
  <c r="M217" i="5"/>
  <c r="L217" i="5"/>
  <c r="O217" i="5"/>
  <c r="N217" i="5"/>
  <c r="J217" i="5"/>
  <c r="C217" i="5"/>
  <c r="B217" i="5"/>
  <c r="K217" i="5"/>
  <c r="D217" i="5"/>
  <c r="M216" i="5"/>
  <c r="L216" i="5"/>
  <c r="K216" i="5"/>
  <c r="J216" i="5"/>
  <c r="I216" i="5"/>
  <c r="E216" i="5"/>
  <c r="F216" i="5" s="1"/>
  <c r="D216" i="5"/>
  <c r="O216" i="5"/>
  <c r="N216" i="5"/>
  <c r="H216" i="5"/>
  <c r="G216" i="5"/>
  <c r="C216" i="5"/>
  <c r="B216" i="5"/>
  <c r="K195" i="6"/>
  <c r="J195" i="6"/>
  <c r="H195" i="6"/>
  <c r="M195" i="6"/>
  <c r="G195" i="6"/>
  <c r="B195" i="6"/>
  <c r="D195" i="6"/>
  <c r="L195" i="6"/>
  <c r="I195" i="6"/>
  <c r="N195" i="6"/>
  <c r="F195" i="6"/>
  <c r="E195" i="6"/>
  <c r="C195" i="6"/>
  <c r="K170" i="6"/>
  <c r="J170" i="6"/>
  <c r="G170" i="6"/>
  <c r="B170" i="6"/>
  <c r="N170" i="6"/>
  <c r="I170" i="6"/>
  <c r="F170" i="6"/>
  <c r="D170" i="6"/>
  <c r="M170" i="6"/>
  <c r="L170" i="6"/>
  <c r="H170" i="6"/>
  <c r="E170" i="6"/>
  <c r="C170" i="6"/>
  <c r="J139" i="15"/>
  <c r="E139" i="15"/>
  <c r="I139" i="15"/>
  <c r="B139" i="15"/>
  <c r="C139" i="15"/>
  <c r="K139" i="15"/>
  <c r="L139" i="15"/>
  <c r="H139" i="15"/>
  <c r="G139" i="15"/>
  <c r="D139" i="15"/>
  <c r="F139" i="15"/>
  <c r="L90" i="6"/>
  <c r="J90" i="6"/>
  <c r="H90" i="6"/>
  <c r="D90" i="6"/>
  <c r="N90" i="6"/>
  <c r="M90" i="6"/>
  <c r="K90" i="6"/>
  <c r="I90" i="6"/>
  <c r="C90" i="6"/>
  <c r="G90" i="6"/>
  <c r="F90" i="6"/>
  <c r="E90" i="6"/>
  <c r="B90" i="6"/>
  <c r="K191" i="6"/>
  <c r="J191" i="6"/>
  <c r="H191" i="6"/>
  <c r="I191" i="6"/>
  <c r="E191" i="6"/>
  <c r="N191" i="6"/>
  <c r="M191" i="6"/>
  <c r="D191" i="6"/>
  <c r="L191" i="6"/>
  <c r="F191" i="6"/>
  <c r="G191" i="6"/>
  <c r="C191" i="6"/>
  <c r="B191" i="6"/>
  <c r="E179" i="5"/>
  <c r="F179" i="5" s="1"/>
  <c r="D179" i="5"/>
  <c r="O179" i="5"/>
  <c r="C179" i="5"/>
  <c r="N179" i="5"/>
  <c r="B179" i="5"/>
  <c r="M179" i="5"/>
  <c r="I179" i="5"/>
  <c r="H179" i="5"/>
  <c r="K179" i="5"/>
  <c r="J179" i="5"/>
  <c r="L179" i="5"/>
  <c r="G179" i="5"/>
  <c r="B127" i="15"/>
  <c r="L127" i="15"/>
  <c r="F127" i="15"/>
  <c r="G127" i="15"/>
  <c r="E127" i="15"/>
  <c r="D127" i="15"/>
  <c r="C127" i="15"/>
  <c r="K127" i="15"/>
  <c r="J127" i="15"/>
  <c r="I127" i="15"/>
  <c r="H127" i="15"/>
  <c r="C93" i="6"/>
  <c r="M93" i="6"/>
  <c r="K93" i="6"/>
  <c r="G93" i="6"/>
  <c r="B93" i="6"/>
  <c r="I93" i="6"/>
  <c r="H93" i="6"/>
  <c r="F93" i="6"/>
  <c r="N93" i="6"/>
  <c r="L93" i="6"/>
  <c r="J93" i="6"/>
  <c r="E93" i="6"/>
  <c r="D93" i="6"/>
  <c r="N230" i="5"/>
  <c r="B230" i="5"/>
  <c r="L230" i="5"/>
  <c r="H230" i="5"/>
  <c r="I230" i="5"/>
  <c r="G230" i="5"/>
  <c r="E230" i="5"/>
  <c r="F230" i="5" s="1"/>
  <c r="D230" i="5"/>
  <c r="O230" i="5"/>
  <c r="M230" i="5"/>
  <c r="K230" i="5"/>
  <c r="C230" i="5"/>
  <c r="J230" i="5"/>
  <c r="E69" i="15"/>
  <c r="D69" i="15"/>
  <c r="C69" i="15"/>
  <c r="B69" i="15"/>
  <c r="K69" i="15"/>
  <c r="I69" i="15"/>
  <c r="G69" i="15"/>
  <c r="F69" i="15"/>
  <c r="L69" i="15"/>
  <c r="J69" i="15"/>
  <c r="H69" i="15"/>
  <c r="C76" i="15"/>
  <c r="B76" i="15"/>
  <c r="L76" i="15"/>
  <c r="J76" i="15"/>
  <c r="G76" i="15"/>
  <c r="K76" i="15"/>
  <c r="I76" i="15"/>
  <c r="F76" i="15"/>
  <c r="D76" i="15"/>
  <c r="H76" i="15"/>
  <c r="E76" i="15"/>
  <c r="H133" i="6"/>
  <c r="L133" i="6"/>
  <c r="K133" i="6"/>
  <c r="F133" i="6"/>
  <c r="D133" i="6"/>
  <c r="B133" i="6"/>
  <c r="M133" i="6"/>
  <c r="N133" i="6"/>
  <c r="I133" i="6"/>
  <c r="J133" i="6"/>
  <c r="G133" i="6"/>
  <c r="E133" i="6"/>
  <c r="C133" i="6"/>
  <c r="H125" i="6"/>
  <c r="L125" i="6"/>
  <c r="K125" i="6"/>
  <c r="M125" i="6"/>
  <c r="I125" i="6"/>
  <c r="D125" i="6"/>
  <c r="F125" i="6"/>
  <c r="E125" i="6"/>
  <c r="C125" i="6"/>
  <c r="B125" i="6"/>
  <c r="N125" i="6"/>
  <c r="J125" i="6"/>
  <c r="G125" i="6"/>
  <c r="E103" i="15"/>
  <c r="C103" i="15"/>
  <c r="B103" i="15"/>
  <c r="L103" i="15"/>
  <c r="K103" i="15"/>
  <c r="H103" i="15"/>
  <c r="J103" i="15"/>
  <c r="I103" i="15"/>
  <c r="G103" i="15"/>
  <c r="F103" i="15"/>
  <c r="D103" i="15"/>
  <c r="E212" i="5"/>
  <c r="F212" i="5" s="1"/>
  <c r="D212" i="5"/>
  <c r="O212" i="5"/>
  <c r="C212" i="5"/>
  <c r="N212" i="5"/>
  <c r="B212" i="5"/>
  <c r="M212" i="5"/>
  <c r="I212" i="5"/>
  <c r="H212" i="5"/>
  <c r="L212" i="5"/>
  <c r="J212" i="5"/>
  <c r="G212" i="5"/>
  <c r="K212" i="5"/>
  <c r="K4" i="6"/>
  <c r="I4" i="6"/>
  <c r="E4" i="6"/>
  <c r="J4" i="6"/>
  <c r="H4" i="6"/>
  <c r="G4" i="6"/>
  <c r="F4" i="6"/>
  <c r="D4" i="6"/>
  <c r="N4" i="6"/>
  <c r="B4" i="6"/>
  <c r="M4" i="6"/>
  <c r="L4" i="6"/>
  <c r="C4" i="6"/>
  <c r="K128" i="6"/>
  <c r="C128" i="6"/>
  <c r="N128" i="6"/>
  <c r="B128" i="6"/>
  <c r="L128" i="6"/>
  <c r="G128" i="6"/>
  <c r="H128" i="6"/>
  <c r="F128" i="6"/>
  <c r="E128" i="6"/>
  <c r="D128" i="6"/>
  <c r="I128" i="6"/>
  <c r="M128" i="6"/>
  <c r="J128" i="6"/>
  <c r="H165" i="6"/>
  <c r="E165" i="6"/>
  <c r="L165" i="6"/>
  <c r="K165" i="6"/>
  <c r="J165" i="6"/>
  <c r="G165" i="6"/>
  <c r="D165" i="6"/>
  <c r="M165" i="6"/>
  <c r="F165" i="6"/>
  <c r="N165" i="6"/>
  <c r="I165" i="6"/>
  <c r="C165" i="6"/>
  <c r="B165" i="6"/>
  <c r="E191" i="5"/>
  <c r="F191" i="5" s="1"/>
  <c r="D191" i="5"/>
  <c r="O191" i="5"/>
  <c r="C191" i="5"/>
  <c r="N191" i="5"/>
  <c r="B191" i="5"/>
  <c r="M191" i="5"/>
  <c r="I191" i="5"/>
  <c r="H191" i="5"/>
  <c r="L191" i="5"/>
  <c r="K191" i="5"/>
  <c r="J191" i="5"/>
  <c r="G191" i="5"/>
  <c r="E182" i="5"/>
  <c r="F182" i="5" s="1"/>
  <c r="D182" i="5"/>
  <c r="O182" i="5"/>
  <c r="C182" i="5"/>
  <c r="N182" i="5"/>
  <c r="B182" i="5"/>
  <c r="M182" i="5"/>
  <c r="I182" i="5"/>
  <c r="H182" i="5"/>
  <c r="G182" i="5"/>
  <c r="L182" i="5"/>
  <c r="K182" i="5"/>
  <c r="J182" i="5"/>
  <c r="C105" i="6"/>
  <c r="M105" i="6"/>
  <c r="K105" i="6"/>
  <c r="G105" i="6"/>
  <c r="J105" i="6"/>
  <c r="I105" i="6"/>
  <c r="H105" i="6"/>
  <c r="F105" i="6"/>
  <c r="N105" i="6"/>
  <c r="L105" i="6"/>
  <c r="E105" i="6"/>
  <c r="D105" i="6"/>
  <c r="B105" i="6"/>
  <c r="L119" i="15"/>
  <c r="F119" i="15"/>
  <c r="G119" i="15"/>
  <c r="E119" i="15"/>
  <c r="D119" i="15"/>
  <c r="C119" i="15"/>
  <c r="B119" i="15"/>
  <c r="K119" i="15"/>
  <c r="J119" i="15"/>
  <c r="H119" i="15"/>
  <c r="I119" i="15"/>
  <c r="K212" i="15"/>
  <c r="I212" i="15"/>
  <c r="E212" i="15"/>
  <c r="G212" i="15"/>
  <c r="F212" i="15"/>
  <c r="L212" i="15"/>
  <c r="J212" i="15"/>
  <c r="H212" i="15"/>
  <c r="D212" i="15"/>
  <c r="C212" i="15"/>
  <c r="B212" i="15"/>
  <c r="K9" i="15"/>
  <c r="J9" i="15"/>
  <c r="I9" i="15"/>
  <c r="H9" i="15"/>
  <c r="G9" i="15"/>
  <c r="F9" i="15"/>
  <c r="E9" i="15"/>
  <c r="C9" i="15"/>
  <c r="L9" i="15"/>
  <c r="D9" i="15"/>
  <c r="B9" i="15"/>
  <c r="M138" i="5"/>
  <c r="L138" i="5"/>
  <c r="K138" i="5"/>
  <c r="J138" i="5"/>
  <c r="I138" i="5"/>
  <c r="E138" i="5"/>
  <c r="F138" i="5" s="1"/>
  <c r="D138" i="5"/>
  <c r="H138" i="5"/>
  <c r="G138" i="5"/>
  <c r="B138" i="5"/>
  <c r="O138" i="5"/>
  <c r="N138" i="5"/>
  <c r="C138" i="5"/>
  <c r="I11" i="15"/>
  <c r="H11" i="15"/>
  <c r="G11" i="15"/>
  <c r="F11" i="15"/>
  <c r="E11" i="15"/>
  <c r="D11" i="15"/>
  <c r="C11" i="15"/>
  <c r="L11" i="15"/>
  <c r="B11" i="15"/>
  <c r="K11" i="15"/>
  <c r="J11" i="15"/>
  <c r="G101" i="15"/>
  <c r="C101" i="15"/>
  <c r="B101" i="15"/>
  <c r="L101" i="15"/>
  <c r="K101" i="15"/>
  <c r="H101" i="15"/>
  <c r="J101" i="15"/>
  <c r="I101" i="15"/>
  <c r="F101" i="15"/>
  <c r="E101" i="15"/>
  <c r="D101" i="15"/>
  <c r="F97" i="15"/>
  <c r="E97" i="15"/>
  <c r="D97" i="15"/>
  <c r="C97" i="15"/>
  <c r="B97" i="15"/>
  <c r="J97" i="15"/>
  <c r="L97" i="15"/>
  <c r="K97" i="15"/>
  <c r="I97" i="15"/>
  <c r="H97" i="15"/>
  <c r="G97" i="15"/>
  <c r="L24" i="15"/>
  <c r="K24" i="15"/>
  <c r="H24" i="15"/>
  <c r="F24" i="15"/>
  <c r="J24" i="15"/>
  <c r="I24" i="15"/>
  <c r="G24" i="15"/>
  <c r="E24" i="15"/>
  <c r="D24" i="15"/>
  <c r="B24" i="15"/>
  <c r="C24" i="15"/>
  <c r="E146" i="5"/>
  <c r="F146" i="5" s="1"/>
  <c r="D146" i="5"/>
  <c r="O146" i="5"/>
  <c r="C146" i="5"/>
  <c r="N146" i="5"/>
  <c r="B146" i="5"/>
  <c r="M146" i="5"/>
  <c r="I146" i="5"/>
  <c r="H146" i="5"/>
  <c r="G146" i="5"/>
  <c r="L146" i="5"/>
  <c r="J146" i="5"/>
  <c r="K146" i="5"/>
  <c r="L128" i="1"/>
  <c r="G128" i="1"/>
  <c r="D128" i="1"/>
  <c r="C128" i="1"/>
  <c r="B128" i="1"/>
  <c r="N128" i="1"/>
  <c r="I128" i="1"/>
  <c r="H128" i="1"/>
  <c r="E128" i="1"/>
  <c r="F128" i="1" s="1"/>
  <c r="L112" i="1"/>
  <c r="K112" i="1"/>
  <c r="G112" i="1"/>
  <c r="D112" i="1"/>
  <c r="C112" i="1"/>
  <c r="B112" i="1"/>
  <c r="N112" i="1"/>
  <c r="I112" i="1"/>
  <c r="H112" i="1"/>
  <c r="E112" i="1"/>
  <c r="F112" i="1" s="1"/>
  <c r="D11" i="1"/>
  <c r="B11" i="1"/>
  <c r="N11" i="1"/>
  <c r="I11" i="1"/>
  <c r="E11" i="1"/>
  <c r="F11" i="1" s="1"/>
  <c r="L11" i="1"/>
  <c r="H11" i="1"/>
  <c r="G11" i="1"/>
  <c r="C11" i="1"/>
  <c r="L138" i="1"/>
  <c r="G138" i="1"/>
  <c r="D138" i="1"/>
  <c r="C138" i="1"/>
  <c r="B138" i="1"/>
  <c r="N138" i="1"/>
  <c r="I138" i="1"/>
  <c r="H138" i="1"/>
  <c r="E138" i="1"/>
  <c r="F138" i="1" s="1"/>
  <c r="G76" i="5"/>
  <c r="E76" i="5"/>
  <c r="F76" i="5" s="1"/>
  <c r="M76" i="5"/>
  <c r="L76" i="5"/>
  <c r="C76" i="5"/>
  <c r="B76" i="5"/>
  <c r="O76" i="5"/>
  <c r="J76" i="5"/>
  <c r="I76" i="5"/>
  <c r="H76" i="5"/>
  <c r="N76" i="5"/>
  <c r="K76" i="5"/>
  <c r="D76" i="5"/>
  <c r="L113" i="1"/>
  <c r="K113" i="1"/>
  <c r="G113" i="1"/>
  <c r="D113" i="1"/>
  <c r="C113" i="1"/>
  <c r="B113" i="1"/>
  <c r="E113" i="1"/>
  <c r="F113" i="1" s="1"/>
  <c r="H113" i="1"/>
  <c r="N113" i="1"/>
  <c r="I113" i="1"/>
  <c r="L137" i="1"/>
  <c r="G137" i="1"/>
  <c r="D137" i="1"/>
  <c r="C137" i="1"/>
  <c r="B137" i="1"/>
  <c r="E137" i="1"/>
  <c r="F137" i="1" s="1"/>
  <c r="H137" i="1"/>
  <c r="N137" i="1"/>
  <c r="I137" i="1"/>
  <c r="L161" i="1"/>
  <c r="G161" i="1"/>
  <c r="D161" i="1"/>
  <c r="C161" i="1"/>
  <c r="B161" i="1"/>
  <c r="E161" i="1"/>
  <c r="F161" i="1" s="1"/>
  <c r="H161" i="1"/>
  <c r="N161" i="1"/>
  <c r="I161" i="1"/>
  <c r="E23" i="1"/>
  <c r="F23" i="1" s="1"/>
  <c r="D23" i="1"/>
  <c r="B23" i="1"/>
  <c r="N23" i="1"/>
  <c r="I23" i="1"/>
  <c r="G23" i="1"/>
  <c r="C23" i="1"/>
  <c r="L23" i="1"/>
  <c r="H23" i="1"/>
  <c r="E50" i="1"/>
  <c r="F50" i="1" s="1"/>
  <c r="D50" i="1"/>
  <c r="B50" i="1"/>
  <c r="N50" i="1"/>
  <c r="I50" i="1"/>
  <c r="G50" i="1"/>
  <c r="K50" i="1"/>
  <c r="L50" i="1"/>
  <c r="H50" i="1"/>
  <c r="C50" i="1"/>
  <c r="E62" i="1"/>
  <c r="F62" i="1" s="1"/>
  <c r="D62" i="1"/>
  <c r="B62" i="1"/>
  <c r="N62" i="1"/>
  <c r="I62" i="1"/>
  <c r="G62" i="1"/>
  <c r="L62" i="1"/>
  <c r="K62" i="1"/>
  <c r="H62" i="1"/>
  <c r="C62" i="1"/>
  <c r="E74" i="1"/>
  <c r="F74" i="1" s="1"/>
  <c r="D74" i="1"/>
  <c r="B74" i="1"/>
  <c r="N74" i="1"/>
  <c r="I74" i="1"/>
  <c r="G74" i="1"/>
  <c r="L74" i="1"/>
  <c r="H74" i="1"/>
  <c r="C74" i="1"/>
  <c r="E22" i="1"/>
  <c r="F22" i="1" s="1"/>
  <c r="D22" i="1"/>
  <c r="B22" i="1"/>
  <c r="N22" i="1"/>
  <c r="I22" i="1"/>
  <c r="L22" i="1"/>
  <c r="H22" i="1"/>
  <c r="G22" i="1"/>
  <c r="C22" i="1"/>
  <c r="L92" i="1"/>
  <c r="G92" i="1"/>
  <c r="C92" i="1"/>
  <c r="B92" i="1"/>
  <c r="N92" i="1"/>
  <c r="D92" i="1"/>
  <c r="I92" i="1"/>
  <c r="H92" i="1"/>
  <c r="E92" i="1"/>
  <c r="F92" i="1" s="1"/>
  <c r="E31" i="1"/>
  <c r="F31" i="1" s="1"/>
  <c r="D31" i="1"/>
  <c r="B31" i="1"/>
  <c r="N31" i="1"/>
  <c r="I31" i="1"/>
  <c r="G31" i="1"/>
  <c r="L31" i="1"/>
  <c r="K31" i="1"/>
  <c r="H31" i="1"/>
  <c r="C31" i="1"/>
  <c r="L91" i="1"/>
  <c r="G91" i="1"/>
  <c r="C91" i="1"/>
  <c r="B91" i="1"/>
  <c r="K91" i="1"/>
  <c r="H91" i="1"/>
  <c r="E91" i="1"/>
  <c r="F91" i="1" s="1"/>
  <c r="N91" i="1"/>
  <c r="D91" i="1"/>
  <c r="I91" i="1"/>
  <c r="G88" i="5"/>
  <c r="E88" i="5"/>
  <c r="F88" i="5" s="1"/>
  <c r="M88" i="5"/>
  <c r="L88" i="5"/>
  <c r="C88" i="5"/>
  <c r="B88" i="5"/>
  <c r="O88" i="5"/>
  <c r="J88" i="5"/>
  <c r="I88" i="5"/>
  <c r="H88" i="5"/>
  <c r="D88" i="5"/>
  <c r="N88" i="5"/>
  <c r="K88" i="5"/>
  <c r="O4" i="5"/>
  <c r="C4" i="5"/>
  <c r="N4" i="5"/>
  <c r="B4" i="5"/>
  <c r="M4" i="5"/>
  <c r="L4" i="5"/>
  <c r="J4" i="5"/>
  <c r="G4" i="5"/>
  <c r="E4" i="5"/>
  <c r="F4" i="5" s="1"/>
  <c r="K4" i="5"/>
  <c r="I4" i="5"/>
  <c r="H4" i="5"/>
  <c r="D4" i="5"/>
  <c r="O40" i="5"/>
  <c r="C40" i="5"/>
  <c r="N40" i="5"/>
  <c r="B40" i="5"/>
  <c r="M40" i="5"/>
  <c r="L40" i="5"/>
  <c r="J40" i="5"/>
  <c r="G40" i="5"/>
  <c r="E40" i="5"/>
  <c r="F40" i="5" s="1"/>
  <c r="K40" i="5"/>
  <c r="I40" i="5"/>
  <c r="H40" i="5"/>
  <c r="D40" i="5"/>
  <c r="C211" i="1"/>
  <c r="B211" i="1"/>
  <c r="E211" i="1"/>
  <c r="F211" i="1" s="1"/>
  <c r="D211" i="1"/>
  <c r="N211" i="1"/>
  <c r="I211" i="1"/>
  <c r="H211" i="1"/>
  <c r="L211" i="1"/>
  <c r="G211" i="1"/>
  <c r="C215" i="1"/>
  <c r="B215" i="1"/>
  <c r="N215" i="1"/>
  <c r="I215" i="1"/>
  <c r="H215" i="1"/>
  <c r="E215" i="1"/>
  <c r="F215" i="1" s="1"/>
  <c r="D215" i="1"/>
  <c r="G215" i="1"/>
  <c r="L215" i="1"/>
  <c r="K29" i="5"/>
  <c r="J29" i="5"/>
  <c r="I29" i="5"/>
  <c r="H29" i="5"/>
  <c r="O29" i="5"/>
  <c r="C29" i="5"/>
  <c r="N29" i="5"/>
  <c r="B29" i="5"/>
  <c r="M29" i="5"/>
  <c r="L29" i="5"/>
  <c r="G29" i="5"/>
  <c r="E29" i="5"/>
  <c r="F29" i="5" s="1"/>
  <c r="D29" i="5"/>
  <c r="G55" i="5"/>
  <c r="E55" i="5"/>
  <c r="F55" i="5" s="1"/>
  <c r="M55" i="5"/>
  <c r="L55" i="5"/>
  <c r="N55" i="5"/>
  <c r="K55" i="5"/>
  <c r="J55" i="5"/>
  <c r="I55" i="5"/>
  <c r="D55" i="5"/>
  <c r="O55" i="5"/>
  <c r="H55" i="5"/>
  <c r="C55" i="5"/>
  <c r="B55" i="5"/>
  <c r="H176" i="6"/>
  <c r="E176" i="6"/>
  <c r="B176" i="6"/>
  <c r="M176" i="6"/>
  <c r="G176" i="6"/>
  <c r="F176" i="6"/>
  <c r="N176" i="6"/>
  <c r="I176" i="6"/>
  <c r="L176" i="6"/>
  <c r="J176" i="6"/>
  <c r="K176" i="6"/>
  <c r="D176" i="6"/>
  <c r="C176" i="6"/>
  <c r="O68" i="5"/>
  <c r="C68" i="5"/>
  <c r="N68" i="5"/>
  <c r="B68" i="5"/>
  <c r="M68" i="5"/>
  <c r="I68" i="5"/>
  <c r="H68" i="5"/>
  <c r="L68" i="5"/>
  <c r="K68" i="5"/>
  <c r="G68" i="5"/>
  <c r="D68" i="5"/>
  <c r="E68" i="5"/>
  <c r="F68" i="5" s="1"/>
  <c r="J68" i="5"/>
  <c r="C219" i="1"/>
  <c r="B219" i="1"/>
  <c r="N219" i="1"/>
  <c r="L219" i="1"/>
  <c r="H219" i="1"/>
  <c r="G219" i="1"/>
  <c r="E219" i="1"/>
  <c r="F219" i="1" s="1"/>
  <c r="D219" i="1"/>
  <c r="I219" i="1"/>
  <c r="C231" i="1"/>
  <c r="B231" i="1"/>
  <c r="N231" i="1"/>
  <c r="L231" i="1"/>
  <c r="H231" i="1"/>
  <c r="G231" i="1"/>
  <c r="E231" i="1"/>
  <c r="F231" i="1" s="1"/>
  <c r="D231" i="1"/>
  <c r="I231" i="1"/>
  <c r="I199" i="5"/>
  <c r="H199" i="5"/>
  <c r="G199" i="5"/>
  <c r="E199" i="5"/>
  <c r="F199" i="5" s="1"/>
  <c r="M199" i="5"/>
  <c r="L199" i="5"/>
  <c r="K199" i="5"/>
  <c r="J199" i="5"/>
  <c r="D199" i="5"/>
  <c r="C199" i="5"/>
  <c r="B199" i="5"/>
  <c r="O199" i="5"/>
  <c r="N199" i="5"/>
  <c r="I223" i="5"/>
  <c r="H223" i="5"/>
  <c r="G223" i="5"/>
  <c r="E223" i="5"/>
  <c r="F223" i="5" s="1"/>
  <c r="M223" i="5"/>
  <c r="L223" i="5"/>
  <c r="B223" i="5"/>
  <c r="N223" i="5"/>
  <c r="J223" i="5"/>
  <c r="D223" i="5"/>
  <c r="O223" i="5"/>
  <c r="K223" i="5"/>
  <c r="C223" i="5"/>
  <c r="K32" i="6"/>
  <c r="J32" i="6"/>
  <c r="I32" i="6"/>
  <c r="E32" i="6"/>
  <c r="F32" i="6"/>
  <c r="D32" i="6"/>
  <c r="C32" i="6"/>
  <c r="B32" i="6"/>
  <c r="M32" i="6"/>
  <c r="L32" i="6"/>
  <c r="N32" i="6"/>
  <c r="H32" i="6"/>
  <c r="G32" i="6"/>
  <c r="K28" i="6"/>
  <c r="J28" i="6"/>
  <c r="I28" i="6"/>
  <c r="E28" i="6"/>
  <c r="N28" i="6"/>
  <c r="M28" i="6"/>
  <c r="L28" i="6"/>
  <c r="H28" i="6"/>
  <c r="G28" i="6"/>
  <c r="B28" i="6"/>
  <c r="F28" i="6"/>
  <c r="D28" i="6"/>
  <c r="C28" i="6"/>
  <c r="M183" i="5"/>
  <c r="L183" i="5"/>
  <c r="K183" i="5"/>
  <c r="J183" i="5"/>
  <c r="I183" i="5"/>
  <c r="E183" i="5"/>
  <c r="F183" i="5" s="1"/>
  <c r="D183" i="5"/>
  <c r="O183" i="5"/>
  <c r="N183" i="5"/>
  <c r="H183" i="5"/>
  <c r="G183" i="5"/>
  <c r="B183" i="5"/>
  <c r="C183" i="5"/>
  <c r="M219" i="5"/>
  <c r="L219" i="5"/>
  <c r="K219" i="5"/>
  <c r="J219" i="5"/>
  <c r="I219" i="5"/>
  <c r="E219" i="5"/>
  <c r="F219" i="5" s="1"/>
  <c r="D219" i="5"/>
  <c r="O219" i="5"/>
  <c r="N219" i="5"/>
  <c r="H219" i="5"/>
  <c r="G219" i="5"/>
  <c r="B219" i="5"/>
  <c r="C219" i="5"/>
  <c r="N186" i="6"/>
  <c r="B186" i="6"/>
  <c r="M186" i="6"/>
  <c r="K186" i="6"/>
  <c r="F186" i="6"/>
  <c r="C186" i="6"/>
  <c r="J186" i="6"/>
  <c r="I186" i="6"/>
  <c r="H186" i="6"/>
  <c r="L186" i="6"/>
  <c r="D186" i="6"/>
  <c r="G186" i="6"/>
  <c r="E186" i="6"/>
  <c r="E125" i="5"/>
  <c r="F125" i="5" s="1"/>
  <c r="D125" i="5"/>
  <c r="O125" i="5"/>
  <c r="C125" i="5"/>
  <c r="N125" i="5"/>
  <c r="B125" i="5"/>
  <c r="M125" i="5"/>
  <c r="I125" i="5"/>
  <c r="H125" i="5"/>
  <c r="L125" i="5"/>
  <c r="G125" i="5"/>
  <c r="J125" i="5"/>
  <c r="K125" i="5"/>
  <c r="I103" i="6"/>
  <c r="G103" i="6"/>
  <c r="E103" i="6"/>
  <c r="M103" i="6"/>
  <c r="F103" i="6"/>
  <c r="D103" i="6"/>
  <c r="C103" i="6"/>
  <c r="B103" i="6"/>
  <c r="N103" i="6"/>
  <c r="L103" i="6"/>
  <c r="K103" i="6"/>
  <c r="J103" i="6"/>
  <c r="H103" i="6"/>
  <c r="E197" i="6"/>
  <c r="D197" i="6"/>
  <c r="N197" i="6"/>
  <c r="B197" i="6"/>
  <c r="M197" i="6"/>
  <c r="J197" i="6"/>
  <c r="C197" i="6"/>
  <c r="L197" i="6"/>
  <c r="I197" i="6"/>
  <c r="H197" i="6"/>
  <c r="F197" i="6"/>
  <c r="G197" i="6"/>
  <c r="K197" i="6"/>
  <c r="I107" i="6"/>
  <c r="G107" i="6"/>
  <c r="E107" i="6"/>
  <c r="M107" i="6"/>
  <c r="N107" i="6"/>
  <c r="L107" i="6"/>
  <c r="K107" i="6"/>
  <c r="D107" i="6"/>
  <c r="J107" i="6"/>
  <c r="H107" i="6"/>
  <c r="F107" i="6"/>
  <c r="C107" i="6"/>
  <c r="B107" i="6"/>
  <c r="N190" i="6"/>
  <c r="B190" i="6"/>
  <c r="M190" i="6"/>
  <c r="K190" i="6"/>
  <c r="H190" i="6"/>
  <c r="E190" i="6"/>
  <c r="L190" i="6"/>
  <c r="J190" i="6"/>
  <c r="G190" i="6"/>
  <c r="D190" i="6"/>
  <c r="I190" i="6"/>
  <c r="F190" i="6"/>
  <c r="C190" i="6"/>
  <c r="K50" i="15"/>
  <c r="J50" i="15"/>
  <c r="I50" i="15"/>
  <c r="F50" i="15"/>
  <c r="D50" i="15"/>
  <c r="H50" i="15"/>
  <c r="G50" i="15"/>
  <c r="E50" i="15"/>
  <c r="C50" i="15"/>
  <c r="B50" i="15"/>
  <c r="L50" i="15"/>
  <c r="B209" i="15"/>
  <c r="L209" i="15"/>
  <c r="H209" i="15"/>
  <c r="F209" i="15"/>
  <c r="I209" i="15"/>
  <c r="C209" i="15"/>
  <c r="E209" i="15"/>
  <c r="D209" i="15"/>
  <c r="K209" i="15"/>
  <c r="J209" i="15"/>
  <c r="G209" i="15"/>
  <c r="I140" i="15"/>
  <c r="D140" i="15"/>
  <c r="K140" i="15"/>
  <c r="C140" i="15"/>
  <c r="G140" i="15"/>
  <c r="F140" i="15"/>
  <c r="E140" i="15"/>
  <c r="B140" i="15"/>
  <c r="L140" i="15"/>
  <c r="H140" i="15"/>
  <c r="J140" i="15"/>
  <c r="D159" i="15"/>
  <c r="B159" i="15"/>
  <c r="J159" i="15"/>
  <c r="K159" i="15"/>
  <c r="G159" i="15"/>
  <c r="I159" i="15"/>
  <c r="L159" i="15"/>
  <c r="H159" i="15"/>
  <c r="F159" i="15"/>
  <c r="C159" i="15"/>
  <c r="E159" i="15"/>
  <c r="J201" i="15"/>
  <c r="H201" i="15"/>
  <c r="D201" i="15"/>
  <c r="K201" i="15"/>
  <c r="B201" i="15"/>
  <c r="L201" i="15"/>
  <c r="I201" i="15"/>
  <c r="G201" i="15"/>
  <c r="F201" i="15"/>
  <c r="E201" i="15"/>
  <c r="C201" i="15"/>
  <c r="Z4" i="13"/>
  <c r="Z7" i="13"/>
  <c r="K51" i="1" s="1"/>
  <c r="Z33" i="13"/>
  <c r="K198" i="1" s="1"/>
  <c r="Z87" i="13"/>
  <c r="K5" i="1" s="1"/>
  <c r="B38" i="14"/>
  <c r="Z147" i="13"/>
  <c r="K193" i="1" s="1"/>
  <c r="Z46" i="13"/>
  <c r="Z109" i="13"/>
  <c r="Z119" i="13"/>
  <c r="K103" i="1" s="1"/>
  <c r="Z34" i="13"/>
  <c r="K203" i="1" s="1"/>
  <c r="Z81" i="13"/>
  <c r="K178" i="1" s="1"/>
  <c r="Z172" i="13"/>
  <c r="C30" i="16"/>
  <c r="Z67" i="13"/>
  <c r="Z25" i="13"/>
  <c r="K163" i="1" s="1"/>
  <c r="Z49" i="13"/>
  <c r="K35" i="1" s="1"/>
  <c r="Z134" i="13"/>
  <c r="K154" i="1" s="1"/>
  <c r="Z127" i="13"/>
  <c r="K123" i="1" s="1"/>
  <c r="Z121" i="13"/>
  <c r="K74" i="1" s="1"/>
  <c r="Z100" i="13"/>
  <c r="Z131" i="13"/>
  <c r="K208" i="1" s="1"/>
  <c r="Z94" i="13"/>
  <c r="K49" i="1" s="1"/>
  <c r="K136" i="6"/>
  <c r="C136" i="6"/>
  <c r="N136" i="6"/>
  <c r="B136" i="6"/>
  <c r="I136" i="6"/>
  <c r="G136" i="6"/>
  <c r="E136" i="6"/>
  <c r="L136" i="6"/>
  <c r="H136" i="6"/>
  <c r="F136" i="6"/>
  <c r="D136" i="6"/>
  <c r="M136" i="6"/>
  <c r="J136" i="6"/>
  <c r="I120" i="15"/>
  <c r="L120" i="15"/>
  <c r="E120" i="15"/>
  <c r="J120" i="15"/>
  <c r="H120" i="15"/>
  <c r="G120" i="15"/>
  <c r="F120" i="15"/>
  <c r="D120" i="15"/>
  <c r="C120" i="15"/>
  <c r="K120" i="15"/>
  <c r="B120" i="15"/>
  <c r="K148" i="6"/>
  <c r="C148" i="6"/>
  <c r="N148" i="6"/>
  <c r="B148" i="6"/>
  <c r="F148" i="6"/>
  <c r="D148" i="6"/>
  <c r="J148" i="6"/>
  <c r="M148" i="6"/>
  <c r="I148" i="6"/>
  <c r="L148" i="6"/>
  <c r="H148" i="6"/>
  <c r="G148" i="6"/>
  <c r="E148" i="6"/>
  <c r="I226" i="15"/>
  <c r="G226" i="15"/>
  <c r="C226" i="15"/>
  <c r="D226" i="15"/>
  <c r="J226" i="15"/>
  <c r="H226" i="15"/>
  <c r="L226" i="15"/>
  <c r="K226" i="15"/>
  <c r="F226" i="15"/>
  <c r="E226" i="15"/>
  <c r="B226" i="15"/>
  <c r="C179" i="1"/>
  <c r="B179" i="1"/>
  <c r="L179" i="1"/>
  <c r="H179" i="1"/>
  <c r="G179" i="1"/>
  <c r="I179" i="1"/>
  <c r="E179" i="1"/>
  <c r="F179" i="1" s="1"/>
  <c r="N179" i="1"/>
  <c r="D179" i="1"/>
  <c r="E71" i="1"/>
  <c r="F71" i="1" s="1"/>
  <c r="D71" i="1"/>
  <c r="B71" i="1"/>
  <c r="N71" i="1"/>
  <c r="I71" i="1"/>
  <c r="G71" i="1"/>
  <c r="K71" i="1"/>
  <c r="L71" i="1"/>
  <c r="H71" i="1"/>
  <c r="C71" i="1"/>
  <c r="D21" i="1"/>
  <c r="B21" i="1"/>
  <c r="N21" i="1"/>
  <c r="I21" i="1"/>
  <c r="E21" i="1"/>
  <c r="F21" i="1" s="1"/>
  <c r="C21" i="1"/>
  <c r="L21" i="1"/>
  <c r="K21" i="1"/>
  <c r="H21" i="1"/>
  <c r="G21" i="1"/>
  <c r="K32" i="5"/>
  <c r="J32" i="5"/>
  <c r="I32" i="5"/>
  <c r="H32" i="5"/>
  <c r="O32" i="5"/>
  <c r="C32" i="5"/>
  <c r="N32" i="5"/>
  <c r="B32" i="5"/>
  <c r="M32" i="5"/>
  <c r="L32" i="5"/>
  <c r="G32" i="5"/>
  <c r="E32" i="5"/>
  <c r="F32" i="5" s="1"/>
  <c r="D32" i="5"/>
  <c r="O19" i="5"/>
  <c r="C19" i="5"/>
  <c r="N19" i="5"/>
  <c r="B19" i="5"/>
  <c r="M19" i="5"/>
  <c r="L19" i="5"/>
  <c r="J19" i="5"/>
  <c r="G19" i="5"/>
  <c r="E19" i="5"/>
  <c r="F19" i="5" s="1"/>
  <c r="K19" i="5"/>
  <c r="I19" i="5"/>
  <c r="H19" i="5"/>
  <c r="D19" i="5"/>
  <c r="L102" i="6"/>
  <c r="J102" i="6"/>
  <c r="H102" i="6"/>
  <c r="D102" i="6"/>
  <c r="E102" i="6"/>
  <c r="C102" i="6"/>
  <c r="B102" i="6"/>
  <c r="M102" i="6"/>
  <c r="K102" i="6"/>
  <c r="I102" i="6"/>
  <c r="N102" i="6"/>
  <c r="F102" i="6"/>
  <c r="G102" i="6"/>
  <c r="G204" i="15"/>
  <c r="E204" i="15"/>
  <c r="I204" i="15"/>
  <c r="B204" i="15"/>
  <c r="J204" i="15"/>
  <c r="C204" i="15"/>
  <c r="L204" i="15"/>
  <c r="K204" i="15"/>
  <c r="H204" i="15"/>
  <c r="F204" i="15"/>
  <c r="D204" i="15"/>
  <c r="G156" i="15"/>
  <c r="E156" i="15"/>
  <c r="I156" i="15"/>
  <c r="B156" i="15"/>
  <c r="J156" i="15"/>
  <c r="K156" i="15"/>
  <c r="D156" i="15"/>
  <c r="H156" i="15"/>
  <c r="F156" i="15"/>
  <c r="L156" i="15"/>
  <c r="C156" i="15"/>
  <c r="E189" i="6"/>
  <c r="D189" i="6"/>
  <c r="N189" i="6"/>
  <c r="B189" i="6"/>
  <c r="I189" i="6"/>
  <c r="F189" i="6"/>
  <c r="M189" i="6"/>
  <c r="L189" i="6"/>
  <c r="C189" i="6"/>
  <c r="K189" i="6"/>
  <c r="H189" i="6"/>
  <c r="J189" i="6"/>
  <c r="G189" i="6"/>
  <c r="L7" i="15"/>
  <c r="K7" i="15"/>
  <c r="J7" i="15"/>
  <c r="I7" i="15"/>
  <c r="H7" i="15"/>
  <c r="G7" i="15"/>
  <c r="E7" i="15"/>
  <c r="F7" i="15"/>
  <c r="D7" i="15"/>
  <c r="C7" i="15"/>
  <c r="B7" i="15"/>
  <c r="G216" i="15"/>
  <c r="E216" i="15"/>
  <c r="I216" i="15"/>
  <c r="B216" i="15"/>
  <c r="J216" i="15"/>
  <c r="C216" i="15"/>
  <c r="L216" i="15"/>
  <c r="K216" i="15"/>
  <c r="H216" i="15"/>
  <c r="F216" i="15"/>
  <c r="D216" i="15"/>
  <c r="F108" i="6"/>
  <c r="D108" i="6"/>
  <c r="N108" i="6"/>
  <c r="B108" i="6"/>
  <c r="J108" i="6"/>
  <c r="M108" i="6"/>
  <c r="H108" i="6"/>
  <c r="G108" i="6"/>
  <c r="E108" i="6"/>
  <c r="L108" i="6"/>
  <c r="K108" i="6"/>
  <c r="I108" i="6"/>
  <c r="C108" i="6"/>
  <c r="E126" i="6"/>
  <c r="I126" i="6"/>
  <c r="H126" i="6"/>
  <c r="M126" i="6"/>
  <c r="K126" i="6"/>
  <c r="D126" i="6"/>
  <c r="N126" i="6"/>
  <c r="L126" i="6"/>
  <c r="J126" i="6"/>
  <c r="B126" i="6"/>
  <c r="G126" i="6"/>
  <c r="F126" i="6"/>
  <c r="C126" i="6"/>
  <c r="L106" i="1"/>
  <c r="K106" i="1"/>
  <c r="G106" i="1"/>
  <c r="C106" i="1"/>
  <c r="B106" i="1"/>
  <c r="N106" i="1"/>
  <c r="I106" i="1"/>
  <c r="H106" i="1"/>
  <c r="E106" i="1"/>
  <c r="F106" i="1" s="1"/>
  <c r="D106" i="1"/>
  <c r="L132" i="1"/>
  <c r="G132" i="1"/>
  <c r="D132" i="1"/>
  <c r="C132" i="1"/>
  <c r="B132" i="1"/>
  <c r="N132" i="1"/>
  <c r="I132" i="1"/>
  <c r="H132" i="1"/>
  <c r="E132" i="1"/>
  <c r="F132" i="1" s="1"/>
  <c r="L111" i="1"/>
  <c r="G111" i="1"/>
  <c r="D111" i="1"/>
  <c r="C111" i="1"/>
  <c r="B111" i="1"/>
  <c r="E111" i="1"/>
  <c r="F111" i="1" s="1"/>
  <c r="H111" i="1"/>
  <c r="N111" i="1"/>
  <c r="I111" i="1"/>
  <c r="E47" i="1"/>
  <c r="F47" i="1" s="1"/>
  <c r="D47" i="1"/>
  <c r="B47" i="1"/>
  <c r="N47" i="1"/>
  <c r="I47" i="1"/>
  <c r="G47" i="1"/>
  <c r="L47" i="1"/>
  <c r="H47" i="1"/>
  <c r="C47" i="1"/>
  <c r="E73" i="1"/>
  <c r="F73" i="1" s="1"/>
  <c r="D73" i="1"/>
  <c r="B73" i="1"/>
  <c r="N73" i="1"/>
  <c r="I73" i="1"/>
  <c r="G73" i="1"/>
  <c r="L73" i="1"/>
  <c r="H73" i="1"/>
  <c r="C73" i="1"/>
  <c r="O71" i="5"/>
  <c r="C71" i="5"/>
  <c r="N71" i="5"/>
  <c r="B71" i="5"/>
  <c r="M71" i="5"/>
  <c r="I71" i="5"/>
  <c r="H71" i="5"/>
  <c r="E71" i="5"/>
  <c r="F71" i="5" s="1"/>
  <c r="D71" i="5"/>
  <c r="L71" i="5"/>
  <c r="K71" i="5"/>
  <c r="J71" i="5"/>
  <c r="G71" i="5"/>
  <c r="K38" i="5"/>
  <c r="J38" i="5"/>
  <c r="I38" i="5"/>
  <c r="H38" i="5"/>
  <c r="O38" i="5"/>
  <c r="C38" i="5"/>
  <c r="N38" i="5"/>
  <c r="B38" i="5"/>
  <c r="M38" i="5"/>
  <c r="L38" i="5"/>
  <c r="G38" i="5"/>
  <c r="E38" i="5"/>
  <c r="F38" i="5" s="1"/>
  <c r="D38" i="5"/>
  <c r="L106" i="6"/>
  <c r="J106" i="6"/>
  <c r="H106" i="6"/>
  <c r="D106" i="6"/>
  <c r="N106" i="6"/>
  <c r="M106" i="6"/>
  <c r="K106" i="6"/>
  <c r="I106" i="6"/>
  <c r="C106" i="6"/>
  <c r="F106" i="6"/>
  <c r="E106" i="6"/>
  <c r="G106" i="6"/>
  <c r="B106" i="6"/>
  <c r="C230" i="1"/>
  <c r="B230" i="1"/>
  <c r="I230" i="1"/>
  <c r="H230" i="1"/>
  <c r="E230" i="1"/>
  <c r="F230" i="1" s="1"/>
  <c r="D230" i="1"/>
  <c r="N230" i="1"/>
  <c r="G230" i="1"/>
  <c r="L230" i="1"/>
  <c r="I187" i="5"/>
  <c r="H187" i="5"/>
  <c r="G187" i="5"/>
  <c r="E187" i="5"/>
  <c r="F187" i="5" s="1"/>
  <c r="M187" i="5"/>
  <c r="L187" i="5"/>
  <c r="B187" i="5"/>
  <c r="N187" i="5"/>
  <c r="J187" i="5"/>
  <c r="D187" i="5"/>
  <c r="O187" i="5"/>
  <c r="K187" i="5"/>
  <c r="C187" i="5"/>
  <c r="M180" i="5"/>
  <c r="L180" i="5"/>
  <c r="K180" i="5"/>
  <c r="J180" i="5"/>
  <c r="I180" i="5"/>
  <c r="E180" i="5"/>
  <c r="F180" i="5" s="1"/>
  <c r="D180" i="5"/>
  <c r="O180" i="5"/>
  <c r="N180" i="5"/>
  <c r="H180" i="5"/>
  <c r="G180" i="5"/>
  <c r="C180" i="5"/>
  <c r="B180" i="5"/>
  <c r="N178" i="6"/>
  <c r="B178" i="6"/>
  <c r="M178" i="6"/>
  <c r="K178" i="6"/>
  <c r="L178" i="6"/>
  <c r="F178" i="6"/>
  <c r="E178" i="6"/>
  <c r="I178" i="6"/>
  <c r="G178" i="6"/>
  <c r="C178" i="6"/>
  <c r="J178" i="6"/>
  <c r="D178" i="6"/>
  <c r="H178" i="6"/>
  <c r="I79" i="6"/>
  <c r="G79" i="6"/>
  <c r="E79" i="6"/>
  <c r="M79" i="6"/>
  <c r="F79" i="6"/>
  <c r="D79" i="6"/>
  <c r="C79" i="6"/>
  <c r="B79" i="6"/>
  <c r="N79" i="6"/>
  <c r="L79" i="6"/>
  <c r="K79" i="6"/>
  <c r="J79" i="6"/>
  <c r="H79" i="6"/>
  <c r="J131" i="15"/>
  <c r="D131" i="15"/>
  <c r="B131" i="15"/>
  <c r="H131" i="15"/>
  <c r="G131" i="15"/>
  <c r="F131" i="15"/>
  <c r="E131" i="15"/>
  <c r="C131" i="15"/>
  <c r="L131" i="15"/>
  <c r="K131" i="15"/>
  <c r="I131" i="15"/>
  <c r="M144" i="5"/>
  <c r="L144" i="5"/>
  <c r="K144" i="5"/>
  <c r="J144" i="5"/>
  <c r="I144" i="5"/>
  <c r="E144" i="5"/>
  <c r="F144" i="5" s="1"/>
  <c r="D144" i="5"/>
  <c r="O144" i="5"/>
  <c r="N144" i="5"/>
  <c r="H144" i="5"/>
  <c r="C144" i="5"/>
  <c r="G144" i="5"/>
  <c r="B144" i="5"/>
  <c r="D16" i="15"/>
  <c r="C16" i="15"/>
  <c r="B16" i="15"/>
  <c r="L16" i="15"/>
  <c r="K16" i="15"/>
  <c r="J16" i="15"/>
  <c r="H16" i="15"/>
  <c r="I16" i="15"/>
  <c r="G16" i="15"/>
  <c r="F16" i="15"/>
  <c r="E16" i="15"/>
  <c r="E206" i="5"/>
  <c r="F206" i="5" s="1"/>
  <c r="D206" i="5"/>
  <c r="O206" i="5"/>
  <c r="C206" i="5"/>
  <c r="N206" i="5"/>
  <c r="B206" i="5"/>
  <c r="M206" i="5"/>
  <c r="I206" i="5"/>
  <c r="H206" i="5"/>
  <c r="L206" i="5"/>
  <c r="J206" i="5"/>
  <c r="K206" i="5"/>
  <c r="G206" i="5"/>
  <c r="L82" i="6"/>
  <c r="J82" i="6"/>
  <c r="H82" i="6"/>
  <c r="D82" i="6"/>
  <c r="N82" i="6"/>
  <c r="M82" i="6"/>
  <c r="K82" i="6"/>
  <c r="I82" i="6"/>
  <c r="C82" i="6"/>
  <c r="F82" i="6"/>
  <c r="E82" i="6"/>
  <c r="G82" i="6"/>
  <c r="B82" i="6"/>
  <c r="F193" i="15"/>
  <c r="D193" i="15"/>
  <c r="L193" i="15"/>
  <c r="K193" i="15"/>
  <c r="E193" i="15"/>
  <c r="G193" i="15"/>
  <c r="J193" i="15"/>
  <c r="I193" i="15"/>
  <c r="H193" i="15"/>
  <c r="C193" i="15"/>
  <c r="B193" i="15"/>
  <c r="E152" i="5"/>
  <c r="F152" i="5" s="1"/>
  <c r="D152" i="5"/>
  <c r="O152" i="5"/>
  <c r="C152" i="5"/>
  <c r="N152" i="5"/>
  <c r="B152" i="5"/>
  <c r="M152" i="5"/>
  <c r="I152" i="5"/>
  <c r="H152" i="5"/>
  <c r="K152" i="5"/>
  <c r="J152" i="5"/>
  <c r="G152" i="5"/>
  <c r="L152" i="5"/>
  <c r="D104" i="15"/>
  <c r="C104" i="15"/>
  <c r="B104" i="15"/>
  <c r="L104" i="15"/>
  <c r="K104" i="15"/>
  <c r="I104" i="15"/>
  <c r="H104" i="15"/>
  <c r="J104" i="15"/>
  <c r="G104" i="15"/>
  <c r="F104" i="15"/>
  <c r="E104" i="15"/>
  <c r="E110" i="6"/>
  <c r="I110" i="6"/>
  <c r="H110" i="6"/>
  <c r="M110" i="6"/>
  <c r="K110" i="6"/>
  <c r="D110" i="6"/>
  <c r="F110" i="6"/>
  <c r="C110" i="6"/>
  <c r="B110" i="6"/>
  <c r="N110" i="6"/>
  <c r="L110" i="6"/>
  <c r="G110" i="6"/>
  <c r="J110" i="6"/>
  <c r="K96" i="5"/>
  <c r="J96" i="5"/>
  <c r="I96" i="5"/>
  <c r="E96" i="5"/>
  <c r="F96" i="5" s="1"/>
  <c r="D96" i="5"/>
  <c r="H96" i="5"/>
  <c r="O96" i="5"/>
  <c r="N96" i="5"/>
  <c r="L96" i="5"/>
  <c r="C96" i="5"/>
  <c r="B96" i="5"/>
  <c r="M96" i="5"/>
  <c r="G96" i="5"/>
  <c r="E3" i="15"/>
  <c r="D3" i="15"/>
  <c r="C3" i="15"/>
  <c r="B3" i="15"/>
  <c r="L3" i="15"/>
  <c r="K3" i="15"/>
  <c r="I3" i="15"/>
  <c r="H3" i="15"/>
  <c r="G3" i="15"/>
  <c r="F3" i="15"/>
  <c r="J3" i="15"/>
  <c r="F88" i="6"/>
  <c r="D88" i="6"/>
  <c r="N88" i="6"/>
  <c r="B88" i="6"/>
  <c r="J88" i="6"/>
  <c r="I88" i="6"/>
  <c r="H88" i="6"/>
  <c r="G88" i="6"/>
  <c r="E88" i="6"/>
  <c r="M88" i="6"/>
  <c r="L88" i="6"/>
  <c r="K88" i="6"/>
  <c r="C88" i="6"/>
  <c r="K12" i="6"/>
  <c r="J12" i="6"/>
  <c r="I12" i="6"/>
  <c r="E12" i="6"/>
  <c r="G12" i="6"/>
  <c r="F12" i="6"/>
  <c r="D12" i="6"/>
  <c r="C12" i="6"/>
  <c r="B12" i="6"/>
  <c r="N12" i="6"/>
  <c r="M12" i="6"/>
  <c r="H12" i="6"/>
  <c r="L12" i="6"/>
  <c r="E42" i="6"/>
  <c r="D42" i="6"/>
  <c r="C42" i="6"/>
  <c r="K42" i="6"/>
  <c r="N42" i="6"/>
  <c r="M42" i="6"/>
  <c r="L42" i="6"/>
  <c r="J42" i="6"/>
  <c r="I42" i="6"/>
  <c r="B42" i="6"/>
  <c r="H42" i="6"/>
  <c r="F42" i="6"/>
  <c r="G42" i="6"/>
  <c r="F43" i="15"/>
  <c r="E43" i="15"/>
  <c r="D43" i="15"/>
  <c r="K43" i="15"/>
  <c r="B43" i="15"/>
  <c r="L43" i="15"/>
  <c r="I43" i="15"/>
  <c r="J43" i="15"/>
  <c r="H43" i="15"/>
  <c r="G43" i="15"/>
  <c r="C43" i="15"/>
  <c r="H33" i="6"/>
  <c r="G33" i="6"/>
  <c r="F33" i="6"/>
  <c r="N33" i="6"/>
  <c r="B33" i="6"/>
  <c r="J33" i="6"/>
  <c r="I33" i="6"/>
  <c r="E33" i="6"/>
  <c r="D33" i="6"/>
  <c r="C33" i="6"/>
  <c r="M33" i="6"/>
  <c r="L33" i="6"/>
  <c r="K33" i="6"/>
  <c r="K162" i="15"/>
  <c r="G162" i="15"/>
  <c r="H162" i="15"/>
  <c r="B162" i="15"/>
  <c r="D162" i="15"/>
  <c r="E162" i="15"/>
  <c r="C162" i="15"/>
  <c r="L162" i="15"/>
  <c r="J162" i="15"/>
  <c r="I162" i="15"/>
  <c r="F162" i="15"/>
  <c r="E6" i="6"/>
  <c r="C6" i="6"/>
  <c r="K6" i="6"/>
  <c r="L6" i="6"/>
  <c r="J6" i="6"/>
  <c r="I6" i="6"/>
  <c r="H6" i="6"/>
  <c r="G6" i="6"/>
  <c r="M6" i="6"/>
  <c r="F6" i="6"/>
  <c r="D6" i="6"/>
  <c r="B6" i="6"/>
  <c r="N6" i="6"/>
  <c r="D232" i="5"/>
  <c r="L232" i="5"/>
  <c r="I232" i="5"/>
  <c r="H232" i="5"/>
  <c r="G232" i="5"/>
  <c r="E232" i="5"/>
  <c r="F232" i="5" s="1"/>
  <c r="C232" i="5"/>
  <c r="N232" i="5"/>
  <c r="M232" i="5"/>
  <c r="K232" i="5"/>
  <c r="B232" i="5"/>
  <c r="O232" i="5"/>
  <c r="J232" i="5"/>
  <c r="K210" i="15"/>
  <c r="G210" i="15"/>
  <c r="H210" i="15"/>
  <c r="B210" i="15"/>
  <c r="F210" i="15"/>
  <c r="D210" i="15"/>
  <c r="L210" i="15"/>
  <c r="J210" i="15"/>
  <c r="I210" i="15"/>
  <c r="E210" i="15"/>
  <c r="C210" i="15"/>
  <c r="H171" i="6"/>
  <c r="I171" i="6"/>
  <c r="E171" i="6"/>
  <c r="M171" i="6"/>
  <c r="L171" i="6"/>
  <c r="K171" i="6"/>
  <c r="G171" i="6"/>
  <c r="B171" i="6"/>
  <c r="N171" i="6"/>
  <c r="J171" i="6"/>
  <c r="F171" i="6"/>
  <c r="C171" i="6"/>
  <c r="D171" i="6"/>
  <c r="E14" i="6"/>
  <c r="D14" i="6"/>
  <c r="C14" i="6"/>
  <c r="K14" i="6"/>
  <c r="M14" i="6"/>
  <c r="L14" i="6"/>
  <c r="J14" i="6"/>
  <c r="I14" i="6"/>
  <c r="H14" i="6"/>
  <c r="B14" i="6"/>
  <c r="G14" i="6"/>
  <c r="F14" i="6"/>
  <c r="N14" i="6"/>
  <c r="I94" i="15"/>
  <c r="H94" i="15"/>
  <c r="G94" i="15"/>
  <c r="F94" i="15"/>
  <c r="D94" i="15"/>
  <c r="E94" i="15"/>
  <c r="C94" i="15"/>
  <c r="B94" i="15"/>
  <c r="L94" i="15"/>
  <c r="K94" i="15"/>
  <c r="J94" i="15"/>
  <c r="B147" i="15"/>
  <c r="I147" i="15"/>
  <c r="E147" i="15"/>
  <c r="L147" i="15"/>
  <c r="K147" i="15"/>
  <c r="G147" i="15"/>
  <c r="J147" i="15"/>
  <c r="F147" i="15"/>
  <c r="D147" i="15"/>
  <c r="C147" i="15"/>
  <c r="H147" i="15"/>
  <c r="F56" i="15"/>
  <c r="E56" i="15"/>
  <c r="D56" i="15"/>
  <c r="C56" i="15"/>
  <c r="L56" i="15"/>
  <c r="J56" i="15"/>
  <c r="K56" i="15"/>
  <c r="I56" i="15"/>
  <c r="H56" i="15"/>
  <c r="G56" i="15"/>
  <c r="B56" i="15"/>
  <c r="E203" i="5"/>
  <c r="F203" i="5" s="1"/>
  <c r="D203" i="5"/>
  <c r="O203" i="5"/>
  <c r="C203" i="5"/>
  <c r="N203" i="5"/>
  <c r="B203" i="5"/>
  <c r="M203" i="5"/>
  <c r="I203" i="5"/>
  <c r="H203" i="5"/>
  <c r="L203" i="5"/>
  <c r="K203" i="5"/>
  <c r="G203" i="5"/>
  <c r="J203" i="5"/>
  <c r="H192" i="6"/>
  <c r="G192" i="6"/>
  <c r="E192" i="6"/>
  <c r="K192" i="6"/>
  <c r="F192" i="6"/>
  <c r="N192" i="6"/>
  <c r="D192" i="6"/>
  <c r="B192" i="6"/>
  <c r="M192" i="6"/>
  <c r="L192" i="6"/>
  <c r="J192" i="6"/>
  <c r="I192" i="6"/>
  <c r="C192" i="6"/>
  <c r="K80" i="15"/>
  <c r="J80" i="15"/>
  <c r="I80" i="15"/>
  <c r="H80" i="15"/>
  <c r="F80" i="15"/>
  <c r="C80" i="15"/>
  <c r="L80" i="15"/>
  <c r="G80" i="15"/>
  <c r="E80" i="15"/>
  <c r="D80" i="15"/>
  <c r="B80" i="15"/>
  <c r="H29" i="15"/>
  <c r="G29" i="15"/>
  <c r="F29" i="15"/>
  <c r="C29" i="15"/>
  <c r="J29" i="15"/>
  <c r="I29" i="15"/>
  <c r="E29" i="15"/>
  <c r="D29" i="15"/>
  <c r="B29" i="15"/>
  <c r="L29" i="15"/>
  <c r="K29" i="15"/>
  <c r="E57" i="15"/>
  <c r="D57" i="15"/>
  <c r="C57" i="15"/>
  <c r="B57" i="15"/>
  <c r="K57" i="15"/>
  <c r="I57" i="15"/>
  <c r="J57" i="15"/>
  <c r="L57" i="15"/>
  <c r="H57" i="15"/>
  <c r="G57" i="15"/>
  <c r="F57" i="15"/>
  <c r="H13" i="6"/>
  <c r="G13" i="6"/>
  <c r="F13" i="6"/>
  <c r="N13" i="6"/>
  <c r="B13" i="6"/>
  <c r="K13" i="6"/>
  <c r="J13" i="6"/>
  <c r="I13" i="6"/>
  <c r="E13" i="6"/>
  <c r="D13" i="6"/>
  <c r="M13" i="6"/>
  <c r="L13" i="6"/>
  <c r="C13" i="6"/>
  <c r="L134" i="1"/>
  <c r="G134" i="1"/>
  <c r="D134" i="1"/>
  <c r="C134" i="1"/>
  <c r="B134" i="1"/>
  <c r="N134" i="1"/>
  <c r="I134" i="1"/>
  <c r="H134" i="1"/>
  <c r="E134" i="1"/>
  <c r="F134" i="1" s="1"/>
  <c r="L118" i="1"/>
  <c r="K118" i="1"/>
  <c r="G118" i="1"/>
  <c r="D118" i="1"/>
  <c r="C118" i="1"/>
  <c r="B118" i="1"/>
  <c r="N118" i="1"/>
  <c r="I118" i="1"/>
  <c r="H118" i="1"/>
  <c r="E118" i="1"/>
  <c r="F118" i="1" s="1"/>
  <c r="D10" i="1"/>
  <c r="B10" i="1"/>
  <c r="N10" i="1"/>
  <c r="I10" i="1"/>
  <c r="L10" i="1"/>
  <c r="H10" i="1"/>
  <c r="G10" i="1"/>
  <c r="E10" i="1"/>
  <c r="F10" i="1" s="1"/>
  <c r="C10" i="1"/>
  <c r="L144" i="1"/>
  <c r="G144" i="1"/>
  <c r="D144" i="1"/>
  <c r="C144" i="1"/>
  <c r="B144" i="1"/>
  <c r="N144" i="1"/>
  <c r="I144" i="1"/>
  <c r="H144" i="1"/>
  <c r="E144" i="1"/>
  <c r="F144" i="1" s="1"/>
  <c r="L81" i="1"/>
  <c r="G81" i="1"/>
  <c r="C81" i="1"/>
  <c r="E81" i="1"/>
  <c r="F81" i="1" s="1"/>
  <c r="B81" i="1"/>
  <c r="I81" i="1"/>
  <c r="H81" i="1"/>
  <c r="D81" i="1"/>
  <c r="N81" i="1"/>
  <c r="L115" i="1"/>
  <c r="K115" i="1"/>
  <c r="G115" i="1"/>
  <c r="D115" i="1"/>
  <c r="C115" i="1"/>
  <c r="B115" i="1"/>
  <c r="E115" i="1"/>
  <c r="F115" i="1" s="1"/>
  <c r="H115" i="1"/>
  <c r="I115" i="1"/>
  <c r="N115" i="1"/>
  <c r="L139" i="1"/>
  <c r="G139" i="1"/>
  <c r="D139" i="1"/>
  <c r="C139" i="1"/>
  <c r="B139" i="1"/>
  <c r="E139" i="1"/>
  <c r="F139" i="1" s="1"/>
  <c r="H139" i="1"/>
  <c r="I139" i="1"/>
  <c r="N139" i="1"/>
  <c r="L163" i="1"/>
  <c r="G163" i="1"/>
  <c r="D163" i="1"/>
  <c r="C163" i="1"/>
  <c r="B163" i="1"/>
  <c r="E163" i="1"/>
  <c r="F163" i="1" s="1"/>
  <c r="H163" i="1"/>
  <c r="I163" i="1"/>
  <c r="N163" i="1"/>
  <c r="E26" i="1"/>
  <c r="F26" i="1" s="1"/>
  <c r="D26" i="1"/>
  <c r="B26" i="1"/>
  <c r="N26" i="1"/>
  <c r="I26" i="1"/>
  <c r="L26" i="1"/>
  <c r="H26" i="1"/>
  <c r="G26" i="1"/>
  <c r="C26" i="1"/>
  <c r="E51" i="1"/>
  <c r="F51" i="1" s="1"/>
  <c r="D51" i="1"/>
  <c r="B51" i="1"/>
  <c r="N51" i="1"/>
  <c r="I51" i="1"/>
  <c r="G51" i="1"/>
  <c r="H51" i="1"/>
  <c r="C51" i="1"/>
  <c r="L51" i="1"/>
  <c r="E63" i="1"/>
  <c r="F63" i="1" s="1"/>
  <c r="D63" i="1"/>
  <c r="B63" i="1"/>
  <c r="N63" i="1"/>
  <c r="I63" i="1"/>
  <c r="G63" i="1"/>
  <c r="H63" i="1"/>
  <c r="C63" i="1"/>
  <c r="K63" i="1"/>
  <c r="L63" i="1"/>
  <c r="E75" i="1"/>
  <c r="F75" i="1" s="1"/>
  <c r="D75" i="1"/>
  <c r="B75" i="1"/>
  <c r="N75" i="1"/>
  <c r="I75" i="1"/>
  <c r="G75" i="1"/>
  <c r="H75" i="1"/>
  <c r="K75" i="1"/>
  <c r="C75" i="1"/>
  <c r="L75" i="1"/>
  <c r="E25" i="1"/>
  <c r="F25" i="1" s="1"/>
  <c r="D25" i="1"/>
  <c r="B25" i="1"/>
  <c r="N25" i="1"/>
  <c r="I25" i="1"/>
  <c r="C25" i="1"/>
  <c r="H25" i="1"/>
  <c r="L25" i="1"/>
  <c r="G25" i="1"/>
  <c r="L95" i="1"/>
  <c r="G95" i="1"/>
  <c r="C95" i="1"/>
  <c r="B95" i="1"/>
  <c r="N95" i="1"/>
  <c r="D95" i="1"/>
  <c r="E95" i="1"/>
  <c r="F95" i="1" s="1"/>
  <c r="H95" i="1"/>
  <c r="I95" i="1"/>
  <c r="E35" i="1"/>
  <c r="F35" i="1" s="1"/>
  <c r="D35" i="1"/>
  <c r="B35" i="1"/>
  <c r="N35" i="1"/>
  <c r="I35" i="1"/>
  <c r="G35" i="1"/>
  <c r="L35" i="1"/>
  <c r="H35" i="1"/>
  <c r="C35" i="1"/>
  <c r="L94" i="1"/>
  <c r="G94" i="1"/>
  <c r="C94" i="1"/>
  <c r="B94" i="1"/>
  <c r="H94" i="1"/>
  <c r="E94" i="1"/>
  <c r="F94" i="1" s="1"/>
  <c r="N94" i="1"/>
  <c r="I94" i="1"/>
  <c r="D94" i="1"/>
  <c r="G94" i="5"/>
  <c r="E94" i="5"/>
  <c r="F94" i="5" s="1"/>
  <c r="M94" i="5"/>
  <c r="L94" i="5"/>
  <c r="J94" i="5"/>
  <c r="D94" i="5"/>
  <c r="C94" i="5"/>
  <c r="B94" i="5"/>
  <c r="N94" i="5"/>
  <c r="K94" i="5"/>
  <c r="I94" i="5"/>
  <c r="H94" i="5"/>
  <c r="O94" i="5"/>
  <c r="K8" i="5"/>
  <c r="J8" i="5"/>
  <c r="I8" i="5"/>
  <c r="H8" i="5"/>
  <c r="O8" i="5"/>
  <c r="C8" i="5"/>
  <c r="N8" i="5"/>
  <c r="B8" i="5"/>
  <c r="M8" i="5"/>
  <c r="L8" i="5"/>
  <c r="G8" i="5"/>
  <c r="E8" i="5"/>
  <c r="F8" i="5" s="1"/>
  <c r="D8" i="5"/>
  <c r="K44" i="5"/>
  <c r="J44" i="5"/>
  <c r="I44" i="5"/>
  <c r="H44" i="5"/>
  <c r="O44" i="5"/>
  <c r="C44" i="5"/>
  <c r="N44" i="5"/>
  <c r="B44" i="5"/>
  <c r="M44" i="5"/>
  <c r="L44" i="5"/>
  <c r="G44" i="5"/>
  <c r="E44" i="5"/>
  <c r="F44" i="5" s="1"/>
  <c r="D44" i="5"/>
  <c r="C180" i="1"/>
  <c r="D180" i="1"/>
  <c r="B180" i="1"/>
  <c r="L180" i="1"/>
  <c r="I180" i="1"/>
  <c r="H180" i="1"/>
  <c r="G180" i="1"/>
  <c r="N180" i="1"/>
  <c r="E180" i="1"/>
  <c r="F180" i="1" s="1"/>
  <c r="G64" i="5"/>
  <c r="E64" i="5"/>
  <c r="F64" i="5" s="1"/>
  <c r="M64" i="5"/>
  <c r="L64" i="5"/>
  <c r="C64" i="5"/>
  <c r="B64" i="5"/>
  <c r="O64" i="5"/>
  <c r="J64" i="5"/>
  <c r="I64" i="5"/>
  <c r="H64" i="5"/>
  <c r="N64" i="5"/>
  <c r="K64" i="5"/>
  <c r="D64" i="5"/>
  <c r="O31" i="5"/>
  <c r="C31" i="5"/>
  <c r="N31" i="5"/>
  <c r="B31" i="5"/>
  <c r="M31" i="5"/>
  <c r="L31" i="5"/>
  <c r="J31" i="5"/>
  <c r="G31" i="5"/>
  <c r="E31" i="5"/>
  <c r="F31" i="5" s="1"/>
  <c r="K31" i="5"/>
  <c r="I31" i="5"/>
  <c r="H31" i="5"/>
  <c r="D31" i="5"/>
  <c r="G61" i="5"/>
  <c r="E61" i="5"/>
  <c r="F61" i="5" s="1"/>
  <c r="M61" i="5"/>
  <c r="L61" i="5"/>
  <c r="N61" i="5"/>
  <c r="K61" i="5"/>
  <c r="J61" i="5"/>
  <c r="I61" i="5"/>
  <c r="D61" i="5"/>
  <c r="O61" i="5"/>
  <c r="H61" i="5"/>
  <c r="C61" i="5"/>
  <c r="B61" i="5"/>
  <c r="O101" i="5"/>
  <c r="C101" i="5"/>
  <c r="N101" i="5"/>
  <c r="B101" i="5"/>
  <c r="M101" i="5"/>
  <c r="I101" i="5"/>
  <c r="H101" i="5"/>
  <c r="L101" i="5"/>
  <c r="E101" i="5"/>
  <c r="F101" i="5" s="1"/>
  <c r="D101" i="5"/>
  <c r="K101" i="5"/>
  <c r="J101" i="5"/>
  <c r="G101" i="5"/>
  <c r="O74" i="5"/>
  <c r="C74" i="5"/>
  <c r="N74" i="5"/>
  <c r="B74" i="5"/>
  <c r="M74" i="5"/>
  <c r="I74" i="5"/>
  <c r="H74" i="5"/>
  <c r="L74" i="5"/>
  <c r="K74" i="5"/>
  <c r="G74" i="5"/>
  <c r="D74" i="5"/>
  <c r="J74" i="5"/>
  <c r="E74" i="5"/>
  <c r="F74" i="5" s="1"/>
  <c r="C220" i="1"/>
  <c r="B220" i="1"/>
  <c r="L220" i="1"/>
  <c r="H220" i="1"/>
  <c r="G220" i="1"/>
  <c r="N220" i="1"/>
  <c r="I220" i="1"/>
  <c r="E220" i="1"/>
  <c r="F220" i="1" s="1"/>
  <c r="D220" i="1"/>
  <c r="C232" i="1"/>
  <c r="B232" i="1"/>
  <c r="L232" i="1"/>
  <c r="H232" i="1"/>
  <c r="G232" i="1"/>
  <c r="I232" i="1"/>
  <c r="D232" i="1"/>
  <c r="N232" i="1"/>
  <c r="E232" i="1"/>
  <c r="F232" i="1" s="1"/>
  <c r="N11" i="6"/>
  <c r="B11" i="6"/>
  <c r="M11" i="6"/>
  <c r="L11" i="6"/>
  <c r="H11" i="6"/>
  <c r="E11" i="6"/>
  <c r="D11" i="6"/>
  <c r="C11" i="6"/>
  <c r="J11" i="6"/>
  <c r="I11" i="6"/>
  <c r="G11" i="6"/>
  <c r="F11" i="6"/>
  <c r="K11" i="6"/>
  <c r="N7" i="6"/>
  <c r="B7" i="6"/>
  <c r="L7" i="6"/>
  <c r="H7" i="6"/>
  <c r="M7" i="6"/>
  <c r="K7" i="6"/>
  <c r="J7" i="6"/>
  <c r="I7" i="6"/>
  <c r="G7" i="6"/>
  <c r="C7" i="6"/>
  <c r="E7" i="6"/>
  <c r="F7" i="6"/>
  <c r="D7" i="6"/>
  <c r="F96" i="6"/>
  <c r="D96" i="6"/>
  <c r="N96" i="6"/>
  <c r="B96" i="6"/>
  <c r="J96" i="6"/>
  <c r="I96" i="6"/>
  <c r="H96" i="6"/>
  <c r="G96" i="6"/>
  <c r="E96" i="6"/>
  <c r="L96" i="6"/>
  <c r="K96" i="6"/>
  <c r="C96" i="6"/>
  <c r="M96" i="6"/>
  <c r="L78" i="6"/>
  <c r="J78" i="6"/>
  <c r="H78" i="6"/>
  <c r="D78" i="6"/>
  <c r="E78" i="6"/>
  <c r="C78" i="6"/>
  <c r="B78" i="6"/>
  <c r="M78" i="6"/>
  <c r="K78" i="6"/>
  <c r="I78" i="6"/>
  <c r="N78" i="6"/>
  <c r="G78" i="6"/>
  <c r="F78" i="6"/>
  <c r="M186" i="5"/>
  <c r="L186" i="5"/>
  <c r="K186" i="5"/>
  <c r="J186" i="5"/>
  <c r="I186" i="5"/>
  <c r="E186" i="5"/>
  <c r="F186" i="5" s="1"/>
  <c r="D186" i="5"/>
  <c r="O186" i="5"/>
  <c r="N186" i="5"/>
  <c r="H186" i="5"/>
  <c r="G186" i="5"/>
  <c r="C186" i="5"/>
  <c r="B186" i="5"/>
  <c r="F48" i="6"/>
  <c r="D48" i="6"/>
  <c r="J48" i="6"/>
  <c r="K48" i="6"/>
  <c r="I48" i="6"/>
  <c r="H48" i="6"/>
  <c r="G48" i="6"/>
  <c r="L48" i="6"/>
  <c r="E48" i="6"/>
  <c r="C48" i="6"/>
  <c r="B48" i="6"/>
  <c r="N48" i="6"/>
  <c r="M48" i="6"/>
  <c r="H17" i="6"/>
  <c r="G17" i="6"/>
  <c r="F17" i="6"/>
  <c r="N17" i="6"/>
  <c r="B17" i="6"/>
  <c r="C17" i="6"/>
  <c r="J17" i="6"/>
  <c r="I17" i="6"/>
  <c r="M17" i="6"/>
  <c r="L17" i="6"/>
  <c r="E17" i="6"/>
  <c r="K17" i="6"/>
  <c r="D17" i="6"/>
  <c r="E128" i="5"/>
  <c r="F128" i="5" s="1"/>
  <c r="D128" i="5"/>
  <c r="O128" i="5"/>
  <c r="C128" i="5"/>
  <c r="N128" i="5"/>
  <c r="B128" i="5"/>
  <c r="M128" i="5"/>
  <c r="I128" i="5"/>
  <c r="H128" i="5"/>
  <c r="J128" i="5"/>
  <c r="G128" i="5"/>
  <c r="L128" i="5"/>
  <c r="K128" i="5"/>
  <c r="E146" i="6"/>
  <c r="I146" i="6"/>
  <c r="H146" i="6"/>
  <c r="C146" i="6"/>
  <c r="N146" i="6"/>
  <c r="J146" i="6"/>
  <c r="G146" i="6"/>
  <c r="F146" i="6"/>
  <c r="D146" i="6"/>
  <c r="B146" i="6"/>
  <c r="M146" i="6"/>
  <c r="L146" i="6"/>
  <c r="K146" i="6"/>
  <c r="E130" i="6"/>
  <c r="I130" i="6"/>
  <c r="H130" i="6"/>
  <c r="C130" i="6"/>
  <c r="N130" i="6"/>
  <c r="J130" i="6"/>
  <c r="L130" i="6"/>
  <c r="G130" i="6"/>
  <c r="M130" i="6"/>
  <c r="K130" i="6"/>
  <c r="F130" i="6"/>
  <c r="D130" i="6"/>
  <c r="B130" i="6"/>
  <c r="H129" i="6"/>
  <c r="L129" i="6"/>
  <c r="K129" i="6"/>
  <c r="C129" i="6"/>
  <c r="N129" i="6"/>
  <c r="G129" i="6"/>
  <c r="M129" i="6"/>
  <c r="J129" i="6"/>
  <c r="I129" i="6"/>
  <c r="E129" i="6"/>
  <c r="B129" i="6"/>
  <c r="D129" i="6"/>
  <c r="F129" i="6"/>
  <c r="N198" i="6"/>
  <c r="B198" i="6"/>
  <c r="M198" i="6"/>
  <c r="K198" i="6"/>
  <c r="I198" i="6"/>
  <c r="D198" i="6"/>
  <c r="C198" i="6"/>
  <c r="H198" i="6"/>
  <c r="L198" i="6"/>
  <c r="J198" i="6"/>
  <c r="G198" i="6"/>
  <c r="F198" i="6"/>
  <c r="E198" i="6"/>
  <c r="E182" i="15"/>
  <c r="C182" i="15"/>
  <c r="K182" i="15"/>
  <c r="H182" i="15"/>
  <c r="L182" i="15"/>
  <c r="B182" i="15"/>
  <c r="G182" i="15"/>
  <c r="F182" i="15"/>
  <c r="D182" i="15"/>
  <c r="J182" i="15"/>
  <c r="I182" i="15"/>
  <c r="E144" i="15"/>
  <c r="L144" i="15"/>
  <c r="H144" i="15"/>
  <c r="D144" i="15"/>
  <c r="C144" i="15"/>
  <c r="B144" i="15"/>
  <c r="K144" i="15"/>
  <c r="F144" i="15"/>
  <c r="J144" i="15"/>
  <c r="G144" i="15"/>
  <c r="I144" i="15"/>
  <c r="F157" i="15"/>
  <c r="D157" i="15"/>
  <c r="L157" i="15"/>
  <c r="K157" i="15"/>
  <c r="E157" i="15"/>
  <c r="G157" i="15"/>
  <c r="C157" i="15"/>
  <c r="B157" i="15"/>
  <c r="J157" i="15"/>
  <c r="I157" i="15"/>
  <c r="H157" i="15"/>
  <c r="D231" i="15"/>
  <c r="B231" i="15"/>
  <c r="J231" i="15"/>
  <c r="K231" i="15"/>
  <c r="I231" i="15"/>
  <c r="G231" i="15"/>
  <c r="E231" i="15"/>
  <c r="L231" i="15"/>
  <c r="H231" i="15"/>
  <c r="F231" i="15"/>
  <c r="C231" i="15"/>
  <c r="C28" i="14"/>
  <c r="Z187" i="13"/>
  <c r="K179" i="1" s="1"/>
  <c r="Z168" i="13"/>
  <c r="K60" i="1" s="1"/>
  <c r="Z93" i="13"/>
  <c r="K34" i="1" s="1"/>
  <c r="Z142" i="13"/>
  <c r="K180" i="1" s="1"/>
  <c r="Z138" i="13"/>
  <c r="K166" i="1" s="1"/>
  <c r="Z38" i="13"/>
  <c r="K10" i="1" s="1"/>
  <c r="Z29" i="13"/>
  <c r="K182" i="1" s="1"/>
  <c r="Z9" i="13"/>
  <c r="K61" i="1" s="1"/>
  <c r="Z126" i="13"/>
  <c r="Z27" i="13"/>
  <c r="K172" i="1" s="1"/>
  <c r="Z82" i="13"/>
  <c r="K187" i="1" s="1"/>
  <c r="Z75" i="13"/>
  <c r="K131" i="1" s="1"/>
  <c r="Z104" i="13"/>
  <c r="K53" i="1" s="1"/>
  <c r="Z182" i="13"/>
  <c r="K126" i="1" s="1"/>
  <c r="Z97" i="13"/>
  <c r="K37" i="1" s="1"/>
  <c r="Z83" i="13"/>
  <c r="K191" i="1" s="1"/>
  <c r="Z112" i="13"/>
  <c r="K78" i="1" s="1"/>
  <c r="Z146" i="13"/>
  <c r="K190" i="1" s="1"/>
  <c r="Z88" i="13"/>
  <c r="K3" i="1" s="1"/>
  <c r="L61" i="15"/>
  <c r="K61" i="15"/>
  <c r="J61" i="15"/>
  <c r="G61" i="15"/>
  <c r="E61" i="15"/>
  <c r="I61" i="15"/>
  <c r="H61" i="15"/>
  <c r="F61" i="15"/>
  <c r="D61" i="15"/>
  <c r="C61" i="15"/>
  <c r="B61" i="15"/>
  <c r="M129" i="5"/>
  <c r="L129" i="5"/>
  <c r="K129" i="5"/>
  <c r="J129" i="5"/>
  <c r="I129" i="5"/>
  <c r="E129" i="5"/>
  <c r="F129" i="5" s="1"/>
  <c r="D129" i="5"/>
  <c r="C129" i="5"/>
  <c r="O129" i="5"/>
  <c r="N129" i="5"/>
  <c r="H129" i="5"/>
  <c r="G129" i="5"/>
  <c r="B129" i="5"/>
  <c r="F100" i="6"/>
  <c r="D100" i="6"/>
  <c r="N100" i="6"/>
  <c r="B100" i="6"/>
  <c r="J100" i="6"/>
  <c r="M100" i="6"/>
  <c r="H100" i="6"/>
  <c r="G100" i="6"/>
  <c r="E100" i="6"/>
  <c r="C100" i="6"/>
  <c r="L100" i="6"/>
  <c r="K100" i="6"/>
  <c r="I100" i="6"/>
  <c r="F85" i="15"/>
  <c r="E85" i="15"/>
  <c r="D85" i="15"/>
  <c r="C85" i="15"/>
  <c r="J85" i="15"/>
  <c r="L85" i="15"/>
  <c r="K85" i="15"/>
  <c r="I85" i="15"/>
  <c r="H85" i="15"/>
  <c r="G85" i="15"/>
  <c r="B85" i="15"/>
  <c r="L107" i="1"/>
  <c r="G107" i="1"/>
  <c r="D107" i="1"/>
  <c r="C107" i="1"/>
  <c r="B107" i="1"/>
  <c r="E107" i="1"/>
  <c r="F107" i="1" s="1"/>
  <c r="H107" i="1"/>
  <c r="N107" i="1"/>
  <c r="I107" i="1"/>
  <c r="E59" i="1"/>
  <c r="F59" i="1" s="1"/>
  <c r="D59" i="1"/>
  <c r="B59" i="1"/>
  <c r="N59" i="1"/>
  <c r="I59" i="1"/>
  <c r="G59" i="1"/>
  <c r="K59" i="1"/>
  <c r="L59" i="1"/>
  <c r="H59" i="1"/>
  <c r="C59" i="1"/>
  <c r="C206" i="1"/>
  <c r="B206" i="1"/>
  <c r="G206" i="1"/>
  <c r="L206" i="1"/>
  <c r="N206" i="1"/>
  <c r="I206" i="1"/>
  <c r="E206" i="1"/>
  <c r="F206" i="1" s="1"/>
  <c r="D206" i="1"/>
  <c r="H206" i="1"/>
  <c r="C216" i="1"/>
  <c r="B216" i="1"/>
  <c r="L216" i="1"/>
  <c r="H216" i="1"/>
  <c r="G216" i="1"/>
  <c r="I216" i="1"/>
  <c r="D216" i="1"/>
  <c r="E216" i="1"/>
  <c r="F216" i="1" s="1"/>
  <c r="N216" i="1"/>
  <c r="M210" i="5"/>
  <c r="L210" i="5"/>
  <c r="K210" i="5"/>
  <c r="J210" i="5"/>
  <c r="I210" i="5"/>
  <c r="E210" i="5"/>
  <c r="F210" i="5" s="1"/>
  <c r="D210" i="5"/>
  <c r="H210" i="5"/>
  <c r="G210" i="5"/>
  <c r="C210" i="5"/>
  <c r="B210" i="5"/>
  <c r="O210" i="5"/>
  <c r="N210" i="5"/>
  <c r="K132" i="6"/>
  <c r="C132" i="6"/>
  <c r="N132" i="6"/>
  <c r="B132" i="6"/>
  <c r="F132" i="6"/>
  <c r="D132" i="6"/>
  <c r="J132" i="6"/>
  <c r="M132" i="6"/>
  <c r="L132" i="6"/>
  <c r="I132" i="6"/>
  <c r="H132" i="6"/>
  <c r="E132" i="6"/>
  <c r="G132" i="6"/>
  <c r="F56" i="6"/>
  <c r="D56" i="6"/>
  <c r="J56" i="6"/>
  <c r="M56" i="6"/>
  <c r="L56" i="6"/>
  <c r="K56" i="6"/>
  <c r="I56" i="6"/>
  <c r="C56" i="6"/>
  <c r="N56" i="6"/>
  <c r="H56" i="6"/>
  <c r="E56" i="6"/>
  <c r="B56" i="6"/>
  <c r="G56" i="6"/>
  <c r="K166" i="6"/>
  <c r="E166" i="6"/>
  <c r="B166" i="6"/>
  <c r="I166" i="6"/>
  <c r="H166" i="6"/>
  <c r="N166" i="6"/>
  <c r="L166" i="6"/>
  <c r="G166" i="6"/>
  <c r="D166" i="6"/>
  <c r="C166" i="6"/>
  <c r="J166" i="6"/>
  <c r="F166" i="6"/>
  <c r="M166" i="6"/>
  <c r="E158" i="6"/>
  <c r="I158" i="6"/>
  <c r="H158" i="6"/>
  <c r="M158" i="6"/>
  <c r="K158" i="6"/>
  <c r="D158" i="6"/>
  <c r="L158" i="6"/>
  <c r="J158" i="6"/>
  <c r="G158" i="6"/>
  <c r="F158" i="6"/>
  <c r="B158" i="6"/>
  <c r="N158" i="6"/>
  <c r="C158" i="6"/>
  <c r="E181" i="6"/>
  <c r="D181" i="6"/>
  <c r="N181" i="6"/>
  <c r="B181" i="6"/>
  <c r="C181" i="6"/>
  <c r="I181" i="6"/>
  <c r="H181" i="6"/>
  <c r="L181" i="6"/>
  <c r="J181" i="6"/>
  <c r="F181" i="6"/>
  <c r="M181" i="6"/>
  <c r="K181" i="6"/>
  <c r="G181" i="6"/>
  <c r="M159" i="5"/>
  <c r="L159" i="5"/>
  <c r="K159" i="5"/>
  <c r="J159" i="5"/>
  <c r="I159" i="5"/>
  <c r="E159" i="5"/>
  <c r="F159" i="5" s="1"/>
  <c r="D159" i="5"/>
  <c r="O159" i="5"/>
  <c r="H159" i="5"/>
  <c r="C159" i="5"/>
  <c r="N159" i="5"/>
  <c r="B159" i="5"/>
  <c r="G159" i="5"/>
  <c r="K87" i="5"/>
  <c r="J87" i="5"/>
  <c r="I87" i="5"/>
  <c r="E87" i="5"/>
  <c r="F87" i="5" s="1"/>
  <c r="D87" i="5"/>
  <c r="O87" i="5"/>
  <c r="M87" i="5"/>
  <c r="G87" i="5"/>
  <c r="C87" i="5"/>
  <c r="N87" i="5"/>
  <c r="L87" i="5"/>
  <c r="H87" i="5"/>
  <c r="B87" i="5"/>
  <c r="E98" i="15"/>
  <c r="D98" i="15"/>
  <c r="C98" i="15"/>
  <c r="B98" i="15"/>
  <c r="L98" i="15"/>
  <c r="I98" i="15"/>
  <c r="J98" i="15"/>
  <c r="G98" i="15"/>
  <c r="F98" i="15"/>
  <c r="H98" i="15"/>
  <c r="K98" i="15"/>
  <c r="I65" i="15"/>
  <c r="H65" i="15"/>
  <c r="G65" i="15"/>
  <c r="F65" i="15"/>
  <c r="C65" i="15"/>
  <c r="J65" i="15"/>
  <c r="E65" i="15"/>
  <c r="D65" i="15"/>
  <c r="B65" i="15"/>
  <c r="L65" i="15"/>
  <c r="K65" i="15"/>
  <c r="C186" i="1"/>
  <c r="K186" i="1"/>
  <c r="I186" i="1"/>
  <c r="E186" i="1"/>
  <c r="F186" i="1" s="1"/>
  <c r="B186" i="1"/>
  <c r="N186" i="1"/>
  <c r="L186" i="1"/>
  <c r="H186" i="1"/>
  <c r="G186" i="1"/>
  <c r="D186" i="1"/>
  <c r="L135" i="1"/>
  <c r="G135" i="1"/>
  <c r="D135" i="1"/>
  <c r="C135" i="1"/>
  <c r="B135" i="1"/>
  <c r="E135" i="1"/>
  <c r="F135" i="1" s="1"/>
  <c r="H135" i="1"/>
  <c r="N135" i="1"/>
  <c r="I135" i="1"/>
  <c r="E19" i="1"/>
  <c r="F19" i="1" s="1"/>
  <c r="D19" i="1"/>
  <c r="B19" i="1"/>
  <c r="N19" i="1"/>
  <c r="I19" i="1"/>
  <c r="L19" i="1"/>
  <c r="H19" i="1"/>
  <c r="G19" i="1"/>
  <c r="C19" i="1"/>
  <c r="E20" i="1"/>
  <c r="F20" i="1" s="1"/>
  <c r="D20" i="1"/>
  <c r="B20" i="1"/>
  <c r="N20" i="1"/>
  <c r="I20" i="1"/>
  <c r="L20" i="1"/>
  <c r="K20" i="1"/>
  <c r="H20" i="1"/>
  <c r="G20" i="1"/>
  <c r="C20" i="1"/>
  <c r="E27" i="1"/>
  <c r="F27" i="1" s="1"/>
  <c r="D27" i="1"/>
  <c r="B27" i="1"/>
  <c r="N27" i="1"/>
  <c r="I27" i="1"/>
  <c r="L27" i="1"/>
  <c r="H27" i="1"/>
  <c r="K27" i="1"/>
  <c r="G27" i="1"/>
  <c r="C27" i="1"/>
  <c r="O83" i="5"/>
  <c r="C83" i="5"/>
  <c r="N83" i="5"/>
  <c r="B83" i="5"/>
  <c r="M83" i="5"/>
  <c r="I83" i="5"/>
  <c r="H83" i="5"/>
  <c r="E83" i="5"/>
  <c r="F83" i="5" s="1"/>
  <c r="D83" i="5"/>
  <c r="L83" i="5"/>
  <c r="K83" i="5"/>
  <c r="J83" i="5"/>
  <c r="G83" i="5"/>
  <c r="C209" i="1"/>
  <c r="B209" i="1"/>
  <c r="N209" i="1"/>
  <c r="I209" i="1"/>
  <c r="H209" i="1"/>
  <c r="E209" i="1"/>
  <c r="F209" i="1" s="1"/>
  <c r="D209" i="1"/>
  <c r="L209" i="1"/>
  <c r="G209" i="1"/>
  <c r="N39" i="6"/>
  <c r="B39" i="6"/>
  <c r="M39" i="6"/>
  <c r="L39" i="6"/>
  <c r="H39" i="6"/>
  <c r="F39" i="6"/>
  <c r="E39" i="6"/>
  <c r="D39" i="6"/>
  <c r="C39" i="6"/>
  <c r="K39" i="6"/>
  <c r="J39" i="6"/>
  <c r="I39" i="6"/>
  <c r="G39" i="6"/>
  <c r="C218" i="1"/>
  <c r="B218" i="1"/>
  <c r="I218" i="1"/>
  <c r="H218" i="1"/>
  <c r="E218" i="1"/>
  <c r="F218" i="1" s="1"/>
  <c r="D218" i="1"/>
  <c r="N218" i="1"/>
  <c r="G218" i="1"/>
  <c r="L218" i="1"/>
  <c r="I163" i="5"/>
  <c r="H163" i="5"/>
  <c r="G163" i="5"/>
  <c r="E163" i="5"/>
  <c r="F163" i="5" s="1"/>
  <c r="M163" i="5"/>
  <c r="L163" i="5"/>
  <c r="K163" i="5"/>
  <c r="J163" i="5"/>
  <c r="D163" i="5"/>
  <c r="C163" i="5"/>
  <c r="B163" i="5"/>
  <c r="O163" i="5"/>
  <c r="N163" i="5"/>
  <c r="I208" i="5"/>
  <c r="H208" i="5"/>
  <c r="G208" i="5"/>
  <c r="E208" i="5"/>
  <c r="F208" i="5" s="1"/>
  <c r="M208" i="5"/>
  <c r="L208" i="5"/>
  <c r="O208" i="5"/>
  <c r="N208" i="5"/>
  <c r="K208" i="5"/>
  <c r="J208" i="5"/>
  <c r="D208" i="5"/>
  <c r="B208" i="5"/>
  <c r="C208" i="5"/>
  <c r="E122" i="5"/>
  <c r="F122" i="5" s="1"/>
  <c r="D122" i="5"/>
  <c r="O122" i="5"/>
  <c r="C122" i="5"/>
  <c r="N122" i="5"/>
  <c r="B122" i="5"/>
  <c r="M122" i="5"/>
  <c r="I122" i="5"/>
  <c r="H122" i="5"/>
  <c r="K122" i="5"/>
  <c r="J122" i="5"/>
  <c r="L122" i="5"/>
  <c r="G122" i="5"/>
  <c r="I99" i="6"/>
  <c r="G99" i="6"/>
  <c r="E99" i="6"/>
  <c r="M99" i="6"/>
  <c r="N99" i="6"/>
  <c r="L99" i="6"/>
  <c r="K99" i="6"/>
  <c r="D99" i="6"/>
  <c r="J99" i="6"/>
  <c r="B99" i="6"/>
  <c r="H99" i="6"/>
  <c r="F99" i="6"/>
  <c r="C99" i="6"/>
  <c r="E32" i="15"/>
  <c r="D32" i="15"/>
  <c r="C32" i="15"/>
  <c r="L32" i="15"/>
  <c r="J32" i="15"/>
  <c r="I32" i="15"/>
  <c r="H32" i="15"/>
  <c r="G32" i="15"/>
  <c r="F32" i="15"/>
  <c r="B32" i="15"/>
  <c r="K32" i="15"/>
  <c r="F68" i="15"/>
  <c r="E68" i="15"/>
  <c r="D68" i="15"/>
  <c r="C68" i="15"/>
  <c r="B68" i="15"/>
  <c r="L68" i="15"/>
  <c r="J68" i="15"/>
  <c r="K68" i="15"/>
  <c r="I68" i="15"/>
  <c r="H68" i="15"/>
  <c r="G68" i="15"/>
  <c r="K164" i="15"/>
  <c r="I164" i="15"/>
  <c r="E164" i="15"/>
  <c r="G164" i="15"/>
  <c r="F164" i="15"/>
  <c r="J164" i="15"/>
  <c r="L164" i="15"/>
  <c r="H164" i="15"/>
  <c r="D164" i="15"/>
  <c r="B164" i="15"/>
  <c r="C164" i="15"/>
  <c r="L23" i="15"/>
  <c r="I23" i="15"/>
  <c r="H23" i="15"/>
  <c r="G23" i="15"/>
  <c r="F23" i="15"/>
  <c r="E23" i="15"/>
  <c r="D23" i="15"/>
  <c r="C23" i="15"/>
  <c r="B23" i="15"/>
  <c r="K23" i="15"/>
  <c r="J23" i="15"/>
  <c r="I190" i="15"/>
  <c r="G190" i="15"/>
  <c r="C190" i="15"/>
  <c r="D190" i="15"/>
  <c r="H190" i="15"/>
  <c r="K190" i="15"/>
  <c r="J190" i="15"/>
  <c r="F190" i="15"/>
  <c r="E190" i="15"/>
  <c r="B190" i="15"/>
  <c r="L190" i="15"/>
  <c r="M225" i="5"/>
  <c r="L225" i="5"/>
  <c r="K225" i="5"/>
  <c r="J225" i="5"/>
  <c r="I225" i="5"/>
  <c r="E225" i="5"/>
  <c r="F225" i="5" s="1"/>
  <c r="D225" i="5"/>
  <c r="O225" i="5"/>
  <c r="N225" i="5"/>
  <c r="H225" i="5"/>
  <c r="B225" i="5"/>
  <c r="C225" i="5"/>
  <c r="G225" i="5"/>
  <c r="J27" i="15"/>
  <c r="I27" i="15"/>
  <c r="H27" i="15"/>
  <c r="E27" i="15"/>
  <c r="C27" i="15"/>
  <c r="L27" i="15"/>
  <c r="K27" i="15"/>
  <c r="G27" i="15"/>
  <c r="F27" i="15"/>
  <c r="B27" i="15"/>
  <c r="D27" i="15"/>
  <c r="M156" i="5"/>
  <c r="L156" i="5"/>
  <c r="K156" i="5"/>
  <c r="J156" i="5"/>
  <c r="I156" i="5"/>
  <c r="E156" i="5"/>
  <c r="F156" i="5" s="1"/>
  <c r="D156" i="5"/>
  <c r="O156" i="5"/>
  <c r="N156" i="5"/>
  <c r="G156" i="5"/>
  <c r="C156" i="5"/>
  <c r="B156" i="5"/>
  <c r="H156" i="5"/>
  <c r="I154" i="15"/>
  <c r="G154" i="15"/>
  <c r="C154" i="15"/>
  <c r="D154" i="15"/>
  <c r="H154" i="15"/>
  <c r="J154" i="15"/>
  <c r="L154" i="15"/>
  <c r="K154" i="15"/>
  <c r="F154" i="15"/>
  <c r="B154" i="15"/>
  <c r="E154" i="15"/>
  <c r="K152" i="15"/>
  <c r="I152" i="15"/>
  <c r="E152" i="15"/>
  <c r="G152" i="15"/>
  <c r="F152" i="15"/>
  <c r="C152" i="15"/>
  <c r="B152" i="15"/>
  <c r="L152" i="15"/>
  <c r="J152" i="15"/>
  <c r="H152" i="15"/>
  <c r="D152" i="15"/>
  <c r="M228" i="5"/>
  <c r="L228" i="5"/>
  <c r="K228" i="5"/>
  <c r="J228" i="5"/>
  <c r="I228" i="5"/>
  <c r="E228" i="5"/>
  <c r="F228" i="5" s="1"/>
  <c r="D228" i="5"/>
  <c r="O228" i="5"/>
  <c r="N228" i="5"/>
  <c r="G228" i="5"/>
  <c r="C228" i="5"/>
  <c r="B228" i="5"/>
  <c r="H228" i="5"/>
  <c r="B77" i="15"/>
  <c r="L77" i="15"/>
  <c r="K77" i="15"/>
  <c r="I77" i="15"/>
  <c r="F77" i="15"/>
  <c r="D77" i="15"/>
  <c r="C77" i="15"/>
  <c r="J77" i="15"/>
  <c r="H77" i="15"/>
  <c r="G77" i="15"/>
  <c r="E77" i="15"/>
  <c r="C49" i="6"/>
  <c r="M49" i="6"/>
  <c r="G49" i="6"/>
  <c r="J49" i="6"/>
  <c r="I49" i="6"/>
  <c r="H49" i="6"/>
  <c r="F49" i="6"/>
  <c r="N49" i="6"/>
  <c r="L49" i="6"/>
  <c r="K49" i="6"/>
  <c r="D49" i="6"/>
  <c r="B49" i="6"/>
  <c r="E49" i="6"/>
  <c r="G45" i="5"/>
  <c r="E45" i="5"/>
  <c r="F45" i="5" s="1"/>
  <c r="D45" i="5"/>
  <c r="N45" i="5"/>
  <c r="B45" i="5"/>
  <c r="K45" i="5"/>
  <c r="J45" i="5"/>
  <c r="I45" i="5"/>
  <c r="O45" i="5"/>
  <c r="M45" i="5"/>
  <c r="L45" i="5"/>
  <c r="H45" i="5"/>
  <c r="C45" i="5"/>
  <c r="E218" i="15"/>
  <c r="C218" i="15"/>
  <c r="K218" i="15"/>
  <c r="H218" i="15"/>
  <c r="B218" i="15"/>
  <c r="L218" i="15"/>
  <c r="I218" i="15"/>
  <c r="J218" i="15"/>
  <c r="G218" i="15"/>
  <c r="F218" i="15"/>
  <c r="D218" i="15"/>
  <c r="M114" i="5"/>
  <c r="K114" i="5"/>
  <c r="J114" i="5"/>
  <c r="I114" i="5"/>
  <c r="E114" i="5"/>
  <c r="F114" i="5" s="1"/>
  <c r="D114" i="5"/>
  <c r="H114" i="5"/>
  <c r="O114" i="5"/>
  <c r="G114" i="5"/>
  <c r="C114" i="5"/>
  <c r="B114" i="5"/>
  <c r="N114" i="5"/>
  <c r="L114" i="5"/>
  <c r="H215" i="15"/>
  <c r="F215" i="15"/>
  <c r="B215" i="15"/>
  <c r="G215" i="15"/>
  <c r="D215" i="15"/>
  <c r="K215" i="15"/>
  <c r="C215" i="15"/>
  <c r="L215" i="15"/>
  <c r="I215" i="15"/>
  <c r="E215" i="15"/>
  <c r="J215" i="15"/>
  <c r="H9" i="6"/>
  <c r="G9" i="6"/>
  <c r="F9" i="6"/>
  <c r="N9" i="6"/>
  <c r="B9" i="6"/>
  <c r="M9" i="6"/>
  <c r="L9" i="6"/>
  <c r="E9" i="6"/>
  <c r="D9" i="6"/>
  <c r="C9" i="6"/>
  <c r="J9" i="6"/>
  <c r="I9" i="6"/>
  <c r="K9" i="6"/>
  <c r="B47" i="15"/>
  <c r="L47" i="15"/>
  <c r="I47" i="15"/>
  <c r="G47" i="15"/>
  <c r="H47" i="15"/>
  <c r="F47" i="15"/>
  <c r="E47" i="15"/>
  <c r="D47" i="15"/>
  <c r="C47" i="15"/>
  <c r="K47" i="15"/>
  <c r="J47" i="15"/>
  <c r="E185" i="5"/>
  <c r="F185" i="5" s="1"/>
  <c r="D185" i="5"/>
  <c r="O185" i="5"/>
  <c r="C185" i="5"/>
  <c r="N185" i="5"/>
  <c r="B185" i="5"/>
  <c r="M185" i="5"/>
  <c r="I185" i="5"/>
  <c r="H185" i="5"/>
  <c r="J185" i="5"/>
  <c r="G185" i="5"/>
  <c r="L185" i="5"/>
  <c r="K185" i="5"/>
  <c r="M153" i="5"/>
  <c r="L153" i="5"/>
  <c r="K153" i="5"/>
  <c r="J153" i="5"/>
  <c r="I153" i="5"/>
  <c r="E153" i="5"/>
  <c r="F153" i="5" s="1"/>
  <c r="D153" i="5"/>
  <c r="O153" i="5"/>
  <c r="N153" i="5"/>
  <c r="H153" i="5"/>
  <c r="B153" i="5"/>
  <c r="C153" i="5"/>
  <c r="G153" i="5"/>
  <c r="E197" i="5"/>
  <c r="F197" i="5" s="1"/>
  <c r="D197" i="5"/>
  <c r="O197" i="5"/>
  <c r="C197" i="5"/>
  <c r="N197" i="5"/>
  <c r="B197" i="5"/>
  <c r="M197" i="5"/>
  <c r="I197" i="5"/>
  <c r="H197" i="5"/>
  <c r="L197" i="5"/>
  <c r="K197" i="5"/>
  <c r="J197" i="5"/>
  <c r="G197" i="5"/>
  <c r="K90" i="5"/>
  <c r="J90" i="5"/>
  <c r="I90" i="5"/>
  <c r="E90" i="5"/>
  <c r="F90" i="5" s="1"/>
  <c r="D90" i="5"/>
  <c r="L90" i="5"/>
  <c r="H90" i="5"/>
  <c r="G90" i="5"/>
  <c r="B90" i="5"/>
  <c r="O90" i="5"/>
  <c r="N90" i="5"/>
  <c r="M90" i="5"/>
  <c r="C90" i="5"/>
  <c r="H136" i="15"/>
  <c r="E136" i="15"/>
  <c r="L136" i="15"/>
  <c r="I136" i="15"/>
  <c r="G136" i="15"/>
  <c r="F136" i="15"/>
  <c r="C136" i="15"/>
  <c r="B136" i="15"/>
  <c r="K136" i="15"/>
  <c r="D136" i="15"/>
  <c r="J136" i="15"/>
  <c r="E155" i="5"/>
  <c r="F155" i="5" s="1"/>
  <c r="D155" i="5"/>
  <c r="O155" i="5"/>
  <c r="C155" i="5"/>
  <c r="N155" i="5"/>
  <c r="B155" i="5"/>
  <c r="M155" i="5"/>
  <c r="I155" i="5"/>
  <c r="H155" i="5"/>
  <c r="L155" i="5"/>
  <c r="K155" i="5"/>
  <c r="J155" i="5"/>
  <c r="G155" i="5"/>
  <c r="K8" i="6"/>
  <c r="J8" i="6"/>
  <c r="I8" i="6"/>
  <c r="E8" i="6"/>
  <c r="N8" i="6"/>
  <c r="M8" i="6"/>
  <c r="L8" i="6"/>
  <c r="H8" i="6"/>
  <c r="C8" i="6"/>
  <c r="B8" i="6"/>
  <c r="G8" i="6"/>
  <c r="F8" i="6"/>
  <c r="D8" i="6"/>
  <c r="C34" i="15"/>
  <c r="B34" i="15"/>
  <c r="J34" i="15"/>
  <c r="H34" i="15"/>
  <c r="D34" i="15"/>
  <c r="L34" i="15"/>
  <c r="I34" i="15"/>
  <c r="K34" i="15"/>
  <c r="E34" i="15"/>
  <c r="G34" i="15"/>
  <c r="F34" i="15"/>
  <c r="F31" i="15"/>
  <c r="E31" i="15"/>
  <c r="D31" i="15"/>
  <c r="K31" i="15"/>
  <c r="B31" i="15"/>
  <c r="L31" i="15"/>
  <c r="I31" i="15"/>
  <c r="J31" i="15"/>
  <c r="H31" i="15"/>
  <c r="G31" i="15"/>
  <c r="C31" i="15"/>
  <c r="G30" i="15"/>
  <c r="F30" i="15"/>
  <c r="E30" i="15"/>
  <c r="B30" i="15"/>
  <c r="L30" i="15"/>
  <c r="K30" i="15"/>
  <c r="J30" i="15"/>
  <c r="I30" i="15"/>
  <c r="H30" i="15"/>
  <c r="C30" i="15"/>
  <c r="D30" i="15"/>
  <c r="K75" i="5"/>
  <c r="J75" i="5"/>
  <c r="I75" i="5"/>
  <c r="E75" i="5"/>
  <c r="F75" i="5" s="1"/>
  <c r="D75" i="5"/>
  <c r="O75" i="5"/>
  <c r="M75" i="5"/>
  <c r="G75" i="5"/>
  <c r="C75" i="5"/>
  <c r="N75" i="5"/>
  <c r="L75" i="5"/>
  <c r="H75" i="5"/>
  <c r="B75" i="5"/>
  <c r="K57" i="5"/>
  <c r="J57" i="5"/>
  <c r="I57" i="5"/>
  <c r="E57" i="5"/>
  <c r="F57" i="5" s="1"/>
  <c r="D57" i="5"/>
  <c r="O57" i="5"/>
  <c r="M57" i="5"/>
  <c r="G57" i="5"/>
  <c r="C57" i="5"/>
  <c r="N57" i="5"/>
  <c r="L57" i="5"/>
  <c r="H57" i="5"/>
  <c r="B57" i="5"/>
  <c r="K156" i="6"/>
  <c r="C156" i="6"/>
  <c r="N156" i="6"/>
  <c r="B156" i="6"/>
  <c r="M156" i="6"/>
  <c r="J156" i="6"/>
  <c r="H156" i="6"/>
  <c r="D156" i="6"/>
  <c r="L156" i="6"/>
  <c r="G156" i="6"/>
  <c r="E156" i="6"/>
  <c r="F156" i="6"/>
  <c r="I156" i="6"/>
  <c r="C184" i="15"/>
  <c r="I184" i="15"/>
  <c r="D184" i="15"/>
  <c r="L184" i="15"/>
  <c r="B184" i="15"/>
  <c r="K184" i="15"/>
  <c r="J184" i="15"/>
  <c r="H184" i="15"/>
  <c r="G184" i="15"/>
  <c r="F184" i="15"/>
  <c r="E184" i="15"/>
  <c r="L48" i="15"/>
  <c r="K48" i="15"/>
  <c r="H48" i="15"/>
  <c r="F48" i="15"/>
  <c r="J48" i="15"/>
  <c r="I48" i="15"/>
  <c r="G48" i="15"/>
  <c r="E48" i="15"/>
  <c r="D48" i="15"/>
  <c r="B48" i="15"/>
  <c r="C48" i="15"/>
  <c r="E167" i="5"/>
  <c r="F167" i="5" s="1"/>
  <c r="D167" i="5"/>
  <c r="O167" i="5"/>
  <c r="C167" i="5"/>
  <c r="N167" i="5"/>
  <c r="B167" i="5"/>
  <c r="M167" i="5"/>
  <c r="I167" i="5"/>
  <c r="H167" i="5"/>
  <c r="L167" i="5"/>
  <c r="K167" i="5"/>
  <c r="G167" i="5"/>
  <c r="J167" i="5"/>
  <c r="L140" i="1"/>
  <c r="G140" i="1"/>
  <c r="D140" i="1"/>
  <c r="C140" i="1"/>
  <c r="B140" i="1"/>
  <c r="N140" i="1"/>
  <c r="I140" i="1"/>
  <c r="H140" i="1"/>
  <c r="E140" i="1"/>
  <c r="F140" i="1" s="1"/>
  <c r="L124" i="1"/>
  <c r="K124" i="1"/>
  <c r="G124" i="1"/>
  <c r="D124" i="1"/>
  <c r="C124" i="1"/>
  <c r="B124" i="1"/>
  <c r="N124" i="1"/>
  <c r="I124" i="1"/>
  <c r="H124" i="1"/>
  <c r="E124" i="1"/>
  <c r="F124" i="1" s="1"/>
  <c r="D5" i="1"/>
  <c r="B5" i="1"/>
  <c r="N5" i="1"/>
  <c r="I5" i="1"/>
  <c r="L5" i="1"/>
  <c r="C5" i="1"/>
  <c r="H5" i="1"/>
  <c r="G5" i="1"/>
  <c r="E5" i="1"/>
  <c r="F5" i="1" s="1"/>
  <c r="L150" i="1"/>
  <c r="G150" i="1"/>
  <c r="D150" i="1"/>
  <c r="C150" i="1"/>
  <c r="B150" i="1"/>
  <c r="N150" i="1"/>
  <c r="I150" i="1"/>
  <c r="H150" i="1"/>
  <c r="E150" i="1"/>
  <c r="F150" i="1" s="1"/>
  <c r="L84" i="1"/>
  <c r="G84" i="1"/>
  <c r="C84" i="1"/>
  <c r="B84" i="1"/>
  <c r="E84" i="1"/>
  <c r="F84" i="1" s="1"/>
  <c r="I84" i="1"/>
  <c r="H84" i="1"/>
  <c r="N84" i="1"/>
  <c r="D84" i="1"/>
  <c r="L117" i="1"/>
  <c r="K117" i="1"/>
  <c r="G117" i="1"/>
  <c r="D117" i="1"/>
  <c r="C117" i="1"/>
  <c r="B117" i="1"/>
  <c r="E117" i="1"/>
  <c r="F117" i="1" s="1"/>
  <c r="H117" i="1"/>
  <c r="N117" i="1"/>
  <c r="I117" i="1"/>
  <c r="L141" i="1"/>
  <c r="G141" i="1"/>
  <c r="D141" i="1"/>
  <c r="C141" i="1"/>
  <c r="B141" i="1"/>
  <c r="E141" i="1"/>
  <c r="F141" i="1" s="1"/>
  <c r="H141" i="1"/>
  <c r="N141" i="1"/>
  <c r="I141" i="1"/>
  <c r="L165" i="1"/>
  <c r="G165" i="1"/>
  <c r="D165" i="1"/>
  <c r="C165" i="1"/>
  <c r="B165" i="1"/>
  <c r="E165" i="1"/>
  <c r="F165" i="1" s="1"/>
  <c r="H165" i="1"/>
  <c r="N165" i="1"/>
  <c r="I165" i="1"/>
  <c r="D29" i="1"/>
  <c r="B29" i="1"/>
  <c r="N29" i="1"/>
  <c r="I29" i="1"/>
  <c r="E29" i="1"/>
  <c r="F29" i="1" s="1"/>
  <c r="L29" i="1"/>
  <c r="H29" i="1"/>
  <c r="G29" i="1"/>
  <c r="C29" i="1"/>
  <c r="E52" i="1"/>
  <c r="F52" i="1" s="1"/>
  <c r="D52" i="1"/>
  <c r="B52" i="1"/>
  <c r="N52" i="1"/>
  <c r="I52" i="1"/>
  <c r="G52" i="1"/>
  <c r="L52" i="1"/>
  <c r="K52" i="1"/>
  <c r="H52" i="1"/>
  <c r="C52" i="1"/>
  <c r="E64" i="1"/>
  <c r="F64" i="1" s="1"/>
  <c r="D64" i="1"/>
  <c r="B64" i="1"/>
  <c r="N64" i="1"/>
  <c r="I64" i="1"/>
  <c r="G64" i="1"/>
  <c r="L64" i="1"/>
  <c r="H64" i="1"/>
  <c r="C64" i="1"/>
  <c r="E76" i="1"/>
  <c r="F76" i="1" s="1"/>
  <c r="D76" i="1"/>
  <c r="B76" i="1"/>
  <c r="N76" i="1"/>
  <c r="I76" i="1"/>
  <c r="G76" i="1"/>
  <c r="L76" i="1"/>
  <c r="K76" i="1"/>
  <c r="H76" i="1"/>
  <c r="C76" i="1"/>
  <c r="E28" i="1"/>
  <c r="F28" i="1" s="1"/>
  <c r="D28" i="1"/>
  <c r="B28" i="1"/>
  <c r="N28" i="1"/>
  <c r="I28" i="1"/>
  <c r="C28" i="1"/>
  <c r="G28" i="1"/>
  <c r="L28" i="1"/>
  <c r="H28" i="1"/>
  <c r="L98" i="1"/>
  <c r="G98" i="1"/>
  <c r="C98" i="1"/>
  <c r="B98" i="1"/>
  <c r="N98" i="1"/>
  <c r="D98" i="1"/>
  <c r="H98" i="1"/>
  <c r="I98" i="1"/>
  <c r="E98" i="1"/>
  <c r="F98" i="1" s="1"/>
  <c r="E38" i="1"/>
  <c r="F38" i="1" s="1"/>
  <c r="D38" i="1"/>
  <c r="B38" i="1"/>
  <c r="N38" i="1"/>
  <c r="I38" i="1"/>
  <c r="G38" i="1"/>
  <c r="K38" i="1"/>
  <c r="L38" i="1"/>
  <c r="H38" i="1"/>
  <c r="C38" i="1"/>
  <c r="L97" i="1"/>
  <c r="G97" i="1"/>
  <c r="C97" i="1"/>
  <c r="B97" i="1"/>
  <c r="H97" i="1"/>
  <c r="E97" i="1"/>
  <c r="F97" i="1" s="1"/>
  <c r="N97" i="1"/>
  <c r="D97" i="1"/>
  <c r="I97" i="1"/>
  <c r="G97" i="5"/>
  <c r="E97" i="5"/>
  <c r="F97" i="5" s="1"/>
  <c r="M97" i="5"/>
  <c r="L97" i="5"/>
  <c r="K97" i="5"/>
  <c r="B97" i="5"/>
  <c r="O97" i="5"/>
  <c r="I97" i="5"/>
  <c r="H97" i="5"/>
  <c r="D97" i="5"/>
  <c r="C97" i="5"/>
  <c r="N97" i="5"/>
  <c r="J97" i="5"/>
  <c r="O10" i="5"/>
  <c r="C10" i="5"/>
  <c r="N10" i="5"/>
  <c r="B10" i="5"/>
  <c r="M10" i="5"/>
  <c r="L10" i="5"/>
  <c r="J10" i="5"/>
  <c r="G10" i="5"/>
  <c r="E10" i="5"/>
  <c r="F10" i="5" s="1"/>
  <c r="K10" i="5"/>
  <c r="I10" i="5"/>
  <c r="H10" i="5"/>
  <c r="D10" i="5"/>
  <c r="O46" i="5"/>
  <c r="C46" i="5"/>
  <c r="N46" i="5"/>
  <c r="B46" i="5"/>
  <c r="M46" i="5"/>
  <c r="L46" i="5"/>
  <c r="J46" i="5"/>
  <c r="G46" i="5"/>
  <c r="E46" i="5"/>
  <c r="F46" i="5" s="1"/>
  <c r="K46" i="5"/>
  <c r="I46" i="5"/>
  <c r="H46" i="5"/>
  <c r="D46" i="5"/>
  <c r="C192" i="1"/>
  <c r="D192" i="1"/>
  <c r="B192" i="1"/>
  <c r="L192" i="1"/>
  <c r="I192" i="1"/>
  <c r="H192" i="1"/>
  <c r="G192" i="1"/>
  <c r="K192" i="1"/>
  <c r="N192" i="1"/>
  <c r="E192" i="1"/>
  <c r="F192" i="1" s="1"/>
  <c r="C176" i="1"/>
  <c r="L176" i="1"/>
  <c r="H176" i="1"/>
  <c r="E176" i="1"/>
  <c r="F176" i="1" s="1"/>
  <c r="D176" i="1"/>
  <c r="B176" i="1"/>
  <c r="K176" i="1"/>
  <c r="I176" i="1"/>
  <c r="G176" i="1"/>
  <c r="N176" i="1"/>
  <c r="K35" i="5"/>
  <c r="J35" i="5"/>
  <c r="I35" i="5"/>
  <c r="H35" i="5"/>
  <c r="O35" i="5"/>
  <c r="C35" i="5"/>
  <c r="N35" i="5"/>
  <c r="B35" i="5"/>
  <c r="M35" i="5"/>
  <c r="L35" i="5"/>
  <c r="G35" i="5"/>
  <c r="E35" i="5"/>
  <c r="F35" i="5" s="1"/>
  <c r="D35" i="5"/>
  <c r="G67" i="5"/>
  <c r="E67" i="5"/>
  <c r="F67" i="5" s="1"/>
  <c r="M67" i="5"/>
  <c r="L67" i="5"/>
  <c r="N67" i="5"/>
  <c r="K67" i="5"/>
  <c r="J67" i="5"/>
  <c r="I67" i="5"/>
  <c r="D67" i="5"/>
  <c r="O67" i="5"/>
  <c r="H67" i="5"/>
  <c r="C67" i="5"/>
  <c r="B67" i="5"/>
  <c r="I106" i="5"/>
  <c r="G106" i="5"/>
  <c r="E106" i="5"/>
  <c r="F106" i="5" s="1"/>
  <c r="M106" i="5"/>
  <c r="L106" i="5"/>
  <c r="J106" i="5"/>
  <c r="B106" i="5"/>
  <c r="K106" i="5"/>
  <c r="H106" i="5"/>
  <c r="D106" i="5"/>
  <c r="O106" i="5"/>
  <c r="N106" i="5"/>
  <c r="C106" i="5"/>
  <c r="O80" i="5"/>
  <c r="C80" i="5"/>
  <c r="N80" i="5"/>
  <c r="B80" i="5"/>
  <c r="M80" i="5"/>
  <c r="I80" i="5"/>
  <c r="H80" i="5"/>
  <c r="L80" i="5"/>
  <c r="K80" i="5"/>
  <c r="G80" i="5"/>
  <c r="D80" i="5"/>
  <c r="J80" i="5"/>
  <c r="E80" i="5"/>
  <c r="F80" i="5" s="1"/>
  <c r="C221" i="1"/>
  <c r="B221" i="1"/>
  <c r="E221" i="1"/>
  <c r="F221" i="1" s="1"/>
  <c r="L221" i="1"/>
  <c r="I221" i="1"/>
  <c r="N221" i="1"/>
  <c r="H221" i="1"/>
  <c r="D221" i="1"/>
  <c r="G221" i="1"/>
  <c r="I160" i="5"/>
  <c r="H160" i="5"/>
  <c r="G160" i="5"/>
  <c r="E160" i="5"/>
  <c r="F160" i="5" s="1"/>
  <c r="M160" i="5"/>
  <c r="L160" i="5"/>
  <c r="J160" i="5"/>
  <c r="D160" i="5"/>
  <c r="C160" i="5"/>
  <c r="B160" i="5"/>
  <c r="O160" i="5"/>
  <c r="N160" i="5"/>
  <c r="K160" i="5"/>
  <c r="H41" i="6"/>
  <c r="G41" i="6"/>
  <c r="F41" i="6"/>
  <c r="N41" i="6"/>
  <c r="B41" i="6"/>
  <c r="L41" i="6"/>
  <c r="K41" i="6"/>
  <c r="J41" i="6"/>
  <c r="I41" i="6"/>
  <c r="E41" i="6"/>
  <c r="D41" i="6"/>
  <c r="C41" i="6"/>
  <c r="M41" i="6"/>
  <c r="N27" i="6"/>
  <c r="B27" i="6"/>
  <c r="M27" i="6"/>
  <c r="L27" i="6"/>
  <c r="H27" i="6"/>
  <c r="J27" i="6"/>
  <c r="I27" i="6"/>
  <c r="G27" i="6"/>
  <c r="F27" i="6"/>
  <c r="E27" i="6"/>
  <c r="D27" i="6"/>
  <c r="K27" i="6"/>
  <c r="C27" i="6"/>
  <c r="I142" i="5"/>
  <c r="H142" i="5"/>
  <c r="G142" i="5"/>
  <c r="E142" i="5"/>
  <c r="F142" i="5" s="1"/>
  <c r="M142" i="5"/>
  <c r="L142" i="5"/>
  <c r="N142" i="5"/>
  <c r="K142" i="5"/>
  <c r="D142" i="5"/>
  <c r="B142" i="5"/>
  <c r="C142" i="5"/>
  <c r="O142" i="5"/>
  <c r="J142" i="5"/>
  <c r="F52" i="6"/>
  <c r="D52" i="6"/>
  <c r="J52" i="6"/>
  <c r="L52" i="6"/>
  <c r="K52" i="6"/>
  <c r="I52" i="6"/>
  <c r="H52" i="6"/>
  <c r="B52" i="6"/>
  <c r="G52" i="6"/>
  <c r="E52" i="6"/>
  <c r="N52" i="6"/>
  <c r="M52" i="6"/>
  <c r="C52" i="6"/>
  <c r="M189" i="5"/>
  <c r="L189" i="5"/>
  <c r="K189" i="5"/>
  <c r="J189" i="5"/>
  <c r="I189" i="5"/>
  <c r="E189" i="5"/>
  <c r="F189" i="5" s="1"/>
  <c r="D189" i="5"/>
  <c r="O189" i="5"/>
  <c r="N189" i="5"/>
  <c r="H189" i="5"/>
  <c r="B189" i="5"/>
  <c r="C189" i="5"/>
  <c r="G189" i="5"/>
  <c r="I55" i="6"/>
  <c r="G55" i="6"/>
  <c r="M55" i="6"/>
  <c r="L55" i="6"/>
  <c r="K55" i="6"/>
  <c r="J55" i="6"/>
  <c r="H55" i="6"/>
  <c r="C55" i="6"/>
  <c r="E55" i="6"/>
  <c r="D55" i="6"/>
  <c r="B55" i="6"/>
  <c r="N55" i="6"/>
  <c r="F55" i="6"/>
  <c r="K24" i="6"/>
  <c r="J24" i="6"/>
  <c r="I24" i="6"/>
  <c r="E24" i="6"/>
  <c r="C24" i="6"/>
  <c r="B24" i="6"/>
  <c r="H24" i="6"/>
  <c r="G24" i="6"/>
  <c r="M24" i="6"/>
  <c r="F24" i="6"/>
  <c r="D24" i="6"/>
  <c r="L24" i="6"/>
  <c r="N24" i="6"/>
  <c r="E131" i="5"/>
  <c r="F131" i="5" s="1"/>
  <c r="D131" i="5"/>
  <c r="O131" i="5"/>
  <c r="C131" i="5"/>
  <c r="N131" i="5"/>
  <c r="B131" i="5"/>
  <c r="M131" i="5"/>
  <c r="I131" i="5"/>
  <c r="H131" i="5"/>
  <c r="K131" i="5"/>
  <c r="G131" i="5"/>
  <c r="L131" i="5"/>
  <c r="J131" i="5"/>
  <c r="H149" i="6"/>
  <c r="L149" i="6"/>
  <c r="K149" i="6"/>
  <c r="F149" i="6"/>
  <c r="D149" i="6"/>
  <c r="B149" i="6"/>
  <c r="M149" i="6"/>
  <c r="I149" i="6"/>
  <c r="G149" i="6"/>
  <c r="E149" i="6"/>
  <c r="C149" i="6"/>
  <c r="N149" i="6"/>
  <c r="J149" i="6"/>
  <c r="H153" i="6"/>
  <c r="L153" i="6"/>
  <c r="K153" i="6"/>
  <c r="J153" i="6"/>
  <c r="G153" i="6"/>
  <c r="E153" i="6"/>
  <c r="N153" i="6"/>
  <c r="I153" i="6"/>
  <c r="D153" i="6"/>
  <c r="F153" i="6"/>
  <c r="C153" i="6"/>
  <c r="M153" i="6"/>
  <c r="B153" i="6"/>
  <c r="E138" i="6"/>
  <c r="I138" i="6"/>
  <c r="H138" i="6"/>
  <c r="L138" i="6"/>
  <c r="J138" i="6"/>
  <c r="F138" i="6"/>
  <c r="N138" i="6"/>
  <c r="M138" i="6"/>
  <c r="K138" i="6"/>
  <c r="D138" i="6"/>
  <c r="B138" i="6"/>
  <c r="G138" i="6"/>
  <c r="C138" i="6"/>
  <c r="L62" i="15"/>
  <c r="K62" i="15"/>
  <c r="J62" i="15"/>
  <c r="I62" i="15"/>
  <c r="F62" i="15"/>
  <c r="D62" i="15"/>
  <c r="B62" i="15"/>
  <c r="H62" i="15"/>
  <c r="G62" i="15"/>
  <c r="E62" i="15"/>
  <c r="C62" i="15"/>
  <c r="K63" i="15"/>
  <c r="J63" i="15"/>
  <c r="I63" i="15"/>
  <c r="H63" i="15"/>
  <c r="E63" i="15"/>
  <c r="C63" i="15"/>
  <c r="L63" i="15"/>
  <c r="G63" i="15"/>
  <c r="F63" i="15"/>
  <c r="D63" i="15"/>
  <c r="B63" i="15"/>
  <c r="F169" i="15"/>
  <c r="D169" i="15"/>
  <c r="L169" i="15"/>
  <c r="K169" i="15"/>
  <c r="E169" i="15"/>
  <c r="G169" i="15"/>
  <c r="J169" i="15"/>
  <c r="B169" i="15"/>
  <c r="I169" i="15"/>
  <c r="C169" i="15"/>
  <c r="H169" i="15"/>
  <c r="I132" i="15"/>
  <c r="C132" i="15"/>
  <c r="D132" i="15"/>
  <c r="B132" i="15"/>
  <c r="J132" i="15"/>
  <c r="L132" i="15"/>
  <c r="K132" i="15"/>
  <c r="H132" i="15"/>
  <c r="G132" i="15"/>
  <c r="F132" i="15"/>
  <c r="E132" i="15"/>
  <c r="D171" i="15"/>
  <c r="B171" i="15"/>
  <c r="J171" i="15"/>
  <c r="K171" i="15"/>
  <c r="G171" i="15"/>
  <c r="L171" i="15"/>
  <c r="I171" i="15"/>
  <c r="F171" i="15"/>
  <c r="H171" i="15"/>
  <c r="E171" i="15"/>
  <c r="C171" i="15"/>
  <c r="Z176" i="13"/>
  <c r="K99" i="1" s="1"/>
  <c r="Z16" i="13"/>
  <c r="K92" i="1" s="1"/>
  <c r="Z36" i="13"/>
  <c r="K6" i="1" s="1"/>
  <c r="Z8" i="13"/>
  <c r="K54" i="1" s="1"/>
  <c r="Z35" i="13"/>
  <c r="K4" i="1" s="1"/>
  <c r="B37" i="14"/>
  <c r="D28" i="14"/>
  <c r="Z43" i="13"/>
  <c r="K22" i="1" s="1"/>
  <c r="Z66" i="13"/>
  <c r="K94" i="1" s="1"/>
  <c r="Z24" i="13"/>
  <c r="K161" i="1" s="1"/>
  <c r="B39" i="14"/>
  <c r="Z157" i="13"/>
  <c r="K109" i="1" s="1"/>
  <c r="Z54" i="13"/>
  <c r="K55" i="1" s="1"/>
  <c r="F114" i="15"/>
  <c r="C114" i="15"/>
  <c r="B114" i="15"/>
  <c r="L114" i="15"/>
  <c r="K114" i="15"/>
  <c r="I114" i="15"/>
  <c r="H114" i="15"/>
  <c r="J114" i="15"/>
  <c r="E114" i="15"/>
  <c r="D114" i="15"/>
  <c r="G114" i="15"/>
  <c r="C97" i="6"/>
  <c r="M97" i="6"/>
  <c r="K97" i="6"/>
  <c r="G97" i="6"/>
  <c r="J97" i="6"/>
  <c r="I97" i="6"/>
  <c r="H97" i="6"/>
  <c r="F97" i="6"/>
  <c r="N97" i="6"/>
  <c r="B97" i="6"/>
  <c r="L97" i="6"/>
  <c r="E97" i="6"/>
  <c r="D97" i="6"/>
  <c r="C89" i="6"/>
  <c r="M89" i="6"/>
  <c r="K89" i="6"/>
  <c r="G89" i="6"/>
  <c r="J89" i="6"/>
  <c r="I89" i="6"/>
  <c r="H89" i="6"/>
  <c r="F89" i="6"/>
  <c r="B89" i="6"/>
  <c r="N89" i="6"/>
  <c r="L89" i="6"/>
  <c r="E89" i="6"/>
  <c r="D89" i="6"/>
  <c r="M123" i="5"/>
  <c r="L123" i="5"/>
  <c r="K123" i="5"/>
  <c r="J123" i="5"/>
  <c r="I123" i="5"/>
  <c r="E123" i="5"/>
  <c r="F123" i="5" s="1"/>
  <c r="D123" i="5"/>
  <c r="O123" i="5"/>
  <c r="H123" i="5"/>
  <c r="C123" i="5"/>
  <c r="B123" i="5"/>
  <c r="N123" i="5"/>
  <c r="G123" i="5"/>
  <c r="L110" i="1"/>
  <c r="K110" i="1"/>
  <c r="G110" i="1"/>
  <c r="D110" i="1"/>
  <c r="C110" i="1"/>
  <c r="B110" i="1"/>
  <c r="N110" i="1"/>
  <c r="I110" i="1"/>
  <c r="H110" i="1"/>
  <c r="E110" i="1"/>
  <c r="F110" i="1" s="1"/>
  <c r="L120" i="1"/>
  <c r="K120" i="1"/>
  <c r="G120" i="1"/>
  <c r="D120" i="1"/>
  <c r="C120" i="1"/>
  <c r="B120" i="1"/>
  <c r="N120" i="1"/>
  <c r="I120" i="1"/>
  <c r="H120" i="1"/>
  <c r="E120" i="1"/>
  <c r="F120" i="1" s="1"/>
  <c r="L155" i="1"/>
  <c r="G155" i="1"/>
  <c r="D155" i="1"/>
  <c r="C155" i="1"/>
  <c r="B155" i="1"/>
  <c r="E155" i="1"/>
  <c r="F155" i="1" s="1"/>
  <c r="H155" i="1"/>
  <c r="N155" i="1"/>
  <c r="I155" i="1"/>
  <c r="L83" i="1"/>
  <c r="G83" i="1"/>
  <c r="C83" i="1"/>
  <c r="B83" i="1"/>
  <c r="N83" i="1"/>
  <c r="D83" i="1"/>
  <c r="I83" i="1"/>
  <c r="H83" i="1"/>
  <c r="E83" i="1"/>
  <c r="F83" i="1" s="1"/>
  <c r="C197" i="1"/>
  <c r="B197" i="1"/>
  <c r="N197" i="1"/>
  <c r="I197" i="1"/>
  <c r="H197" i="1"/>
  <c r="E197" i="1"/>
  <c r="F197" i="1" s="1"/>
  <c r="D197" i="1"/>
  <c r="G197" i="1"/>
  <c r="L197" i="1"/>
  <c r="E104" i="5"/>
  <c r="F104" i="5" s="1"/>
  <c r="O104" i="5"/>
  <c r="C104" i="5"/>
  <c r="N104" i="5"/>
  <c r="B104" i="5"/>
  <c r="M104" i="5"/>
  <c r="I104" i="5"/>
  <c r="H104" i="5"/>
  <c r="G104" i="5"/>
  <c r="J104" i="5"/>
  <c r="D104" i="5"/>
  <c r="L104" i="5"/>
  <c r="K104" i="5"/>
  <c r="E177" i="6"/>
  <c r="N177" i="6"/>
  <c r="B177" i="6"/>
  <c r="L177" i="6"/>
  <c r="G177" i="6"/>
  <c r="F177" i="6"/>
  <c r="D177" i="6"/>
  <c r="K177" i="6"/>
  <c r="J177" i="6"/>
  <c r="I177" i="6"/>
  <c r="H177" i="6"/>
  <c r="C177" i="6"/>
  <c r="M177" i="6"/>
  <c r="F73" i="15"/>
  <c r="E73" i="15"/>
  <c r="C73" i="15"/>
  <c r="J73" i="15"/>
  <c r="L73" i="15"/>
  <c r="K73" i="15"/>
  <c r="I73" i="15"/>
  <c r="G73" i="15"/>
  <c r="B73" i="15"/>
  <c r="H73" i="15"/>
  <c r="D73" i="15"/>
  <c r="G122" i="15"/>
  <c r="L122" i="15"/>
  <c r="E122" i="15"/>
  <c r="B122" i="15"/>
  <c r="K122" i="15"/>
  <c r="I122" i="15"/>
  <c r="H122" i="15"/>
  <c r="F122" i="15"/>
  <c r="J122" i="15"/>
  <c r="D122" i="15"/>
  <c r="C122" i="15"/>
  <c r="M132" i="5"/>
  <c r="L132" i="5"/>
  <c r="K132" i="5"/>
  <c r="J132" i="5"/>
  <c r="I132" i="5"/>
  <c r="E132" i="5"/>
  <c r="F132" i="5" s="1"/>
  <c r="D132" i="5"/>
  <c r="B132" i="5"/>
  <c r="C132" i="5"/>
  <c r="O132" i="5"/>
  <c r="N132" i="5"/>
  <c r="H132" i="5"/>
  <c r="G132" i="5"/>
  <c r="G67" i="15"/>
  <c r="F67" i="15"/>
  <c r="E67" i="15"/>
  <c r="D67" i="15"/>
  <c r="C67" i="15"/>
  <c r="K67" i="15"/>
  <c r="H67" i="15"/>
  <c r="B67" i="15"/>
  <c r="I67" i="15"/>
  <c r="L67" i="15"/>
  <c r="J67" i="15"/>
  <c r="G113" i="15"/>
  <c r="C113" i="15"/>
  <c r="B113" i="15"/>
  <c r="L113" i="15"/>
  <c r="K113" i="15"/>
  <c r="I113" i="15"/>
  <c r="H113" i="15"/>
  <c r="F113" i="15"/>
  <c r="E113" i="15"/>
  <c r="D113" i="15"/>
  <c r="J113" i="15"/>
  <c r="G6" i="5"/>
  <c r="E6" i="5"/>
  <c r="F6" i="5" s="1"/>
  <c r="D6" i="5"/>
  <c r="N6" i="5"/>
  <c r="B6" i="5"/>
  <c r="K6" i="5"/>
  <c r="J6" i="5"/>
  <c r="I6" i="5"/>
  <c r="O6" i="5"/>
  <c r="M6" i="5"/>
  <c r="L6" i="5"/>
  <c r="H6" i="5"/>
  <c r="C6" i="5"/>
  <c r="G3" i="5"/>
  <c r="E3" i="5"/>
  <c r="F3" i="5" s="1"/>
  <c r="D3" i="5"/>
  <c r="N3" i="5"/>
  <c r="B3" i="5"/>
  <c r="K3" i="5"/>
  <c r="J3" i="5"/>
  <c r="I3" i="5"/>
  <c r="O3" i="5"/>
  <c r="M3" i="5"/>
  <c r="L3" i="5"/>
  <c r="H3" i="5"/>
  <c r="C3" i="5"/>
  <c r="K20" i="6"/>
  <c r="J20" i="6"/>
  <c r="I20" i="6"/>
  <c r="E20" i="6"/>
  <c r="L20" i="6"/>
  <c r="H20" i="6"/>
  <c r="G20" i="6"/>
  <c r="F20" i="6"/>
  <c r="D20" i="6"/>
  <c r="N20" i="6"/>
  <c r="M20" i="6"/>
  <c r="C20" i="6"/>
  <c r="B20" i="6"/>
  <c r="N53" i="5"/>
  <c r="K53" i="5"/>
  <c r="J53" i="5"/>
  <c r="I53" i="5"/>
  <c r="H53" i="5"/>
  <c r="C53" i="5"/>
  <c r="O53" i="5"/>
  <c r="B53" i="5"/>
  <c r="M53" i="5"/>
  <c r="L53" i="5"/>
  <c r="G53" i="5"/>
  <c r="E53" i="5"/>
  <c r="F53" i="5" s="1"/>
  <c r="D53" i="5"/>
  <c r="C101" i="6"/>
  <c r="M101" i="6"/>
  <c r="K101" i="6"/>
  <c r="G101" i="6"/>
  <c r="B101" i="6"/>
  <c r="I101" i="6"/>
  <c r="N101" i="6"/>
  <c r="L101" i="6"/>
  <c r="J101" i="6"/>
  <c r="H101" i="6"/>
  <c r="D101" i="6"/>
  <c r="F101" i="6"/>
  <c r="E101" i="6"/>
  <c r="C65" i="6"/>
  <c r="M65" i="6"/>
  <c r="G65" i="6"/>
  <c r="N65" i="6"/>
  <c r="L65" i="6"/>
  <c r="K65" i="6"/>
  <c r="F65" i="6"/>
  <c r="J65" i="6"/>
  <c r="I65" i="6"/>
  <c r="H65" i="6"/>
  <c r="E65" i="6"/>
  <c r="D65" i="6"/>
  <c r="B65" i="6"/>
  <c r="J93" i="15"/>
  <c r="I93" i="15"/>
  <c r="H93" i="15"/>
  <c r="G93" i="15"/>
  <c r="E93" i="15"/>
  <c r="B93" i="15"/>
  <c r="K93" i="15"/>
  <c r="D93" i="15"/>
  <c r="L93" i="15"/>
  <c r="F93" i="15"/>
  <c r="C93" i="15"/>
  <c r="L137" i="15"/>
  <c r="G137" i="15"/>
  <c r="F137" i="15"/>
  <c r="K137" i="15"/>
  <c r="J137" i="15"/>
  <c r="H137" i="15"/>
  <c r="C137" i="15"/>
  <c r="I137" i="15"/>
  <c r="E137" i="15"/>
  <c r="B137" i="15"/>
  <c r="D137" i="15"/>
  <c r="L58" i="6"/>
  <c r="J58" i="6"/>
  <c r="D58" i="6"/>
  <c r="N58" i="6"/>
  <c r="M58" i="6"/>
  <c r="K58" i="6"/>
  <c r="I58" i="6"/>
  <c r="E58" i="6"/>
  <c r="H58" i="6"/>
  <c r="G58" i="6"/>
  <c r="F58" i="6"/>
  <c r="C58" i="6"/>
  <c r="B58" i="6"/>
  <c r="H133" i="15"/>
  <c r="B133" i="15"/>
  <c r="E133" i="15"/>
  <c r="D133" i="15"/>
  <c r="C133" i="15"/>
  <c r="K133" i="15"/>
  <c r="J133" i="15"/>
  <c r="I133" i="15"/>
  <c r="L133" i="15"/>
  <c r="G133" i="15"/>
  <c r="F133" i="15"/>
  <c r="H180" i="6"/>
  <c r="G180" i="6"/>
  <c r="E180" i="6"/>
  <c r="B180" i="6"/>
  <c r="N180" i="6"/>
  <c r="I180" i="6"/>
  <c r="F180" i="6"/>
  <c r="C180" i="6"/>
  <c r="L180" i="6"/>
  <c r="K180" i="6"/>
  <c r="M180" i="6"/>
  <c r="J180" i="6"/>
  <c r="D180" i="6"/>
  <c r="K84" i="5"/>
  <c r="J84" i="5"/>
  <c r="I84" i="5"/>
  <c r="E84" i="5"/>
  <c r="F84" i="5" s="1"/>
  <c r="D84" i="5"/>
  <c r="L84" i="5"/>
  <c r="H84" i="5"/>
  <c r="G84" i="5"/>
  <c r="B84" i="5"/>
  <c r="O84" i="5"/>
  <c r="N84" i="5"/>
  <c r="M84" i="5"/>
  <c r="C84" i="5"/>
  <c r="H157" i="6"/>
  <c r="L157" i="6"/>
  <c r="K157" i="6"/>
  <c r="M157" i="6"/>
  <c r="I157" i="6"/>
  <c r="D157" i="6"/>
  <c r="C157" i="6"/>
  <c r="B157" i="6"/>
  <c r="N157" i="6"/>
  <c r="J157" i="6"/>
  <c r="G157" i="6"/>
  <c r="F157" i="6"/>
  <c r="E157" i="6"/>
  <c r="C61" i="6"/>
  <c r="M61" i="6"/>
  <c r="G61" i="6"/>
  <c r="N61" i="6"/>
  <c r="L61" i="6"/>
  <c r="K61" i="6"/>
  <c r="J61" i="6"/>
  <c r="E61" i="6"/>
  <c r="D61" i="6"/>
  <c r="B61" i="6"/>
  <c r="I61" i="6"/>
  <c r="F61" i="6"/>
  <c r="H61" i="6"/>
  <c r="F181" i="15"/>
  <c r="D181" i="15"/>
  <c r="L181" i="15"/>
  <c r="K181" i="15"/>
  <c r="E181" i="15"/>
  <c r="G181" i="15"/>
  <c r="J181" i="15"/>
  <c r="H181" i="15"/>
  <c r="I181" i="15"/>
  <c r="C181" i="15"/>
  <c r="B181" i="15"/>
  <c r="K36" i="6"/>
  <c r="J36" i="6"/>
  <c r="I36" i="6"/>
  <c r="E36" i="6"/>
  <c r="N36" i="6"/>
  <c r="M36" i="6"/>
  <c r="L36" i="6"/>
  <c r="D36" i="6"/>
  <c r="C36" i="6"/>
  <c r="G36" i="6"/>
  <c r="F36" i="6"/>
  <c r="B36" i="6"/>
  <c r="H36" i="6"/>
  <c r="B6" i="15"/>
  <c r="L6" i="15"/>
  <c r="K6" i="15"/>
  <c r="J6" i="15"/>
  <c r="I6" i="15"/>
  <c r="H6" i="15"/>
  <c r="F6" i="15"/>
  <c r="D6" i="15"/>
  <c r="G6" i="15"/>
  <c r="E6" i="15"/>
  <c r="C6" i="15"/>
  <c r="E227" i="5"/>
  <c r="F227" i="5" s="1"/>
  <c r="D227" i="5"/>
  <c r="O227" i="5"/>
  <c r="C227" i="5"/>
  <c r="N227" i="5"/>
  <c r="B227" i="5"/>
  <c r="M227" i="5"/>
  <c r="I227" i="5"/>
  <c r="H227" i="5"/>
  <c r="L227" i="5"/>
  <c r="K227" i="5"/>
  <c r="J227" i="5"/>
  <c r="G227" i="5"/>
  <c r="L54" i="6"/>
  <c r="J54" i="6"/>
  <c r="D54" i="6"/>
  <c r="M54" i="6"/>
  <c r="K54" i="6"/>
  <c r="I54" i="6"/>
  <c r="H54" i="6"/>
  <c r="C54" i="6"/>
  <c r="E54" i="6"/>
  <c r="B54" i="6"/>
  <c r="N54" i="6"/>
  <c r="F54" i="6"/>
  <c r="G54" i="6"/>
  <c r="E158" i="5"/>
  <c r="F158" i="5" s="1"/>
  <c r="D158" i="5"/>
  <c r="O158" i="5"/>
  <c r="C158" i="5"/>
  <c r="N158" i="5"/>
  <c r="B158" i="5"/>
  <c r="M158" i="5"/>
  <c r="I158" i="5"/>
  <c r="H158" i="5"/>
  <c r="L158" i="5"/>
  <c r="K158" i="5"/>
  <c r="J158" i="5"/>
  <c r="G158" i="5"/>
  <c r="H66" i="15"/>
  <c r="G66" i="15"/>
  <c r="F66" i="15"/>
  <c r="E66" i="15"/>
  <c r="B66" i="15"/>
  <c r="L66" i="15"/>
  <c r="K66" i="15"/>
  <c r="J66" i="15"/>
  <c r="I66" i="15"/>
  <c r="C66" i="15"/>
  <c r="D66" i="15"/>
  <c r="I82" i="15"/>
  <c r="H82" i="15"/>
  <c r="G82" i="15"/>
  <c r="F82" i="15"/>
  <c r="D82" i="15"/>
  <c r="E82" i="15"/>
  <c r="C82" i="15"/>
  <c r="B82" i="15"/>
  <c r="K82" i="15"/>
  <c r="L82" i="15"/>
  <c r="J82" i="15"/>
  <c r="M222" i="5"/>
  <c r="L222" i="5"/>
  <c r="K222" i="5"/>
  <c r="J222" i="5"/>
  <c r="I222" i="5"/>
  <c r="E222" i="5"/>
  <c r="F222" i="5" s="1"/>
  <c r="D222" i="5"/>
  <c r="O222" i="5"/>
  <c r="N222" i="5"/>
  <c r="H222" i="5"/>
  <c r="G222" i="5"/>
  <c r="C222" i="5"/>
  <c r="B222" i="5"/>
  <c r="M150" i="5"/>
  <c r="L150" i="5"/>
  <c r="K150" i="5"/>
  <c r="J150" i="5"/>
  <c r="I150" i="5"/>
  <c r="E150" i="5"/>
  <c r="F150" i="5" s="1"/>
  <c r="D150" i="5"/>
  <c r="O150" i="5"/>
  <c r="N150" i="5"/>
  <c r="H150" i="5"/>
  <c r="G150" i="5"/>
  <c r="C150" i="5"/>
  <c r="B150" i="5"/>
  <c r="H41" i="15"/>
  <c r="G41" i="15"/>
  <c r="F41" i="15"/>
  <c r="C41" i="15"/>
  <c r="J41" i="15"/>
  <c r="I41" i="15"/>
  <c r="E41" i="15"/>
  <c r="D41" i="15"/>
  <c r="B41" i="15"/>
  <c r="L41" i="15"/>
  <c r="K41" i="15"/>
  <c r="B35" i="15"/>
  <c r="L35" i="15"/>
  <c r="I35" i="15"/>
  <c r="G35" i="15"/>
  <c r="H35" i="15"/>
  <c r="F35" i="15"/>
  <c r="E35" i="15"/>
  <c r="D35" i="15"/>
  <c r="C35" i="15"/>
  <c r="K35" i="15"/>
  <c r="J35" i="15"/>
  <c r="H188" i="6"/>
  <c r="G188" i="6"/>
  <c r="E188" i="6"/>
  <c r="I188" i="6"/>
  <c r="C188" i="6"/>
  <c r="M188" i="6"/>
  <c r="L188" i="6"/>
  <c r="K188" i="6"/>
  <c r="B188" i="6"/>
  <c r="D188" i="6"/>
  <c r="J188" i="6"/>
  <c r="F188" i="6"/>
  <c r="N188" i="6"/>
  <c r="E200" i="5"/>
  <c r="F200" i="5" s="1"/>
  <c r="D200" i="5"/>
  <c r="O200" i="5"/>
  <c r="C200" i="5"/>
  <c r="N200" i="5"/>
  <c r="B200" i="5"/>
  <c r="M200" i="5"/>
  <c r="I200" i="5"/>
  <c r="H200" i="5"/>
  <c r="L200" i="5"/>
  <c r="K200" i="5"/>
  <c r="J200" i="5"/>
  <c r="G200" i="5"/>
  <c r="E115" i="15"/>
  <c r="C115" i="15"/>
  <c r="B115" i="15"/>
  <c r="L115" i="15"/>
  <c r="K115" i="15"/>
  <c r="I115" i="15"/>
  <c r="H115" i="15"/>
  <c r="J115" i="15"/>
  <c r="G115" i="15"/>
  <c r="F115" i="15"/>
  <c r="D115" i="15"/>
  <c r="E22" i="6"/>
  <c r="D22" i="6"/>
  <c r="C22" i="6"/>
  <c r="K22" i="6"/>
  <c r="N22" i="6"/>
  <c r="M22" i="6"/>
  <c r="L22" i="6"/>
  <c r="J22" i="6"/>
  <c r="F22" i="6"/>
  <c r="B22" i="6"/>
  <c r="H22" i="6"/>
  <c r="I22" i="6"/>
  <c r="G22" i="6"/>
  <c r="I202" i="15"/>
  <c r="G202" i="15"/>
  <c r="C202" i="15"/>
  <c r="D202" i="15"/>
  <c r="H202" i="15"/>
  <c r="F202" i="15"/>
  <c r="E202" i="15"/>
  <c r="B202" i="15"/>
  <c r="L202" i="15"/>
  <c r="J202" i="15"/>
  <c r="K202" i="15"/>
  <c r="J22" i="15"/>
  <c r="I22" i="15"/>
  <c r="H22" i="15"/>
  <c r="G22" i="15"/>
  <c r="F22" i="15"/>
  <c r="E22" i="15"/>
  <c r="D22" i="15"/>
  <c r="B22" i="15"/>
  <c r="L22" i="15"/>
  <c r="K22" i="15"/>
  <c r="C22" i="15"/>
  <c r="K69" i="5"/>
  <c r="J69" i="5"/>
  <c r="I69" i="5"/>
  <c r="E69" i="5"/>
  <c r="F69" i="5" s="1"/>
  <c r="D69" i="5"/>
  <c r="O69" i="5"/>
  <c r="M69" i="5"/>
  <c r="G69" i="5"/>
  <c r="C69" i="5"/>
  <c r="N69" i="5"/>
  <c r="L69" i="5"/>
  <c r="H69" i="5"/>
  <c r="B69" i="5"/>
  <c r="L146" i="1"/>
  <c r="G146" i="1"/>
  <c r="D146" i="1"/>
  <c r="C146" i="1"/>
  <c r="B146" i="1"/>
  <c r="N146" i="1"/>
  <c r="I146" i="1"/>
  <c r="H146" i="1"/>
  <c r="E146" i="1"/>
  <c r="F146" i="1" s="1"/>
  <c r="L130" i="1"/>
  <c r="G130" i="1"/>
  <c r="D130" i="1"/>
  <c r="C130" i="1"/>
  <c r="B130" i="1"/>
  <c r="N130" i="1"/>
  <c r="I130" i="1"/>
  <c r="H130" i="1"/>
  <c r="E130" i="1"/>
  <c r="F130" i="1" s="1"/>
  <c r="D12" i="1"/>
  <c r="B12" i="1"/>
  <c r="N12" i="1"/>
  <c r="I12" i="1"/>
  <c r="E12" i="1"/>
  <c r="F12" i="1" s="1"/>
  <c r="L12" i="1"/>
  <c r="H12" i="1"/>
  <c r="G12" i="1"/>
  <c r="C12" i="1"/>
  <c r="L156" i="1"/>
  <c r="K156" i="1"/>
  <c r="G156" i="1"/>
  <c r="D156" i="1"/>
  <c r="C156" i="1"/>
  <c r="B156" i="1"/>
  <c r="N156" i="1"/>
  <c r="I156" i="1"/>
  <c r="H156" i="1"/>
  <c r="E156" i="1"/>
  <c r="F156" i="1" s="1"/>
  <c r="L87" i="1"/>
  <c r="G87" i="1"/>
  <c r="C87" i="1"/>
  <c r="B87" i="1"/>
  <c r="E87" i="1"/>
  <c r="F87" i="1" s="1"/>
  <c r="I87" i="1"/>
  <c r="H87" i="1"/>
  <c r="N87" i="1"/>
  <c r="K87" i="1"/>
  <c r="D87" i="1"/>
  <c r="L119" i="1"/>
  <c r="K119" i="1"/>
  <c r="G119" i="1"/>
  <c r="D119" i="1"/>
  <c r="C119" i="1"/>
  <c r="B119" i="1"/>
  <c r="E119" i="1"/>
  <c r="F119" i="1" s="1"/>
  <c r="H119" i="1"/>
  <c r="N119" i="1"/>
  <c r="I119" i="1"/>
  <c r="L143" i="1"/>
  <c r="G143" i="1"/>
  <c r="D143" i="1"/>
  <c r="C143" i="1"/>
  <c r="B143" i="1"/>
  <c r="E143" i="1"/>
  <c r="F143" i="1" s="1"/>
  <c r="H143" i="1"/>
  <c r="N143" i="1"/>
  <c r="I143" i="1"/>
  <c r="L167" i="1"/>
  <c r="K167" i="1"/>
  <c r="G167" i="1"/>
  <c r="D167" i="1"/>
  <c r="C167" i="1"/>
  <c r="B167" i="1"/>
  <c r="E167" i="1"/>
  <c r="F167" i="1" s="1"/>
  <c r="H167" i="1"/>
  <c r="N167" i="1"/>
  <c r="I167" i="1"/>
  <c r="E32" i="1"/>
  <c r="F32" i="1" s="1"/>
  <c r="D32" i="1"/>
  <c r="B32" i="1"/>
  <c r="N32" i="1"/>
  <c r="I32" i="1"/>
  <c r="G32" i="1"/>
  <c r="K32" i="1"/>
  <c r="L32" i="1"/>
  <c r="H32" i="1"/>
  <c r="C32" i="1"/>
  <c r="E53" i="1"/>
  <c r="F53" i="1" s="1"/>
  <c r="D53" i="1"/>
  <c r="B53" i="1"/>
  <c r="N53" i="1"/>
  <c r="I53" i="1"/>
  <c r="G53" i="1"/>
  <c r="L53" i="1"/>
  <c r="H53" i="1"/>
  <c r="C53" i="1"/>
  <c r="E65" i="1"/>
  <c r="F65" i="1" s="1"/>
  <c r="D65" i="1"/>
  <c r="B65" i="1"/>
  <c r="N65" i="1"/>
  <c r="I65" i="1"/>
  <c r="G65" i="1"/>
  <c r="L65" i="1"/>
  <c r="K65" i="1"/>
  <c r="H65" i="1"/>
  <c r="C65" i="1"/>
  <c r="E77" i="1"/>
  <c r="F77" i="1" s="1"/>
  <c r="D77" i="1"/>
  <c r="B77" i="1"/>
  <c r="N77" i="1"/>
  <c r="I77" i="1"/>
  <c r="G77" i="1"/>
  <c r="L77" i="1"/>
  <c r="H77" i="1"/>
  <c r="C77" i="1"/>
  <c r="E30" i="1"/>
  <c r="F30" i="1" s="1"/>
  <c r="D30" i="1"/>
  <c r="B30" i="1"/>
  <c r="N30" i="1"/>
  <c r="I30" i="1"/>
  <c r="H30" i="1"/>
  <c r="G30" i="1"/>
  <c r="C30" i="1"/>
  <c r="L30" i="1"/>
  <c r="K30" i="1"/>
  <c r="L101" i="1"/>
  <c r="G101" i="1"/>
  <c r="C101" i="1"/>
  <c r="B101" i="1"/>
  <c r="N101" i="1"/>
  <c r="K101" i="1"/>
  <c r="D101" i="1"/>
  <c r="I101" i="1"/>
  <c r="H101" i="1"/>
  <c r="E101" i="1"/>
  <c r="F101" i="1" s="1"/>
  <c r="E41" i="1"/>
  <c r="F41" i="1" s="1"/>
  <c r="D41" i="1"/>
  <c r="B41" i="1"/>
  <c r="N41" i="1"/>
  <c r="I41" i="1"/>
  <c r="G41" i="1"/>
  <c r="K41" i="1"/>
  <c r="L41" i="1"/>
  <c r="H41" i="1"/>
  <c r="C41" i="1"/>
  <c r="L100" i="1"/>
  <c r="G100" i="1"/>
  <c r="C100" i="1"/>
  <c r="B100" i="1"/>
  <c r="K100" i="1"/>
  <c r="H100" i="1"/>
  <c r="E100" i="1"/>
  <c r="F100" i="1" s="1"/>
  <c r="N100" i="1"/>
  <c r="D100" i="1"/>
  <c r="I100" i="1"/>
  <c r="I112" i="5"/>
  <c r="G112" i="5"/>
  <c r="E112" i="5"/>
  <c r="F112" i="5" s="1"/>
  <c r="M112" i="5"/>
  <c r="L112" i="5"/>
  <c r="H112" i="5"/>
  <c r="D112" i="5"/>
  <c r="C112" i="5"/>
  <c r="B112" i="5"/>
  <c r="O112" i="5"/>
  <c r="N112" i="5"/>
  <c r="K112" i="5"/>
  <c r="J112" i="5"/>
  <c r="K14" i="5"/>
  <c r="J14" i="5"/>
  <c r="I14" i="5"/>
  <c r="H14" i="5"/>
  <c r="O14" i="5"/>
  <c r="C14" i="5"/>
  <c r="N14" i="5"/>
  <c r="B14" i="5"/>
  <c r="M14" i="5"/>
  <c r="L14" i="5"/>
  <c r="G14" i="5"/>
  <c r="E14" i="5"/>
  <c r="F14" i="5" s="1"/>
  <c r="D14" i="5"/>
  <c r="K50" i="5"/>
  <c r="J50" i="5"/>
  <c r="I50" i="5"/>
  <c r="H50" i="5"/>
  <c r="O50" i="5"/>
  <c r="C50" i="5"/>
  <c r="N50" i="5"/>
  <c r="B50" i="5"/>
  <c r="M50" i="5"/>
  <c r="L50" i="5"/>
  <c r="G50" i="5"/>
  <c r="E50" i="5"/>
  <c r="F50" i="5" s="1"/>
  <c r="D50" i="5"/>
  <c r="I130" i="5"/>
  <c r="H130" i="5"/>
  <c r="G130" i="5"/>
  <c r="E130" i="5"/>
  <c r="F130" i="5" s="1"/>
  <c r="M130" i="5"/>
  <c r="L130" i="5"/>
  <c r="N130" i="5"/>
  <c r="J130" i="5"/>
  <c r="B130" i="5"/>
  <c r="K130" i="5"/>
  <c r="D130" i="5"/>
  <c r="C130" i="5"/>
  <c r="O130" i="5"/>
  <c r="C188" i="1"/>
  <c r="L188" i="1"/>
  <c r="H188" i="1"/>
  <c r="G188" i="1"/>
  <c r="E188" i="1"/>
  <c r="F188" i="1" s="1"/>
  <c r="D188" i="1"/>
  <c r="B188" i="1"/>
  <c r="N188" i="1"/>
  <c r="K188" i="1"/>
  <c r="I188" i="1"/>
  <c r="O37" i="5"/>
  <c r="C37" i="5"/>
  <c r="N37" i="5"/>
  <c r="B37" i="5"/>
  <c r="M37" i="5"/>
  <c r="L37" i="5"/>
  <c r="J37" i="5"/>
  <c r="G37" i="5"/>
  <c r="E37" i="5"/>
  <c r="F37" i="5" s="1"/>
  <c r="K37" i="5"/>
  <c r="I37" i="5"/>
  <c r="H37" i="5"/>
  <c r="D37" i="5"/>
  <c r="G73" i="5"/>
  <c r="E73" i="5"/>
  <c r="F73" i="5" s="1"/>
  <c r="M73" i="5"/>
  <c r="L73" i="5"/>
  <c r="N73" i="5"/>
  <c r="K73" i="5"/>
  <c r="J73" i="5"/>
  <c r="I73" i="5"/>
  <c r="D73" i="5"/>
  <c r="O73" i="5"/>
  <c r="H73" i="5"/>
  <c r="C73" i="5"/>
  <c r="B73" i="5"/>
  <c r="G100" i="5"/>
  <c r="E100" i="5"/>
  <c r="F100" i="5" s="1"/>
  <c r="M100" i="5"/>
  <c r="L100" i="5"/>
  <c r="J100" i="5"/>
  <c r="B100" i="5"/>
  <c r="N100" i="5"/>
  <c r="H100" i="5"/>
  <c r="D100" i="5"/>
  <c r="C100" i="5"/>
  <c r="K100" i="5"/>
  <c r="I100" i="5"/>
  <c r="O100" i="5"/>
  <c r="O86" i="5"/>
  <c r="C86" i="5"/>
  <c r="N86" i="5"/>
  <c r="B86" i="5"/>
  <c r="M86" i="5"/>
  <c r="I86" i="5"/>
  <c r="H86" i="5"/>
  <c r="L86" i="5"/>
  <c r="K86" i="5"/>
  <c r="G86" i="5"/>
  <c r="D86" i="5"/>
  <c r="J86" i="5"/>
  <c r="E86" i="5"/>
  <c r="F86" i="5" s="1"/>
  <c r="C222" i="1"/>
  <c r="B222" i="1"/>
  <c r="I222" i="1"/>
  <c r="H222" i="1"/>
  <c r="E222" i="1"/>
  <c r="F222" i="1" s="1"/>
  <c r="D222" i="1"/>
  <c r="N222" i="1"/>
  <c r="L222" i="1"/>
  <c r="G222" i="1"/>
  <c r="I169" i="5"/>
  <c r="H169" i="5"/>
  <c r="G169" i="5"/>
  <c r="E169" i="5"/>
  <c r="F169" i="5" s="1"/>
  <c r="M169" i="5"/>
  <c r="L169" i="5"/>
  <c r="O169" i="5"/>
  <c r="N169" i="5"/>
  <c r="K169" i="5"/>
  <c r="J169" i="5"/>
  <c r="D169" i="5"/>
  <c r="C169" i="5"/>
  <c r="B169" i="5"/>
  <c r="O98" i="5"/>
  <c r="C98" i="5"/>
  <c r="N98" i="5"/>
  <c r="B98" i="5"/>
  <c r="M98" i="5"/>
  <c r="I98" i="5"/>
  <c r="H98" i="5"/>
  <c r="D98" i="5"/>
  <c r="G98" i="5"/>
  <c r="E98" i="5"/>
  <c r="F98" i="5" s="1"/>
  <c r="L98" i="5"/>
  <c r="K98" i="5"/>
  <c r="J98" i="5"/>
  <c r="I47" i="6"/>
  <c r="G47" i="6"/>
  <c r="M47" i="6"/>
  <c r="J47" i="6"/>
  <c r="H47" i="6"/>
  <c r="F47" i="6"/>
  <c r="E47" i="6"/>
  <c r="K47" i="6"/>
  <c r="D47" i="6"/>
  <c r="L47" i="6"/>
  <c r="B47" i="6"/>
  <c r="N47" i="6"/>
  <c r="C47" i="6"/>
  <c r="I178" i="5"/>
  <c r="H178" i="5"/>
  <c r="G178" i="5"/>
  <c r="E178" i="5"/>
  <c r="F178" i="5" s="1"/>
  <c r="M178" i="5"/>
  <c r="L178" i="5"/>
  <c r="O178" i="5"/>
  <c r="N178" i="5"/>
  <c r="K178" i="5"/>
  <c r="D178" i="5"/>
  <c r="B178" i="5"/>
  <c r="J178" i="5"/>
  <c r="C178" i="5"/>
  <c r="I59" i="6"/>
  <c r="G59" i="6"/>
  <c r="M59" i="6"/>
  <c r="N59" i="6"/>
  <c r="L59" i="6"/>
  <c r="K59" i="6"/>
  <c r="J59" i="6"/>
  <c r="D59" i="6"/>
  <c r="F59" i="6"/>
  <c r="E59" i="6"/>
  <c r="H59" i="6"/>
  <c r="C59" i="6"/>
  <c r="B59" i="6"/>
  <c r="M192" i="5"/>
  <c r="L192" i="5"/>
  <c r="K192" i="5"/>
  <c r="J192" i="5"/>
  <c r="I192" i="5"/>
  <c r="E192" i="5"/>
  <c r="F192" i="5" s="1"/>
  <c r="D192" i="5"/>
  <c r="O192" i="5"/>
  <c r="N192" i="5"/>
  <c r="G192" i="5"/>
  <c r="C192" i="5"/>
  <c r="B192" i="5"/>
  <c r="H192" i="5"/>
  <c r="N123" i="6"/>
  <c r="B123" i="6"/>
  <c r="F123" i="6"/>
  <c r="E123" i="6"/>
  <c r="L123" i="6"/>
  <c r="J123" i="6"/>
  <c r="H123" i="6"/>
  <c r="M123" i="6"/>
  <c r="K123" i="6"/>
  <c r="I123" i="6"/>
  <c r="G123" i="6"/>
  <c r="D123" i="6"/>
  <c r="C123" i="6"/>
  <c r="I71" i="6"/>
  <c r="G71" i="6"/>
  <c r="E71" i="6"/>
  <c r="M71" i="6"/>
  <c r="F71" i="6"/>
  <c r="D71" i="6"/>
  <c r="C71" i="6"/>
  <c r="B71" i="6"/>
  <c r="N71" i="6"/>
  <c r="H71" i="6"/>
  <c r="L71" i="6"/>
  <c r="K71" i="6"/>
  <c r="J71" i="6"/>
  <c r="E134" i="5"/>
  <c r="F134" i="5" s="1"/>
  <c r="D134" i="5"/>
  <c r="O134" i="5"/>
  <c r="C134" i="5"/>
  <c r="N134" i="5"/>
  <c r="B134" i="5"/>
  <c r="M134" i="5"/>
  <c r="I134" i="5"/>
  <c r="H134" i="5"/>
  <c r="L134" i="5"/>
  <c r="J134" i="5"/>
  <c r="K134" i="5"/>
  <c r="G134" i="5"/>
  <c r="H184" i="6"/>
  <c r="G184" i="6"/>
  <c r="E184" i="6"/>
  <c r="D184" i="6"/>
  <c r="K184" i="6"/>
  <c r="J184" i="6"/>
  <c r="L184" i="6"/>
  <c r="F184" i="6"/>
  <c r="B184" i="6"/>
  <c r="N184" i="6"/>
  <c r="M184" i="6"/>
  <c r="I184" i="6"/>
  <c r="C184" i="6"/>
  <c r="N202" i="6"/>
  <c r="B202" i="6"/>
  <c r="M202" i="6"/>
  <c r="K202" i="6"/>
  <c r="L202" i="6"/>
  <c r="F202" i="6"/>
  <c r="E202" i="6"/>
  <c r="I202" i="6"/>
  <c r="G202" i="6"/>
  <c r="C202" i="6"/>
  <c r="J202" i="6"/>
  <c r="D202" i="6"/>
  <c r="H202" i="6"/>
  <c r="K183" i="6"/>
  <c r="J183" i="6"/>
  <c r="H183" i="6"/>
  <c r="D183" i="6"/>
  <c r="I183" i="6"/>
  <c r="G183" i="6"/>
  <c r="C183" i="6"/>
  <c r="M183" i="6"/>
  <c r="N183" i="6"/>
  <c r="L183" i="6"/>
  <c r="F183" i="6"/>
  <c r="B183" i="6"/>
  <c r="E183" i="6"/>
  <c r="B42" i="14"/>
  <c r="Z3" i="13"/>
  <c r="B36" i="14"/>
  <c r="Z193" i="13"/>
  <c r="K147" i="1" s="1"/>
  <c r="Z219" i="13"/>
  <c r="K217" i="1" s="1"/>
  <c r="Z198" i="13"/>
  <c r="Z222" i="13"/>
  <c r="K220" i="1" s="1"/>
  <c r="Z204" i="13"/>
  <c r="K136" i="1" s="1"/>
  <c r="Z226" i="13"/>
  <c r="K224" i="1" s="1"/>
  <c r="Z223" i="13"/>
  <c r="K221" i="1" s="1"/>
  <c r="Z192" i="13"/>
  <c r="K146" i="1" s="1"/>
  <c r="Z191" i="13"/>
  <c r="K145" i="1" s="1"/>
  <c r="Z203" i="13"/>
  <c r="K135" i="1" s="1"/>
  <c r="Z215" i="13"/>
  <c r="K213" i="1" s="1"/>
  <c r="Z189" i="13"/>
  <c r="K143" i="1" s="1"/>
  <c r="Z212" i="13"/>
  <c r="K210" i="1" s="1"/>
  <c r="Z227" i="13"/>
  <c r="K225" i="1" s="1"/>
  <c r="Z228" i="13"/>
  <c r="K226" i="1" s="1"/>
  <c r="Z214" i="13"/>
  <c r="K212" i="1" s="1"/>
  <c r="Z217" i="13"/>
  <c r="K215" i="1" s="1"/>
  <c r="Z209" i="13"/>
  <c r="K141" i="1" s="1"/>
  <c r="Z208" i="13"/>
  <c r="K140" i="1" s="1"/>
  <c r="Z207" i="13"/>
  <c r="K139" i="1" s="1"/>
  <c r="Z220" i="13"/>
  <c r="K218" i="1" s="1"/>
  <c r="Z230" i="13"/>
  <c r="K228" i="1" s="1"/>
  <c r="Z197" i="13"/>
  <c r="K151" i="1" s="1"/>
  <c r="Z213" i="13"/>
  <c r="K211" i="1" s="1"/>
  <c r="Z195" i="13"/>
  <c r="K149" i="1" s="1"/>
  <c r="Z201" i="13"/>
  <c r="K133" i="1" s="1"/>
  <c r="Z232" i="13"/>
  <c r="K230" i="1" s="1"/>
  <c r="Z231" i="13"/>
  <c r="K229" i="1" s="1"/>
  <c r="Z224" i="13"/>
  <c r="K222" i="1" s="1"/>
  <c r="Z200" i="13"/>
  <c r="K232" i="1" s="1"/>
  <c r="Z225" i="13"/>
  <c r="K223" i="1" s="1"/>
  <c r="Z229" i="13"/>
  <c r="K227" i="1" s="1"/>
  <c r="Z216" i="13"/>
  <c r="K214" i="1" s="1"/>
  <c r="Z202" i="13"/>
  <c r="K134" i="1" s="1"/>
  <c r="Z190" i="13"/>
  <c r="K144" i="1" s="1"/>
  <c r="Z218" i="13"/>
  <c r="K216" i="1" s="1"/>
  <c r="Z196" i="13"/>
  <c r="K150" i="1" s="1"/>
  <c r="Z206" i="13"/>
  <c r="K138" i="1" s="1"/>
  <c r="Z221" i="13"/>
  <c r="K219" i="1" s="1"/>
  <c r="Z210" i="13"/>
  <c r="K142" i="1" s="1"/>
  <c r="Z194" i="13"/>
  <c r="K148" i="1" s="1"/>
  <c r="Z205" i="13"/>
  <c r="K137" i="1" s="1"/>
  <c r="Z211" i="13"/>
  <c r="K209" i="1" s="1"/>
  <c r="Z199" i="13"/>
  <c r="K231" i="1" s="1"/>
  <c r="G84" i="15"/>
  <c r="F84" i="15"/>
  <c r="E84" i="15"/>
  <c r="D84" i="15"/>
  <c r="B84" i="15"/>
  <c r="K84" i="15"/>
  <c r="C84" i="15"/>
  <c r="L84" i="15"/>
  <c r="J84" i="15"/>
  <c r="I84" i="15"/>
  <c r="H84" i="15"/>
  <c r="D195" i="15"/>
  <c r="B195" i="15"/>
  <c r="J195" i="15"/>
  <c r="K195" i="15"/>
  <c r="G195" i="15"/>
  <c r="L195" i="15"/>
  <c r="I195" i="15"/>
  <c r="H195" i="15"/>
  <c r="F195" i="15"/>
  <c r="E195" i="15"/>
  <c r="C195" i="15"/>
  <c r="L187" i="15"/>
  <c r="J187" i="15"/>
  <c r="F187" i="15"/>
  <c r="K187" i="15"/>
  <c r="D187" i="15"/>
  <c r="I187" i="15"/>
  <c r="E187" i="15"/>
  <c r="C187" i="15"/>
  <c r="B187" i="15"/>
  <c r="G187" i="15"/>
  <c r="H187" i="15"/>
  <c r="J165" i="15"/>
  <c r="H165" i="15"/>
  <c r="D165" i="15"/>
  <c r="K165" i="15"/>
  <c r="L165" i="15"/>
  <c r="B165" i="15"/>
  <c r="G165" i="15"/>
  <c r="F165" i="15"/>
  <c r="E165" i="15"/>
  <c r="C165" i="15"/>
  <c r="I165" i="15"/>
  <c r="K130" i="15"/>
  <c r="E130" i="15"/>
  <c r="G130" i="15"/>
  <c r="B130" i="15"/>
  <c r="L130" i="15"/>
  <c r="I130" i="15"/>
  <c r="H130" i="15"/>
  <c r="J130" i="15"/>
  <c r="F130" i="15"/>
  <c r="D130" i="15"/>
  <c r="C130" i="15"/>
  <c r="B27" i="14"/>
  <c r="Z63" i="13"/>
  <c r="K86" i="1" s="1"/>
  <c r="Z13" i="13"/>
  <c r="K77" i="1" s="1"/>
  <c r="Z154" i="13"/>
  <c r="K204" i="1" s="1"/>
  <c r="B28" i="14"/>
  <c r="Z150" i="13"/>
  <c r="K197" i="1" s="1"/>
  <c r="Z140" i="13"/>
  <c r="K173" i="1" s="1"/>
  <c r="Z22" i="13"/>
  <c r="K132" i="1" s="1"/>
  <c r="Z15" i="13"/>
  <c r="K84" i="1" s="1"/>
  <c r="Z26" i="13"/>
  <c r="K165" i="1" s="1"/>
  <c r="Z78" i="13"/>
  <c r="K170" i="1" s="1"/>
  <c r="Z103" i="13"/>
  <c r="K23" i="1" s="1"/>
  <c r="Z96" i="13"/>
  <c r="K11" i="1" s="1"/>
  <c r="Z163" i="13"/>
  <c r="K36" i="1" s="1"/>
  <c r="D29" i="14"/>
  <c r="B29" i="14"/>
  <c r="Z161" i="13"/>
  <c r="K12" i="1" s="1"/>
  <c r="Z40" i="13"/>
  <c r="K16" i="1" s="1"/>
  <c r="Z124" i="13"/>
  <c r="K90" i="1" s="1"/>
  <c r="Z184" i="13"/>
  <c r="K157" i="1" s="1"/>
  <c r="Z125" i="13"/>
  <c r="K97" i="1" s="1"/>
  <c r="Z183" i="13"/>
  <c r="K129" i="1" s="1"/>
  <c r="Z12" i="13"/>
  <c r="K73" i="1" s="1"/>
  <c r="J51" i="15"/>
  <c r="I51" i="15"/>
  <c r="H51" i="15"/>
  <c r="E51" i="15"/>
  <c r="C51" i="15"/>
  <c r="L51" i="15"/>
  <c r="K51" i="15"/>
  <c r="G51" i="15"/>
  <c r="F51" i="15"/>
  <c r="B51" i="15"/>
  <c r="D51" i="15"/>
  <c r="H37" i="6"/>
  <c r="G37" i="6"/>
  <c r="F37" i="6"/>
  <c r="N37" i="6"/>
  <c r="B37" i="6"/>
  <c r="M37" i="6"/>
  <c r="I37" i="6"/>
  <c r="E37" i="6"/>
  <c r="L37" i="6"/>
  <c r="K37" i="6"/>
  <c r="D37" i="6"/>
  <c r="J37" i="6"/>
  <c r="C37" i="6"/>
  <c r="G27" i="5"/>
  <c r="E27" i="5"/>
  <c r="F27" i="5" s="1"/>
  <c r="D27" i="5"/>
  <c r="N27" i="5"/>
  <c r="B27" i="5"/>
  <c r="K27" i="5"/>
  <c r="J27" i="5"/>
  <c r="I27" i="5"/>
  <c r="O27" i="5"/>
  <c r="M27" i="5"/>
  <c r="L27" i="5"/>
  <c r="H27" i="5"/>
  <c r="C27" i="5"/>
  <c r="F205" i="15"/>
  <c r="D205" i="15"/>
  <c r="L205" i="15"/>
  <c r="K205" i="15"/>
  <c r="E205" i="15"/>
  <c r="G205" i="15"/>
  <c r="J205" i="15"/>
  <c r="I205" i="15"/>
  <c r="H205" i="15"/>
  <c r="C205" i="15"/>
  <c r="B205" i="15"/>
  <c r="D75" i="15"/>
  <c r="C75" i="15"/>
  <c r="K75" i="15"/>
  <c r="H75" i="15"/>
  <c r="I75" i="15"/>
  <c r="G75" i="15"/>
  <c r="F75" i="15"/>
  <c r="E75" i="15"/>
  <c r="B75" i="15"/>
  <c r="J75" i="15"/>
  <c r="L75" i="15"/>
  <c r="L36" i="15"/>
  <c r="K36" i="15"/>
  <c r="H36" i="15"/>
  <c r="F36" i="15"/>
  <c r="J36" i="15"/>
  <c r="I36" i="15"/>
  <c r="G36" i="15"/>
  <c r="E36" i="15"/>
  <c r="D36" i="15"/>
  <c r="B36" i="15"/>
  <c r="C36" i="15"/>
  <c r="K81" i="5"/>
  <c r="J81" i="5"/>
  <c r="I81" i="5"/>
  <c r="E81" i="5"/>
  <c r="F81" i="5" s="1"/>
  <c r="D81" i="5"/>
  <c r="O81" i="5"/>
  <c r="M81" i="5"/>
  <c r="G81" i="5"/>
  <c r="C81" i="5"/>
  <c r="N81" i="5"/>
  <c r="L81" i="5"/>
  <c r="H81" i="5"/>
  <c r="B81" i="5"/>
  <c r="M120" i="5"/>
  <c r="L120" i="5"/>
  <c r="K120" i="5"/>
  <c r="J120" i="5"/>
  <c r="I120" i="5"/>
  <c r="E120" i="5"/>
  <c r="F120" i="5" s="1"/>
  <c r="D120" i="5"/>
  <c r="N120" i="5"/>
  <c r="G120" i="5"/>
  <c r="O120" i="5"/>
  <c r="H120" i="5"/>
  <c r="C120" i="5"/>
  <c r="B120" i="5"/>
  <c r="L37" i="15"/>
  <c r="K37" i="15"/>
  <c r="J37" i="15"/>
  <c r="G37" i="15"/>
  <c r="E37" i="15"/>
  <c r="B37" i="15"/>
  <c r="H37" i="15"/>
  <c r="C37" i="15"/>
  <c r="F37" i="15"/>
  <c r="D37" i="15"/>
  <c r="I37" i="15"/>
  <c r="G42" i="15"/>
  <c r="F42" i="15"/>
  <c r="E42" i="15"/>
  <c r="B42" i="15"/>
  <c r="L42" i="15"/>
  <c r="K42" i="15"/>
  <c r="J42" i="15"/>
  <c r="I42" i="15"/>
  <c r="H42" i="15"/>
  <c r="C42" i="15"/>
  <c r="D42" i="15"/>
  <c r="K152" i="6"/>
  <c r="C152" i="6"/>
  <c r="N152" i="6"/>
  <c r="B152" i="6"/>
  <c r="I152" i="6"/>
  <c r="G152" i="6"/>
  <c r="E152" i="6"/>
  <c r="L152" i="6"/>
  <c r="J152" i="6"/>
  <c r="H152" i="6"/>
  <c r="F152" i="6"/>
  <c r="M152" i="6"/>
  <c r="D152" i="6"/>
  <c r="M108" i="5"/>
  <c r="K108" i="5"/>
  <c r="J108" i="5"/>
  <c r="I108" i="5"/>
  <c r="E108" i="5"/>
  <c r="F108" i="5" s="1"/>
  <c r="D108" i="5"/>
  <c r="G108" i="5"/>
  <c r="O108" i="5"/>
  <c r="N108" i="5"/>
  <c r="H108" i="5"/>
  <c r="B108" i="5"/>
  <c r="C108" i="5"/>
  <c r="L108" i="5"/>
  <c r="I214" i="15"/>
  <c r="G214" i="15"/>
  <c r="C214" i="15"/>
  <c r="D214" i="15"/>
  <c r="K214" i="15"/>
  <c r="H214" i="15"/>
  <c r="E214" i="15"/>
  <c r="L214" i="15"/>
  <c r="J214" i="15"/>
  <c r="F214" i="15"/>
  <c r="B214" i="15"/>
  <c r="H148" i="15"/>
  <c r="E148" i="15"/>
  <c r="L148" i="15"/>
  <c r="C148" i="15"/>
  <c r="B148" i="15"/>
  <c r="J148" i="15"/>
  <c r="G148" i="15"/>
  <c r="F148" i="15"/>
  <c r="D148" i="15"/>
  <c r="K148" i="15"/>
  <c r="I148" i="15"/>
  <c r="G168" i="15"/>
  <c r="E168" i="15"/>
  <c r="I168" i="15"/>
  <c r="B168" i="15"/>
  <c r="J168" i="15"/>
  <c r="L168" i="15"/>
  <c r="K168" i="15"/>
  <c r="H168" i="15"/>
  <c r="F168" i="15"/>
  <c r="D168" i="15"/>
  <c r="C168" i="15"/>
  <c r="K160" i="6"/>
  <c r="C160" i="6"/>
  <c r="N160" i="6"/>
  <c r="B160" i="6"/>
  <c r="L160" i="6"/>
  <c r="G160" i="6"/>
  <c r="E160" i="6"/>
  <c r="D160" i="6"/>
  <c r="M160" i="6"/>
  <c r="J160" i="6"/>
  <c r="I160" i="6"/>
  <c r="H160" i="6"/>
  <c r="F160" i="6"/>
  <c r="E164" i="5"/>
  <c r="F164" i="5" s="1"/>
  <c r="D164" i="5"/>
  <c r="O164" i="5"/>
  <c r="C164" i="5"/>
  <c r="N164" i="5"/>
  <c r="B164" i="5"/>
  <c r="M164" i="5"/>
  <c r="I164" i="5"/>
  <c r="H164" i="5"/>
  <c r="L164" i="5"/>
  <c r="K164" i="5"/>
  <c r="J164" i="5"/>
  <c r="G164" i="5"/>
  <c r="L152" i="1"/>
  <c r="K152" i="1"/>
  <c r="G152" i="1"/>
  <c r="D152" i="1"/>
  <c r="C152" i="1"/>
  <c r="B152" i="1"/>
  <c r="N152" i="1"/>
  <c r="I152" i="1"/>
  <c r="H152" i="1"/>
  <c r="E152" i="1"/>
  <c r="F152" i="1" s="1"/>
  <c r="L136" i="1"/>
  <c r="G136" i="1"/>
  <c r="D136" i="1"/>
  <c r="C136" i="1"/>
  <c r="B136" i="1"/>
  <c r="N136" i="1"/>
  <c r="I136" i="1"/>
  <c r="H136" i="1"/>
  <c r="E136" i="1"/>
  <c r="F136" i="1" s="1"/>
  <c r="C204" i="1"/>
  <c r="B204" i="1"/>
  <c r="L204" i="1"/>
  <c r="H204" i="1"/>
  <c r="G204" i="1"/>
  <c r="D204" i="1"/>
  <c r="N204" i="1"/>
  <c r="I204" i="1"/>
  <c r="E204" i="1"/>
  <c r="F204" i="1" s="1"/>
  <c r="L162" i="1"/>
  <c r="G162" i="1"/>
  <c r="D162" i="1"/>
  <c r="C162" i="1"/>
  <c r="B162" i="1"/>
  <c r="N162" i="1"/>
  <c r="I162" i="1"/>
  <c r="H162" i="1"/>
  <c r="E162" i="1"/>
  <c r="F162" i="1" s="1"/>
  <c r="L90" i="1"/>
  <c r="G90" i="1"/>
  <c r="C90" i="1"/>
  <c r="B90" i="1"/>
  <c r="E90" i="1"/>
  <c r="F90" i="1" s="1"/>
  <c r="I90" i="1"/>
  <c r="H90" i="1"/>
  <c r="D90" i="1"/>
  <c r="N90" i="1"/>
  <c r="L121" i="1"/>
  <c r="K121" i="1"/>
  <c r="G121" i="1"/>
  <c r="D121" i="1"/>
  <c r="C121" i="1"/>
  <c r="B121" i="1"/>
  <c r="E121" i="1"/>
  <c r="F121" i="1" s="1"/>
  <c r="H121" i="1"/>
  <c r="I121" i="1"/>
  <c r="N121" i="1"/>
  <c r="L145" i="1"/>
  <c r="G145" i="1"/>
  <c r="D145" i="1"/>
  <c r="C145" i="1"/>
  <c r="B145" i="1"/>
  <c r="E145" i="1"/>
  <c r="F145" i="1" s="1"/>
  <c r="H145" i="1"/>
  <c r="I145" i="1"/>
  <c r="N145" i="1"/>
  <c r="L169" i="1"/>
  <c r="K169" i="1"/>
  <c r="G169" i="1"/>
  <c r="D169" i="1"/>
  <c r="C169" i="1"/>
  <c r="B169" i="1"/>
  <c r="E169" i="1"/>
  <c r="F169" i="1" s="1"/>
  <c r="H169" i="1"/>
  <c r="I169" i="1"/>
  <c r="N169" i="1"/>
  <c r="E34" i="1"/>
  <c r="F34" i="1" s="1"/>
  <c r="D34" i="1"/>
  <c r="B34" i="1"/>
  <c r="N34" i="1"/>
  <c r="I34" i="1"/>
  <c r="G34" i="1"/>
  <c r="L34" i="1"/>
  <c r="H34" i="1"/>
  <c r="C34" i="1"/>
  <c r="E54" i="1"/>
  <c r="F54" i="1" s="1"/>
  <c r="D54" i="1"/>
  <c r="B54" i="1"/>
  <c r="N54" i="1"/>
  <c r="I54" i="1"/>
  <c r="G54" i="1"/>
  <c r="H54" i="1"/>
  <c r="C54" i="1"/>
  <c r="L54" i="1"/>
  <c r="E66" i="1"/>
  <c r="F66" i="1" s="1"/>
  <c r="D66" i="1"/>
  <c r="B66" i="1"/>
  <c r="N66" i="1"/>
  <c r="I66" i="1"/>
  <c r="G66" i="1"/>
  <c r="H66" i="1"/>
  <c r="C66" i="1"/>
  <c r="L66" i="1"/>
  <c r="K66" i="1"/>
  <c r="E78" i="1"/>
  <c r="F78" i="1" s="1"/>
  <c r="D78" i="1"/>
  <c r="B78" i="1"/>
  <c r="N78" i="1"/>
  <c r="I78" i="1"/>
  <c r="G78" i="1"/>
  <c r="H78" i="1"/>
  <c r="C78" i="1"/>
  <c r="L78" i="1"/>
  <c r="E33" i="1"/>
  <c r="F33" i="1" s="1"/>
  <c r="D33" i="1"/>
  <c r="B33" i="1"/>
  <c r="N33" i="1"/>
  <c r="I33" i="1"/>
  <c r="G33" i="1"/>
  <c r="H33" i="1"/>
  <c r="C33" i="1"/>
  <c r="K33" i="1"/>
  <c r="L33" i="1"/>
  <c r="L104" i="1"/>
  <c r="G104" i="1"/>
  <c r="C104" i="1"/>
  <c r="B104" i="1"/>
  <c r="N104" i="1"/>
  <c r="D104" i="1"/>
  <c r="E104" i="1"/>
  <c r="F104" i="1" s="1"/>
  <c r="H104" i="1"/>
  <c r="I104" i="1"/>
  <c r="E49" i="1"/>
  <c r="F49" i="1" s="1"/>
  <c r="D49" i="1"/>
  <c r="B49" i="1"/>
  <c r="N49" i="1"/>
  <c r="I49" i="1"/>
  <c r="G49" i="1"/>
  <c r="L49" i="1"/>
  <c r="H49" i="1"/>
  <c r="C49" i="1"/>
  <c r="L103" i="1"/>
  <c r="G103" i="1"/>
  <c r="C103" i="1"/>
  <c r="B103" i="1"/>
  <c r="H103" i="1"/>
  <c r="E103" i="1"/>
  <c r="F103" i="1" s="1"/>
  <c r="N103" i="1"/>
  <c r="I103" i="1"/>
  <c r="D103" i="1"/>
  <c r="C184" i="1"/>
  <c r="H184" i="1"/>
  <c r="G184" i="1"/>
  <c r="D184" i="1"/>
  <c r="B184" i="1"/>
  <c r="N184" i="1"/>
  <c r="L184" i="1"/>
  <c r="K184" i="1"/>
  <c r="I184" i="1"/>
  <c r="E184" i="1"/>
  <c r="F184" i="1" s="1"/>
  <c r="O16" i="5"/>
  <c r="C16" i="5"/>
  <c r="N16" i="5"/>
  <c r="B16" i="5"/>
  <c r="M16" i="5"/>
  <c r="L16" i="5"/>
  <c r="J16" i="5"/>
  <c r="G16" i="5"/>
  <c r="E16" i="5"/>
  <c r="F16" i="5" s="1"/>
  <c r="K16" i="5"/>
  <c r="I16" i="5"/>
  <c r="H16" i="5"/>
  <c r="D16" i="5"/>
  <c r="O52" i="5"/>
  <c r="C52" i="5"/>
  <c r="N52" i="5"/>
  <c r="B52" i="5"/>
  <c r="M52" i="5"/>
  <c r="L52" i="5"/>
  <c r="J52" i="5"/>
  <c r="G52" i="5"/>
  <c r="E52" i="5"/>
  <c r="F52" i="5" s="1"/>
  <c r="K52" i="5"/>
  <c r="I52" i="5"/>
  <c r="H52" i="5"/>
  <c r="D52" i="5"/>
  <c r="E110" i="5"/>
  <c r="F110" i="5" s="1"/>
  <c r="O110" i="5"/>
  <c r="C110" i="5"/>
  <c r="N110" i="5"/>
  <c r="B110" i="5"/>
  <c r="M110" i="5"/>
  <c r="I110" i="5"/>
  <c r="H110" i="5"/>
  <c r="J110" i="5"/>
  <c r="L110" i="5"/>
  <c r="K110" i="5"/>
  <c r="G110" i="5"/>
  <c r="D110" i="5"/>
  <c r="K5" i="5"/>
  <c r="J5" i="5"/>
  <c r="I5" i="5"/>
  <c r="H5" i="5"/>
  <c r="O5" i="5"/>
  <c r="C5" i="5"/>
  <c r="N5" i="5"/>
  <c r="B5" i="5"/>
  <c r="M5" i="5"/>
  <c r="L5" i="5"/>
  <c r="G5" i="5"/>
  <c r="E5" i="5"/>
  <c r="F5" i="5" s="1"/>
  <c r="D5" i="5"/>
  <c r="K41" i="5"/>
  <c r="J41" i="5"/>
  <c r="I41" i="5"/>
  <c r="H41" i="5"/>
  <c r="O41" i="5"/>
  <c r="C41" i="5"/>
  <c r="N41" i="5"/>
  <c r="B41" i="5"/>
  <c r="M41" i="5"/>
  <c r="L41" i="5"/>
  <c r="G41" i="5"/>
  <c r="E41" i="5"/>
  <c r="F41" i="5" s="1"/>
  <c r="D41" i="5"/>
  <c r="G79" i="5"/>
  <c r="E79" i="5"/>
  <c r="F79" i="5" s="1"/>
  <c r="M79" i="5"/>
  <c r="L79" i="5"/>
  <c r="N79" i="5"/>
  <c r="K79" i="5"/>
  <c r="J79" i="5"/>
  <c r="I79" i="5"/>
  <c r="D79" i="5"/>
  <c r="O79" i="5"/>
  <c r="H79" i="5"/>
  <c r="C79" i="5"/>
  <c r="B79" i="5"/>
  <c r="I124" i="5"/>
  <c r="H124" i="5"/>
  <c r="G124" i="5"/>
  <c r="E124" i="5"/>
  <c r="F124" i="5" s="1"/>
  <c r="M124" i="5"/>
  <c r="L124" i="5"/>
  <c r="J124" i="5"/>
  <c r="C124" i="5"/>
  <c r="N124" i="5"/>
  <c r="B124" i="5"/>
  <c r="O124" i="5"/>
  <c r="K124" i="5"/>
  <c r="D124" i="5"/>
  <c r="O92" i="5"/>
  <c r="C92" i="5"/>
  <c r="N92" i="5"/>
  <c r="B92" i="5"/>
  <c r="M92" i="5"/>
  <c r="I92" i="5"/>
  <c r="H92" i="5"/>
  <c r="L92" i="5"/>
  <c r="K92" i="5"/>
  <c r="G92" i="5"/>
  <c r="D92" i="5"/>
  <c r="J92" i="5"/>
  <c r="E92" i="5"/>
  <c r="F92" i="5" s="1"/>
  <c r="C223" i="1"/>
  <c r="B223" i="1"/>
  <c r="N223" i="1"/>
  <c r="L223" i="1"/>
  <c r="H223" i="1"/>
  <c r="G223" i="1"/>
  <c r="E223" i="1"/>
  <c r="F223" i="1" s="1"/>
  <c r="D223" i="1"/>
  <c r="I223" i="1"/>
  <c r="I196" i="5"/>
  <c r="H196" i="5"/>
  <c r="G196" i="5"/>
  <c r="E196" i="5"/>
  <c r="F196" i="5" s="1"/>
  <c r="M196" i="5"/>
  <c r="L196" i="5"/>
  <c r="J196" i="5"/>
  <c r="D196" i="5"/>
  <c r="C196" i="5"/>
  <c r="B196" i="5"/>
  <c r="O196" i="5"/>
  <c r="N196" i="5"/>
  <c r="K196" i="5"/>
  <c r="E107" i="5"/>
  <c r="F107" i="5" s="1"/>
  <c r="O107" i="5"/>
  <c r="C107" i="5"/>
  <c r="N107" i="5"/>
  <c r="B107" i="5"/>
  <c r="M107" i="5"/>
  <c r="I107" i="5"/>
  <c r="H107" i="5"/>
  <c r="J107" i="5"/>
  <c r="G107" i="5"/>
  <c r="D107" i="5"/>
  <c r="L107" i="5"/>
  <c r="K107" i="5"/>
  <c r="N119" i="6"/>
  <c r="B119" i="6"/>
  <c r="F119" i="6"/>
  <c r="E119" i="6"/>
  <c r="I119" i="6"/>
  <c r="G119" i="6"/>
  <c r="C119" i="6"/>
  <c r="M119" i="6"/>
  <c r="H119" i="6"/>
  <c r="D119" i="6"/>
  <c r="K119" i="6"/>
  <c r="J119" i="6"/>
  <c r="L119" i="6"/>
  <c r="I214" i="5"/>
  <c r="H214" i="5"/>
  <c r="G214" i="5"/>
  <c r="E214" i="5"/>
  <c r="F214" i="5" s="1"/>
  <c r="M214" i="5"/>
  <c r="L214" i="5"/>
  <c r="O214" i="5"/>
  <c r="N214" i="5"/>
  <c r="K214" i="5"/>
  <c r="D214" i="5"/>
  <c r="B214" i="5"/>
  <c r="J214" i="5"/>
  <c r="C214" i="5"/>
  <c r="F72" i="6"/>
  <c r="D72" i="6"/>
  <c r="N72" i="6"/>
  <c r="B72" i="6"/>
  <c r="J72" i="6"/>
  <c r="I72" i="6"/>
  <c r="H72" i="6"/>
  <c r="G72" i="6"/>
  <c r="E72" i="6"/>
  <c r="L72" i="6"/>
  <c r="K72" i="6"/>
  <c r="C72" i="6"/>
  <c r="M72" i="6"/>
  <c r="M195" i="5"/>
  <c r="L195" i="5"/>
  <c r="K195" i="5"/>
  <c r="J195" i="5"/>
  <c r="I195" i="5"/>
  <c r="E195" i="5"/>
  <c r="F195" i="5" s="1"/>
  <c r="D195" i="5"/>
  <c r="O195" i="5"/>
  <c r="H195" i="5"/>
  <c r="C195" i="5"/>
  <c r="N195" i="5"/>
  <c r="B195" i="5"/>
  <c r="G195" i="5"/>
  <c r="N155" i="6"/>
  <c r="B155" i="6"/>
  <c r="F155" i="6"/>
  <c r="E155" i="6"/>
  <c r="L155" i="6"/>
  <c r="J155" i="6"/>
  <c r="H155" i="6"/>
  <c r="I155" i="6"/>
  <c r="G155" i="6"/>
  <c r="D155" i="6"/>
  <c r="C155" i="6"/>
  <c r="M155" i="6"/>
  <c r="K155" i="6"/>
  <c r="I95" i="6"/>
  <c r="G95" i="6"/>
  <c r="E95" i="6"/>
  <c r="M95" i="6"/>
  <c r="F95" i="6"/>
  <c r="D95" i="6"/>
  <c r="C95" i="6"/>
  <c r="B95" i="6"/>
  <c r="N95" i="6"/>
  <c r="H95" i="6"/>
  <c r="K95" i="6"/>
  <c r="L95" i="6"/>
  <c r="J95" i="6"/>
  <c r="E137" i="5"/>
  <c r="F137" i="5" s="1"/>
  <c r="D137" i="5"/>
  <c r="O137" i="5"/>
  <c r="C137" i="5"/>
  <c r="N137" i="5"/>
  <c r="B137" i="5"/>
  <c r="M137" i="5"/>
  <c r="I137" i="5"/>
  <c r="H137" i="5"/>
  <c r="K137" i="5"/>
  <c r="G137" i="5"/>
  <c r="L137" i="5"/>
  <c r="J137" i="5"/>
  <c r="H113" i="6"/>
  <c r="L113" i="6"/>
  <c r="K113" i="6"/>
  <c r="C113" i="6"/>
  <c r="N113" i="6"/>
  <c r="G113" i="6"/>
  <c r="E113" i="6"/>
  <c r="D113" i="6"/>
  <c r="B113" i="6"/>
  <c r="M113" i="6"/>
  <c r="J113" i="6"/>
  <c r="I113" i="6"/>
  <c r="F113" i="6"/>
  <c r="I67" i="6"/>
  <c r="G67" i="6"/>
  <c r="M67" i="6"/>
  <c r="N67" i="6"/>
  <c r="L67" i="6"/>
  <c r="F67" i="6"/>
  <c r="E67" i="6"/>
  <c r="D67" i="6"/>
  <c r="C67" i="6"/>
  <c r="B67" i="6"/>
  <c r="K67" i="6"/>
  <c r="J67" i="6"/>
  <c r="H67" i="6"/>
  <c r="E185" i="6"/>
  <c r="D185" i="6"/>
  <c r="N185" i="6"/>
  <c r="B185" i="6"/>
  <c r="G185" i="6"/>
  <c r="K185" i="6"/>
  <c r="J185" i="6"/>
  <c r="M185" i="6"/>
  <c r="I185" i="6"/>
  <c r="L185" i="6"/>
  <c r="H185" i="6"/>
  <c r="F185" i="6"/>
  <c r="C185" i="6"/>
  <c r="H71" i="15"/>
  <c r="G71" i="15"/>
  <c r="E71" i="15"/>
  <c r="L71" i="15"/>
  <c r="D71" i="15"/>
  <c r="C71" i="15"/>
  <c r="B71" i="15"/>
  <c r="K71" i="15"/>
  <c r="I71" i="15"/>
  <c r="F71" i="15"/>
  <c r="J71" i="15"/>
  <c r="G72" i="15"/>
  <c r="F72" i="15"/>
  <c r="D72" i="15"/>
  <c r="K72" i="15"/>
  <c r="J72" i="15"/>
  <c r="I72" i="15"/>
  <c r="H72" i="15"/>
  <c r="E72" i="15"/>
  <c r="C72" i="15"/>
  <c r="B72" i="15"/>
  <c r="L72" i="15"/>
  <c r="E74" i="15"/>
  <c r="D74" i="15"/>
  <c r="B74" i="15"/>
  <c r="L74" i="15"/>
  <c r="I74" i="15"/>
  <c r="C74" i="15"/>
  <c r="J74" i="15"/>
  <c r="G74" i="15"/>
  <c r="F74" i="15"/>
  <c r="K74" i="15"/>
  <c r="H74" i="15"/>
  <c r="D207" i="15"/>
  <c r="B207" i="15"/>
  <c r="J207" i="15"/>
  <c r="K207" i="15"/>
  <c r="G207" i="15"/>
  <c r="H207" i="15"/>
  <c r="F207" i="15"/>
  <c r="E207" i="15"/>
  <c r="C207" i="15"/>
  <c r="I207" i="15"/>
  <c r="L207" i="15"/>
  <c r="L175" i="15"/>
  <c r="J175" i="15"/>
  <c r="F175" i="15"/>
  <c r="K175" i="15"/>
  <c r="D175" i="15"/>
  <c r="I175" i="15"/>
  <c r="H175" i="15"/>
  <c r="G175" i="15"/>
  <c r="E175" i="15"/>
  <c r="C175" i="15"/>
  <c r="B175" i="15"/>
  <c r="K138" i="15"/>
  <c r="F138" i="15"/>
  <c r="H138" i="15"/>
  <c r="J138" i="15"/>
  <c r="E138" i="15"/>
  <c r="D138" i="15"/>
  <c r="C138" i="15"/>
  <c r="B138" i="15"/>
  <c r="L138" i="15"/>
  <c r="I138" i="15"/>
  <c r="G138" i="15"/>
  <c r="Z30" i="13"/>
  <c r="K183" i="1" s="1"/>
  <c r="C27" i="14"/>
  <c r="Z5" i="13"/>
  <c r="K39" i="1" s="1"/>
  <c r="Z89" i="13"/>
  <c r="K8" i="1" s="1"/>
  <c r="Z47" i="13"/>
  <c r="K29" i="1" s="1"/>
  <c r="Z136" i="13"/>
  <c r="K162" i="1" s="1"/>
  <c r="Z120" i="13"/>
  <c r="K128" i="1" s="1"/>
  <c r="Z148" i="13"/>
  <c r="K195" i="1" s="1"/>
  <c r="Z77" i="13"/>
  <c r="K155" i="1" s="1"/>
  <c r="Z69" i="13"/>
  <c r="K104" i="1" s="1"/>
  <c r="Z53" i="13"/>
  <c r="K48" i="1" s="1"/>
  <c r="Z177" i="13"/>
  <c r="K107" i="1" s="1"/>
  <c r="Z42" i="13"/>
  <c r="K19" i="1" s="1"/>
  <c r="Z14" i="13"/>
  <c r="K80" i="1" s="1"/>
  <c r="Z156" i="13"/>
  <c r="K206" i="1" s="1"/>
  <c r="Z137" i="13"/>
  <c r="K164" i="1" s="1"/>
  <c r="Z19" i="13"/>
  <c r="K111" i="1" s="1"/>
  <c r="Z165" i="13"/>
  <c r="K47" i="1" s="1"/>
  <c r="Z45" i="13"/>
  <c r="K26" i="1" s="1"/>
  <c r="C29" i="14"/>
  <c r="C7" i="16" l="1"/>
  <c r="D7" i="16" s="1"/>
  <c r="G20" i="14"/>
  <c r="G18" i="14"/>
  <c r="G16" i="14"/>
  <c r="G14" i="14"/>
  <c r="G12" i="14"/>
  <c r="F20" i="14"/>
  <c r="F18" i="14"/>
  <c r="F16" i="14"/>
  <c r="F14" i="14"/>
  <c r="F12" i="14"/>
  <c r="E20" i="14"/>
  <c r="E18" i="14"/>
  <c r="E16" i="14"/>
  <c r="E14" i="14"/>
  <c r="E12" i="14"/>
  <c r="D20" i="14"/>
  <c r="D18" i="14"/>
  <c r="D16" i="14"/>
  <c r="D14" i="14"/>
  <c r="D12" i="14"/>
  <c r="B20" i="14"/>
  <c r="B18" i="14"/>
  <c r="B16" i="14"/>
  <c r="B14" i="14"/>
  <c r="B12" i="14"/>
  <c r="G21" i="14"/>
  <c r="G19" i="14"/>
  <c r="G17" i="14"/>
  <c r="G15" i="14"/>
  <c r="G13" i="14"/>
  <c r="E21" i="14"/>
  <c r="E19" i="14"/>
  <c r="E17" i="14"/>
  <c r="E15" i="14"/>
  <c r="E13" i="14"/>
  <c r="F17" i="14"/>
  <c r="C13" i="14"/>
  <c r="D17" i="14"/>
  <c r="B13" i="14"/>
  <c r="F21" i="14"/>
  <c r="C17" i="14"/>
  <c r="C12" i="14"/>
  <c r="D21" i="14"/>
  <c r="B17" i="14"/>
  <c r="C21" i="14"/>
  <c r="C16" i="14"/>
  <c r="B21" i="14"/>
  <c r="F15" i="14"/>
  <c r="C20" i="14"/>
  <c r="D15" i="14"/>
  <c r="F19" i="14"/>
  <c r="C15" i="14"/>
  <c r="B19" i="14"/>
  <c r="F13" i="14"/>
  <c r="D19" i="14"/>
  <c r="C19" i="14"/>
  <c r="C18" i="14"/>
  <c r="B15" i="14"/>
  <c r="C14" i="14"/>
  <c r="D13" i="14"/>
  <c r="C23" i="16"/>
  <c r="K14" i="1"/>
  <c r="C34" i="16" s="1"/>
  <c r="C22" i="16"/>
  <c r="C8" i="16"/>
  <c r="D8" i="16" s="1"/>
  <c r="C24" i="16"/>
  <c r="C21" i="16"/>
  <c r="C16" i="16"/>
  <c r="D16" i="16" s="1"/>
  <c r="C33" i="16" l="1"/>
  <c r="D18" i="16"/>
</calcChain>
</file>

<file path=xl/sharedStrings.xml><?xml version="1.0" encoding="utf-8"?>
<sst xmlns="http://schemas.openxmlformats.org/spreadsheetml/2006/main" count="2673" uniqueCount="701">
  <si>
    <t>Draft Board: go in order, mark every pick in the Pick column. Marked rows cross out.</t>
  </si>
  <si>
    <t>Freeze adjustments once the draft starts: picks attach to board slots, so do not edit Manual Adjustments mid-draft.</t>
  </si>
  <si>
    <t>Overall</t>
  </si>
  <si>
    <t>Pos</t>
  </si>
  <si>
    <t>Pos Rank</t>
  </si>
  <si>
    <t>Player / Defense</t>
  </si>
  <si>
    <t>Adj Rating</t>
  </si>
  <si>
    <t>Tier</t>
  </si>
  <si>
    <t>Draft Score</t>
  </si>
  <si>
    <t>Market ADP</t>
  </si>
  <si>
    <t>Draft Edge</t>
  </si>
  <si>
    <t>Pick</t>
  </si>
  <si>
    <t>Avail Rank</t>
  </si>
  <si>
    <t>2026 Expectation</t>
  </si>
  <si>
    <t>Src</t>
  </si>
  <si>
    <t>Bye</t>
  </si>
  <si>
    <t>League Configuration (Editable)</t>
  </si>
  <si>
    <t>Blue cells are yours to edit. Everything downstream recalculates automatically.</t>
  </si>
  <si>
    <t>League Setting</t>
  </si>
  <si>
    <t>Value</t>
  </si>
  <si>
    <t>Notes</t>
  </si>
  <si>
    <t>Position</t>
  </si>
  <si>
    <t>Calc Repl Rank</t>
  </si>
  <si>
    <t>Override</t>
  </si>
  <si>
    <t>Effective Rank</t>
  </si>
  <si>
    <t>Replacement Points</t>
  </si>
  <si>
    <t>Scarcity Mult</t>
  </si>
  <si>
    <t>Pts Slope</t>
  </si>
  <si>
    <t>Pts Intercept</t>
  </si>
  <si>
    <t>Teams</t>
  </si>
  <si>
    <t>League size.</t>
  </si>
  <si>
    <t>QB</t>
  </si>
  <si>
    <t>Scoring</t>
  </si>
  <si>
    <t>PPR</t>
  </si>
  <si>
    <t>Player model is PPR.</t>
  </si>
  <si>
    <t>RB</t>
  </si>
  <si>
    <t>Starting QB</t>
  </si>
  <si>
    <t>Per team.</t>
  </si>
  <si>
    <t>WR</t>
  </si>
  <si>
    <t>Starting RB</t>
  </si>
  <si>
    <t>TE</t>
  </si>
  <si>
    <t>Starting WR</t>
  </si>
  <si>
    <t>K</t>
  </si>
  <si>
    <t>Starting TE</t>
  </si>
  <si>
    <t>DST</t>
  </si>
  <si>
    <t>Starting FLEX</t>
  </si>
  <si>
    <t>RB/WR/TE.</t>
  </si>
  <si>
    <t>Starting K</t>
  </si>
  <si>
    <t>Projected points = Pts Slope x Adjusted Rating + Pts Intercept (per position). Tune the curve here.</t>
  </si>
  <si>
    <t>Starting DST</t>
  </si>
  <si>
    <t>Bench</t>
  </si>
  <si>
    <t>K Draft Penalty</t>
  </si>
  <si>
    <t>Higher = drafts later.</t>
  </si>
  <si>
    <t>DST Draft Penalty</t>
  </si>
  <si>
    <t>QB 1QB Penalty</t>
  </si>
  <si>
    <t>Set lower in Superflex.</t>
  </si>
  <si>
    <t>DST Gate Start</t>
  </si>
  <si>
    <t>Top DSTs locked to overall 131-140.</t>
  </si>
  <si>
    <t>K Gate Start</t>
  </si>
  <si>
    <t>Top Ks locked to overall 141-150. Keep = DST gate + gate size.</t>
  </si>
  <si>
    <t>Gate Size</t>
  </si>
  <si>
    <t>How many DST/K get gated slots.</t>
  </si>
  <si>
    <t>Skill players (calc)</t>
  </si>
  <si>
    <t>DST count (calc)</t>
  </si>
  <si>
    <t>Manual Injury / Role Adjustments (the only place you tweak players)</t>
  </si>
  <si>
    <t>Player</t>
  </si>
  <si>
    <t>Base Rating</t>
  </si>
  <si>
    <t>Injury Adj</t>
  </si>
  <si>
    <t>Role Adj</t>
  </si>
  <si>
    <t>Other Adj</t>
  </si>
  <si>
    <t>Total Adj</t>
  </si>
  <si>
    <t>News / Reason</t>
  </si>
  <si>
    <t>Last Updated</t>
  </si>
  <si>
    <t>Source</t>
  </si>
  <si>
    <t>2026-08-12</t>
  </si>
  <si>
    <t>Jan 2026 playoff ACL; opens on PUP, return may be as late as December (ESPN). Not draftable in a 10-team league.</t>
  </si>
  <si>
    <t>Camp hamstring issue / missed practice time; temporary downgrade.</t>
  </si>
  <si>
    <t>Season-ending PCL surgery announced 8/1/2026; out for the year (NFL.com).</t>
  </si>
  <si>
    <t>LIVE SOURCE: the one canonical table. Every other tab reads from here.</t>
  </si>
  <si>
    <t>Team</t>
  </si>
  <si>
    <t>Confidence</t>
  </si>
  <si>
    <t>Model Path</t>
  </si>
  <si>
    <t>Why</t>
  </si>
  <si>
    <t>Main Risk</t>
  </si>
  <si>
    <t>Josh Allen</t>
  </si>
  <si>
    <t>BUF</t>
  </si>
  <si>
    <t>A</t>
  </si>
  <si>
    <t>RATE-ADJUSTED VETERAN</t>
  </si>
  <si>
    <t>Elite QB1; weekly top-5 expectation with overall QB1 upside.</t>
  </si>
  <si>
    <t>He produced 22.0 PPR/FP points per game across 17 games. The workload/efficiency profile gives the model a rate-based reason to keep him here. Market price is favorable around ADP 23 versus model overall rank 10.</t>
  </si>
  <si>
    <t>Passing-TD efficiency, rushing volume and supporting-cast health are the main swing factors.</t>
  </si>
  <si>
    <t>https://www.fantasypros.com/nfl/adp/ppr-overall.php</t>
  </si>
  <si>
    <t>Caleb Williams</t>
  </si>
  <si>
    <t>CHI</t>
  </si>
  <si>
    <t>He produced 19.0 PPR/FP points per game across 17 games. The workload/efficiency profile gives the model a rate-based reason to keep him here.</t>
  </si>
  <si>
    <t>ADP proxy — editable; based on positional draft cost</t>
  </si>
  <si>
    <t>Drake Maye</t>
  </si>
  <si>
    <t>NE</t>
  </si>
  <si>
    <t>He produced 21.1 PPR/FP points per game across 17 games. The workload/efficiency profile gives the model a rate-based reason to keep him here.</t>
  </si>
  <si>
    <t>Justin Herbert</t>
  </si>
  <si>
    <t>LAC</t>
  </si>
  <si>
    <t>Strong every-week QB1; frequent top-8 finishes expected.</t>
  </si>
  <si>
    <t>He produced 18.7 PPR/FP points per game across 16 games. The workload/efficiency profile gives the model a rate-based reason to keep him here.</t>
  </si>
  <si>
    <t>Lamar Jackson</t>
  </si>
  <si>
    <t>BAL</t>
  </si>
  <si>
    <t>He produced 17.1 PPR/FP points per game across 13 games. The workload/efficiency profile gives the model a rate-based reason to keep him here.</t>
  </si>
  <si>
    <t>Jalen Hurts</t>
  </si>
  <si>
    <t>PHI</t>
  </si>
  <si>
    <t>He produced 19.1 PPR/FP points per game across 16 games. The workload/efficiency profile gives the model a rate-based reason to keep him here.</t>
  </si>
  <si>
    <t>Patrick Mahomes II</t>
  </si>
  <si>
    <t>KC</t>
  </si>
  <si>
    <t>He produced 21.1 PPR/FP points per game across 14 games. The workload/efficiency profile gives the model a rate-based reason to keep him here.</t>
  </si>
  <si>
    <t>Jayden Daniels</t>
  </si>
  <si>
    <t>WAS</t>
  </si>
  <si>
    <t>B</t>
  </si>
  <si>
    <t>He produced 16.7 PPR/FP points per game across 7 games. The workload/efficiency profile gives the model a rate-based reason to keep him here. Market price is favorable around ADP 78 versus model overall rank 64.</t>
  </si>
  <si>
    <t>Availability/sample risk is elevated after only 7 games; talent is not being punished as heavily as durability.</t>
  </si>
  <si>
    <t>Joe Burrow</t>
  </si>
  <si>
    <t>CIN</t>
  </si>
  <si>
    <t>Low-end QB1/high-end QB2 in a 10-team league; startable most weeks.</t>
  </si>
  <si>
    <t>He produced 17.4 PPR/FP points per game across 8 games. The workload/efficiency profile gives the model a rate-based reason to keep him here. Market price is favorable around ADP 86 versus model overall rank 70.</t>
  </si>
  <si>
    <t>Availability/sample risk is elevated after only 8 games; talent is not being punished as heavily as durability.</t>
  </si>
  <si>
    <t>Matthew Stafford</t>
  </si>
  <si>
    <t>LAR</t>
  </si>
  <si>
    <t>He produced 21.1 PPR/FP points per game across 17 games. The workload/efficiency profile gives the model a rate-based reason to keep him here. Market price is favorable around ADP 94 versus model overall rank 77.</t>
  </si>
  <si>
    <t>Bo Nix</t>
  </si>
  <si>
    <t>DEN</t>
  </si>
  <si>
    <t>He produced 18.6 PPR/FP points per game across 17 games. The workload/efficiency profile gives the model a rate-based reason to keep him here. Market price is favorable around ADP 102 versus model overall rank 79.</t>
  </si>
  <si>
    <t>Dak Prescott</t>
  </si>
  <si>
    <t>DAL</t>
  </si>
  <si>
    <t>He produced 19.0 PPR/FP points per game across 17 games. The workload/efficiency profile gives the model a rate-based reason to keep him here. Market price is favorable around ADP 110 versus model overall rank 82.</t>
  </si>
  <si>
    <t>Trevor Lawrence</t>
  </si>
  <si>
    <t>JAX</t>
  </si>
  <si>
    <t>QB2/streaming tier; useful when matchup and supporting cast line up.</t>
  </si>
  <si>
    <t>He produced 20.6 PPR/FP points per game across 17 games. The workload/efficiency profile gives the model a rate-based reason to keep him here. Market price is favorable around ADP 118 versus model overall rank 87.</t>
  </si>
  <si>
    <t>Brock Purdy</t>
  </si>
  <si>
    <t>SF</t>
  </si>
  <si>
    <t>He produced 20.8 PPR/FP points per game across 9 games. The workload/efficiency profile gives the model a rate-based reason to keep him here. Market price is favorable around ADP 126 versus model overall rank 95.</t>
  </si>
  <si>
    <t>Availability/sample risk is elevated after only 9 games; talent is not being punished as heavily as durability.</t>
  </si>
  <si>
    <t>Jaxson Dart</t>
  </si>
  <si>
    <t>NYG</t>
  </si>
  <si>
    <t>He produced 17.6 PPR/FP points per game across 14 games. The workload/efficiency profile gives the model a rate-based reason to keep him here. Market price is favorable around ADP 134 versus model overall rank 101.</t>
  </si>
  <si>
    <t>Jared Goff</t>
  </si>
  <si>
    <t>DET</t>
  </si>
  <si>
    <t>He produced 17.9 PPR/FP points per game across 17 games. The workload/efficiency profile gives the model a rate-based reason to keep him here. Market price is favorable around ADP 142 versus model overall rank 106.</t>
  </si>
  <si>
    <t>Kyler Murray</t>
  </si>
  <si>
    <t>MIN</t>
  </si>
  <si>
    <t>He produced 16.2 PPR/FP points per game across 5 games. The workload/efficiency profile gives the model a rate-based reason to keep him here. Market price is favorable around ADP 150 versus model overall rank 119.</t>
  </si>
  <si>
    <t>Availability/sample risk is elevated after only 5 games; talent is not being punished as heavily as durability.</t>
  </si>
  <si>
    <t>Jordan Love</t>
  </si>
  <si>
    <t>GB</t>
  </si>
  <si>
    <t>He produced 16.1 PPR/FP points per game across 15 games. The workload/efficiency profile gives the model a rate-based reason to keep him here. Market price is favorable around ADP 158 versus model overall rank 126.</t>
  </si>
  <si>
    <t>Baker Mayfield</t>
  </si>
  <si>
    <t>TB</t>
  </si>
  <si>
    <t>Bench/streaming option; needs matchup, rushing or TD spike weeks.</t>
  </si>
  <si>
    <t>He produced 16.6 PPR/FP points per game across 17 games. The workload/efficiency profile gives the model a rate-based reason to keep him here. Market price is favorable around ADP 166 versus model overall rank 130.</t>
  </si>
  <si>
    <t>Tyler Shough</t>
  </si>
  <si>
    <t>NO</t>
  </si>
  <si>
    <t>He produced 14.9 PPR/FP points per game across 11 games. The workload/efficiency profile gives the model a rate-based reason to keep him here. Market price is favorable around ADP 174 versus model overall rank 144.</t>
  </si>
  <si>
    <t>C.J. Stroud</t>
  </si>
  <si>
    <t>HOU</t>
  </si>
  <si>
    <t>He produced 15.5 PPR/FP points per game across 14 games. The workload/efficiency profile gives the model a rate-based reason to keep him here. Market price is favorable around ADP 182 versus model overall rank 154.</t>
  </si>
  <si>
    <t>Sam Darnold</t>
  </si>
  <si>
    <t>SEA</t>
  </si>
  <si>
    <t>He produced 14.7 PPR/FP points per game across 17 games. The workload/efficiency profile gives the model a rate-based reason to keep him here. Market price is favorable around ADP 190 versus model overall rank 157.</t>
  </si>
  <si>
    <t>Daniel Jones</t>
  </si>
  <si>
    <t>IND</t>
  </si>
  <si>
    <t>He produced 18.0 PPR/FP points per game across 13 games. The workload/efficiency profile gives the model a rate-based reason to keep him here. Market price is favorable around ADP 198 versus model overall rank 158.</t>
  </si>
  <si>
    <t>Malik Willis</t>
  </si>
  <si>
    <t>MIA</t>
  </si>
  <si>
    <t>He produced 12.8 PPR/FP points per game across 4 games. The workload/efficiency profile gives the model a rate-based reason to keep him here. Market price is favorable around ADP 206 versus model overall rank 160.</t>
  </si>
  <si>
    <t>Availability/sample risk is elevated after only 4 games; talent is not being punished as heavily as durability.</t>
  </si>
  <si>
    <t>Bryce Young</t>
  </si>
  <si>
    <t>CAR</t>
  </si>
  <si>
    <t>Deep QB2; waiver-level in a normal 10-team format.</t>
  </si>
  <si>
    <t>He produced 14.3 PPR/FP points per game across 16 games. The workload/efficiency profile gives the model a rate-based reason to keep him here. Market price is favorable around ADP 214 versus model overall rank 163.</t>
  </si>
  <si>
    <t>Cam Ward</t>
  </si>
  <si>
    <t>TEN</t>
  </si>
  <si>
    <t>He produced 11.4 PPR/FP points per game across 17 games. The workload/efficiency profile gives the model a rate-based reason to keep him here. Market price is favorable around ADP 222 versus model overall rank 164.</t>
  </si>
  <si>
    <t>Jacoby Brissett</t>
  </si>
  <si>
    <t>ARI</t>
  </si>
  <si>
    <t>He produced 16.8 PPR/FP points per game across 14 games. The workload/efficiency profile gives the model a rate-based reason to keep him here. Market price is favorable around ADP 230 versus model overall rank 169.</t>
  </si>
  <si>
    <t>Geno Smith</t>
  </si>
  <si>
    <t>NYJ</t>
  </si>
  <si>
    <t>He produced 12.7 PPR/FP points per game across 15 games. The workload/efficiency profile gives the model a rate-based reason to keep him here. Market price is favorable around ADP 238 versus model overall rank 170.</t>
  </si>
  <si>
    <t>Aaron Rodgers</t>
  </si>
  <si>
    <t>PIT</t>
  </si>
  <si>
    <t>He produced 14.6 PPR/FP points per game across 16 games. The workload/efficiency profile gives the model a rate-based reason to keep him here. Market price is favorable around ADP 246 versus model overall rank 172.</t>
  </si>
  <si>
    <t>Tua Tagovailoa</t>
  </si>
  <si>
    <t>ATL</t>
  </si>
  <si>
    <t>He produced 12.5 PPR/FP points per game across 14 games. The workload/efficiency profile gives the model a rate-based reason to keep him here. Market price is favorable around ADP 254 versus model overall rank 183.</t>
  </si>
  <si>
    <t>Kirk Cousins</t>
  </si>
  <si>
    <t>LV</t>
  </si>
  <si>
    <t>He produced 10.9 PPR/FP points per game across 10 games. The workload/efficiency profile gives the model a rate-based reason to keep him here. Market price is favorable around ADP 262 versus model overall rank 188.</t>
  </si>
  <si>
    <t>Deshaun Watson</t>
  </si>
  <si>
    <t>CLE</t>
  </si>
  <si>
    <t>C</t>
  </si>
  <si>
    <t>HISTORY FALLBACK</t>
  </si>
  <si>
    <t>The 2026 opportunity and projection carry most of the grade because detailed 2025 rate data is incomplete. Market price is favorable around ADP 270 versus model overall rank 200.</t>
  </si>
  <si>
    <t>Evidence is thinner than for established veterans, so camp, depth-chart and role news can move the grade materially.</t>
  </si>
  <si>
    <t>Bijan Robinson</t>
  </si>
  <si>
    <t>Elite RB1 and first-round roster anchor with league-winning ceiling.</t>
  </si>
  <si>
    <t>He produced 21.8 PPR/FP points per game across 17 games. The workload/efficiency profile gives the model a rate-based reason to keep him here.</t>
  </si>
  <si>
    <t>Touchdown variance, receiving-role changes and backfield competition are the main downside paths.</t>
  </si>
  <si>
    <t>Jahmyr Gibbs</t>
  </si>
  <si>
    <t>He produced 21.6 PPR/FP points per game across 17 games. The workload/efficiency profile gives the model a rate-based reason to keep him here.</t>
  </si>
  <si>
    <t>Christian McCaffrey</t>
  </si>
  <si>
    <t>He produced 24.5 PPR/FP points per game across 17 games. The workload/efficiency profile gives the model a rate-based reason to keep him here.</t>
  </si>
  <si>
    <t>Jonathan Taylor</t>
  </si>
  <si>
    <t>He produced 21.3 PPR/FP points per game across 17 games. The workload/efficiency profile gives the model a rate-based reason to keep him here.</t>
  </si>
  <si>
    <t>Jeremiyah Love</t>
  </si>
  <si>
    <t>ROOKIE ENGINE</t>
  </si>
  <si>
    <t>Rookie score 98.0, backed by No. 3 draft capital and a 6.73 NFL prospect grade. The 2026 role projection is strong enough to replace missing NFL history.</t>
  </si>
  <si>
    <t>NFL translation and exact weekly role are the main variables; preseason first-team usage can move this rating quickly.</t>
  </si>
  <si>
    <t>Omarion Hampton</t>
  </si>
  <si>
    <t>Strong RB1; weekly top-12 expectation with multi-touchdown ceiling.</t>
  </si>
  <si>
    <t>He produced 15.1 PPR/FP points per game across 9 games. The workload/efficiency profile gives the model a rate-based reason to keep him here.</t>
  </si>
  <si>
    <t>De'Von Achane</t>
  </si>
  <si>
    <t>He produced 20.2 PPR/FP points per game across 16 games. The workload/efficiency profile gives the model a rate-based reason to keep him here.</t>
  </si>
  <si>
    <t>Kenneth Walker III</t>
  </si>
  <si>
    <t>He produced 11.3 PPR/FP points per game across 17 games. The workload/efficiency profile gives the model a rate-based reason to keep him here. Market price is favorable around ADP 31 versus model overall rank 16.</t>
  </si>
  <si>
    <t>James Cook III</t>
  </si>
  <si>
    <t>He produced 17.7 PPR/FP points per game across 17 games. The workload/efficiency profile gives the model a rate-based reason to keep him here.</t>
  </si>
  <si>
    <t>Kyren Williams</t>
  </si>
  <si>
    <t>He produced 15.5 PPR/FP points per game across 17 games. The workload/efficiency profile gives the model a rate-based reason to keep him here. Market price is favorable around ADP 40 versus model overall rank 21.</t>
  </si>
  <si>
    <t>Breece Hall</t>
  </si>
  <si>
    <t>He produced 12.9 PPR/FP points per game across 16 games. The workload/efficiency profile gives the model a rate-based reason to keep him here. Market price is favorable around ADP 44 versus model overall rank 23.</t>
  </si>
  <si>
    <t>Ashton Jeanty</t>
  </si>
  <si>
    <t>He produced 14.4 PPR/FP points per game across 17 games. The workload/efficiency profile gives the model a rate-based reason to keep him here. The market is more aggressive at ADP 13 versus model overall rank 24, so price matters.</t>
  </si>
  <si>
    <t>Price is the biggest risk: the market currently asks you to draft him earlier than the model prefers.</t>
  </si>
  <si>
    <t>Derrick Henry</t>
  </si>
  <si>
    <t>RB2 with RB1 weeks; should be a regular starter.</t>
  </si>
  <si>
    <t>He produced 16.5 PPR/FP points per game across 17 games. The workload/efficiency profile gives the model a rate-based reason to keep him here. Market price is favorable around ADP 52 versus model overall rank 26.</t>
  </si>
  <si>
    <t>Chase Brown</t>
  </si>
  <si>
    <t>He produced 16.7 PPR/FP points per game across 17 games. The workload/efficiency profile gives the model a rate-based reason to keep him here.</t>
  </si>
  <si>
    <t>Josh Jacobs</t>
  </si>
  <si>
    <t>He produced 15.8 PPR/FP points per game across 15 games. The workload/efficiency profile gives the model a rate-based reason to keep him here. Market price is favorable around ADP 61 versus model overall rank 33.</t>
  </si>
  <si>
    <t>Saquon Barkley</t>
  </si>
  <si>
    <t>He produced 14.5 PPR/FP points per game across 16 games. The workload/efficiency profile gives the model a rate-based reason to keep him here. Market price is favorable around ADP 65 versus model overall rank 34.</t>
  </si>
  <si>
    <t>Javonte Williams</t>
  </si>
  <si>
    <t>He produced 15.2 PPR/FP points per game across 16 games. The workload/efficiency profile gives the model a rate-based reason to keep him here. Market price is favorable around ADP 69 versus model overall rank 35.</t>
  </si>
  <si>
    <t>Travis Etienne Jr.</t>
  </si>
  <si>
    <t>He produced 14.9 PPR/FP points per game across 17 games. The workload/efficiency profile gives the model a rate-based reason to keep him here. Market price is favorable around ADP 73 versus model overall rank 39.</t>
  </si>
  <si>
    <t>Cam Skattebo</t>
  </si>
  <si>
    <t>He produced 16.0 PPR/FP points per game across 8 games. The workload/efficiency profile gives the model a rate-based reason to keep him here. Market price is favorable around ADP 78 versus model overall rank 42.</t>
  </si>
  <si>
    <t>D'Andre Swift</t>
  </si>
  <si>
    <t>He produced 14.3 PPR/FP points per game across 16 games. The workload/efficiency profile gives the model a rate-based reason to keep him here. Market price is favorable around ADP 82 versus model overall rank 47.</t>
  </si>
  <si>
    <t>Bucky Irving</t>
  </si>
  <si>
    <t>RB2/FLEX; useful weekly but role and receiving volume matter.</t>
  </si>
  <si>
    <t>He produced 13.8 PPR/FP points per game across 10 games. The workload/efficiency profile gives the model a rate-based reason to keep him here. Market price is favorable around ADP 86 versus model overall rank 48.</t>
  </si>
  <si>
    <t>Quinshon Judkins</t>
  </si>
  <si>
    <t>He produced 12.2 PPR/FP points per game across 14 games. The workload/efficiency profile gives the model a rate-based reason to keep him here. Market price is favorable around ADP 90 versus model overall rank 49.</t>
  </si>
  <si>
    <t>David Montgomery</t>
  </si>
  <si>
    <t>He produced 9.8 PPR/FP points per game across 17 games. The workload/efficiency profile gives the model a rate-based reason to keep him here. Market price is favorable around ADP 94 versus model overall rank 59.</t>
  </si>
  <si>
    <t>TreVeyon Henderson</t>
  </si>
  <si>
    <t>He produced 12.2 PPR/FP points per game across 17 games. The workload/efficiency profile gives the model a rate-based reason to keep him here. Market price is favorable around ADP 99 versus model overall rank 60.</t>
  </si>
  <si>
    <t>Jadarian Price</t>
  </si>
  <si>
    <t>Rookie score 85.6, backed by No. 32 draft capital and a 6.38 NFL prospect grade. The 2026 role projection is strong enough to replace missing NFL history. Market price is favorable around ADP 103 versus model overall rank 66.</t>
  </si>
  <si>
    <t>Jaylen Warren</t>
  </si>
  <si>
    <t>He produced 13.6 PPR/FP points per game across 16 games. The workload/efficiency profile gives the model a rate-based reason to keep him here. Market price is favorable around ADP 107 versus model overall rank 69.</t>
  </si>
  <si>
    <t>Rico Dowdle</t>
  </si>
  <si>
    <t>He produced 12.7 PPR/FP points per game across 17 games. The workload/efficiency profile gives the model a rate-based reason to keep him here. Market price is favorable around ADP 111 versus model overall rank 74.</t>
  </si>
  <si>
    <t>Tony Pollard</t>
  </si>
  <si>
    <t>He produced 10.9 PPR/FP points per game across 17 games. The workload/efficiency profile gives the model a rate-based reason to keep him here. Market price is favorable around ADP 115 versus model overall rank 81.</t>
  </si>
  <si>
    <t>Rhamondre Stevenson</t>
  </si>
  <si>
    <t>He produced 12.8 PPR/FP points per game across 14 games. The workload/efficiency profile gives the model a rate-based reason to keep him here. Market price is favorable around ADP 120 versus model overall rank 84.</t>
  </si>
  <si>
    <t>Kenneth Gainwell</t>
  </si>
  <si>
    <t>He produced 13.0 PPR/FP points per game across 17 games. The workload/efficiency profile gives the model a rate-based reason to keep him here. Market price is favorable around ADP 124 versus model overall rank 86.</t>
  </si>
  <si>
    <t>Bhayshul Tuten</t>
  </si>
  <si>
    <t>FLEX/bench depth with upside if workload grows.</t>
  </si>
  <si>
    <t>He produced 5.9 PPR/FP points per game across 15 games. The workload/efficiency profile gives the model a rate-based reason to keep him here. Market price is favorable around ADP 128 versus model overall rank 89.</t>
  </si>
  <si>
    <t>RJ Harvey</t>
  </si>
  <si>
    <t>He produced 12.2 PPR/FP points per game across 17 games. The workload/efficiency profile gives the model a rate-based reason to keep him here. Market price is favorable around ADP 132 versus model overall rank 96.</t>
  </si>
  <si>
    <t>Kyle Monangai</t>
  </si>
  <si>
    <t>He produced 8.7 PPR/FP points per game across 17 games. The workload/efficiency profile gives the model a rate-based reason to keep him here. Market price is favorable around ADP 136 versus model overall rank 102.</t>
  </si>
  <si>
    <t>Chuba Hubbard</t>
  </si>
  <si>
    <t>He produced 8.4 PPR/FP points per game across 15 games. The workload/efficiency profile gives the model a rate-based reason to keep him here. Market price is favorable around ADP 141 versus model overall rank 107.</t>
  </si>
  <si>
    <t>Aaron Jones Sr.</t>
  </si>
  <si>
    <t>He produced 9.9 PPR/FP points per game across 12 games. The workload/efficiency profile gives the model a rate-based reason to keep him here. Market price is favorable around ADP 145 versus model overall rank 111.</t>
  </si>
  <si>
    <t>J.K. Dobbins</t>
  </si>
  <si>
    <t>He produced 11.6 PPR/FP points per game across 10 games. The workload/efficiency profile gives the model a rate-based reason to keep him here. Market price is favorable around ADP 149 versus model overall rank 113.</t>
  </si>
  <si>
    <t>Blake Corum</t>
  </si>
  <si>
    <t>He produced 7.2 PPR/FP points per game across 17 games. The workload/efficiency profile gives the model a rate-based reason to keep him here. Market price is favorable around ADP 153 versus model overall rank 123.</t>
  </si>
  <si>
    <t>Rachaad White</t>
  </si>
  <si>
    <t>He produced 8.5 PPR/FP points per game across 17 games. The workload/efficiency profile gives the model a rate-based reason to keep him here. Market price is favorable around ADP 157 versus model overall rank 127.</t>
  </si>
  <si>
    <t>Jacory Croskey-Merritt</t>
  </si>
  <si>
    <t>He produced 8.2 PPR/FP points per game across 17 games. The workload/efficiency profile gives the model a rate-based reason to keep him here. Market price is favorable around ADP 162 versus model overall rank 129.</t>
  </si>
  <si>
    <t>Jordan Mason</t>
  </si>
  <si>
    <t>He produced 8.1 PPR/FP points per game across 16 games. The workload/efficiency profile gives the model a rate-based reason to keep him here. Market price is favorable around ADP 166 versus model overall rank 136.</t>
  </si>
  <si>
    <t>Woody Marks</t>
  </si>
  <si>
    <t>Bench stash/handcuff profile; value is tied to role change or injury ahead.</t>
  </si>
  <si>
    <t>He produced 9.4 PPR/FP points per game across 16 games. The workload/efficiency profile gives the model a rate-based reason to keep him here. Market price is favorable around ADP 170 versus model overall rank 143.</t>
  </si>
  <si>
    <t>Chris Rodriguez Jr.</t>
  </si>
  <si>
    <t>He produced 7.0 PPR/FP points per game across 13 games. The workload/efficiency profile gives the model a rate-based reason to keep him here. Market price is favorable around ADP 174 versus model overall rank 147.</t>
  </si>
  <si>
    <t>Tyrone Tracy Jr.</t>
  </si>
  <si>
    <t>He produced 10.7 PPR/FP points per game across 15 games. The workload/efficiency profile gives the model a rate-based reason to keep him here. Market price is favorable around ADP 178 versus model overall rank 149.</t>
  </si>
  <si>
    <t>Tyler Allgeier</t>
  </si>
  <si>
    <t>He produced 7.2 PPR/FP points per game across 17 games. The workload/efficiency profile gives the model a rate-based reason to keep him here. Market price is favorable around ADP 183 versus model overall rank 168.</t>
  </si>
  <si>
    <t>Zach Charbonnet</t>
  </si>
  <si>
    <t>He produced 11.3 PPR/FP points per game across 16 games. The workload/efficiency profile gives the model a rate-based reason to keep him here. Market price is favorable around ADP 187 versus model overall rank 173.</t>
  </si>
  <si>
    <t>Jonathon Brooks</t>
  </si>
  <si>
    <t>The 2026 opportunity and projection carry most of the grade because detailed 2025 rate data is incomplete. Market price is favorable around ADP 191 versus model overall rank 177.</t>
  </si>
  <si>
    <t>Emanuel Wilson</t>
  </si>
  <si>
    <t>He produced 5.6 PPR/FP points per game across 17 games. The workload/efficiency profile gives the model a rate-based reason to keep him here. Market price is favorable around ADP 195 versus model overall rank 180.</t>
  </si>
  <si>
    <t>Isiah Pacheco</t>
  </si>
  <si>
    <t>The 2026 opportunity and projection carry most of the grade because detailed 2025 rate data is incomplete. Market price is favorable around ADP 199 versus model overall rank 187.</t>
  </si>
  <si>
    <t>Alvin Kamara</t>
  </si>
  <si>
    <t>The 2026 opportunity and projection carry most of the grade because detailed 2025 rate data is incomplete. Market price is favorable around ADP 204 versus model overall rank 191.</t>
  </si>
  <si>
    <t>Justice Hill</t>
  </si>
  <si>
    <t>The 2026 opportunity and projection carry most of the grade because detailed 2025 rate data is incomplete.</t>
  </si>
  <si>
    <t>Tyjae Spears</t>
  </si>
  <si>
    <t>ESPN SLOT-IN</t>
  </si>
  <si>
    <t>Added 2026-08-12 from ESPN consensus (RB44).</t>
  </si>
  <si>
    <t>Not in the original model pool; rating interpolated from the players ESPN ranks directly around him, so he sits at his consensus slot on our board.</t>
  </si>
  <si>
    <t>No model projection behind this rating; it is market consensus only. Re-rate manually if you have a strong opinion.</t>
  </si>
  <si>
    <t>ESPN consensus slot-in 2026-08-12</t>
  </si>
  <si>
    <t>Keaton Mitchell</t>
  </si>
  <si>
    <t>Added 2026-08-12 from ESPN consensus (RB46).</t>
  </si>
  <si>
    <t>Ja'Marr Chase</t>
  </si>
  <si>
    <t>Elite WR1 and first-round caliber target with overall WR1 upside.</t>
  </si>
  <si>
    <t>He produced 19.6 PPR/FP points per game across 16 games. The workload/efficiency profile gives the model a rate-based reason to keep him here.</t>
  </si>
  <si>
    <t>Target competition, quarterback efficiency and touchdown regression are the main downside paths.</t>
  </si>
  <si>
    <t>Puka Nacua</t>
  </si>
  <si>
    <t>He produced 23.5 PPR/FP points per game across 16 games. The workload/efficiency profile gives the model a rate-based reason to keep him here.</t>
  </si>
  <si>
    <t>Jaxon Smith-Njigba</t>
  </si>
  <si>
    <t>He produced 21.2 PPR/FP points per game across 17 games. The workload/efficiency profile gives the model a rate-based reason to keep him here.</t>
  </si>
  <si>
    <t>Amon-Ra St. Brown</t>
  </si>
  <si>
    <t>He produced 19.1 PPR/FP points per game across 17 games. The workload/efficiency profile gives the model a rate-based reason to keep him here.</t>
  </si>
  <si>
    <t>A.J. Brown</t>
  </si>
  <si>
    <t>Strong WR2 with top-12 weekly upside.</t>
  </si>
  <si>
    <t>He produced 14.7 PPR/FP points per game across 15 games. The workload/efficiency profile gives the model a rate-based reason to keep him here. The market is more aggressive at ADP 14 versus model overall rank 41, so price matters.</t>
  </si>
  <si>
    <t>CeeDee Lamb</t>
  </si>
  <si>
    <t>Strong WR1; bankable weekly starter with spike-week ceiling.</t>
  </si>
  <si>
    <t>He produced 14.4 PPR/FP points per game across 14 games. The workload/efficiency profile gives the model a rate-based reason to keep him here. The market is more aggressive at ADP 8 versus model overall rank 18, so price matters.</t>
  </si>
  <si>
    <t>Justin Jefferson</t>
  </si>
  <si>
    <t>The 2026 opportunity and projection carry most of the grade because detailed 2025 rate data is incomplete. The market is more aggressive at ADP 9 versus model overall rank 30, so price matters.</t>
  </si>
  <si>
    <t>George Pickens</t>
  </si>
  <si>
    <t>He produced 17.2 PPR/FP points per game across 17 games. The workload/efficiency profile gives the model a rate-based reason to keep him here. The market is more aggressive at ADP 16 versus model overall rank 45, so price matters.</t>
  </si>
  <si>
    <t>Drake London</t>
  </si>
  <si>
    <t>He produced 16.9 PPR/FP points per game across 12 games. The workload/efficiency profile gives the model a rate-based reason to keep him here.</t>
  </si>
  <si>
    <t>Nico Collins</t>
  </si>
  <si>
    <t>He produced 15.0 PPR/FP points per game across 15 games. The workload/efficiency profile gives the model a rate-based reason to keep him here.</t>
  </si>
  <si>
    <t>Rashee Rice</t>
  </si>
  <si>
    <t>He produced 18.7 PPR/FP points per game across 8 games. The workload/efficiency profile gives the model a rate-based reason to keep him here. The market is more aggressive at ADP 22 versus model overall rank 40, so price matters.</t>
  </si>
  <si>
    <t>Chris Olave</t>
  </si>
  <si>
    <t>He produced 16.9 PPR/FP points per game across 16 games. The workload/efficiency profile gives the model a rate-based reason to keep him here.</t>
  </si>
  <si>
    <t>Tetairoa McMillan</t>
  </si>
  <si>
    <t>He produced 12.4 PPR/FP points per game across 17 games. The workload/efficiency profile gives the model a rate-based reason to keep him here. Market price is favorable around ADP 50 versus model overall rank 28.</t>
  </si>
  <si>
    <t>Tee Higgins</t>
  </si>
  <si>
    <t>He produced 14.1 PPR/FP points per game across 15 games. The workload/efficiency profile gives the model a rate-based reason to keep him here. Market price is favorable around ADP 54 versus model overall rank 37.</t>
  </si>
  <si>
    <t>Garrett Wilson</t>
  </si>
  <si>
    <t>He produced 14.2 PPR/FP points per game across 7 games. The workload/efficiency profile gives the model a rate-based reason to keep him here. Market price is favorable around ADP 58 versus model overall rank 31.</t>
  </si>
  <si>
    <t>DeVonta Smith</t>
  </si>
  <si>
    <t>He produced 11.8 PPR/FP points per game across 17 games. The workload/efficiency profile gives the model a rate-based reason to keep him here.</t>
  </si>
  <si>
    <t>Zay Flowers</t>
  </si>
  <si>
    <t>He produced 14.4 PPR/FP points per game across 17 games. The workload/efficiency profile gives the model a rate-based reason to keep him here. Market price is favorable around ADP 65 versus model overall rank 32.</t>
  </si>
  <si>
    <t>Malik Nabers</t>
  </si>
  <si>
    <t>The 2026 opportunity and projection carry most of the grade because detailed 2025 rate data is incomplete. Market price is favorable around ADP 69 versus model overall rank 57.</t>
  </si>
  <si>
    <t>Emeka Egbuka</t>
  </si>
  <si>
    <t>He produced 11.5 PPR/FP points per game across 17 games. The workload/efficiency profile gives the model a rate-based reason to keep him here. Market price is favorable around ADP 73 versus model overall rank 55.</t>
  </si>
  <si>
    <t>Jaylen Waddle</t>
  </si>
  <si>
    <t>He produced 12.1 PPR/FP points per game across 16 games. The workload/efficiency profile gives the model a rate-based reason to keep him here. Market price is favorable around ADP 77 versus model overall rank 52.</t>
  </si>
  <si>
    <t>Terry McLaurin</t>
  </si>
  <si>
    <t>He produced 11.4 PPR/FP points per game across 10 games. The workload/efficiency profile gives the model a rate-based reason to keep him here. Market price is favorable around ADP 81 versus model overall rank 62.</t>
  </si>
  <si>
    <t>Ladd McConkey</t>
  </si>
  <si>
    <t>The 2026 opportunity and projection carry most of the grade because detailed 2025 rate data is incomplete. Market price is favorable around ADP 85 versus model overall rank 51.</t>
  </si>
  <si>
    <t>Davante Adams</t>
  </si>
  <si>
    <t>He produced 15.9 PPR/FP points per game across 14 games. The workload/efficiency profile gives the model a rate-based reason to keep him here. Market price is favorable around ADP 89 versus model overall rank 76.</t>
  </si>
  <si>
    <t>Luther Burden III</t>
  </si>
  <si>
    <t>He produced 8.5 PPR/FP points per game across 15 games. The workload/efficiency profile gives the model a rate-based reason to keep him here. Market price is favorable around ADP 93 versus model overall rank 71.</t>
  </si>
  <si>
    <t>DJ Moore</t>
  </si>
  <si>
    <t>WR2/FLEX; dependable lineup option with matchup-driven ceiling.</t>
  </si>
  <si>
    <t>He produced 10.0 PPR/FP points per game across 17 games. The workload/efficiency profile gives the model a rate-based reason to keep him here.</t>
  </si>
  <si>
    <t>Jameson Williams</t>
  </si>
  <si>
    <t>He produced 12.9 PPR/FP points per game across 17 games. The workload/efficiency profile gives the model a rate-based reason to keep him here.</t>
  </si>
  <si>
    <t>Rome Odunze</t>
  </si>
  <si>
    <t>He produced 12.2 PPR/FP points per game across 12 games. The workload/efficiency profile gives the model a rate-based reason to keep him here.</t>
  </si>
  <si>
    <t>Mike Evans</t>
  </si>
  <si>
    <t>The 2026 opportunity and projection carry most of the grade because detailed 2025 rate data is incomplete. Market price is favorable around ADP 108 versus model overall rank 91.</t>
  </si>
  <si>
    <t>Marvin Harrison Jr.</t>
  </si>
  <si>
    <t>FLEX/bench receiver; needs target growth or efficiency spikes.</t>
  </si>
  <si>
    <t>He produced 10.6 PPR/FP points per game across 12 games. The workload/efficiency profile gives the model a rate-based reason to keep him here.</t>
  </si>
  <si>
    <t>Christian Watson</t>
  </si>
  <si>
    <t>He produced 13.2 PPR/FP points per game across 10 games. The workload/efficiency profile gives the model a rate-based reason to keep him here.</t>
  </si>
  <si>
    <t>Alec Pierce</t>
  </si>
  <si>
    <t>He produced 12.2 PPR/FP points per game across 15 games. The workload/efficiency profile gives the model a rate-based reason to keep him here.</t>
  </si>
  <si>
    <t>DK Metcalf</t>
  </si>
  <si>
    <t>He produced 12.4 PPR/FP points per game across 15 games. The workload/efficiency profile gives the model a rate-based reason to keep him here. The market is more aggressive at ADP 124 versus model overall rank 134, so price matters.</t>
  </si>
  <si>
    <t>Carnell Tate</t>
  </si>
  <si>
    <t>Rookie score 95.1, backed by No. 4 draft capital and a 6.71 NFL prospect grade. The 2026 role projection is strong enough to replace missing NFL history.</t>
  </si>
  <si>
    <t>Courtland Sutton</t>
  </si>
  <si>
    <t>He produced 13.0 PPR/FP points per game across 17 games. The workload/efficiency profile gives the model a rate-based reason to keep him here.</t>
  </si>
  <si>
    <t>Jordyn Tyson</t>
  </si>
  <si>
    <t>Rookie score 92.4, backed by No. 8 draft capital and a 6.43 NFL prospect grade. The 2026 role projection is strong enough to replace missing NFL history. Market price is favorable around ADP 136 versus model overall rank 98.</t>
  </si>
  <si>
    <t>Michael Pittman Jr.</t>
  </si>
  <si>
    <t>He produced 11.9 PPR/FP points per game across 17 games. The workload/efficiency profile gives the model a rate-based reason to keep him here. Market price is favorable around ADP 140 versus model overall rank 105.</t>
  </si>
  <si>
    <t>Jakobi Meyers</t>
  </si>
  <si>
    <t>He produced 11.0 PPR/FP points per game across 16 games. The workload/efficiency profile gives the model a rate-based reason to keep him here. Market price is favorable around ADP 143 versus model overall rank 110.</t>
  </si>
  <si>
    <t>Jordan Addison</t>
  </si>
  <si>
    <t>He produced 9.6 PPR/FP points per game across 14 games. The workload/efficiency profile gives the model a rate-based reason to keep him here. Market price is favorable around ADP 147 versus model overall rank 114.</t>
  </si>
  <si>
    <t>Wan'Dale Robinson</t>
  </si>
  <si>
    <t>He produced 13.7 PPR/FP points per game across 16 games. The workload/efficiency profile gives the model a rate-based reason to keep him here. Market price is favorable around ADP 151 versus model overall rank 118.</t>
  </si>
  <si>
    <t>Brian Thomas Jr.</t>
  </si>
  <si>
    <t>Makai Lemon</t>
  </si>
  <si>
    <t>Rookie score 89.2, backed by No. 20 draft capital and a 6.47 NFL prospect grade. The 2026 role projection is strong enough to replace missing NFL history. Market price is favorable around ADP 159 versus model overall rank 145.</t>
  </si>
  <si>
    <t>Parker Washington</t>
  </si>
  <si>
    <t>He produced 11.5 PPR/FP points per game across 16 games. The workload/efficiency profile gives the model a rate-based reason to keep him here. Market price is favorable around ADP 163 versus model overall rank 133.</t>
  </si>
  <si>
    <t>Chris Godwin Jr.</t>
  </si>
  <si>
    <t>The 2026 opportunity and projection carry most of the grade because detailed 2025 rate data is incomplete. Market price is favorable around ADP 167 versus model overall rank 137.</t>
  </si>
  <si>
    <t>Quentin Johnston</t>
  </si>
  <si>
    <t>He produced 12.2 PPR/FP points per game across 14 games. The workload/efficiency profile gives the model a rate-based reason to keep him here. Market price is favorable around ADP 171 versus model overall rank 142.</t>
  </si>
  <si>
    <t>Ricky Pearsall</t>
  </si>
  <si>
    <t>The 2026 opportunity and projection carry most of the grade because detailed 2025 rate data is incomplete. Market price is favorable around ADP 175 versus model overall rank 150.</t>
  </si>
  <si>
    <t>Michael Wilson</t>
  </si>
  <si>
    <t>He produced 13.0 PPR/FP points per game across 17 games. The workload/efficiency profile gives the model a rate-based reason to keep him here. Market price is favorable around ADP 178 versus model overall rank 153.</t>
  </si>
  <si>
    <t>Xavier Worthy</t>
  </si>
  <si>
    <t>He produced 7.9 PPR/FP points per game across 14 games. The workload/efficiency profile gives the model a rate-based reason to keep him here. Market price is favorable around ADP 182 versus model overall rank 155.</t>
  </si>
  <si>
    <t>Matthew Golden</t>
  </si>
  <si>
    <t>The 2026 opportunity and projection carry most of the grade because detailed 2025 rate data is incomplete. Market price is favorable around ADP 186 versus model overall rank 159.</t>
  </si>
  <si>
    <t>Josh Downs</t>
  </si>
  <si>
    <t>He produced 8.5 PPR/FP points per game across 16 games. The workload/efficiency profile gives the model a rate-based reason to keep him here. Market price is favorable around ADP 190 versus model overall rank 162.</t>
  </si>
  <si>
    <t>Jayden Reed</t>
  </si>
  <si>
    <t>The 2026 opportunity and projection carry most of the grade because detailed 2025 rate data is incomplete. Market price is favorable around ADP 194 versus model overall rank 167.</t>
  </si>
  <si>
    <t>Khalil Shakir</t>
  </si>
  <si>
    <t>Late-round bench upside; role growth is required for weekly relevance.</t>
  </si>
  <si>
    <t>He produced 10.4 PPR/FP points per game across 16 games. The workload/efficiency profile gives the model a rate-based reason to keep him here. Market price is favorable around ADP 198 versus model overall rank 171.</t>
  </si>
  <si>
    <t>Jalin Hyatt</t>
  </si>
  <si>
    <t>The 2026 opportunity and projection carry most of the grade because detailed 2025 rate data is incomplete. Market price is favorable around ADP 202 versus model overall rank 174.</t>
  </si>
  <si>
    <t>Romeo Doubs</t>
  </si>
  <si>
    <t>He produced 10.3 PPR/FP points per game across 16 games. The workload/efficiency profile gives the model a rate-based reason to keep him here. Market price is favorable around ADP 206 versus model overall rank 178.</t>
  </si>
  <si>
    <t>Jalen Coker</t>
  </si>
  <si>
    <t>He produced 8.2 PPR/FP points per game across 11 games. The workload/efficiency profile gives the model a rate-based reason to keep him here. Market price is favorable around ADP 210 versus model overall rank 179.</t>
  </si>
  <si>
    <t>KC Concepcion</t>
  </si>
  <si>
    <t>Rookie score 85.3, backed by No. 24 draft capital and a 6.42 NFL prospect grade. The 2026 role projection is strong enough to replace missing NFL history. Market price is favorable around ADP 214 versus model overall rank 181.</t>
  </si>
  <si>
    <t>Rashid Shaheed</t>
  </si>
  <si>
    <t>He produced 8.7 PPR/FP points per game across 18 games. The workload/efficiency profile gives the model a rate-based reason to keep him here. Market price is favorable around ADP 218 versus model overall rank 184.</t>
  </si>
  <si>
    <t>Calvin Ridley</t>
  </si>
  <si>
    <t>The 2026 opportunity and projection carry most of the grade because detailed 2025 rate data is incomplete. Market price is favorable around ADP 221 versus model overall rank 185.</t>
  </si>
  <si>
    <t>Omar Cooper Jr.</t>
  </si>
  <si>
    <t>Rookie score 82.1, backed by No. 30 draft capital and a 6.39 NFL prospect grade. The 2026 role projection is strong enough to replace missing NFL history. Market price is favorable around ADP 225 versus model overall rank 186.</t>
  </si>
  <si>
    <t>Jerry Jeudy</t>
  </si>
  <si>
    <t>He produced 7.1 PPR/FP points per game across 17 games. The workload/efficiency profile gives the model a rate-based reason to keep him here. Market price is favorable around ADP 229 versus model overall rank 189.</t>
  </si>
  <si>
    <t>Jalen Nailor</t>
  </si>
  <si>
    <t>He produced 5.9 PPR/FP points per game across 17 games. The workload/efficiency profile gives the model a rate-based reason to keep him here. Market price is favorable around ADP 233 versus model overall rank 190.</t>
  </si>
  <si>
    <t>Jalen McMillan</t>
  </si>
  <si>
    <t>The 2026 opportunity and projection carry most of the grade because detailed 2025 rate data is incomplete. Market price is favorable around ADP 237 versus model overall rank 192.</t>
  </si>
  <si>
    <t>Adonai Mitchell</t>
  </si>
  <si>
    <t>The 2026 opportunity and projection carry most of the grade because detailed 2025 rate data is incomplete. Market price is favorable around ADP 241 versus model overall rank 193.</t>
  </si>
  <si>
    <t>Isaac TeSlaa</t>
  </si>
  <si>
    <t>He produced 4.4 PPR/FP points per game across 17 games. The workload/efficiency profile gives the model a rate-based reason to keep him here. Market price is favorable around ADP 245 versus model overall rank 194.</t>
  </si>
  <si>
    <t>Denzel Boston</t>
  </si>
  <si>
    <t>Rookie score 79.3, backed by No. 39 draft capital and a 6.40 NFL prospect grade. The 2026 role projection is strong enough to replace missing NFL history. Market price is favorable around ADP 249 versus model overall rank 196.</t>
  </si>
  <si>
    <t>Tre Tucker</t>
  </si>
  <si>
    <t>He produced 9.6 PPR/FP points per game across 17 games. The workload/efficiency profile gives the model a rate-based reason to keep him here. Market price is favorable around ADP 253 versus model overall rank 197.</t>
  </si>
  <si>
    <t>Antonio Williams</t>
  </si>
  <si>
    <t>The 2026 opportunity and projection carry most of the grade because detailed 2025 rate data is incomplete. Market price is favorable around ADP 256 versus model overall rank 198.</t>
  </si>
  <si>
    <t>Travis Hunter</t>
  </si>
  <si>
    <t>The 2026 opportunity and projection carry most of the grade because detailed 2025 rate data is incomplete. Market price is favorable around ADP 260 versus model overall rank 201.</t>
  </si>
  <si>
    <t>Ryan Flournoy</t>
  </si>
  <si>
    <t>He produced 7.6 PPR/FP points per game across 15 games. The workload/efficiency profile gives the model a rate-based reason to keep him here. Market price is favorable around ADP 264 versus model overall rank 202.</t>
  </si>
  <si>
    <t>Jauan Jennings</t>
  </si>
  <si>
    <t>He produced 11.6 PPR/FP points per game across 15 games. The workload/efficiency profile gives the model a rate-based reason to keep him here. Market price is favorable around ADP 268 versus model overall rank 204.</t>
  </si>
  <si>
    <t>Darnell Mooney</t>
  </si>
  <si>
    <t>The 2026 opportunity and projection carry most of the grade because detailed 2025 rate data is incomplete. Market price is favorable around ADP 272 versus model overall rank 205.</t>
  </si>
  <si>
    <t>Stefon Diggs</t>
  </si>
  <si>
    <t>Added 2026-08-12 from ESPN consensus (WR41).</t>
  </si>
  <si>
    <t>Deebo Samuel</t>
  </si>
  <si>
    <t>Added 2026-08-12 from ESPN consensus (WR54).</t>
  </si>
  <si>
    <t>Jayden Higgins</t>
  </si>
  <si>
    <t>Added 2026-08-12 from ESPN consensus (WR56).</t>
  </si>
  <si>
    <t>Tank Dell</t>
  </si>
  <si>
    <t>Trey McBride</t>
  </si>
  <si>
    <t>Elite difference-making TE; positional advantage is the expectation.</t>
  </si>
  <si>
    <t>He produced 18.6 PPR/FP points per game across 17 games. The workload/efficiency profile gives the model a rate-based reason to keep him here. Market price is favorable around ADP 17 versus model overall rank 5.</t>
  </si>
  <si>
    <t>Route share, target volume and touchdown volatility are the main swing factors.</t>
  </si>
  <si>
    <t>Brock Bowers</t>
  </si>
  <si>
    <t>He produced 14.7 PPR/FP points per game across 12 games. The workload/efficiency profile gives the model a rate-based reason to keep him here.</t>
  </si>
  <si>
    <t>Colston Loveland</t>
  </si>
  <si>
    <t>He produced 10.3 PPR/FP points per game across 16 games. The workload/efficiency profile gives the model a rate-based reason to keep him here. Market price is favorable around ADP 35 versus model overall rank 22.</t>
  </si>
  <si>
    <t>Tyler Warren</t>
  </si>
  <si>
    <t>Every-week TE1 with real top-5 upside.</t>
  </si>
  <si>
    <t>He produced 11.1 PPR/FP points per game across 17 games. The workload/efficiency profile gives the model a rate-based reason to keep him here.</t>
  </si>
  <si>
    <t>George Kittle</t>
  </si>
  <si>
    <t>He produced 14.7 PPR/FP points per game across 11 games. The workload/efficiency profile gives the model a rate-based reason to keep him here. Market price is favorable around ADP 53 versus model overall rank 43.</t>
  </si>
  <si>
    <t>Kyle Pitts Sr.</t>
  </si>
  <si>
    <t>He produced 12.4 PPR/FP points per game across 17 games. The workload/efficiency profile gives the model a rate-based reason to keep him here. Market price is favorable around ADP 62 versus model overall rank 46.</t>
  </si>
  <si>
    <t>Harold Fannin Jr.</t>
  </si>
  <si>
    <t>He produced 11.7 PPR/FP points per game across 16 games. The workload/efficiency profile gives the model a rate-based reason to keep him here. Market price is favorable around ADP 71 versus model overall rank 53.</t>
  </si>
  <si>
    <t>Jake Ferguson</t>
  </si>
  <si>
    <t>He produced 11.0 PPR/FP points per game across 17 games. The workload/efficiency profile gives the model a rate-based reason to keep him here. Market price is favorable around ADP 80 versus model overall rank 56.</t>
  </si>
  <si>
    <t>Tucker Kraft</t>
  </si>
  <si>
    <t>Low-end TE1; startable but replacement options remain close.</t>
  </si>
  <si>
    <t>He produced 14.6 PPR/FP points per game across 8 games. The workload/efficiency profile gives the model a rate-based reason to keep him here. Market price is favorable around ADP 89 versus model overall rank 58.</t>
  </si>
  <si>
    <t>Sam LaPorta</t>
  </si>
  <si>
    <t>He produced 11.8 PPR/FP points per game across 9 games. The workload/efficiency profile gives the model a rate-based reason to keep him here. Market price is favorable around ADP 98 versus model overall rank 63.</t>
  </si>
  <si>
    <t>Dalton Kincaid</t>
  </si>
  <si>
    <t>He produced 10.6 PPR/FP points per game across 12 games. The workload/efficiency profile gives the model a rate-based reason to keep him here. Market price is favorable around ADP 107 versus model overall rank 67.</t>
  </si>
  <si>
    <t>Travis Kelce</t>
  </si>
  <si>
    <t>He produced 11.4 PPR/FP points per game across 17 games. The workload/efficiency profile gives the model a rate-based reason to keep him here. Market price is favorable around ADP 116 versus model overall rank 72.</t>
  </si>
  <si>
    <t>Dallas Goedert</t>
  </si>
  <si>
    <t>Streaming/TE2 range; touchdown and route volume drive usefulness.</t>
  </si>
  <si>
    <t>He produced 12.3 PPR/FP points per game across 15 games. The workload/efficiency profile gives the model a rate-based reason to keep him here. Market price is favorable around ADP 125 versus model overall rank 88.</t>
  </si>
  <si>
    <t>Mark Andrews</t>
  </si>
  <si>
    <t>He produced 7.7 PPR/FP points per game across 17 games. The workload/efficiency profile gives the model a rate-based reason to keep him here. Market price is favorable around ADP 134 versus model overall rank 97.</t>
  </si>
  <si>
    <t>Isaiah Likely</t>
  </si>
  <si>
    <t>He produced 4.4 PPR/FP points per game across 14 games. The workload/efficiency profile gives the model a rate-based reason to keep him here. Market price is favorable around ADP 143 versus model overall rank 99.</t>
  </si>
  <si>
    <t>Juwan Johnson</t>
  </si>
  <si>
    <t>He produced 10.6 PPR/FP points per game across 17 games. The workload/efficiency profile gives the model a rate-based reason to keep him here. Market price is favorable around ADP 152 versus model overall rank 103.</t>
  </si>
  <si>
    <t>Hunter Henry</t>
  </si>
  <si>
    <t>He produced 10.5 PPR/FP points per game across 17 games. The workload/efficiency profile gives the model a rate-based reason to keep him here. Market price is favorable around ADP 161 versus model overall rank 116.</t>
  </si>
  <si>
    <t>Brenton Strange</t>
  </si>
  <si>
    <t>He produced 9.8 PPR/FP points per game across 12 games. The workload/efficiency profile gives the model a rate-based reason to keep him here. Market price is favorable around ADP 170 versus model overall rank 121.</t>
  </si>
  <si>
    <t>Chig Okonkwo</t>
  </si>
  <si>
    <t>Deep TE stash; needs a larger route/target role to matter in 10-team leagues.</t>
  </si>
  <si>
    <t>He produced 7.3 PPR/FP points per game across 17 games. The workload/efficiency profile gives the model a rate-based reason to keep him here. Market price is favorable around ADP 179 versus model overall rank 125.</t>
  </si>
  <si>
    <t>Kenyon Sadiq</t>
  </si>
  <si>
    <t>Rookie score 86.6, backed by No. 16 draft capital and a 6.46 NFL prospect grade. The 2026 role projection is strong enough to replace missing NFL history. Market price is favorable around ADP 188 versus model overall rank 135.</t>
  </si>
  <si>
    <t>T.J. Hockenson</t>
  </si>
  <si>
    <t>He produced 7.5 PPR/FP points per game across 15 games. The workload/efficiency profile gives the model a rate-based reason to keep him here. Market price is favorable around ADP 197 versus model overall rank 138.</t>
  </si>
  <si>
    <t>Dalton Schultz</t>
  </si>
  <si>
    <t>He produced 10.4 PPR/FP points per game across 17 games. The workload/efficiency profile gives the model a rate-based reason to keep him here. Market price is favorable around ADP 206 versus model overall rank 140.</t>
  </si>
  <si>
    <t>Oronde Gadsden II</t>
  </si>
  <si>
    <t>He produced 8.8 PPR/FP points per game across 15 games. The workload/efficiency profile gives the model a rate-based reason to keep him here. Market price is favorable around ADP 215 versus model overall rank 146.</t>
  </si>
  <si>
    <t>AJ Barner</t>
  </si>
  <si>
    <t>He produced 8.7 PPR/FP points per game across 17 games. The workload/efficiency profile gives the model a rate-based reason to keep him here. Market price is favorable around ADP 224 versus model overall rank 156.</t>
  </si>
  <si>
    <t>Cade Otton</t>
  </si>
  <si>
    <t>He produced 7.6 PPR/FP points per game across 16 games. The workload/efficiency profile gives the model a rate-based reason to keep him here. Market price is favorable around ADP 233 versus model overall rank 165.</t>
  </si>
  <si>
    <t>Gunnar Helm</t>
  </si>
  <si>
    <t>He produced 5.8 PPR/FP points per game across 16 games. The workload/efficiency profile gives the model a rate-based reason to keep him here. Market price is favorable around ADP 242 versus model overall rank 166.</t>
  </si>
  <si>
    <t>Terrance Ferguson</t>
  </si>
  <si>
    <t>He produced 4.0 PPR/FP points per game across 13 games. The workload/efficiency profile gives the model a rate-based reason to keep him here. Market price is favorable around ADP 251 versus model overall rank 175.</t>
  </si>
  <si>
    <t>Pat Freiermuth</t>
  </si>
  <si>
    <t>Added 2026-08-12 from ESPN consensus (TE24).</t>
  </si>
  <si>
    <t>Brandon Aubrey</t>
  </si>
  <si>
    <t>KICKER MODEL</t>
  </si>
  <si>
    <t>Top-tier kicker option, but still a final-round target.</t>
  </si>
  <si>
    <t>Ranks near the top of the current kicker pool, but kicker week-to-week separation is small in a 10-team league.</t>
  </si>
  <si>
    <t>Kicker scoring is volatile and replaceable on waivers; do not pay meaningful draft capital.</t>
  </si>
  <si>
    <t>https://www.fantasypros.com/nfl/rankings/k-cheatsheets.php</t>
  </si>
  <si>
    <t>Ka'imi Fairbairn</t>
  </si>
  <si>
    <t>Cameron Dicker</t>
  </si>
  <si>
    <t>Jason Myers</t>
  </si>
  <si>
    <t>Cam Little</t>
  </si>
  <si>
    <t>Eddy Pineiro</t>
  </si>
  <si>
    <t>Late-round kicker; treat as replaceable unless scoring strongly rewards distance.</t>
  </si>
  <si>
    <t>Tyler Loop</t>
  </si>
  <si>
    <t>Harrison Mevis</t>
  </si>
  <si>
    <t>Chase McLaughlin</t>
  </si>
  <si>
    <t>Cairo Santos</t>
  </si>
  <si>
    <t>Andy Borregales</t>
  </si>
  <si>
    <t>Evan McPherson</t>
  </si>
  <si>
    <t>Houston Texans</t>
  </si>
  <si>
    <t>DST MODEL</t>
  </si>
  <si>
    <t>Elite DST target if available in the final rounds; otherwise streaming remains viable.</t>
  </si>
  <si>
    <t>The unit grades well relative to the current DST pool, but the model intentionally keeps defense behind core skill positions.</t>
  </si>
  <si>
    <t>DST scoring is highly opponent- and turnover-dependent, making season-long rank fragile.</t>
  </si>
  <si>
    <t>https://www.fantasypros.com/nfl/rankings/dst-cheatsheets.php</t>
  </si>
  <si>
    <t>Denver Broncos</t>
  </si>
  <si>
    <t>Seattle Seahawks</t>
  </si>
  <si>
    <t>Los Angeles Rams</t>
  </si>
  <si>
    <t>Philadelphia Eagles</t>
  </si>
  <si>
    <t>Minnesota Vikings</t>
  </si>
  <si>
    <t>Streaming/late-round defense; matchup matters more than preseason rank.</t>
  </si>
  <si>
    <t>New England Patriots</t>
  </si>
  <si>
    <t>Jacksonville Jaguars</t>
  </si>
  <si>
    <t>Pittsburgh Steelers</t>
  </si>
  <si>
    <t>Los Angeles Chargers</t>
  </si>
  <si>
    <t>Baltimore Ravens</t>
  </si>
  <si>
    <t>Green Bay Packers</t>
  </si>
  <si>
    <t>Detroit Lions</t>
  </si>
  <si>
    <t>Buffalo Bills</t>
  </si>
  <si>
    <t>Kansas City Chiefs</t>
  </si>
  <si>
    <t>Cleveland Browns</t>
  </si>
  <si>
    <t>San Francisco 49ers</t>
  </si>
  <si>
    <t>New Orleans Saints</t>
  </si>
  <si>
    <t>Atlanta Falcons</t>
  </si>
  <si>
    <t>Chicago Bears</t>
  </si>
  <si>
    <t>Indianapolis Colts</t>
  </si>
  <si>
    <t>New York Giants</t>
  </si>
  <si>
    <t>Tampa Bay Buccaneers</t>
  </si>
  <si>
    <t>Dallas Cowboys</t>
  </si>
  <si>
    <t>Carolina Panthers</t>
  </si>
  <si>
    <t>Tennessee Titans</t>
  </si>
  <si>
    <t>https://www.si.com/fantasy/2026-football-defense-rankings-seasonal-leagues</t>
  </si>
  <si>
    <t>Miami Dolphins</t>
  </si>
  <si>
    <t>Washington Commanders</t>
  </si>
  <si>
    <t>New York Jets</t>
  </si>
  <si>
    <t>Arizona Cardinals</t>
  </si>
  <si>
    <t>Cincinnati Bengals</t>
  </si>
  <si>
    <t>Las Vegas Raiders</t>
  </si>
  <si>
    <t>2026 FINAL Master: every player, live-ranked, K/DST gated to the final rounds.</t>
  </si>
  <si>
    <t>Proj Points</t>
  </si>
  <si>
    <t>VORP</t>
  </si>
  <si>
    <t>2026 Overall Top 200: pure formula view, updates with every adjustment.</t>
  </si>
  <si>
    <t>Scarcity</t>
  </si>
  <si>
    <t>Floor</t>
  </si>
  <si>
    <t>Ceiling</t>
  </si>
  <si>
    <t>2026 QB: final rankings, live.</t>
  </si>
  <si>
    <t>Overall Rank</t>
  </si>
  <si>
    <t>2026 RB: final rankings, live.</t>
  </si>
  <si>
    <t>2026 WR: final rankings, live.</t>
  </si>
  <si>
    <t>2026 TE: final rankings, live.</t>
  </si>
  <si>
    <t>2026 Kickers: final-round picks only. Top 10 gated to overall 141-150.</t>
  </si>
  <si>
    <t>2026 DST: final-round picks only. Top 10 gated to overall 131-140.</t>
  </si>
  <si>
    <t>Defense</t>
  </si>
  <si>
    <t>Draft Engine: live math. Mark players in the Status column on draft day.</t>
  </si>
  <si>
    <t>Manual Adj</t>
  </si>
  <si>
    <t>Adjusted Rating</t>
  </si>
  <si>
    <t>Repl Rank</t>
  </si>
  <si>
    <t>Repl Points</t>
  </si>
  <si>
    <t>VORP Score</t>
  </si>
  <si>
    <t>Penalty</t>
  </si>
  <si>
    <t>Skill Score</t>
  </si>
  <si>
    <t>Skill Rank</t>
  </si>
  <si>
    <t>Median</t>
  </si>
  <si>
    <t>Status</t>
  </si>
  <si>
    <t>Draft Room: live board for draft day</t>
  </si>
  <si>
    <t>Mark picks in Draft Engine Status column. This board updates itself.</t>
  </si>
  <si>
    <t>Draft Input</t>
  </si>
  <si>
    <t>Signal</t>
  </si>
  <si>
    <t>Interpretation</t>
  </si>
  <si>
    <t>Action</t>
  </si>
  <si>
    <t>Current Pick</t>
  </si>
  <si>
    <t>Draft Edge &gt; +15</t>
  </si>
  <si>
    <t>Strong model value</t>
  </si>
  <si>
    <t>Prioritize if roster construction fits.</t>
  </si>
  <si>
    <t>Draft Edge -10 to +15</t>
  </si>
  <si>
    <t>Fairly priced</t>
  </si>
  <si>
    <t>Take best roster fit.</t>
  </si>
  <si>
    <t>Roster Size</t>
  </si>
  <si>
    <t>Draft Edge &lt; -10</t>
  </si>
  <si>
    <t>Market reaching</t>
  </si>
  <si>
    <t>Let someone else pay the premium.</t>
  </si>
  <si>
    <t>Best Available (Top 10)</t>
  </si>
  <si>
    <t>ADP</t>
  </si>
  <si>
    <t>Edge</t>
  </si>
  <si>
    <t>Best Available by Position</t>
  </si>
  <si>
    <t>My Roster (marked My Pick on the Draft Board)</t>
  </si>
  <si>
    <t>Count</t>
  </si>
  <si>
    <t>Total</t>
  </si>
  <si>
    <t>2026 Expectations: what we expect, why, and the risk. Ranks are live.</t>
  </si>
  <si>
    <t>Why We Rank Him Here</t>
  </si>
  <si>
    <t>Main Risk / What Changes It</t>
  </si>
  <si>
    <t>QA Checks: every number below must PASS before you trust the board</t>
  </si>
  <si>
    <t>Check</t>
  </si>
  <si>
    <t>Expected</t>
  </si>
  <si>
    <t>Actual</t>
  </si>
  <si>
    <t>Player count (LIVE SOURCE)</t>
  </si>
  <si>
    <t>Row alignment errors (LS vs Draft Engine)</t>
  </si>
  <si>
    <t>Row alignment errors (LS vs Manual Adj)</t>
  </si>
  <si>
    <t>Master mismatches (dupes + errors)</t>
  </si>
  <si>
    <t>Top 200 mismatches (dupes + errors)</t>
  </si>
  <si>
    <t>Positional-rank conflicts</t>
  </si>
  <si>
    <t>Overall-rank conflicts</t>
  </si>
  <si>
    <t>DST1 overall rank</t>
  </si>
  <si>
    <t>DST10 overall rank</t>
  </si>
  <si>
    <t>K1 overall rank</t>
  </si>
  <si>
    <t>K10 overall rank</t>
  </si>
  <si>
    <t>VORP identity errors (VORP = Pts - Repl Pts)</t>
  </si>
  <si>
    <t>Formula errors (all sheets)</t>
  </si>
  <si>
    <t>OVERALL</t>
  </si>
  <si>
    <t>Formula error detail by sheet</t>
  </si>
  <si>
    <t>Draft Engine</t>
  </si>
  <si>
    <t>FINAL Master</t>
  </si>
  <si>
    <t>Top 200</t>
  </si>
  <si>
    <t>Player Summaries</t>
  </si>
  <si>
    <t>League Config</t>
  </si>
  <si>
    <t>Manual Adjustments</t>
  </si>
  <si>
    <t>FINAL QB</t>
  </si>
  <si>
    <t>FINAL RB</t>
  </si>
  <si>
    <t>FINAL WR</t>
  </si>
  <si>
    <t>FINAL TE</t>
  </si>
  <si>
    <t>Draft Room</t>
  </si>
  <si>
    <t>Draft Board</t>
  </si>
  <si>
    <t>HOW THIS WORKBOOK WORKS</t>
  </si>
  <si>
    <t>A plain-English guide to where every number comes from. 10-team, full-PPR league. All data current as of August 12, 2026: ratings, ESPN cross-check, teams, bye weeks, injuries, and market draft prices (5,959 real drafts this week).</t>
  </si>
  <si>
    <t>1. THE BIG IDEA: ONE TABLE, ZERO COPIES</t>
  </si>
  <si>
    <t>Every number in this workbook traces back to one table. The LIVE SOURCE tab holds the raw data for 230 players. The Manual Adjustments tab holds any tweaks (injuries, role changes). The Draft Engine tab combines those two and does all the math. Every other tab (FINAL Master, Top 200, the position tabs, K, DST, Draft Room) is just a live window into the Draft Engine, built entirely from formulas. Nothing is ever copied and pasted, so nothing can ever be out of date. Change one rating and every tab updates instantly.</t>
  </si>
  <si>
    <t>2. THE PLAYER POOL AND WHERE RATINGS COME FROM</t>
  </si>
  <si>
    <t>230 players: 32 quarterbacks, 52 running backs, 74 wide receivers, 28 tight ends, 12 kickers, 32 team defenses. Each player has a base rating from a FantasyPros-derived projection model, scored for full-PPR (one point per reception). The base rating lives in LIVE SOURCE and never changes. Adjustments layer on top of it.</t>
  </si>
  <si>
    <t>3. ADJUSTED RATING: HOW AN INJURY FLOWS THROUGH</t>
  </si>
  <si>
    <t>Adjusted Rating = base rating plus anything entered in Manual Adjustments. Real example: Ricky Pearsall had season-ending knee surgery in August 2026, so his Manual Adjustments row carries a -60 with a note. That single cell drops his rating, his receiver rank, his overall rank, his value score, and his spot on every view tab, all automatically. One edit, everywhere at once.</t>
  </si>
  <si>
    <t>4. POSITION RANK (QB1, RB12, WR35...)</t>
  </si>
  <si>
    <t>Players are ranked inside their own position by Adjusted Rating, highest first. Ties are broken automatically so no two players can ever share the same rank.</t>
  </si>
  <si>
    <t>5. OVERALL RANK AND THE KICKER/DEFENSE GATES</t>
  </si>
  <si>
    <t>Skill players (QB, RB, WR, TE) fill overall ranks 1-130 by draft value. Then the gates kick in: the top 10 defenses are locked to ranks 131-140 and the top 10 kickers to ranks 141-150. The reasoning: in a 10-team league no kicker or defense is ever worth an early pick, so the gates keep them from cluttering the top of the board while telling you exactly when to start considering them (the last few rounds of a typical draft). The remaining skill players continue at rank 151 and beyond. The gate positions are settings, not hard-coded: named cells DstStart, KStart, and GateSize control them.</t>
  </si>
  <si>
    <t>6. PROJECTED POINTS AND VORP (THE HEART OF THE VALUE MATH)</t>
  </si>
  <si>
    <t>Each position has a simple curve that converts a rating into projected season points. The curves are editable in League Config, columns K and L. VORP stands for Value Over Replacement Player. The replacement player is the best player you could still grab off waivers after every team fills its roster; the workbook calculates who that is from your league size and roster settings. VORP = a player's projected points minus the replacement player's points at his position. This is why a top tight end can outrank a similar-rated wide receiver: the drop-off from the best tight ends to a replacement tight end is much steeper, so the good ones are worth more.</t>
  </si>
  <si>
    <t>7. DRAFT SCORE (THE 0-100 NUMBER)</t>
  </si>
  <si>
    <t>One blended number for draft day: 55 percent Adjusted Rating, plus 30 percent VORP (rescaled to a 0-100 range), plus 15 percent positional scarcity, minus a risk penalty. The result is clamped between 0 and 100. Higher means take him sooner.</t>
  </si>
  <si>
    <t>8. TIERS</t>
  </si>
  <si>
    <t>Players are grouped into tiers by rating breakpoints. The practical rule: players inside the same tier are close enough that you should not reach for one over another. The moment to move is when a tier is about to run dry, not before.</t>
  </si>
  <si>
    <t>9. WHAT YOU CAN SAFELY EDIT</t>
  </si>
  <si>
    <t>Only the blue input cells: League Config settings (teams, roster spots, scoring, the points curves), Manual Adjustments (a rating tweak plus a note), and Market ADP in LIVE SOURCE. Everything else is formulas. Typing over a formula breaks the chain, and the QA tab will catch it.</t>
  </si>
  <si>
    <t>10. THE QA CHECKS TAB: THE WORKBOOK TESTS ITSELF</t>
  </si>
  <si>
    <t>Thirteen automatic self-tests run at all times: the master list matches the engine row for row, Top 200 matches, no duplicate position ranks exist, the gates land exactly where they should (DST1 at 131, DST10 at 140, K1 at 141, K10 at 150), the VORP math is internally consistent, and there are zero formula errors anywhere in the workbook. After any edit, check this tab: every row must say PASS.</t>
  </si>
  <si>
    <t>11. RUNNING A DRAFT INSIDE THE WORKBOOK</t>
  </si>
  <si>
    <t>The Draft Board tab lists all 230 players in overall order and owns the Pick column (mark players Drafted or My Pick from the dropdown). The Draft Engine reads the board, and the Draft Room tab shows the best available player overall, the best at each position, and your roster counts, all live. One rule: do not edit Manual Adjustments in the middle of a draft, because picks attach to board rows by rank and a rating change reshuffles the ranks.</t>
  </si>
  <si>
    <t>12. THE COMPANION APP (draft-board.html)</t>
  </si>
  <si>
    <t>Bottom line: one source of truth, math you can inspect on any tab, self-tests that prove it, and a fast app on top for draft night.</t>
  </si>
  <si>
    <t>A one-file web app built from this workbook's computed numbers, made for live drafts where Excel is too slow. Open it in any browser; it needs no internet and saves progress on its own. Type a few letters of a name, then Enter marks the player taken, Shift+Enter marks him as your pick, and Ctrl+Z undoes. Every row shows the player's team and 2026 bye week, and the app warns you before you stack too many of your players on the same bye. A red Out button removes an injured player from all suggestions without counting as a pick. It suggests your next pick with a plain-English explanation, offers six strategy lenses (Best Pick, Value, Sleeper, Rookie, Safe, Upside) all driven by this workbook's own ratings, enforces common-sense rules (never a second kicker, never a third tight end before a third receiver, a kicker or defense is never a sleeper), grades your team against the whole league as the draft unfolds, shows the live odds a player survives until your next turn (from real market draft prices), sounds an alarm when a position run starts or a talent tier is about to run dry, has a star-button watchlist that tracks your targets with an AT RISK warning when someone is unlikely to make it back to you, and includes a full mock draft mode: nine AI opponents, each following a different guide (ESPN rankings, market prices, even our own board) with human tendencies and randomness, so you can practice alone and no two mocks ever play out the same. When the workbook changes, the app is rebuilt from it so the two always 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</si>
</sst>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4"/>
      <color rgb="FF1F3352"/>
      <name val="Calibri"/>
      <family val="2"/>
    </font>
    <font>
      <i/>
      <sz val="9"/>
      <color rgb="FF8A8F98"/>
      <name val="Calibri"/>
      <family val="2"/>
    </font>
    <font>
      <b/>
      <sz val="10"/>
      <color rgb="FFFFFFFF"/>
      <name val="Calibri"/>
      <family val="2"/>
    </font>
    <font>
      <sz val="8"/>
      <color rgb="FF8A8F98"/>
      <name val="Calibri"/>
      <family val="2"/>
    </font>
    <font>
      <b/>
      <sz val="11"/>
      <color rgb="FF1F3352"/>
      <name val="Calibri"/>
      <family val="2"/>
    </font>
    <font>
      <b/>
      <sz val="12"/>
      <name val="Calibri"/>
      <family val="2"/>
    </font>
    <font>
      <b/>
      <sz val="11"/>
      <color theme="1"/>
      <name val="Calibri"/>
      <family val="2"/>
      <scheme val="minor"/>
    </font>
    <font>
      <b/>
      <sz val="16"/>
      <color rgb="FF43683B"/>
      <name val="Calibri"/>
      <family val="2"/>
      <scheme val="minor"/>
    </font>
    <font>
      <i/>
      <sz val="11"/>
      <color rgb="FF808080"/>
      <name val="Calibri"/>
      <family val="2"/>
      <scheme val="minor"/>
    </font>
    <font>
      <b/>
      <sz val="12"/>
      <color rgb="FF43683B"/>
      <name val="Calibri"/>
      <family val="2"/>
      <scheme val="minor"/>
    </font>
  </fonts>
  <fills count="4">
    <fill>
      <patternFill patternType="none"/>
    </fill>
    <fill>
      <patternFill patternType="gray125"/>
    </fill>
    <fill>
      <patternFill patternType="solid">
        <fgColor rgb="FF1F3352"/>
      </patternFill>
    </fill>
    <fill>
      <patternFill patternType="solid">
        <fgColor rgb="FFDCE9F7"/>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applyAlignment="1">
      <alignment horizontal="center" wrapText="1"/>
    </xf>
    <xf numFmtId="164" fontId="0" fillId="0" borderId="0" xfId="0" applyNumberFormat="1"/>
    <xf numFmtId="0" fontId="0" fillId="3" borderId="0" xfId="0" applyFill="1"/>
    <xf numFmtId="0" fontId="4" fillId="0" borderId="0" xfId="0" applyFont="1"/>
    <xf numFmtId="0" fontId="3" fillId="2" borderId="0" xfId="0" applyFont="1" applyFill="1"/>
    <xf numFmtId="164" fontId="0" fillId="3" borderId="0" xfId="0" applyNumberFormat="1" applyFill="1"/>
    <xf numFmtId="164" fontId="4" fillId="0" borderId="0" xfId="0" applyNumberFormat="1" applyFont="1"/>
    <xf numFmtId="0" fontId="5" fillId="0" borderId="0" xfId="0" applyFont="1"/>
    <xf numFmtId="0" fontId="6" fillId="0" borderId="0" xfId="0" applyFont="1"/>
    <xf numFmtId="0" fontId="8" fillId="0" borderId="0" xfId="0" applyFont="1"/>
    <xf numFmtId="0" fontId="9" fillId="0" borderId="0" xfId="0" applyFont="1"/>
    <xf numFmtId="0" fontId="10" fillId="0" borderId="0" xfId="0" applyFont="1"/>
    <xf numFmtId="0" fontId="7" fillId="0" borderId="0" xfId="0" applyFont="1" applyAlignment="1">
      <alignment wrapText="1"/>
    </xf>
    <xf numFmtId="0" fontId="0" fillId="0" borderId="0" xfId="0" applyFont="1" applyAlignment="1">
      <alignment wrapText="1"/>
    </xf>
  </cellXfs>
  <cellStyles count="1">
    <cellStyle name="Normal" xfId="0" builtinId="0"/>
  </cellStyles>
  <dxfs count="7">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strike/>
        <color rgb="FF8A8F98"/>
      </font>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P232"/>
  <sheetViews>
    <sheetView tabSelected="1" workbookViewId="0">
      <pane ySplit="2" topLeftCell="A13" activePane="bottomLeft" state="frozen"/>
      <selection pane="bottomLeft"/>
    </sheetView>
  </sheetViews>
  <sheetFormatPr defaultRowHeight="15" x14ac:dyDescent="0.25"/>
  <cols>
    <col min="1" max="1" width="8" customWidth="1"/>
    <col min="2" max="2" width="6" customWidth="1"/>
    <col min="3" max="3" width="8" customWidth="1"/>
    <col min="4" max="4" width="22" customWidth="1"/>
    <col min="5" max="5" width="10" customWidth="1"/>
    <col min="6" max="6" width="9" customWidth="1"/>
    <col min="7" max="7" width="11" customWidth="1"/>
    <col min="8" max="8" width="10" customWidth="1"/>
    <col min="9" max="9" width="9" customWidth="1"/>
    <col min="10" max="10" width="12" customWidth="1"/>
    <col min="11" max="11" width="9" customWidth="1"/>
    <col min="12" max="12" width="70" customWidth="1"/>
    <col min="13" max="14" width="6" customWidth="1"/>
  </cols>
  <sheetData>
    <row r="1" spans="1:16" ht="18.75" x14ac:dyDescent="0.3">
      <c r="A1" s="1" t="s">
        <v>0</v>
      </c>
      <c r="P1" s="2" t="s">
        <v>1</v>
      </c>
    </row>
    <row r="2" spans="1:16" ht="27.95" customHeight="1" x14ac:dyDescent="0.25">
      <c r="A2" s="3" t="s">
        <v>2</v>
      </c>
      <c r="B2" s="3" t="s">
        <v>3</v>
      </c>
      <c r="C2" s="3" t="s">
        <v>4</v>
      </c>
      <c r="D2" s="3" t="s">
        <v>5</v>
      </c>
      <c r="E2" s="3" t="s">
        <v>6</v>
      </c>
      <c r="F2" s="3" t="s">
        <v>7</v>
      </c>
      <c r="G2" s="3" t="s">
        <v>8</v>
      </c>
      <c r="H2" s="3" t="s">
        <v>9</v>
      </c>
      <c r="I2" s="3" t="s">
        <v>10</v>
      </c>
      <c r="J2" s="3" t="s">
        <v>11</v>
      </c>
      <c r="K2" s="3" t="s">
        <v>12</v>
      </c>
      <c r="L2" s="3" t="s">
        <v>13</v>
      </c>
      <c r="M2" s="3" t="s">
        <v>14</v>
      </c>
      <c r="N2" s="3" t="s">
        <v>15</v>
      </c>
    </row>
    <row r="3" spans="1:16" x14ac:dyDescent="0.25">
      <c r="A3">
        <v>1</v>
      </c>
      <c r="B3" t="str">
        <f>INDEX('Draft Engine'!$A$3:$A$232,$M3)</f>
        <v>WR</v>
      </c>
      <c r="C3">
        <f>INDEX('Draft Engine'!$F$3:$F$232,$M3)</f>
        <v>1</v>
      </c>
      <c r="D3" t="str">
        <f>INDEX('Draft Engine'!$B$3:$B$232,$M3)</f>
        <v>Puka Nacua</v>
      </c>
      <c r="E3" s="4">
        <f>INDEX('Draft Engine'!$E$3:$E$232,$M3)</f>
        <v>98.485900000000001</v>
      </c>
      <c r="F3" t="str">
        <f t="shared" ref="F3:F66" si="0">IF($E3&gt;=95,"ELITE",IF($E3&gt;=90,"TIER 1",IF($E3&gt;=85,"TIER 2",IF($E3&gt;=80,"TIER 3",IF($E3&gt;=75,"TIER 4",IF($E3&gt;=70,"TIER 5",IF($E3&gt;=65,"TIER 6","TIER 7")))))))</f>
        <v>ELITE</v>
      </c>
      <c r="G3" s="4">
        <f>INDEX('Draft Engine'!$N$3:$N$232,$M3)</f>
        <v>99.167245000000008</v>
      </c>
      <c r="H3" s="4">
        <f>INDEX('Draft Engine'!$R$3:$R$232,$M3)</f>
        <v>2.9</v>
      </c>
      <c r="I3" s="4">
        <f>INDEX('Draft Engine'!$S$3:$S$232,$M3)</f>
        <v>1.9</v>
      </c>
      <c r="J3" s="5"/>
      <c r="K3">
        <f>INDEX('Draft Engine'!$Z$3:$Z$232,$M3)</f>
        <v>1</v>
      </c>
      <c r="L3" t="str">
        <f>INDEX('LIVE SOURCE'!$H$3:$H$232,$M3)</f>
        <v>Elite WR1 and first-round caliber target with overall WR1 upside.</v>
      </c>
      <c r="M3" s="6">
        <f>MATCH($A3,'Draft Engine'!$Q$3:$Q$232,0)</f>
        <v>86</v>
      </c>
      <c r="N3">
        <f>INDEX('LIVE SOURCE'!$L$3:$L$232,$M3)</f>
        <v>11</v>
      </c>
    </row>
    <row r="4" spans="1:16" x14ac:dyDescent="0.25">
      <c r="A4">
        <v>2</v>
      </c>
      <c r="B4" t="str">
        <f>INDEX('Draft Engine'!$A$3:$A$232,$M4)</f>
        <v>RB</v>
      </c>
      <c r="C4">
        <f>INDEX('Draft Engine'!$F$3:$F$232,$M4)</f>
        <v>1</v>
      </c>
      <c r="D4" t="str">
        <f>INDEX('Draft Engine'!$B$3:$B$232,$M4)</f>
        <v>Bijan Robinson</v>
      </c>
      <c r="E4" s="4">
        <f>INDEX('Draft Engine'!$E$3:$E$232,$M4)</f>
        <v>97.3673</v>
      </c>
      <c r="F4" t="str">
        <f t="shared" si="0"/>
        <v>ELITE</v>
      </c>
      <c r="G4" s="4">
        <f>INDEX('Draft Engine'!$N$3:$N$232,$M4)</f>
        <v>98.552015000000011</v>
      </c>
      <c r="H4" s="4">
        <f>INDEX('Draft Engine'!$R$3:$R$232,$M4)</f>
        <v>1.8</v>
      </c>
      <c r="I4" s="4">
        <f>INDEX('Draft Engine'!$S$3:$S$232,$M4)</f>
        <v>-0.19999999999999996</v>
      </c>
      <c r="J4" s="5"/>
      <c r="K4">
        <f>INDEX('Draft Engine'!$Z$3:$Z$232,$M4)</f>
        <v>2</v>
      </c>
      <c r="L4" t="str">
        <f>INDEX('LIVE SOURCE'!$H$3:$H$232,$M4)</f>
        <v>Elite RB1 and first-round roster anchor with league-winning ceiling.</v>
      </c>
      <c r="M4" s="6">
        <f>MATCH($A4,'Draft Engine'!$Q$3:$Q$232,0)</f>
        <v>33</v>
      </c>
      <c r="N4">
        <f>INDEX('LIVE SOURCE'!$L$3:$L$232,$M4)</f>
        <v>11</v>
      </c>
    </row>
    <row r="5" spans="1:16" x14ac:dyDescent="0.25">
      <c r="A5">
        <v>3</v>
      </c>
      <c r="B5" t="str">
        <f>INDEX('Draft Engine'!$A$3:$A$232,$M5)</f>
        <v>WR</v>
      </c>
      <c r="C5">
        <f>INDEX('Draft Engine'!$F$3:$F$232,$M5)</f>
        <v>2</v>
      </c>
      <c r="D5" t="str">
        <f>INDEX('Draft Engine'!$B$3:$B$232,$M5)</f>
        <v>Ja'Marr Chase</v>
      </c>
      <c r="E5" s="4">
        <f>INDEX('Draft Engine'!$E$3:$E$232,$M5)</f>
        <v>96.732299999999995</v>
      </c>
      <c r="F5" t="str">
        <f t="shared" si="0"/>
        <v>ELITE</v>
      </c>
      <c r="G5" s="4">
        <f>INDEX('Draft Engine'!$N$3:$N$232,$M5)</f>
        <v>98.202764999999999</v>
      </c>
      <c r="H5" s="4">
        <f>INDEX('Draft Engine'!$R$3:$R$232,$M5)</f>
        <v>3.9</v>
      </c>
      <c r="I5" s="4">
        <f>INDEX('Draft Engine'!$S$3:$S$232,$M5)</f>
        <v>0.89999999999999991</v>
      </c>
      <c r="J5" s="5"/>
      <c r="K5">
        <f>INDEX('Draft Engine'!$Z$3:$Z$232,$M5)</f>
        <v>3</v>
      </c>
      <c r="L5" t="str">
        <f>INDEX('LIVE SOURCE'!$H$3:$H$232,$M5)</f>
        <v>Elite WR1 and first-round caliber target with overall WR1 upside.</v>
      </c>
      <c r="M5" s="6">
        <f>MATCH($A5,'Draft Engine'!$Q$3:$Q$232,0)</f>
        <v>85</v>
      </c>
      <c r="N5">
        <f>INDEX('LIVE SOURCE'!$L$3:$L$232,$M5)</f>
        <v>6</v>
      </c>
    </row>
    <row r="6" spans="1:16" x14ac:dyDescent="0.25">
      <c r="A6">
        <v>4</v>
      </c>
      <c r="B6" t="str">
        <f>INDEX('Draft Engine'!$A$3:$A$232,$M6)</f>
        <v>RB</v>
      </c>
      <c r="C6">
        <f>INDEX('Draft Engine'!$F$3:$F$232,$M6)</f>
        <v>2</v>
      </c>
      <c r="D6" t="str">
        <f>INDEX('Draft Engine'!$B$3:$B$232,$M6)</f>
        <v>Jahmyr Gibbs</v>
      </c>
      <c r="E6" s="4">
        <f>INDEX('Draft Engine'!$E$3:$E$232,$M6)</f>
        <v>96.332300000000004</v>
      </c>
      <c r="F6" t="str">
        <f t="shared" si="0"/>
        <v>ELITE</v>
      </c>
      <c r="G6" s="4">
        <f>INDEX('Draft Engine'!$N$3:$N$232,$M6)</f>
        <v>97.982765000000001</v>
      </c>
      <c r="H6" s="4">
        <f>INDEX('Draft Engine'!$R$3:$R$232,$M6)</f>
        <v>1.8</v>
      </c>
      <c r="I6" s="4">
        <f>INDEX('Draft Engine'!$S$3:$S$232,$M6)</f>
        <v>-2.2000000000000002</v>
      </c>
      <c r="J6" s="5"/>
      <c r="K6">
        <f>INDEX('Draft Engine'!$Z$3:$Z$232,$M6)</f>
        <v>4</v>
      </c>
      <c r="L6" t="str">
        <f>INDEX('LIVE SOURCE'!$H$3:$H$232,$M6)</f>
        <v>Elite RB1 and first-round roster anchor with league-winning ceiling.</v>
      </c>
      <c r="M6" s="6">
        <f>MATCH($A6,'Draft Engine'!$Q$3:$Q$232,0)</f>
        <v>34</v>
      </c>
      <c r="N6">
        <f>INDEX('LIVE SOURCE'!$L$3:$L$232,$M6)</f>
        <v>6</v>
      </c>
    </row>
    <row r="7" spans="1:16" x14ac:dyDescent="0.25">
      <c r="A7">
        <v>5</v>
      </c>
      <c r="B7" t="str">
        <f>INDEX('Draft Engine'!$A$3:$A$232,$M7)</f>
        <v>RB</v>
      </c>
      <c r="C7">
        <f>INDEX('Draft Engine'!$F$3:$F$232,$M7)</f>
        <v>3</v>
      </c>
      <c r="D7" t="str">
        <f>INDEX('Draft Engine'!$B$3:$B$232,$M7)</f>
        <v>Christian McCaffrey</v>
      </c>
      <c r="E7" s="4">
        <f>INDEX('Draft Engine'!$E$3:$E$232,$M7)</f>
        <v>94.244699999999995</v>
      </c>
      <c r="F7" t="str">
        <f t="shared" si="0"/>
        <v>TIER 1</v>
      </c>
      <c r="G7" s="4">
        <f>INDEX('Draft Engine'!$N$3:$N$232,$M7)</f>
        <v>96.834585000000004</v>
      </c>
      <c r="H7" s="4">
        <f>INDEX('Draft Engine'!$R$3:$R$232,$M7)</f>
        <v>5.8</v>
      </c>
      <c r="I7" s="4">
        <f>INDEX('Draft Engine'!$S$3:$S$232,$M7)</f>
        <v>0.79999999999999982</v>
      </c>
      <c r="J7" s="5"/>
      <c r="K7">
        <f>INDEX('Draft Engine'!$Z$3:$Z$232,$M7)</f>
        <v>5</v>
      </c>
      <c r="L7" t="str">
        <f>INDEX('LIVE SOURCE'!$H$3:$H$232,$M7)</f>
        <v>Elite RB1 and first-round roster anchor with league-winning ceiling.</v>
      </c>
      <c r="M7" s="6">
        <f>MATCH($A7,'Draft Engine'!$Q$3:$Q$232,0)</f>
        <v>35</v>
      </c>
      <c r="N7">
        <f>INDEX('LIVE SOURCE'!$L$3:$L$232,$M7)</f>
        <v>8</v>
      </c>
    </row>
    <row r="8" spans="1:16" x14ac:dyDescent="0.25">
      <c r="A8">
        <v>6</v>
      </c>
      <c r="B8" t="str">
        <f>INDEX('Draft Engine'!$A$3:$A$232,$M8)</f>
        <v>WR</v>
      </c>
      <c r="C8">
        <f>INDEX('Draft Engine'!$F$3:$F$232,$M8)</f>
        <v>3</v>
      </c>
      <c r="D8" t="str">
        <f>INDEX('Draft Engine'!$B$3:$B$232,$M8)</f>
        <v>Jaxon Smith-Njigba</v>
      </c>
      <c r="E8" s="4">
        <f>INDEX('Draft Engine'!$E$3:$E$232,$M8)</f>
        <v>94.079899999999995</v>
      </c>
      <c r="F8" t="str">
        <f t="shared" si="0"/>
        <v>TIER 1</v>
      </c>
      <c r="G8" s="4">
        <f>INDEX('Draft Engine'!$N$3:$N$232,$M8)</f>
        <v>96.743944999999997</v>
      </c>
      <c r="H8" s="4">
        <f>INDEX('Draft Engine'!$R$3:$R$232,$M8)</f>
        <v>5.7</v>
      </c>
      <c r="I8" s="4">
        <f>INDEX('Draft Engine'!$S$3:$S$232,$M8)</f>
        <v>-0.29999999999999982</v>
      </c>
      <c r="J8" s="5"/>
      <c r="K8">
        <f>INDEX('Draft Engine'!$Z$3:$Z$232,$M8)</f>
        <v>6</v>
      </c>
      <c r="L8" t="str">
        <f>INDEX('LIVE SOURCE'!$H$3:$H$232,$M8)</f>
        <v>Elite WR1 and first-round caliber target with overall WR1 upside.</v>
      </c>
      <c r="M8" s="6">
        <f>MATCH($A8,'Draft Engine'!$Q$3:$Q$232,0)</f>
        <v>87</v>
      </c>
      <c r="N8">
        <f>INDEX('LIVE SOURCE'!$L$3:$L$232,$M8)</f>
        <v>11</v>
      </c>
    </row>
    <row r="9" spans="1:16" x14ac:dyDescent="0.25">
      <c r="A9">
        <v>7</v>
      </c>
      <c r="B9" t="str">
        <f>INDEX('Draft Engine'!$A$3:$A$232,$M9)</f>
        <v>WR</v>
      </c>
      <c r="C9">
        <f>INDEX('Draft Engine'!$F$3:$F$232,$M9)</f>
        <v>4</v>
      </c>
      <c r="D9" t="str">
        <f>INDEX('Draft Engine'!$B$3:$B$232,$M9)</f>
        <v>Amon-Ra St. Brown</v>
      </c>
      <c r="E9" s="4">
        <f>INDEX('Draft Engine'!$E$3:$E$232,$M9)</f>
        <v>93.263900000000007</v>
      </c>
      <c r="F9" t="str">
        <f t="shared" si="0"/>
        <v>TIER 1</v>
      </c>
      <c r="G9" s="4">
        <f>INDEX('Draft Engine'!$N$3:$N$232,$M9)</f>
        <v>96.127144999999999</v>
      </c>
      <c r="H9" s="4">
        <f>INDEX('Draft Engine'!$R$3:$R$232,$M9)</f>
        <v>7</v>
      </c>
      <c r="I9" s="4">
        <f>INDEX('Draft Engine'!$S$3:$S$232,$M9)</f>
        <v>0</v>
      </c>
      <c r="J9" s="5"/>
      <c r="K9">
        <f>INDEX('Draft Engine'!$Z$3:$Z$232,$M9)</f>
        <v>7</v>
      </c>
      <c r="L9" t="str">
        <f>INDEX('LIVE SOURCE'!$H$3:$H$232,$M9)</f>
        <v>Elite WR1 and first-round caliber target with overall WR1 upside.</v>
      </c>
      <c r="M9" s="6">
        <f>MATCH($A9,'Draft Engine'!$Q$3:$Q$232,0)</f>
        <v>88</v>
      </c>
      <c r="N9">
        <f>INDEX('LIVE SOURCE'!$L$3:$L$232,$M9)</f>
        <v>6</v>
      </c>
    </row>
    <row r="10" spans="1:16" x14ac:dyDescent="0.25">
      <c r="A10">
        <v>8</v>
      </c>
      <c r="B10" t="str">
        <f>INDEX('Draft Engine'!$A$3:$A$232,$M10)</f>
        <v>RB</v>
      </c>
      <c r="C10">
        <f>INDEX('Draft Engine'!$F$3:$F$232,$M10)</f>
        <v>4</v>
      </c>
      <c r="D10" t="str">
        <f>INDEX('Draft Engine'!$B$3:$B$232,$M10)</f>
        <v>Jonathan Taylor</v>
      </c>
      <c r="E10" s="4">
        <f>INDEX('Draft Engine'!$E$3:$E$232,$M10)</f>
        <v>92.147000000000006</v>
      </c>
      <c r="F10" t="str">
        <f t="shared" si="0"/>
        <v>TIER 1</v>
      </c>
      <c r="G10" s="4">
        <f>INDEX('Draft Engine'!$N$3:$N$232,$M10)</f>
        <v>94.720850000000013</v>
      </c>
      <c r="H10" s="4">
        <f>INDEX('Draft Engine'!$R$3:$R$232,$M10)</f>
        <v>7.4</v>
      </c>
      <c r="I10" s="4">
        <f>INDEX('Draft Engine'!$S$3:$S$232,$M10)</f>
        <v>-0.59999999999999964</v>
      </c>
      <c r="J10" s="5"/>
      <c r="K10">
        <f>INDEX('Draft Engine'!$Z$3:$Z$232,$M10)</f>
        <v>8</v>
      </c>
      <c r="L10" t="str">
        <f>INDEX('LIVE SOURCE'!$H$3:$H$232,$M10)</f>
        <v>Elite RB1 and first-round roster anchor with league-winning ceiling.</v>
      </c>
      <c r="M10" s="6">
        <f>MATCH($A10,'Draft Engine'!$Q$3:$Q$232,0)</f>
        <v>36</v>
      </c>
      <c r="N10">
        <f>INDEX('LIVE SOURCE'!$L$3:$L$232,$M10)</f>
        <v>13</v>
      </c>
    </row>
    <row r="11" spans="1:16" x14ac:dyDescent="0.25">
      <c r="A11">
        <v>9</v>
      </c>
      <c r="B11" t="str">
        <f>INDEX('Draft Engine'!$A$3:$A$232,$M11)</f>
        <v>WR</v>
      </c>
      <c r="C11">
        <f>INDEX('Draft Engine'!$F$3:$F$232,$M11)</f>
        <v>5</v>
      </c>
      <c r="D11" t="str">
        <f>INDEX('Draft Engine'!$B$3:$B$232,$M11)</f>
        <v>Nico Collins</v>
      </c>
      <c r="E11" s="4">
        <f>INDEX('Draft Engine'!$E$3:$E$232,$M11)</f>
        <v>91.492500000000007</v>
      </c>
      <c r="F11" t="str">
        <f t="shared" si="0"/>
        <v>TIER 1</v>
      </c>
      <c r="G11" s="4">
        <f>INDEX('Draft Engine'!$N$3:$N$232,$M11)</f>
        <v>93.820875000000001</v>
      </c>
      <c r="H11" s="4">
        <f>INDEX('Draft Engine'!$R$3:$R$232,$M11)</f>
        <v>23.8</v>
      </c>
      <c r="I11" s="4">
        <f>INDEX('Draft Engine'!$S$3:$S$232,$M11)</f>
        <v>14.8</v>
      </c>
      <c r="J11" s="5"/>
      <c r="K11">
        <f>INDEX('Draft Engine'!$Z$3:$Z$232,$M11)</f>
        <v>9</v>
      </c>
      <c r="L11" t="str">
        <f>INDEX('LIVE SOURCE'!$H$3:$H$232,$M11)</f>
        <v>Elite WR1 and first-round caliber target with overall WR1 upside.</v>
      </c>
      <c r="M11" s="6">
        <f>MATCH($A11,'Draft Engine'!$Q$3:$Q$232,0)</f>
        <v>94</v>
      </c>
      <c r="N11">
        <f>INDEX('LIVE SOURCE'!$L$3:$L$232,$M11)</f>
        <v>8</v>
      </c>
    </row>
    <row r="12" spans="1:16" x14ac:dyDescent="0.25">
      <c r="A12">
        <v>10</v>
      </c>
      <c r="B12" t="str">
        <f>INDEX('Draft Engine'!$A$3:$A$232,$M12)</f>
        <v>TE</v>
      </c>
      <c r="C12">
        <f>INDEX('Draft Engine'!$F$3:$F$232,$M12)</f>
        <v>1</v>
      </c>
      <c r="D12" t="str">
        <f>INDEX('Draft Engine'!$B$3:$B$232,$M12)</f>
        <v>Trey McBride</v>
      </c>
      <c r="E12" s="4">
        <f>INDEX('Draft Engine'!$E$3:$E$232,$M12)</f>
        <v>97.737099999999998</v>
      </c>
      <c r="F12" t="str">
        <f t="shared" si="0"/>
        <v>ELITE</v>
      </c>
      <c r="G12" s="4">
        <f>INDEX('Draft Engine'!$N$3:$N$232,$M12)</f>
        <v>93.487404999999995</v>
      </c>
      <c r="H12" s="4">
        <f>INDEX('Draft Engine'!$R$3:$R$232,$M12)</f>
        <v>35.700000000000003</v>
      </c>
      <c r="I12" s="4">
        <f>INDEX('Draft Engine'!$S$3:$S$232,$M12)</f>
        <v>25.700000000000003</v>
      </c>
      <c r="J12" s="5"/>
      <c r="K12">
        <f>INDEX('Draft Engine'!$Z$3:$Z$232,$M12)</f>
        <v>10</v>
      </c>
      <c r="L12" t="str">
        <f>INDEX('LIVE SOURCE'!$H$3:$H$232,$M12)</f>
        <v>Elite difference-making TE; positional advantage is the expectation.</v>
      </c>
      <c r="M12" s="6">
        <f>MATCH($A12,'Draft Engine'!$Q$3:$Q$232,0)</f>
        <v>159</v>
      </c>
      <c r="N12">
        <f>INDEX('LIVE SOURCE'!$L$3:$L$232,$M12)</f>
        <v>14</v>
      </c>
    </row>
    <row r="13" spans="1:16" x14ac:dyDescent="0.25">
      <c r="A13">
        <v>11</v>
      </c>
      <c r="B13" t="str">
        <f>INDEX('Draft Engine'!$A$3:$A$232,$M13)</f>
        <v>RB</v>
      </c>
      <c r="C13">
        <f>INDEX('Draft Engine'!$F$3:$F$232,$M13)</f>
        <v>5</v>
      </c>
      <c r="D13" t="str">
        <f>INDEX('Draft Engine'!$B$3:$B$232,$M13)</f>
        <v>Jeremiyah Love</v>
      </c>
      <c r="E13" s="4">
        <f>INDEX('Draft Engine'!$E$3:$E$232,$M13)</f>
        <v>90.865899999999996</v>
      </c>
      <c r="F13" t="str">
        <f t="shared" si="0"/>
        <v>TIER 1</v>
      </c>
      <c r="G13" s="4">
        <f>INDEX('Draft Engine'!$N$3:$N$232,$M13)</f>
        <v>93.044245000000004</v>
      </c>
      <c r="H13" s="4">
        <f>INDEX('Draft Engine'!$R$3:$R$232,$M13)</f>
        <v>26.2</v>
      </c>
      <c r="I13" s="4">
        <f>INDEX('Draft Engine'!$S$3:$S$232,$M13)</f>
        <v>15.2</v>
      </c>
      <c r="J13" s="5"/>
      <c r="K13">
        <f>INDEX('Draft Engine'!$Z$3:$Z$232,$M13)</f>
        <v>11</v>
      </c>
      <c r="L13" t="str">
        <f>INDEX('LIVE SOURCE'!$H$3:$H$232,$M13)</f>
        <v>Elite RB1 and first-round roster anchor with league-winning ceiling.</v>
      </c>
      <c r="M13" s="6">
        <f>MATCH($A13,'Draft Engine'!$Q$3:$Q$232,0)</f>
        <v>37</v>
      </c>
      <c r="N13">
        <f>INDEX('LIVE SOURCE'!$L$3:$L$232,$M13)</f>
        <v>14</v>
      </c>
    </row>
    <row r="14" spans="1:16" x14ac:dyDescent="0.25">
      <c r="A14">
        <v>12</v>
      </c>
      <c r="B14" t="str">
        <f>INDEX('Draft Engine'!$A$3:$A$232,$M14)</f>
        <v>QB</v>
      </c>
      <c r="C14">
        <f>INDEX('Draft Engine'!$F$3:$F$232,$M14)</f>
        <v>1</v>
      </c>
      <c r="D14" t="str">
        <f>INDEX('Draft Engine'!$B$3:$B$232,$M14)</f>
        <v>Josh Allen</v>
      </c>
      <c r="E14" s="4">
        <f>INDEX('Draft Engine'!$E$3:$E$232,$M14)</f>
        <v>97.309899999999999</v>
      </c>
      <c r="F14" t="str">
        <f t="shared" si="0"/>
        <v>ELITE</v>
      </c>
      <c r="G14" s="4">
        <f>INDEX('Draft Engine'!$N$3:$N$232,$M14)</f>
        <v>90.744444999999999</v>
      </c>
      <c r="H14" s="4">
        <f>INDEX('Draft Engine'!$R$3:$R$232,$M14)</f>
        <v>26.6</v>
      </c>
      <c r="I14" s="4">
        <f>INDEX('Draft Engine'!$S$3:$S$232,$M14)</f>
        <v>14.600000000000001</v>
      </c>
      <c r="J14" s="5"/>
      <c r="K14">
        <f>INDEX('Draft Engine'!$Z$3:$Z$232,$M14)</f>
        <v>12</v>
      </c>
      <c r="L14" t="str">
        <f>INDEX('LIVE SOURCE'!$H$3:$H$232,$M14)</f>
        <v>Elite QB1; weekly top-5 expectation with overall QB1 upside.</v>
      </c>
      <c r="M14" s="6">
        <f>MATCH($A14,'Draft Engine'!$Q$3:$Q$232,0)</f>
        <v>1</v>
      </c>
      <c r="N14">
        <f>INDEX('LIVE SOURCE'!$L$3:$L$232,$M14)</f>
        <v>7</v>
      </c>
    </row>
    <row r="15" spans="1:16" x14ac:dyDescent="0.25">
      <c r="A15">
        <v>13</v>
      </c>
      <c r="B15" t="str">
        <f>INDEX('Draft Engine'!$A$3:$A$232,$M15)</f>
        <v>WR</v>
      </c>
      <c r="C15">
        <f>INDEX('Draft Engine'!$F$3:$F$232,$M15)</f>
        <v>6</v>
      </c>
      <c r="D15" t="str">
        <f>INDEX('Draft Engine'!$B$3:$B$232,$M15)</f>
        <v>Chris Olave</v>
      </c>
      <c r="E15" s="4">
        <f>INDEX('Draft Engine'!$E$3:$E$232,$M15)</f>
        <v>88.907499999999999</v>
      </c>
      <c r="F15" t="str">
        <f t="shared" si="0"/>
        <v>TIER 2</v>
      </c>
      <c r="G15" s="4">
        <f>INDEX('Draft Engine'!$N$3:$N$232,$M15)</f>
        <v>90.270458333333337</v>
      </c>
      <c r="H15" s="4">
        <f>INDEX('Draft Engine'!$R$3:$R$232,$M15)</f>
        <v>20.399999999999999</v>
      </c>
      <c r="I15" s="4">
        <f>INDEX('Draft Engine'!$S$3:$S$232,$M15)</f>
        <v>7.3999999999999986</v>
      </c>
      <c r="J15" s="5"/>
      <c r="K15">
        <f>INDEX('Draft Engine'!$Z$3:$Z$232,$M15)</f>
        <v>13</v>
      </c>
      <c r="L15" t="str">
        <f>INDEX('LIVE SOURCE'!$H$3:$H$232,$M15)</f>
        <v>Strong WR1; bankable weekly starter with spike-week ceiling.</v>
      </c>
      <c r="M15" s="6">
        <f>MATCH($A15,'Draft Engine'!$Q$3:$Q$232,0)</f>
        <v>96</v>
      </c>
      <c r="N15">
        <f>INDEX('LIVE SOURCE'!$L$3:$L$232,$M15)</f>
        <v>8</v>
      </c>
    </row>
    <row r="16" spans="1:16" x14ac:dyDescent="0.25">
      <c r="A16">
        <v>14</v>
      </c>
      <c r="B16" t="str">
        <f>INDEX('Draft Engine'!$A$3:$A$232,$M16)</f>
        <v>RB</v>
      </c>
      <c r="C16">
        <f>INDEX('Draft Engine'!$F$3:$F$232,$M16)</f>
        <v>6</v>
      </c>
      <c r="D16" t="str">
        <f>INDEX('Draft Engine'!$B$3:$B$232,$M16)</f>
        <v>Omarion Hampton</v>
      </c>
      <c r="E16" s="4">
        <f>INDEX('Draft Engine'!$E$3:$E$232,$M16)</f>
        <v>88.642099999999999</v>
      </c>
      <c r="F16" t="str">
        <f t="shared" si="0"/>
        <v>TIER 2</v>
      </c>
      <c r="G16" s="4">
        <f>INDEX('Draft Engine'!$N$3:$N$232,$M16)</f>
        <v>90.147154999999998</v>
      </c>
      <c r="H16" s="4">
        <f>INDEX('Draft Engine'!$R$3:$R$232,$M16)</f>
        <v>19.600000000000001</v>
      </c>
      <c r="I16" s="4">
        <f>INDEX('Draft Engine'!$S$3:$S$232,$M16)</f>
        <v>5.6000000000000014</v>
      </c>
      <c r="J16" s="5"/>
      <c r="K16">
        <f>INDEX('Draft Engine'!$Z$3:$Z$232,$M16)</f>
        <v>14</v>
      </c>
      <c r="L16" t="str">
        <f>INDEX('LIVE SOURCE'!$H$3:$H$232,$M16)</f>
        <v>Strong RB1; weekly top-12 expectation with multi-touchdown ceiling.</v>
      </c>
      <c r="M16" s="6">
        <f>MATCH($A16,'Draft Engine'!$Q$3:$Q$232,0)</f>
        <v>38</v>
      </c>
      <c r="N16">
        <f>INDEX('LIVE SOURCE'!$L$3:$L$232,$M16)</f>
        <v>7</v>
      </c>
    </row>
    <row r="17" spans="1:14" x14ac:dyDescent="0.25">
      <c r="A17">
        <v>15</v>
      </c>
      <c r="B17" t="str">
        <f>INDEX('Draft Engine'!$A$3:$A$232,$M17)</f>
        <v>TE</v>
      </c>
      <c r="C17">
        <f>INDEX('Draft Engine'!$F$3:$F$232,$M17)</f>
        <v>2</v>
      </c>
      <c r="D17" t="str">
        <f>INDEX('Draft Engine'!$B$3:$B$232,$M17)</f>
        <v>Brock Bowers</v>
      </c>
      <c r="E17" s="4">
        <f>INDEX('Draft Engine'!$E$3:$E$232,$M17)</f>
        <v>94.884600000000006</v>
      </c>
      <c r="F17" t="str">
        <f t="shared" si="0"/>
        <v>TIER 1</v>
      </c>
      <c r="G17" s="4">
        <f>INDEX('Draft Engine'!$N$3:$N$232,$M17)</f>
        <v>89.426222307692314</v>
      </c>
      <c r="H17" s="4">
        <f>INDEX('Draft Engine'!$R$3:$R$232,$M17)</f>
        <v>41.1</v>
      </c>
      <c r="I17" s="4">
        <f>INDEX('Draft Engine'!$S$3:$S$232,$M17)</f>
        <v>26.1</v>
      </c>
      <c r="J17" s="5"/>
      <c r="K17">
        <f>INDEX('Draft Engine'!$Z$3:$Z$232,$M17)</f>
        <v>15</v>
      </c>
      <c r="L17" t="str">
        <f>INDEX('LIVE SOURCE'!$H$3:$H$232,$M17)</f>
        <v>Elite difference-making TE; positional advantage is the expectation.</v>
      </c>
      <c r="M17" s="6">
        <f>MATCH($A17,'Draft Engine'!$Q$3:$Q$232,0)</f>
        <v>160</v>
      </c>
      <c r="N17">
        <f>INDEX('LIVE SOURCE'!$L$3:$L$232,$M17)</f>
        <v>13</v>
      </c>
    </row>
    <row r="18" spans="1:14" x14ac:dyDescent="0.25">
      <c r="A18">
        <v>16</v>
      </c>
      <c r="B18" t="str">
        <f>INDEX('Draft Engine'!$A$3:$A$232,$M18)</f>
        <v>RB</v>
      </c>
      <c r="C18">
        <f>INDEX('Draft Engine'!$F$3:$F$232,$M18)</f>
        <v>7</v>
      </c>
      <c r="D18" t="str">
        <f>INDEX('Draft Engine'!$B$3:$B$232,$M18)</f>
        <v>De'Von Achane</v>
      </c>
      <c r="E18" s="4">
        <f>INDEX('Draft Engine'!$E$3:$E$232,$M18)</f>
        <v>87.944000000000003</v>
      </c>
      <c r="F18" t="str">
        <f t="shared" si="0"/>
        <v>TIER 2</v>
      </c>
      <c r="G18" s="4">
        <f>INDEX('Draft Engine'!$N$3:$N$232,$M18)</f>
        <v>89.241200000000006</v>
      </c>
      <c r="H18" s="4">
        <f>INDEX('Draft Engine'!$R$3:$R$232,$M18)</f>
        <v>10.1</v>
      </c>
      <c r="I18" s="4">
        <f>INDEX('Draft Engine'!$S$3:$S$232,$M18)</f>
        <v>-5.9</v>
      </c>
      <c r="J18" s="5"/>
      <c r="K18">
        <f>INDEX('Draft Engine'!$Z$3:$Z$232,$M18)</f>
        <v>16</v>
      </c>
      <c r="L18" t="str">
        <f>INDEX('LIVE SOURCE'!$H$3:$H$232,$M18)</f>
        <v>Strong RB1; weekly top-12 expectation with multi-touchdown ceiling.</v>
      </c>
      <c r="M18" s="6">
        <f>MATCH($A18,'Draft Engine'!$Q$3:$Q$232,0)</f>
        <v>39</v>
      </c>
      <c r="N18">
        <f>INDEX('LIVE SOURCE'!$L$3:$L$232,$M18)</f>
        <v>6</v>
      </c>
    </row>
    <row r="19" spans="1:14" x14ac:dyDescent="0.25">
      <c r="A19">
        <v>17</v>
      </c>
      <c r="B19" t="str">
        <f>INDEX('Draft Engine'!$A$3:$A$232,$M19)</f>
        <v>RB</v>
      </c>
      <c r="C19">
        <f>INDEX('Draft Engine'!$F$3:$F$232,$M19)</f>
        <v>8</v>
      </c>
      <c r="D19" t="str">
        <f>INDEX('Draft Engine'!$B$3:$B$232,$M19)</f>
        <v>Kenneth Walker III</v>
      </c>
      <c r="E19" s="4">
        <f>INDEX('Draft Engine'!$E$3:$E$232,$M19)</f>
        <v>87.292599999999993</v>
      </c>
      <c r="F19" t="str">
        <f t="shared" si="0"/>
        <v>TIER 2</v>
      </c>
      <c r="G19" s="4">
        <f>INDEX('Draft Engine'!$N$3:$N$232,$M19)</f>
        <v>88.113304999999997</v>
      </c>
      <c r="H19" s="4">
        <f>INDEX('Draft Engine'!$R$3:$R$232,$M19)</f>
        <v>26.2</v>
      </c>
      <c r="I19" s="4">
        <f>INDEX('Draft Engine'!$S$3:$S$232,$M19)</f>
        <v>9.1999999999999993</v>
      </c>
      <c r="J19" s="5"/>
      <c r="K19">
        <f>INDEX('Draft Engine'!$Z$3:$Z$232,$M19)</f>
        <v>17</v>
      </c>
      <c r="L19" t="str">
        <f>INDEX('LIVE SOURCE'!$H$3:$H$232,$M19)</f>
        <v>Strong RB1; weekly top-12 expectation with multi-touchdown ceiling.</v>
      </c>
      <c r="M19" s="6">
        <f>MATCH($A19,'Draft Engine'!$Q$3:$Q$232,0)</f>
        <v>40</v>
      </c>
      <c r="N19">
        <f>INDEX('LIVE SOURCE'!$L$3:$L$232,$M19)</f>
        <v>5</v>
      </c>
    </row>
    <row r="20" spans="1:14" x14ac:dyDescent="0.25">
      <c r="A20">
        <v>18</v>
      </c>
      <c r="B20" t="str">
        <f>INDEX('Draft Engine'!$A$3:$A$232,$M20)</f>
        <v>WR</v>
      </c>
      <c r="C20">
        <f>INDEX('Draft Engine'!$F$3:$F$232,$M20)</f>
        <v>7</v>
      </c>
      <c r="D20" t="str">
        <f>INDEX('Draft Engine'!$B$3:$B$232,$M20)</f>
        <v>Drake London</v>
      </c>
      <c r="E20" s="4">
        <f>INDEX('Draft Engine'!$E$3:$E$232,$M20)</f>
        <v>87.510599999999997</v>
      </c>
      <c r="F20" t="str">
        <f t="shared" si="0"/>
        <v>TIER 2</v>
      </c>
      <c r="G20" s="4">
        <f>INDEX('Draft Engine'!$N$3:$N$232,$M20)</f>
        <v>88.106830000000002</v>
      </c>
      <c r="H20" s="4">
        <f>INDEX('Draft Engine'!$R$3:$R$232,$M20)</f>
        <v>10.199999999999999</v>
      </c>
      <c r="I20" s="4">
        <f>INDEX('Draft Engine'!$S$3:$S$232,$M20)</f>
        <v>-7.8000000000000007</v>
      </c>
      <c r="J20" s="5"/>
      <c r="K20">
        <f>INDEX('Draft Engine'!$Z$3:$Z$232,$M20)</f>
        <v>18</v>
      </c>
      <c r="L20" t="str">
        <f>INDEX('LIVE SOURCE'!$H$3:$H$232,$M20)</f>
        <v>Strong WR1; bankable weekly starter with spike-week ceiling.</v>
      </c>
      <c r="M20" s="6">
        <f>MATCH($A20,'Draft Engine'!$Q$3:$Q$232,0)</f>
        <v>93</v>
      </c>
      <c r="N20">
        <f>INDEX('LIVE SOURCE'!$L$3:$L$232,$M20)</f>
        <v>11</v>
      </c>
    </row>
    <row r="21" spans="1:14" x14ac:dyDescent="0.25">
      <c r="A21">
        <v>19</v>
      </c>
      <c r="B21" t="str">
        <f>INDEX('Draft Engine'!$A$3:$A$232,$M21)</f>
        <v>WR</v>
      </c>
      <c r="C21">
        <f>INDEX('Draft Engine'!$F$3:$F$232,$M21)</f>
        <v>8</v>
      </c>
      <c r="D21" t="str">
        <f>INDEX('Draft Engine'!$B$3:$B$232,$M21)</f>
        <v>DeVonta Smith</v>
      </c>
      <c r="E21" s="4">
        <f>INDEX('Draft Engine'!$E$3:$E$232,$M21)</f>
        <v>87.487499999999997</v>
      </c>
      <c r="F21" t="str">
        <f t="shared" si="0"/>
        <v>TIER 2</v>
      </c>
      <c r="G21" s="4">
        <f>INDEX('Draft Engine'!$N$3:$N$232,$M21)</f>
        <v>87.742791666666662</v>
      </c>
      <c r="H21" s="4">
        <f>INDEX('Draft Engine'!$R$3:$R$232,$M21)</f>
        <v>29.5</v>
      </c>
      <c r="I21" s="4">
        <f>INDEX('Draft Engine'!$S$3:$S$232,$M21)</f>
        <v>10.5</v>
      </c>
      <c r="J21" s="5"/>
      <c r="K21">
        <f>INDEX('Draft Engine'!$Z$3:$Z$232,$M21)</f>
        <v>19</v>
      </c>
      <c r="L21" t="str">
        <f>INDEX('LIVE SOURCE'!$H$3:$H$232,$M21)</f>
        <v>Strong WR1; bankable weekly starter with spike-week ceiling.</v>
      </c>
      <c r="M21" s="6">
        <f>MATCH($A21,'Draft Engine'!$Q$3:$Q$232,0)</f>
        <v>100</v>
      </c>
      <c r="N21">
        <f>INDEX('LIVE SOURCE'!$L$3:$L$232,$M21)</f>
        <v>10</v>
      </c>
    </row>
    <row r="22" spans="1:14" x14ac:dyDescent="0.25">
      <c r="A22">
        <v>20</v>
      </c>
      <c r="B22" t="str">
        <f>INDEX('Draft Engine'!$A$3:$A$232,$M22)</f>
        <v>RB</v>
      </c>
      <c r="C22">
        <f>INDEX('Draft Engine'!$F$3:$F$232,$M22)</f>
        <v>9</v>
      </c>
      <c r="D22" t="str">
        <f>INDEX('Draft Engine'!$B$3:$B$232,$M22)</f>
        <v>James Cook III</v>
      </c>
      <c r="E22" s="4">
        <f>INDEX('Draft Engine'!$E$3:$E$232,$M22)</f>
        <v>87.058000000000007</v>
      </c>
      <c r="F22" t="str">
        <f t="shared" si="0"/>
        <v>TIER 2</v>
      </c>
      <c r="G22" s="4">
        <f>INDEX('Draft Engine'!$N$3:$N$232,$M22)</f>
        <v>87.444900000000018</v>
      </c>
      <c r="H22" s="4">
        <f>INDEX('Draft Engine'!$R$3:$R$232,$M22)</f>
        <v>14.9</v>
      </c>
      <c r="I22" s="4">
        <f>INDEX('Draft Engine'!$S$3:$S$232,$M22)</f>
        <v>-5.0999999999999996</v>
      </c>
      <c r="J22" s="5"/>
      <c r="K22">
        <f>INDEX('Draft Engine'!$Z$3:$Z$232,$M22)</f>
        <v>20</v>
      </c>
      <c r="L22" t="str">
        <f>INDEX('LIVE SOURCE'!$H$3:$H$232,$M22)</f>
        <v>Strong RB1; weekly top-12 expectation with multi-touchdown ceiling.</v>
      </c>
      <c r="M22" s="6">
        <f>MATCH($A22,'Draft Engine'!$Q$3:$Q$232,0)</f>
        <v>41</v>
      </c>
      <c r="N22">
        <f>INDEX('LIVE SOURCE'!$L$3:$L$232,$M22)</f>
        <v>7</v>
      </c>
    </row>
    <row r="23" spans="1:14" x14ac:dyDescent="0.25">
      <c r="A23">
        <v>21</v>
      </c>
      <c r="B23" t="str">
        <f>INDEX('Draft Engine'!$A$3:$A$232,$M23)</f>
        <v>WR</v>
      </c>
      <c r="C23">
        <f>INDEX('Draft Engine'!$F$3:$F$232,$M23)</f>
        <v>9</v>
      </c>
      <c r="D23" t="str">
        <f>INDEX('Draft Engine'!$B$3:$B$232,$M23)</f>
        <v>Zay Flowers</v>
      </c>
      <c r="E23" s="4">
        <f>INDEX('Draft Engine'!$E$3:$E$232,$M23)</f>
        <v>86.57</v>
      </c>
      <c r="F23" t="str">
        <f t="shared" si="0"/>
        <v>TIER 2</v>
      </c>
      <c r="G23" s="4">
        <f>INDEX('Draft Engine'!$N$3:$N$232,$M23)</f>
        <v>86.220833333333331</v>
      </c>
      <c r="H23" s="4">
        <f>INDEX('Draft Engine'!$R$3:$R$232,$M23)</f>
        <v>26.4</v>
      </c>
      <c r="I23" s="4">
        <f>INDEX('Draft Engine'!$S$3:$S$232,$M23)</f>
        <v>5.3999999999999986</v>
      </c>
      <c r="J23" s="5"/>
      <c r="K23">
        <f>INDEX('Draft Engine'!$Z$3:$Z$232,$M23)</f>
        <v>21</v>
      </c>
      <c r="L23" t="str">
        <f>INDEX('LIVE SOURCE'!$H$3:$H$232,$M23)</f>
        <v>Strong WR1; bankable weekly starter with spike-week ceiling.</v>
      </c>
      <c r="M23" s="6">
        <f>MATCH($A23,'Draft Engine'!$Q$3:$Q$232,0)</f>
        <v>101</v>
      </c>
      <c r="N23">
        <f>INDEX('LIVE SOURCE'!$L$3:$L$232,$M23)</f>
        <v>13</v>
      </c>
    </row>
    <row r="24" spans="1:14" x14ac:dyDescent="0.25">
      <c r="A24">
        <v>22</v>
      </c>
      <c r="B24" t="str">
        <f>INDEX('Draft Engine'!$A$3:$A$232,$M24)</f>
        <v>RB</v>
      </c>
      <c r="C24">
        <f>INDEX('Draft Engine'!$F$3:$F$232,$M24)</f>
        <v>10</v>
      </c>
      <c r="D24" t="str">
        <f>INDEX('Draft Engine'!$B$3:$B$232,$M24)</f>
        <v>Kyren Williams</v>
      </c>
      <c r="E24" s="4">
        <f>INDEX('Draft Engine'!$E$3:$E$232,$M24)</f>
        <v>85.948599999999999</v>
      </c>
      <c r="F24" t="str">
        <f t="shared" si="0"/>
        <v>TIER 2</v>
      </c>
      <c r="G24" s="4">
        <f>INDEX('Draft Engine'!$N$3:$N$232,$M24)</f>
        <v>85.647355000000005</v>
      </c>
      <c r="H24" s="4">
        <f>INDEX('Draft Engine'!$R$3:$R$232,$M24)</f>
        <v>33.1</v>
      </c>
      <c r="I24" s="4">
        <f>INDEX('Draft Engine'!$S$3:$S$232,$M24)</f>
        <v>11.100000000000001</v>
      </c>
      <c r="J24" s="5"/>
      <c r="K24">
        <f>INDEX('Draft Engine'!$Z$3:$Z$232,$M24)</f>
        <v>22</v>
      </c>
      <c r="L24" t="str">
        <f>INDEX('LIVE SOURCE'!$H$3:$H$232,$M24)</f>
        <v>Strong RB1; weekly top-12 expectation with multi-touchdown ceiling.</v>
      </c>
      <c r="M24" s="6">
        <f>MATCH($A24,'Draft Engine'!$Q$3:$Q$232,0)</f>
        <v>42</v>
      </c>
      <c r="N24">
        <f>INDEX('LIVE SOURCE'!$L$3:$L$232,$M24)</f>
        <v>11</v>
      </c>
    </row>
    <row r="25" spans="1:14" x14ac:dyDescent="0.25">
      <c r="A25">
        <v>23</v>
      </c>
      <c r="B25" t="str">
        <f>INDEX('Draft Engine'!$A$3:$A$232,$M25)</f>
        <v>WR</v>
      </c>
      <c r="C25">
        <f>INDEX('Draft Engine'!$F$3:$F$232,$M25)</f>
        <v>10</v>
      </c>
      <c r="D25" t="str">
        <f>INDEX('Draft Engine'!$B$3:$B$232,$M25)</f>
        <v>Garrett Wilson</v>
      </c>
      <c r="E25" s="4">
        <f>INDEX('Draft Engine'!$E$3:$E$232,$M25)</f>
        <v>86.155000000000001</v>
      </c>
      <c r="F25" t="str">
        <f t="shared" si="0"/>
        <v>TIER 2</v>
      </c>
      <c r="G25" s="4">
        <f>INDEX('Draft Engine'!$N$3:$N$232,$M25)</f>
        <v>85.353250000000003</v>
      </c>
      <c r="H25" s="4">
        <f>INDEX('Draft Engine'!$R$3:$R$232,$M25)</f>
        <v>29</v>
      </c>
      <c r="I25" s="4">
        <f>INDEX('Draft Engine'!$S$3:$S$232,$M25)</f>
        <v>6</v>
      </c>
      <c r="J25" s="5"/>
      <c r="K25">
        <f>INDEX('Draft Engine'!$Z$3:$Z$232,$M25)</f>
        <v>23</v>
      </c>
      <c r="L25" t="str">
        <f>INDEX('LIVE SOURCE'!$H$3:$H$232,$M25)</f>
        <v>Strong WR1; bankable weekly starter with spike-week ceiling.</v>
      </c>
      <c r="M25" s="6">
        <f>MATCH($A25,'Draft Engine'!$Q$3:$Q$232,0)</f>
        <v>99</v>
      </c>
      <c r="N25">
        <f>INDEX('LIVE SOURCE'!$L$3:$L$232,$M25)</f>
        <v>13</v>
      </c>
    </row>
    <row r="26" spans="1:14" x14ac:dyDescent="0.25">
      <c r="A26">
        <v>24</v>
      </c>
      <c r="B26" t="str">
        <f>INDEX('Draft Engine'!$A$3:$A$232,$M26)</f>
        <v>RB</v>
      </c>
      <c r="C26">
        <f>INDEX('Draft Engine'!$F$3:$F$232,$M26)</f>
        <v>11</v>
      </c>
      <c r="D26" t="str">
        <f>INDEX('Draft Engine'!$B$3:$B$232,$M26)</f>
        <v>Breece Hall</v>
      </c>
      <c r="E26" s="4">
        <f>INDEX('Draft Engine'!$E$3:$E$232,$M26)</f>
        <v>85.895200000000003</v>
      </c>
      <c r="F26" t="str">
        <f t="shared" si="0"/>
        <v>TIER 2</v>
      </c>
      <c r="G26" s="4">
        <f>INDEX('Draft Engine'!$N$3:$N$232,$M26)</f>
        <v>85.222610000000003</v>
      </c>
      <c r="H26" s="4">
        <f>INDEX('Draft Engine'!$R$3:$R$232,$M26)</f>
        <v>27</v>
      </c>
      <c r="I26" s="4">
        <f>INDEX('Draft Engine'!$S$3:$S$232,$M26)</f>
        <v>3</v>
      </c>
      <c r="J26" s="5"/>
      <c r="K26">
        <f>INDEX('Draft Engine'!$Z$3:$Z$232,$M26)</f>
        <v>24</v>
      </c>
      <c r="L26" t="str">
        <f>INDEX('LIVE SOURCE'!$H$3:$H$232,$M26)</f>
        <v>Strong RB1; weekly top-12 expectation with multi-touchdown ceiling.</v>
      </c>
      <c r="M26" s="6">
        <f>MATCH($A26,'Draft Engine'!$Q$3:$Q$232,0)</f>
        <v>43</v>
      </c>
      <c r="N26">
        <f>INDEX('LIVE SOURCE'!$L$3:$L$232,$M26)</f>
        <v>13</v>
      </c>
    </row>
    <row r="27" spans="1:14" x14ac:dyDescent="0.25">
      <c r="A27">
        <v>25</v>
      </c>
      <c r="B27" t="str">
        <f>INDEX('Draft Engine'!$A$3:$A$232,$M27)</f>
        <v>RB</v>
      </c>
      <c r="C27">
        <f>INDEX('Draft Engine'!$F$3:$F$232,$M27)</f>
        <v>12</v>
      </c>
      <c r="D27" t="str">
        <f>INDEX('Draft Engine'!$B$3:$B$232,$M27)</f>
        <v>Ashton Jeanty</v>
      </c>
      <c r="E27" s="4">
        <f>INDEX('Draft Engine'!$E$3:$E$232,$M27)</f>
        <v>85.843299999999999</v>
      </c>
      <c r="F27" t="str">
        <f t="shared" si="0"/>
        <v>TIER 2</v>
      </c>
      <c r="G27" s="4">
        <f>INDEX('Draft Engine'!$N$3:$N$232,$M27)</f>
        <v>84.780690000000007</v>
      </c>
      <c r="H27" s="4">
        <f>INDEX('Draft Engine'!$R$3:$R$232,$M27)</f>
        <v>13.8</v>
      </c>
      <c r="I27" s="4">
        <f>INDEX('Draft Engine'!$S$3:$S$232,$M27)</f>
        <v>-11.2</v>
      </c>
      <c r="J27" s="5"/>
      <c r="K27">
        <f>INDEX('Draft Engine'!$Z$3:$Z$232,$M27)</f>
        <v>25</v>
      </c>
      <c r="L27" t="str">
        <f>INDEX('LIVE SOURCE'!$H$3:$H$232,$M27)</f>
        <v>Strong RB1; weekly top-12 expectation with multi-touchdown ceiling.</v>
      </c>
      <c r="M27" s="6">
        <f>MATCH($A27,'Draft Engine'!$Q$3:$Q$232,0)</f>
        <v>44</v>
      </c>
      <c r="N27">
        <f>INDEX('LIVE SOURCE'!$L$3:$L$232,$M27)</f>
        <v>13</v>
      </c>
    </row>
    <row r="28" spans="1:14" x14ac:dyDescent="0.25">
      <c r="A28">
        <v>26</v>
      </c>
      <c r="B28" t="str">
        <f>INDEX('Draft Engine'!$A$3:$A$232,$M28)</f>
        <v>WR</v>
      </c>
      <c r="C28">
        <f>INDEX('Draft Engine'!$F$3:$F$232,$M28)</f>
        <v>11</v>
      </c>
      <c r="D28" t="str">
        <f>INDEX('Draft Engine'!$B$3:$B$232,$M28)</f>
        <v>CeeDee Lamb</v>
      </c>
      <c r="E28" s="4">
        <f>INDEX('Draft Engine'!$E$3:$E$232,$M28)</f>
        <v>85.742599999999996</v>
      </c>
      <c r="F28" t="str">
        <f t="shared" si="0"/>
        <v>TIER 2</v>
      </c>
      <c r="G28" s="4">
        <f>INDEX('Draft Engine'!$N$3:$N$232,$M28)</f>
        <v>84.469096666666672</v>
      </c>
      <c r="H28" s="4">
        <f>INDEX('Draft Engine'!$R$3:$R$232,$M28)</f>
        <v>11.2</v>
      </c>
      <c r="I28" s="4">
        <f>INDEX('Draft Engine'!$S$3:$S$232,$M28)</f>
        <v>-14.8</v>
      </c>
      <c r="J28" s="5"/>
      <c r="K28">
        <f>INDEX('Draft Engine'!$Z$3:$Z$232,$M28)</f>
        <v>26</v>
      </c>
      <c r="L28" t="str">
        <f>INDEX('LIVE SOURCE'!$H$3:$H$232,$M28)</f>
        <v>Strong WR1; bankable weekly starter with spike-week ceiling.</v>
      </c>
      <c r="M28" s="6">
        <f>MATCH($A28,'Draft Engine'!$Q$3:$Q$232,0)</f>
        <v>90</v>
      </c>
      <c r="N28">
        <f>INDEX('LIVE SOURCE'!$L$3:$L$232,$M28)</f>
        <v>14</v>
      </c>
    </row>
    <row r="29" spans="1:14" x14ac:dyDescent="0.25">
      <c r="A29">
        <v>27</v>
      </c>
      <c r="B29" t="str">
        <f>INDEX('Draft Engine'!$A$3:$A$232,$M29)</f>
        <v>RB</v>
      </c>
      <c r="C29">
        <f>INDEX('Draft Engine'!$F$3:$F$232,$M29)</f>
        <v>13</v>
      </c>
      <c r="D29" t="str">
        <f>INDEX('Draft Engine'!$B$3:$B$232,$M29)</f>
        <v>Derrick Henry</v>
      </c>
      <c r="E29" s="4">
        <f>INDEX('Draft Engine'!$E$3:$E$232,$M29)</f>
        <v>85.667400000000001</v>
      </c>
      <c r="F29" t="str">
        <f t="shared" si="0"/>
        <v>TIER 2</v>
      </c>
      <c r="G29" s="4">
        <f>INDEX('Draft Engine'!$N$3:$N$232,$M29)</f>
        <v>84.198570000000004</v>
      </c>
      <c r="H29" s="4">
        <f>INDEX('Draft Engine'!$R$3:$R$232,$M29)</f>
        <v>15.4</v>
      </c>
      <c r="I29" s="4">
        <f>INDEX('Draft Engine'!$S$3:$S$232,$M29)</f>
        <v>-11.6</v>
      </c>
      <c r="J29" s="5"/>
      <c r="K29">
        <f>INDEX('Draft Engine'!$Z$3:$Z$232,$M29)</f>
        <v>27</v>
      </c>
      <c r="L29" t="str">
        <f>INDEX('LIVE SOURCE'!$H$3:$H$232,$M29)</f>
        <v>RB2 with RB1 weeks; should be a regular starter.</v>
      </c>
      <c r="M29" s="6">
        <f>MATCH($A29,'Draft Engine'!$Q$3:$Q$232,0)</f>
        <v>45</v>
      </c>
      <c r="N29">
        <f>INDEX('LIVE SOURCE'!$L$3:$L$232,$M29)</f>
        <v>13</v>
      </c>
    </row>
    <row r="30" spans="1:14" x14ac:dyDescent="0.25">
      <c r="A30">
        <v>28</v>
      </c>
      <c r="B30" t="str">
        <f>INDEX('Draft Engine'!$A$3:$A$232,$M30)</f>
        <v>WR</v>
      </c>
      <c r="C30">
        <f>INDEX('Draft Engine'!$F$3:$F$232,$M30)</f>
        <v>12</v>
      </c>
      <c r="D30" t="str">
        <f>INDEX('Draft Engine'!$B$3:$B$232,$M30)</f>
        <v>Tetairoa McMillan</v>
      </c>
      <c r="E30" s="4">
        <f>INDEX('Draft Engine'!$E$3:$E$232,$M30)</f>
        <v>85.74</v>
      </c>
      <c r="F30" t="str">
        <f t="shared" si="0"/>
        <v>TIER 2</v>
      </c>
      <c r="G30" s="4">
        <f>INDEX('Draft Engine'!$N$3:$N$232,$M30)</f>
        <v>84.134333333333331</v>
      </c>
      <c r="H30" s="4">
        <f>INDEX('Draft Engine'!$R$3:$R$232,$M30)</f>
        <v>34.4</v>
      </c>
      <c r="I30" s="4">
        <f>INDEX('Draft Engine'!$S$3:$S$232,$M30)</f>
        <v>6.3999999999999986</v>
      </c>
      <c r="J30" s="5"/>
      <c r="K30">
        <f>INDEX('Draft Engine'!$Z$3:$Z$232,$M30)</f>
        <v>28</v>
      </c>
      <c r="L30" t="str">
        <f>INDEX('LIVE SOURCE'!$H$3:$H$232,$M30)</f>
        <v>Strong WR1; bankable weekly starter with spike-week ceiling.</v>
      </c>
      <c r="M30" s="6">
        <f>MATCH($A30,'Draft Engine'!$Q$3:$Q$232,0)</f>
        <v>97</v>
      </c>
      <c r="N30">
        <f>INDEX('LIVE SOURCE'!$L$3:$L$232,$M30)</f>
        <v>5</v>
      </c>
    </row>
    <row r="31" spans="1:14" x14ac:dyDescent="0.25">
      <c r="A31">
        <v>29</v>
      </c>
      <c r="B31" t="str">
        <f>INDEX('Draft Engine'!$A$3:$A$232,$M31)</f>
        <v>RB</v>
      </c>
      <c r="C31">
        <f>INDEX('Draft Engine'!$F$3:$F$232,$M31)</f>
        <v>14</v>
      </c>
      <c r="D31" t="str">
        <f>INDEX('Draft Engine'!$B$3:$B$232,$M31)</f>
        <v>Chase Brown</v>
      </c>
      <c r="E31" s="4">
        <f>INDEX('Draft Engine'!$E$3:$E$232,$M31)</f>
        <v>85.664400000000001</v>
      </c>
      <c r="F31" t="str">
        <f t="shared" si="0"/>
        <v>TIER 2</v>
      </c>
      <c r="G31" s="4">
        <f>INDEX('Draft Engine'!$N$3:$N$232,$M31)</f>
        <v>83.837545000000006</v>
      </c>
      <c r="H31" s="4">
        <f>INDEX('Draft Engine'!$R$3:$R$232,$M31)</f>
        <v>12.1</v>
      </c>
      <c r="I31" s="4">
        <f>INDEX('Draft Engine'!$S$3:$S$232,$M31)</f>
        <v>-16.899999999999999</v>
      </c>
      <c r="J31" s="5"/>
      <c r="K31">
        <f>INDEX('Draft Engine'!$Z$3:$Z$232,$M31)</f>
        <v>29</v>
      </c>
      <c r="L31" t="str">
        <f>INDEX('LIVE SOURCE'!$H$3:$H$232,$M31)</f>
        <v>RB2 with RB1 weeks; should be a regular starter.</v>
      </c>
      <c r="M31" s="6">
        <f>MATCH($A31,'Draft Engine'!$Q$3:$Q$232,0)</f>
        <v>46</v>
      </c>
      <c r="N31">
        <f>INDEX('LIVE SOURCE'!$L$3:$L$232,$M31)</f>
        <v>6</v>
      </c>
    </row>
    <row r="32" spans="1:14" x14ac:dyDescent="0.25">
      <c r="A32">
        <v>30</v>
      </c>
      <c r="B32" t="str">
        <f>INDEX('Draft Engine'!$A$3:$A$232,$M32)</f>
        <v>QB</v>
      </c>
      <c r="C32">
        <f>INDEX('Draft Engine'!$F$3:$F$232,$M32)</f>
        <v>2</v>
      </c>
      <c r="D32" t="str">
        <f>INDEX('Draft Engine'!$B$3:$B$232,$M32)</f>
        <v>Caleb Williams</v>
      </c>
      <c r="E32" s="4">
        <f>INDEX('Draft Engine'!$E$3:$E$232,$M32)</f>
        <v>92.192700000000002</v>
      </c>
      <c r="F32" t="str">
        <f t="shared" si="0"/>
        <v>TIER 1</v>
      </c>
      <c r="G32" s="4">
        <f>INDEX('Draft Engine'!$N$3:$N$232,$M32)</f>
        <v>83.020754230769228</v>
      </c>
      <c r="H32" s="4">
        <f>INDEX('Draft Engine'!$R$3:$R$232,$M32)</f>
        <v>107.5</v>
      </c>
      <c r="I32" s="4">
        <f>INDEX('Draft Engine'!$S$3:$S$232,$M32)</f>
        <v>77.5</v>
      </c>
      <c r="J32" s="5"/>
      <c r="K32">
        <f>INDEX('Draft Engine'!$Z$3:$Z$232,$M32)</f>
        <v>30</v>
      </c>
      <c r="L32" t="str">
        <f>INDEX('LIVE SOURCE'!$H$3:$H$232,$M32)</f>
        <v>Elite QB1; weekly top-5 expectation with overall QB1 upside.</v>
      </c>
      <c r="M32" s="6">
        <f>MATCH($A32,'Draft Engine'!$Q$3:$Q$232,0)</f>
        <v>2</v>
      </c>
      <c r="N32">
        <f>INDEX('LIVE SOURCE'!$L$3:$L$232,$M32)</f>
        <v>10</v>
      </c>
    </row>
    <row r="33" spans="1:14" x14ac:dyDescent="0.25">
      <c r="A33">
        <v>31</v>
      </c>
      <c r="B33" t="str">
        <f>INDEX('Draft Engine'!$A$3:$A$232,$M33)</f>
        <v>WR</v>
      </c>
      <c r="C33">
        <f>INDEX('Draft Engine'!$F$3:$F$232,$M33)</f>
        <v>13</v>
      </c>
      <c r="D33" t="str">
        <f>INDEX('Draft Engine'!$B$3:$B$232,$M33)</f>
        <v>Tee Higgins</v>
      </c>
      <c r="E33" s="4">
        <f>INDEX('Draft Engine'!$E$3:$E$232,$M33)</f>
        <v>84.822500000000005</v>
      </c>
      <c r="F33" t="str">
        <f t="shared" si="0"/>
        <v>TIER 3</v>
      </c>
      <c r="G33" s="4">
        <f>INDEX('Draft Engine'!$N$3:$N$232,$M33)</f>
        <v>82.612375000000014</v>
      </c>
      <c r="H33" s="4">
        <f>INDEX('Draft Engine'!$R$3:$R$232,$M33)</f>
        <v>38.6</v>
      </c>
      <c r="I33" s="4">
        <f>INDEX('Draft Engine'!$S$3:$S$232,$M33)</f>
        <v>7.6000000000000014</v>
      </c>
      <c r="J33" s="5"/>
      <c r="K33">
        <f>INDEX('Draft Engine'!$Z$3:$Z$232,$M33)</f>
        <v>31</v>
      </c>
      <c r="L33" t="str">
        <f>INDEX('LIVE SOURCE'!$H$3:$H$232,$M33)</f>
        <v>Strong WR2 with top-12 weekly upside.</v>
      </c>
      <c r="M33" s="6">
        <f>MATCH($A33,'Draft Engine'!$Q$3:$Q$232,0)</f>
        <v>98</v>
      </c>
      <c r="N33">
        <f>INDEX('LIVE SOURCE'!$L$3:$L$232,$M33)</f>
        <v>6</v>
      </c>
    </row>
    <row r="34" spans="1:14" x14ac:dyDescent="0.25">
      <c r="A34">
        <v>32</v>
      </c>
      <c r="B34" t="str">
        <f>INDEX('Draft Engine'!$A$3:$A$232,$M34)</f>
        <v>WR</v>
      </c>
      <c r="C34">
        <f>INDEX('Draft Engine'!$F$3:$F$232,$M34)</f>
        <v>14</v>
      </c>
      <c r="D34" t="str">
        <f>INDEX('Draft Engine'!$B$3:$B$232,$M34)</f>
        <v>Justin Jefferson</v>
      </c>
      <c r="E34" s="4">
        <f>INDEX('Draft Engine'!$E$3:$E$232,$M34)</f>
        <v>84.793599999999998</v>
      </c>
      <c r="F34" t="str">
        <f t="shared" si="0"/>
        <v>TIER 3</v>
      </c>
      <c r="G34" s="4">
        <f>INDEX('Draft Engine'!$N$3:$N$232,$M34)</f>
        <v>82.227146666666684</v>
      </c>
      <c r="H34" s="4">
        <f>INDEX('Draft Engine'!$R$3:$R$232,$M34)</f>
        <v>14.6</v>
      </c>
      <c r="I34" s="4">
        <f>INDEX('Draft Engine'!$S$3:$S$232,$M34)</f>
        <v>-17.399999999999999</v>
      </c>
      <c r="J34" s="5"/>
      <c r="K34">
        <f>INDEX('Draft Engine'!$Z$3:$Z$232,$M34)</f>
        <v>32</v>
      </c>
      <c r="L34" t="str">
        <f>INDEX('LIVE SOURCE'!$H$3:$H$232,$M34)</f>
        <v>Strong WR2 with top-12 weekly upside.</v>
      </c>
      <c r="M34" s="6">
        <f>MATCH($A34,'Draft Engine'!$Q$3:$Q$232,0)</f>
        <v>91</v>
      </c>
      <c r="N34">
        <f>INDEX('LIVE SOURCE'!$L$3:$L$232,$M34)</f>
        <v>6</v>
      </c>
    </row>
    <row r="35" spans="1:14" x14ac:dyDescent="0.25">
      <c r="A35">
        <v>33</v>
      </c>
      <c r="B35" t="str">
        <f>INDEX('Draft Engine'!$A$3:$A$232,$M35)</f>
        <v>RB</v>
      </c>
      <c r="C35">
        <f>INDEX('Draft Engine'!$F$3:$F$232,$M35)</f>
        <v>15</v>
      </c>
      <c r="D35" t="str">
        <f>INDEX('Draft Engine'!$B$3:$B$232,$M35)</f>
        <v>Josh Jacobs</v>
      </c>
      <c r="E35" s="4">
        <f>INDEX('Draft Engine'!$E$3:$E$232,$M35)</f>
        <v>84.426400000000001</v>
      </c>
      <c r="F35" t="str">
        <f t="shared" si="0"/>
        <v>TIER 3</v>
      </c>
      <c r="G35" s="4">
        <f>INDEX('Draft Engine'!$N$3:$N$232,$M35)</f>
        <v>81.861270000000005</v>
      </c>
      <c r="H35" s="4">
        <f>INDEX('Draft Engine'!$R$3:$R$232,$M35)</f>
        <v>24.2</v>
      </c>
      <c r="I35" s="4">
        <f>INDEX('Draft Engine'!$S$3:$S$232,$M35)</f>
        <v>-8.8000000000000007</v>
      </c>
      <c r="J35" s="5"/>
      <c r="K35">
        <f>INDEX('Draft Engine'!$Z$3:$Z$232,$M35)</f>
        <v>33</v>
      </c>
      <c r="L35" t="str">
        <f>INDEX('LIVE SOURCE'!$H$3:$H$232,$M35)</f>
        <v>RB2 with RB1 weeks; should be a regular starter.</v>
      </c>
      <c r="M35" s="6">
        <f>MATCH($A35,'Draft Engine'!$Q$3:$Q$232,0)</f>
        <v>47</v>
      </c>
      <c r="N35">
        <f>INDEX('LIVE SOURCE'!$L$3:$L$232,$M35)</f>
        <v>11</v>
      </c>
    </row>
    <row r="36" spans="1:14" x14ac:dyDescent="0.25">
      <c r="A36">
        <v>34</v>
      </c>
      <c r="B36" t="str">
        <f>INDEX('Draft Engine'!$A$3:$A$232,$M36)</f>
        <v>TE</v>
      </c>
      <c r="C36">
        <f>INDEX('Draft Engine'!$F$3:$F$232,$M36)</f>
        <v>3</v>
      </c>
      <c r="D36" t="str">
        <f>INDEX('Draft Engine'!$B$3:$B$232,$M36)</f>
        <v>Colston Loveland</v>
      </c>
      <c r="E36" s="4">
        <f>INDEX('Draft Engine'!$E$3:$E$232,$M36)</f>
        <v>88.753100000000003</v>
      </c>
      <c r="F36" t="str">
        <f t="shared" si="0"/>
        <v>TIER 2</v>
      </c>
      <c r="G36" s="4">
        <f>INDEX('Draft Engine'!$N$3:$N$232,$M36)</f>
        <v>81.491589615384612</v>
      </c>
      <c r="H36" s="4">
        <f>INDEX('Draft Engine'!$R$3:$R$232,$M36)</f>
        <v>60.8</v>
      </c>
      <c r="I36" s="4">
        <f>INDEX('Draft Engine'!$S$3:$S$232,$M36)</f>
        <v>26.799999999999997</v>
      </c>
      <c r="J36" s="5"/>
      <c r="K36">
        <f>INDEX('Draft Engine'!$Z$3:$Z$232,$M36)</f>
        <v>34</v>
      </c>
      <c r="L36" t="str">
        <f>INDEX('LIVE SOURCE'!$H$3:$H$232,$M36)</f>
        <v>Elite difference-making TE; positional advantage is the expectation.</v>
      </c>
      <c r="M36" s="6">
        <f>MATCH($A36,'Draft Engine'!$Q$3:$Q$232,0)</f>
        <v>161</v>
      </c>
      <c r="N36">
        <f>INDEX('LIVE SOURCE'!$L$3:$L$232,$M36)</f>
        <v>10</v>
      </c>
    </row>
    <row r="37" spans="1:14" x14ac:dyDescent="0.25">
      <c r="A37">
        <v>35</v>
      </c>
      <c r="B37" t="str">
        <f>INDEX('Draft Engine'!$A$3:$A$232,$M37)</f>
        <v>WR</v>
      </c>
      <c r="C37">
        <f>INDEX('Draft Engine'!$F$3:$F$232,$M37)</f>
        <v>15</v>
      </c>
      <c r="D37" t="str">
        <f>INDEX('Draft Engine'!$B$3:$B$232,$M37)</f>
        <v>Rashee Rice</v>
      </c>
      <c r="E37" s="4">
        <f>INDEX('Draft Engine'!$E$3:$E$232,$M37)</f>
        <v>84.094700000000003</v>
      </c>
      <c r="F37" t="str">
        <f t="shared" si="0"/>
        <v>TIER 3</v>
      </c>
      <c r="G37" s="4">
        <f>INDEX('Draft Engine'!$N$3:$N$232,$M37)</f>
        <v>80.987418333333338</v>
      </c>
      <c r="H37" s="4">
        <f>INDEX('Draft Engine'!$R$3:$R$232,$M37)</f>
        <v>11.5</v>
      </c>
      <c r="I37" s="4">
        <f>INDEX('Draft Engine'!$S$3:$S$232,$M37)</f>
        <v>-23.5</v>
      </c>
      <c r="J37" s="5"/>
      <c r="K37">
        <f>INDEX('Draft Engine'!$Z$3:$Z$232,$M37)</f>
        <v>35</v>
      </c>
      <c r="L37" t="str">
        <f>INDEX('LIVE SOURCE'!$H$3:$H$232,$M37)</f>
        <v>Strong WR2 with top-12 weekly upside.</v>
      </c>
      <c r="M37" s="6">
        <f>MATCH($A37,'Draft Engine'!$Q$3:$Q$232,0)</f>
        <v>95</v>
      </c>
      <c r="N37">
        <f>INDEX('LIVE SOURCE'!$L$3:$L$232,$M37)</f>
        <v>5</v>
      </c>
    </row>
    <row r="38" spans="1:14" x14ac:dyDescent="0.25">
      <c r="A38">
        <v>36</v>
      </c>
      <c r="B38" t="str">
        <f>INDEX('Draft Engine'!$A$3:$A$232,$M38)</f>
        <v>RB</v>
      </c>
      <c r="C38">
        <f>INDEX('Draft Engine'!$F$3:$F$232,$M38)</f>
        <v>16</v>
      </c>
      <c r="D38" t="str">
        <f>INDEX('Draft Engine'!$B$3:$B$232,$M38)</f>
        <v>Saquon Barkley</v>
      </c>
      <c r="E38" s="4">
        <f>INDEX('Draft Engine'!$E$3:$E$232,$M38)</f>
        <v>84.034000000000006</v>
      </c>
      <c r="F38" t="str">
        <f t="shared" si="0"/>
        <v>TIER 3</v>
      </c>
      <c r="G38" s="4">
        <f>INDEX('Draft Engine'!$N$3:$N$232,$M38)</f>
        <v>80.980074999999999</v>
      </c>
      <c r="H38" s="4">
        <f>INDEX('Draft Engine'!$R$3:$R$232,$M38)</f>
        <v>19</v>
      </c>
      <c r="I38" s="4">
        <f>INDEX('Draft Engine'!$S$3:$S$232,$M38)</f>
        <v>-17</v>
      </c>
      <c r="J38" s="5"/>
      <c r="K38">
        <f>INDEX('Draft Engine'!$Z$3:$Z$232,$M38)</f>
        <v>36</v>
      </c>
      <c r="L38" t="str">
        <f>INDEX('LIVE SOURCE'!$H$3:$H$232,$M38)</f>
        <v>RB2 with RB1 weeks; should be a regular starter.</v>
      </c>
      <c r="M38" s="6">
        <f>MATCH($A38,'Draft Engine'!$Q$3:$Q$232,0)</f>
        <v>48</v>
      </c>
      <c r="N38">
        <f>INDEX('LIVE SOURCE'!$L$3:$L$232,$M38)</f>
        <v>10</v>
      </c>
    </row>
    <row r="39" spans="1:14" x14ac:dyDescent="0.25">
      <c r="A39">
        <v>37</v>
      </c>
      <c r="B39" t="str">
        <f>INDEX('Draft Engine'!$A$3:$A$232,$M39)</f>
        <v>QB</v>
      </c>
      <c r="C39">
        <f>INDEX('Draft Engine'!$F$3:$F$232,$M39)</f>
        <v>3</v>
      </c>
      <c r="D39" t="str">
        <f>INDEX('Draft Engine'!$B$3:$B$232,$M39)</f>
        <v>Drake Maye</v>
      </c>
      <c r="E39" s="4">
        <f>INDEX('Draft Engine'!$E$3:$E$232,$M39)</f>
        <v>91.043000000000006</v>
      </c>
      <c r="F39" t="str">
        <f t="shared" si="0"/>
        <v>TIER 1</v>
      </c>
      <c r="G39" s="4">
        <f>INDEX('Draft Engine'!$N$3:$N$232,$M39)</f>
        <v>80.683188461538478</v>
      </c>
      <c r="H39" s="4">
        <f>INDEX('Draft Engine'!$R$3:$R$232,$M39)</f>
        <v>49.8</v>
      </c>
      <c r="I39" s="4">
        <f>INDEX('Draft Engine'!$S$3:$S$232,$M39)</f>
        <v>12.799999999999997</v>
      </c>
      <c r="J39" s="5"/>
      <c r="K39">
        <f>INDEX('Draft Engine'!$Z$3:$Z$232,$M39)</f>
        <v>37</v>
      </c>
      <c r="L39" t="str">
        <f>INDEX('LIVE SOURCE'!$H$3:$H$232,$M39)</f>
        <v>Elite QB1; weekly top-5 expectation with overall QB1 upside.</v>
      </c>
      <c r="M39" s="6">
        <f>MATCH($A39,'Draft Engine'!$Q$3:$Q$232,0)</f>
        <v>3</v>
      </c>
      <c r="N39">
        <f>INDEX('LIVE SOURCE'!$L$3:$L$232,$M39)</f>
        <v>11</v>
      </c>
    </row>
    <row r="40" spans="1:14" x14ac:dyDescent="0.25">
      <c r="A40">
        <v>38</v>
      </c>
      <c r="B40" t="str">
        <f>INDEX('Draft Engine'!$A$3:$A$232,$M40)</f>
        <v>RB</v>
      </c>
      <c r="C40">
        <f>INDEX('Draft Engine'!$F$3:$F$232,$M40)</f>
        <v>17</v>
      </c>
      <c r="D40" t="str">
        <f>INDEX('Draft Engine'!$B$3:$B$232,$M40)</f>
        <v>Javonte Williams</v>
      </c>
      <c r="E40" s="4">
        <f>INDEX('Draft Engine'!$E$3:$E$232,$M40)</f>
        <v>83.803200000000004</v>
      </c>
      <c r="F40" t="str">
        <f t="shared" si="0"/>
        <v>TIER 3</v>
      </c>
      <c r="G40" s="4">
        <f>INDEX('Draft Engine'!$N$3:$N$232,$M40)</f>
        <v>80.331760000000003</v>
      </c>
      <c r="H40" s="4">
        <f>INDEX('Draft Engine'!$R$3:$R$232,$M40)</f>
        <v>35.799999999999997</v>
      </c>
      <c r="I40" s="4">
        <f>INDEX('Draft Engine'!$S$3:$S$232,$M40)</f>
        <v>-2.2000000000000028</v>
      </c>
      <c r="J40" s="5"/>
      <c r="K40">
        <f>INDEX('Draft Engine'!$Z$3:$Z$232,$M40)</f>
        <v>38</v>
      </c>
      <c r="L40" t="str">
        <f>INDEX('LIVE SOURCE'!$H$3:$H$232,$M40)</f>
        <v>RB2 with RB1 weeks; should be a regular starter.</v>
      </c>
      <c r="M40" s="6">
        <f>MATCH($A40,'Draft Engine'!$Q$3:$Q$232,0)</f>
        <v>49</v>
      </c>
      <c r="N40">
        <f>INDEX('LIVE SOURCE'!$L$3:$L$232,$M40)</f>
        <v>14</v>
      </c>
    </row>
    <row r="41" spans="1:14" x14ac:dyDescent="0.25">
      <c r="A41">
        <v>39</v>
      </c>
      <c r="B41" t="str">
        <f>INDEX('Draft Engine'!$A$3:$A$232,$M41)</f>
        <v>WR</v>
      </c>
      <c r="C41">
        <f>INDEX('Draft Engine'!$F$3:$F$232,$M41)</f>
        <v>16</v>
      </c>
      <c r="D41" t="str">
        <f>INDEX('Draft Engine'!$B$3:$B$232,$M41)</f>
        <v>A.J. Brown</v>
      </c>
      <c r="E41" s="4">
        <f>INDEX('Draft Engine'!$E$3:$E$232,$M41)</f>
        <v>83.235699999999994</v>
      </c>
      <c r="F41" t="str">
        <f t="shared" si="0"/>
        <v>TIER 3</v>
      </c>
      <c r="G41" s="4">
        <f>INDEX('Draft Engine'!$N$3:$N$232,$M41)</f>
        <v>79.533635000000004</v>
      </c>
      <c r="H41" s="4">
        <f>INDEX('Draft Engine'!$R$3:$R$232,$M41)</f>
        <v>17.8</v>
      </c>
      <c r="I41" s="4">
        <f>INDEX('Draft Engine'!$S$3:$S$232,$M41)</f>
        <v>-21.2</v>
      </c>
      <c r="J41" s="5"/>
      <c r="K41">
        <f>INDEX('Draft Engine'!$Z$3:$Z$232,$M41)</f>
        <v>39</v>
      </c>
      <c r="L41" t="str">
        <f>INDEX('LIVE SOURCE'!$H$3:$H$232,$M41)</f>
        <v>Strong WR2 with top-12 weekly upside.</v>
      </c>
      <c r="M41" s="6">
        <f>MATCH($A41,'Draft Engine'!$Q$3:$Q$232,0)</f>
        <v>89</v>
      </c>
      <c r="N41">
        <f>INDEX('LIVE SOURCE'!$L$3:$L$232,$M41)</f>
        <v>11</v>
      </c>
    </row>
    <row r="42" spans="1:14" x14ac:dyDescent="0.25">
      <c r="A42">
        <v>40</v>
      </c>
      <c r="B42" t="str">
        <f>INDEX('Draft Engine'!$A$3:$A$232,$M42)</f>
        <v>RB</v>
      </c>
      <c r="C42">
        <f>INDEX('Draft Engine'!$F$3:$F$232,$M42)</f>
        <v>18</v>
      </c>
      <c r="D42" t="str">
        <f>INDEX('Draft Engine'!$B$3:$B$232,$M42)</f>
        <v>Travis Etienne Jr.</v>
      </c>
      <c r="E42" s="4">
        <f>INDEX('Draft Engine'!$E$3:$E$232,$M42)</f>
        <v>83.043599999999998</v>
      </c>
      <c r="F42" t="str">
        <f t="shared" si="0"/>
        <v>TIER 3</v>
      </c>
      <c r="G42" s="4">
        <f>INDEX('Draft Engine'!$N$3:$N$232,$M42)</f>
        <v>78.978605000000002</v>
      </c>
      <c r="H42" s="4">
        <f>INDEX('Draft Engine'!$R$3:$R$232,$M42)</f>
        <v>38.4</v>
      </c>
      <c r="I42" s="4">
        <f>INDEX('Draft Engine'!$S$3:$S$232,$M42)</f>
        <v>-1.6000000000000014</v>
      </c>
      <c r="J42" s="5"/>
      <c r="K42">
        <f>INDEX('Draft Engine'!$Z$3:$Z$232,$M42)</f>
        <v>40</v>
      </c>
      <c r="L42" t="str">
        <f>INDEX('LIVE SOURCE'!$H$3:$H$232,$M42)</f>
        <v>RB2 with RB1 weeks; should be a regular starter.</v>
      </c>
      <c r="M42" s="6">
        <f>MATCH($A42,'Draft Engine'!$Q$3:$Q$232,0)</f>
        <v>50</v>
      </c>
      <c r="N42">
        <f>INDEX('LIVE SOURCE'!$L$3:$L$232,$M42)</f>
        <v>8</v>
      </c>
    </row>
    <row r="43" spans="1:14" x14ac:dyDescent="0.25">
      <c r="A43">
        <v>41</v>
      </c>
      <c r="B43" t="str">
        <f>INDEX('Draft Engine'!$A$3:$A$232,$M43)</f>
        <v>TE</v>
      </c>
      <c r="C43">
        <f>INDEX('Draft Engine'!$F$3:$F$232,$M43)</f>
        <v>4</v>
      </c>
      <c r="D43" t="str">
        <f>INDEX('Draft Engine'!$B$3:$B$232,$M43)</f>
        <v>Tyler Warren</v>
      </c>
      <c r="E43" s="4">
        <f>INDEX('Draft Engine'!$E$3:$E$232,$M43)</f>
        <v>87.202399999999997</v>
      </c>
      <c r="F43" t="str">
        <f t="shared" si="0"/>
        <v>TIER 2</v>
      </c>
      <c r="G43" s="4">
        <f>INDEX('Draft Engine'!$N$3:$N$232,$M43)</f>
        <v>78.974396923076924</v>
      </c>
      <c r="H43" s="4">
        <f>INDEX('Draft Engine'!$R$3:$R$232,$M43)</f>
        <v>65.400000000000006</v>
      </c>
      <c r="I43" s="4">
        <f>INDEX('Draft Engine'!$S$3:$S$232,$M43)</f>
        <v>24.400000000000006</v>
      </c>
      <c r="J43" s="5"/>
      <c r="K43">
        <f>INDEX('Draft Engine'!$Z$3:$Z$232,$M43)</f>
        <v>41</v>
      </c>
      <c r="L43" t="str">
        <f>INDEX('LIVE SOURCE'!$H$3:$H$232,$M43)</f>
        <v>Every-week TE1 with real top-5 upside.</v>
      </c>
      <c r="M43" s="6">
        <f>MATCH($A43,'Draft Engine'!$Q$3:$Q$232,0)</f>
        <v>162</v>
      </c>
      <c r="N43">
        <f>INDEX('LIVE SOURCE'!$L$3:$L$232,$M43)</f>
        <v>13</v>
      </c>
    </row>
    <row r="44" spans="1:14" x14ac:dyDescent="0.25">
      <c r="A44">
        <v>42</v>
      </c>
      <c r="B44" t="str">
        <f>INDEX('Draft Engine'!$A$3:$A$232,$M44)</f>
        <v>QB</v>
      </c>
      <c r="C44">
        <f>INDEX('Draft Engine'!$F$3:$F$232,$M44)</f>
        <v>4</v>
      </c>
      <c r="D44" t="str">
        <f>INDEX('Draft Engine'!$B$3:$B$232,$M44)</f>
        <v>Justin Herbert</v>
      </c>
      <c r="E44" s="4">
        <f>INDEX('Draft Engine'!$E$3:$E$232,$M44)</f>
        <v>90.116900000000001</v>
      </c>
      <c r="F44" t="str">
        <f t="shared" si="0"/>
        <v>TIER 1</v>
      </c>
      <c r="G44" s="4">
        <f>INDEX('Draft Engine'!$N$3:$N$232,$M44)</f>
        <v>78.648602692307691</v>
      </c>
      <c r="H44" s="4">
        <f>INDEX('Draft Engine'!$R$3:$R$232,$M44)</f>
        <v>104.2</v>
      </c>
      <c r="I44" s="4">
        <f>INDEX('Draft Engine'!$S$3:$S$232,$M44)</f>
        <v>62.2</v>
      </c>
      <c r="J44" s="5"/>
      <c r="K44">
        <f>INDEX('Draft Engine'!$Z$3:$Z$232,$M44)</f>
        <v>42</v>
      </c>
      <c r="L44" t="str">
        <f>INDEX('LIVE SOURCE'!$H$3:$H$232,$M44)</f>
        <v>Strong every-week QB1; frequent top-8 finishes expected.</v>
      </c>
      <c r="M44" s="6">
        <f>MATCH($A44,'Draft Engine'!$Q$3:$Q$232,0)</f>
        <v>4</v>
      </c>
      <c r="N44">
        <f>INDEX('LIVE SOURCE'!$L$3:$L$232,$M44)</f>
        <v>7</v>
      </c>
    </row>
    <row r="45" spans="1:14" x14ac:dyDescent="0.25">
      <c r="A45">
        <v>43</v>
      </c>
      <c r="B45" t="str">
        <f>INDEX('Draft Engine'!$A$3:$A$232,$M45)</f>
        <v>WR</v>
      </c>
      <c r="C45">
        <f>INDEX('Draft Engine'!$F$3:$F$232,$M45)</f>
        <v>17</v>
      </c>
      <c r="D45" t="str">
        <f>INDEX('Draft Engine'!$B$3:$B$232,$M45)</f>
        <v>Ladd McConkey</v>
      </c>
      <c r="E45" s="4">
        <f>INDEX('Draft Engine'!$E$3:$E$232,$M45)</f>
        <v>82.732500000000002</v>
      </c>
      <c r="F45" t="str">
        <f t="shared" si="0"/>
        <v>TIER 3</v>
      </c>
      <c r="G45" s="4">
        <f>INDEX('Draft Engine'!$N$3:$N$232,$M45)</f>
        <v>78.545541666666679</v>
      </c>
      <c r="H45" s="4">
        <f>INDEX('Draft Engine'!$R$3:$R$232,$M45)</f>
        <v>44.3</v>
      </c>
      <c r="I45" s="4">
        <f>INDEX('Draft Engine'!$S$3:$S$232,$M45)</f>
        <v>1.2999999999999972</v>
      </c>
      <c r="J45" s="5"/>
      <c r="K45">
        <f>INDEX('Draft Engine'!$Z$3:$Z$232,$M45)</f>
        <v>43</v>
      </c>
      <c r="L45" t="str">
        <f>INDEX('LIVE SOURCE'!$H$3:$H$232,$M45)</f>
        <v>Strong WR2 with top-12 weekly upside.</v>
      </c>
      <c r="M45" s="6">
        <f>MATCH($A45,'Draft Engine'!$Q$3:$Q$232,0)</f>
        <v>106</v>
      </c>
      <c r="N45">
        <f>INDEX('LIVE SOURCE'!$L$3:$L$232,$M45)</f>
        <v>7</v>
      </c>
    </row>
    <row r="46" spans="1:14" x14ac:dyDescent="0.25">
      <c r="A46">
        <v>44</v>
      </c>
      <c r="B46" t="str">
        <f>INDEX('Draft Engine'!$A$3:$A$232,$M46)</f>
        <v>WR</v>
      </c>
      <c r="C46">
        <f>INDEX('Draft Engine'!$F$3:$F$232,$M46)</f>
        <v>18</v>
      </c>
      <c r="D46" t="str">
        <f>INDEX('Draft Engine'!$B$3:$B$232,$M46)</f>
        <v>Jaylen Waddle</v>
      </c>
      <c r="E46" s="4">
        <f>INDEX('Draft Engine'!$E$3:$E$232,$M46)</f>
        <v>82.317499999999995</v>
      </c>
      <c r="F46" t="str">
        <f t="shared" si="0"/>
        <v>TIER 3</v>
      </c>
      <c r="G46" s="4">
        <f>INDEX('Draft Engine'!$N$3:$N$232,$M46)</f>
        <v>77.659958333333336</v>
      </c>
      <c r="H46" s="4">
        <f>INDEX('Draft Engine'!$R$3:$R$232,$M46)</f>
        <v>48.9</v>
      </c>
      <c r="I46" s="4">
        <f>INDEX('Draft Engine'!$S$3:$S$232,$M46)</f>
        <v>4.8999999999999986</v>
      </c>
      <c r="J46" s="5"/>
      <c r="K46">
        <f>INDEX('Draft Engine'!$Z$3:$Z$232,$M46)</f>
        <v>44</v>
      </c>
      <c r="L46" t="str">
        <f>INDEX('LIVE SOURCE'!$H$3:$H$232,$M46)</f>
        <v>Strong WR2 with top-12 weekly upside.</v>
      </c>
      <c r="M46" s="6">
        <f>MATCH($A46,'Draft Engine'!$Q$3:$Q$232,0)</f>
        <v>104</v>
      </c>
      <c r="N46">
        <f>INDEX('LIVE SOURCE'!$L$3:$L$232,$M46)</f>
        <v>10</v>
      </c>
    </row>
    <row r="47" spans="1:14" x14ac:dyDescent="0.25">
      <c r="A47">
        <v>45</v>
      </c>
      <c r="B47" t="str">
        <f>INDEX('Draft Engine'!$A$3:$A$232,$M47)</f>
        <v>TE</v>
      </c>
      <c r="C47">
        <f>INDEX('Draft Engine'!$F$3:$F$232,$M47)</f>
        <v>5</v>
      </c>
      <c r="D47" t="str">
        <f>INDEX('Draft Engine'!$B$3:$B$232,$M47)</f>
        <v>George Kittle</v>
      </c>
      <c r="E47" s="4">
        <f>INDEX('Draft Engine'!$E$3:$E$232,$M47)</f>
        <v>86.266400000000004</v>
      </c>
      <c r="F47" t="str">
        <f t="shared" si="0"/>
        <v>TIER 2</v>
      </c>
      <c r="G47" s="4">
        <f>INDEX('Draft Engine'!$N$3:$N$232,$M47)</f>
        <v>77.173289230769228</v>
      </c>
      <c r="H47" s="4">
        <f>INDEX('Draft Engine'!$R$3:$R$232,$M47)</f>
        <v>115.1</v>
      </c>
      <c r="I47" s="4">
        <f>INDEX('Draft Engine'!$S$3:$S$232,$M47)</f>
        <v>70.099999999999994</v>
      </c>
      <c r="J47" s="5"/>
      <c r="K47">
        <f>INDEX('Draft Engine'!$Z$3:$Z$232,$M47)</f>
        <v>45</v>
      </c>
      <c r="L47" t="str">
        <f>INDEX('LIVE SOURCE'!$H$3:$H$232,$M47)</f>
        <v>Every-week TE1 with real top-5 upside.</v>
      </c>
      <c r="M47" s="6">
        <f>MATCH($A47,'Draft Engine'!$Q$3:$Q$232,0)</f>
        <v>163</v>
      </c>
      <c r="N47">
        <f>INDEX('LIVE SOURCE'!$L$3:$L$232,$M47)</f>
        <v>8</v>
      </c>
    </row>
    <row r="48" spans="1:14" x14ac:dyDescent="0.25">
      <c r="A48">
        <v>46</v>
      </c>
      <c r="B48" t="str">
        <f>INDEX('Draft Engine'!$A$3:$A$232,$M48)</f>
        <v>RB</v>
      </c>
      <c r="C48">
        <f>INDEX('Draft Engine'!$F$3:$F$232,$M48)</f>
        <v>19</v>
      </c>
      <c r="D48" t="str">
        <f>INDEX('Draft Engine'!$B$3:$B$232,$M48)</f>
        <v>Cam Skattebo</v>
      </c>
      <c r="E48" s="4">
        <f>INDEX('Draft Engine'!$E$3:$E$232,$M48)</f>
        <v>81.888400000000004</v>
      </c>
      <c r="F48" t="str">
        <f t="shared" si="0"/>
        <v>TIER 3</v>
      </c>
      <c r="G48" s="4">
        <f>INDEX('Draft Engine'!$N$3:$N$232,$M48)</f>
        <v>77.101870000000005</v>
      </c>
      <c r="H48" s="4">
        <f>INDEX('Draft Engine'!$R$3:$R$232,$M48)</f>
        <v>30.8</v>
      </c>
      <c r="I48" s="4">
        <f>INDEX('Draft Engine'!$S$3:$S$232,$M48)</f>
        <v>-15.2</v>
      </c>
      <c r="J48" s="5"/>
      <c r="K48">
        <f>INDEX('Draft Engine'!$Z$3:$Z$232,$M48)</f>
        <v>46</v>
      </c>
      <c r="L48" t="str">
        <f>INDEX('LIVE SOURCE'!$H$3:$H$232,$M48)</f>
        <v>RB2 with RB1 weeks; should be a regular starter.</v>
      </c>
      <c r="M48" s="6">
        <f>MATCH($A48,'Draft Engine'!$Q$3:$Q$232,0)</f>
        <v>51</v>
      </c>
      <c r="N48">
        <f>INDEX('LIVE SOURCE'!$L$3:$L$232,$M48)</f>
        <v>8</v>
      </c>
    </row>
    <row r="49" spans="1:14" x14ac:dyDescent="0.25">
      <c r="A49">
        <v>47</v>
      </c>
      <c r="B49" t="str">
        <f>INDEX('Draft Engine'!$A$3:$A$232,$M49)</f>
        <v>WR</v>
      </c>
      <c r="C49">
        <f>INDEX('Draft Engine'!$F$3:$F$232,$M49)</f>
        <v>19</v>
      </c>
      <c r="D49" t="str">
        <f>INDEX('Draft Engine'!$B$3:$B$232,$M49)</f>
        <v>George Pickens</v>
      </c>
      <c r="E49" s="4">
        <f>INDEX('Draft Engine'!$E$3:$E$232,$M49)</f>
        <v>81.836600000000004</v>
      </c>
      <c r="F49" t="str">
        <f t="shared" si="0"/>
        <v>TIER 3</v>
      </c>
      <c r="G49" s="4">
        <f>INDEX('Draft Engine'!$N$3:$N$232,$M49)</f>
        <v>76.702130000000011</v>
      </c>
      <c r="H49" s="4">
        <f>INDEX('Draft Engine'!$R$3:$R$232,$M49)</f>
        <v>21.1</v>
      </c>
      <c r="I49" s="4">
        <f>INDEX('Draft Engine'!$S$3:$S$232,$M49)</f>
        <v>-25.9</v>
      </c>
      <c r="J49" s="5"/>
      <c r="K49">
        <f>INDEX('Draft Engine'!$Z$3:$Z$232,$M49)</f>
        <v>47</v>
      </c>
      <c r="L49" t="str">
        <f>INDEX('LIVE SOURCE'!$H$3:$H$232,$M49)</f>
        <v>Strong WR2 with top-12 weekly upside.</v>
      </c>
      <c r="M49" s="6">
        <f>MATCH($A49,'Draft Engine'!$Q$3:$Q$232,0)</f>
        <v>92</v>
      </c>
      <c r="N49">
        <f>INDEX('LIVE SOURCE'!$L$3:$L$232,$M49)</f>
        <v>14</v>
      </c>
    </row>
    <row r="50" spans="1:14" x14ac:dyDescent="0.25">
      <c r="A50">
        <v>48</v>
      </c>
      <c r="B50" t="str">
        <f>INDEX('Draft Engine'!$A$3:$A$232,$M50)</f>
        <v>WR</v>
      </c>
      <c r="C50">
        <f>INDEX('Draft Engine'!$F$3:$F$232,$M50)</f>
        <v>20</v>
      </c>
      <c r="D50" t="str">
        <f>INDEX('Draft Engine'!$B$3:$B$232,$M50)</f>
        <v>Emeka Egbuka</v>
      </c>
      <c r="E50" s="4">
        <f>INDEX('Draft Engine'!$E$3:$E$232,$M50)</f>
        <v>81.734999999999999</v>
      </c>
      <c r="F50" t="str">
        <f t="shared" si="0"/>
        <v>TIER 3</v>
      </c>
      <c r="G50" s="4">
        <f>INDEX('Draft Engine'!$N$3:$N$232,$M50)</f>
        <v>76.240916666666678</v>
      </c>
      <c r="H50" s="4">
        <f>INDEX('Draft Engine'!$R$3:$R$232,$M50)</f>
        <v>34.4</v>
      </c>
      <c r="I50" s="4">
        <f>INDEX('Draft Engine'!$S$3:$S$232,$M50)</f>
        <v>-13.600000000000001</v>
      </c>
      <c r="J50" s="5"/>
      <c r="K50">
        <f>INDEX('Draft Engine'!$Z$3:$Z$232,$M50)</f>
        <v>48</v>
      </c>
      <c r="L50" t="str">
        <f>INDEX('LIVE SOURCE'!$H$3:$H$232,$M50)</f>
        <v>Strong WR2 with top-12 weekly upside.</v>
      </c>
      <c r="M50" s="6">
        <f>MATCH($A50,'Draft Engine'!$Q$3:$Q$232,0)</f>
        <v>103</v>
      </c>
      <c r="N50">
        <f>INDEX('LIVE SOURCE'!$L$3:$L$232,$M50)</f>
        <v>10</v>
      </c>
    </row>
    <row r="51" spans="1:14" x14ac:dyDescent="0.25">
      <c r="A51">
        <v>49</v>
      </c>
      <c r="B51" t="str">
        <f>INDEX('Draft Engine'!$A$3:$A$232,$M51)</f>
        <v>QB</v>
      </c>
      <c r="C51">
        <f>INDEX('Draft Engine'!$F$3:$F$232,$M51)</f>
        <v>5</v>
      </c>
      <c r="D51" t="str">
        <f>INDEX('Draft Engine'!$B$3:$B$232,$M51)</f>
        <v>Lamar Jackson</v>
      </c>
      <c r="E51" s="4">
        <f>INDEX('Draft Engine'!$E$3:$E$232,$M51)</f>
        <v>88.711200000000005</v>
      </c>
      <c r="F51" t="str">
        <f t="shared" si="0"/>
        <v>TIER 2</v>
      </c>
      <c r="G51" s="4">
        <f>INDEX('Draft Engine'!$N$3:$N$232,$M51)</f>
        <v>75.97223692307692</v>
      </c>
      <c r="H51" s="4">
        <f>INDEX('Draft Engine'!$R$3:$R$232,$M51)</f>
        <v>52.6</v>
      </c>
      <c r="I51" s="4">
        <f>INDEX('Draft Engine'!$S$3:$S$232,$M51)</f>
        <v>3.6000000000000014</v>
      </c>
      <c r="J51" s="5"/>
      <c r="K51">
        <f>INDEX('Draft Engine'!$Z$3:$Z$232,$M51)</f>
        <v>49</v>
      </c>
      <c r="L51" t="str">
        <f>INDEX('LIVE SOURCE'!$H$3:$H$232,$M51)</f>
        <v>Strong every-week QB1; frequent top-8 finishes expected.</v>
      </c>
      <c r="M51" s="6">
        <f>MATCH($A51,'Draft Engine'!$Q$3:$Q$232,0)</f>
        <v>5</v>
      </c>
      <c r="N51">
        <f>INDEX('LIVE SOURCE'!$L$3:$L$232,$M51)</f>
        <v>13</v>
      </c>
    </row>
    <row r="52" spans="1:14" x14ac:dyDescent="0.25">
      <c r="A52">
        <v>50</v>
      </c>
      <c r="B52" t="str">
        <f>INDEX('Draft Engine'!$A$3:$A$232,$M52)</f>
        <v>TE</v>
      </c>
      <c r="C52">
        <f>INDEX('Draft Engine'!$F$3:$F$232,$M52)</f>
        <v>6</v>
      </c>
      <c r="D52" t="str">
        <f>INDEX('Draft Engine'!$B$3:$B$232,$M52)</f>
        <v>Kyle Pitts Sr.</v>
      </c>
      <c r="E52" s="4">
        <f>INDEX('Draft Engine'!$E$3:$E$232,$M52)</f>
        <v>85.304500000000004</v>
      </c>
      <c r="F52" t="str">
        <f t="shared" si="0"/>
        <v>TIER 2</v>
      </c>
      <c r="G52" s="4">
        <f>INDEX('Draft Engine'!$N$3:$N$232,$M52)</f>
        <v>75.35793653846153</v>
      </c>
      <c r="H52" s="4">
        <f>INDEX('Draft Engine'!$R$3:$R$232,$M52)</f>
        <v>78.3</v>
      </c>
      <c r="I52" s="4">
        <f>INDEX('Draft Engine'!$S$3:$S$232,$M52)</f>
        <v>28.299999999999997</v>
      </c>
      <c r="J52" s="5"/>
      <c r="K52">
        <f>INDEX('Draft Engine'!$Z$3:$Z$232,$M52)</f>
        <v>50</v>
      </c>
      <c r="L52" t="str">
        <f>INDEX('LIVE SOURCE'!$H$3:$H$232,$M52)</f>
        <v>Every-week TE1 with real top-5 upside.</v>
      </c>
      <c r="M52" s="6">
        <f>MATCH($A52,'Draft Engine'!$Q$3:$Q$232,0)</f>
        <v>164</v>
      </c>
      <c r="N52">
        <f>INDEX('LIVE SOURCE'!$L$3:$L$232,$M52)</f>
        <v>11</v>
      </c>
    </row>
    <row r="53" spans="1:14" x14ac:dyDescent="0.25">
      <c r="A53">
        <v>51</v>
      </c>
      <c r="B53" t="str">
        <f>INDEX('Draft Engine'!$A$3:$A$232,$M53)</f>
        <v>WR</v>
      </c>
      <c r="C53">
        <f>INDEX('Draft Engine'!$F$3:$F$232,$M53)</f>
        <v>21</v>
      </c>
      <c r="D53" t="str">
        <f>INDEX('Draft Engine'!$B$3:$B$232,$M53)</f>
        <v>Malik Nabers</v>
      </c>
      <c r="E53" s="4">
        <f>INDEX('Draft Engine'!$E$3:$E$232,$M53)</f>
        <v>81.152500000000003</v>
      </c>
      <c r="F53" t="str">
        <f t="shared" si="0"/>
        <v>TIER 3</v>
      </c>
      <c r="G53" s="4">
        <f>INDEX('Draft Engine'!$N$3:$N$232,$M53)</f>
        <v>75.137208333333334</v>
      </c>
      <c r="H53" s="4">
        <f>INDEX('Draft Engine'!$R$3:$R$232,$M53)</f>
        <v>31.9</v>
      </c>
      <c r="I53" s="4">
        <f>INDEX('Draft Engine'!$S$3:$S$232,$M53)</f>
        <v>-19.100000000000001</v>
      </c>
      <c r="J53" s="5"/>
      <c r="K53">
        <f>INDEX('Draft Engine'!$Z$3:$Z$232,$M53)</f>
        <v>51</v>
      </c>
      <c r="L53" t="str">
        <f>INDEX('LIVE SOURCE'!$H$3:$H$232,$M53)</f>
        <v>Strong WR2 with top-12 weekly upside.</v>
      </c>
      <c r="M53" s="6">
        <f>MATCH($A53,'Draft Engine'!$Q$3:$Q$232,0)</f>
        <v>102</v>
      </c>
      <c r="N53">
        <f>INDEX('LIVE SOURCE'!$L$3:$L$232,$M53)</f>
        <v>8</v>
      </c>
    </row>
    <row r="54" spans="1:14" x14ac:dyDescent="0.25">
      <c r="A54">
        <v>52</v>
      </c>
      <c r="B54" t="str">
        <f>INDEX('Draft Engine'!$A$3:$A$232,$M54)</f>
        <v>QB</v>
      </c>
      <c r="C54">
        <f>INDEX('Draft Engine'!$F$3:$F$232,$M54)</f>
        <v>6</v>
      </c>
      <c r="D54" t="str">
        <f>INDEX('Draft Engine'!$B$3:$B$232,$M54)</f>
        <v>Jalen Hurts</v>
      </c>
      <c r="E54" s="4">
        <f>INDEX('Draft Engine'!$E$3:$E$232,$M54)</f>
        <v>88.4499</v>
      </c>
      <c r="F54" t="str">
        <f t="shared" si="0"/>
        <v>TIER 2</v>
      </c>
      <c r="G54" s="4">
        <f>INDEX('Draft Engine'!$N$3:$N$232,$M54)</f>
        <v>74.843291153846167</v>
      </c>
      <c r="H54" s="4">
        <f>INDEX('Draft Engine'!$R$3:$R$232,$M54)</f>
        <v>73.7</v>
      </c>
      <c r="I54" s="4">
        <f>INDEX('Draft Engine'!$S$3:$S$232,$M54)</f>
        <v>21.700000000000003</v>
      </c>
      <c r="J54" s="5"/>
      <c r="K54">
        <f>INDEX('Draft Engine'!$Z$3:$Z$232,$M54)</f>
        <v>52</v>
      </c>
      <c r="L54" t="str">
        <f>INDEX('LIVE SOURCE'!$H$3:$H$232,$M54)</f>
        <v>Strong every-week QB1; frequent top-8 finishes expected.</v>
      </c>
      <c r="M54" s="6">
        <f>MATCH($A54,'Draft Engine'!$Q$3:$Q$232,0)</f>
        <v>6</v>
      </c>
      <c r="N54">
        <f>INDEX('LIVE SOURCE'!$L$3:$L$232,$M54)</f>
        <v>10</v>
      </c>
    </row>
    <row r="55" spans="1:14" x14ac:dyDescent="0.25">
      <c r="A55">
        <v>53</v>
      </c>
      <c r="B55" t="str">
        <f>INDEX('Draft Engine'!$A$3:$A$232,$M55)</f>
        <v>RB</v>
      </c>
      <c r="C55">
        <f>INDEX('Draft Engine'!$F$3:$F$232,$M55)</f>
        <v>20</v>
      </c>
      <c r="D55" t="str">
        <f>INDEX('Draft Engine'!$B$3:$B$232,$M55)</f>
        <v>D'Andre Swift</v>
      </c>
      <c r="E55" s="4">
        <f>INDEX('Draft Engine'!$E$3:$E$232,$M55)</f>
        <v>79.985600000000005</v>
      </c>
      <c r="F55" t="str">
        <f t="shared" si="0"/>
        <v>TIER 4</v>
      </c>
      <c r="G55" s="4">
        <f>INDEX('Draft Engine'!$N$3:$N$232,$M55)</f>
        <v>74.255955</v>
      </c>
      <c r="H55" s="4">
        <f>INDEX('Draft Engine'!$R$3:$R$232,$M55)</f>
        <v>43.9</v>
      </c>
      <c r="I55" s="4">
        <f>INDEX('Draft Engine'!$S$3:$S$232,$M55)</f>
        <v>-9.1000000000000014</v>
      </c>
      <c r="J55" s="5"/>
      <c r="K55">
        <f>INDEX('Draft Engine'!$Z$3:$Z$232,$M55)</f>
        <v>53</v>
      </c>
      <c r="L55" t="str">
        <f>INDEX('LIVE SOURCE'!$H$3:$H$232,$M55)</f>
        <v>RB2 with RB1 weeks; should be a regular starter.</v>
      </c>
      <c r="M55" s="6">
        <f>MATCH($A55,'Draft Engine'!$Q$3:$Q$232,0)</f>
        <v>52</v>
      </c>
      <c r="N55">
        <f>INDEX('LIVE SOURCE'!$L$3:$L$232,$M55)</f>
        <v>10</v>
      </c>
    </row>
    <row r="56" spans="1:14" x14ac:dyDescent="0.25">
      <c r="A56">
        <v>54</v>
      </c>
      <c r="B56" t="str">
        <f>INDEX('Draft Engine'!$A$3:$A$232,$M56)</f>
        <v>RB</v>
      </c>
      <c r="C56">
        <f>INDEX('Draft Engine'!$F$3:$F$232,$M56)</f>
        <v>21</v>
      </c>
      <c r="D56" t="str">
        <f>INDEX('Draft Engine'!$B$3:$B$232,$M56)</f>
        <v>Bucky Irving</v>
      </c>
      <c r="E56" s="4">
        <f>INDEX('Draft Engine'!$E$3:$E$232,$M56)</f>
        <v>79.935500000000005</v>
      </c>
      <c r="F56" t="str">
        <f t="shared" si="0"/>
        <v>TIER 4</v>
      </c>
      <c r="G56" s="4">
        <f>INDEX('Draft Engine'!$N$3:$N$232,$M56)</f>
        <v>73.833025000000006</v>
      </c>
      <c r="H56" s="4">
        <f>INDEX('Draft Engine'!$R$3:$R$232,$M56)</f>
        <v>43</v>
      </c>
      <c r="I56" s="4">
        <f>INDEX('Draft Engine'!$S$3:$S$232,$M56)</f>
        <v>-11</v>
      </c>
      <c r="J56" s="5"/>
      <c r="K56">
        <f>INDEX('Draft Engine'!$Z$3:$Z$232,$M56)</f>
        <v>54</v>
      </c>
      <c r="L56" t="str">
        <f>INDEX('LIVE SOURCE'!$H$3:$H$232,$M56)</f>
        <v>RB2/FLEX; useful weekly but role and receiving volume matter.</v>
      </c>
      <c r="M56" s="6">
        <f>MATCH($A56,'Draft Engine'!$Q$3:$Q$232,0)</f>
        <v>53</v>
      </c>
      <c r="N56">
        <f>INDEX('LIVE SOURCE'!$L$3:$L$232,$M56)</f>
        <v>10</v>
      </c>
    </row>
    <row r="57" spans="1:14" x14ac:dyDescent="0.25">
      <c r="A57">
        <v>55</v>
      </c>
      <c r="B57" t="str">
        <f>INDEX('Draft Engine'!$A$3:$A$232,$M57)</f>
        <v>TE</v>
      </c>
      <c r="C57">
        <f>INDEX('Draft Engine'!$F$3:$F$232,$M57)</f>
        <v>7</v>
      </c>
      <c r="D57" t="str">
        <f>INDEX('Draft Engine'!$B$3:$B$232,$M57)</f>
        <v>Harold Fannin Jr.</v>
      </c>
      <c r="E57" s="4">
        <f>INDEX('Draft Engine'!$E$3:$E$232,$M57)</f>
        <v>84.377700000000004</v>
      </c>
      <c r="F57" t="str">
        <f t="shared" si="0"/>
        <v>TIER 3</v>
      </c>
      <c r="G57" s="4">
        <f>INDEX('Draft Engine'!$N$3:$N$232,$M57)</f>
        <v>73.561888846153849</v>
      </c>
      <c r="H57" s="4">
        <f>INDEX('Draft Engine'!$R$3:$R$232,$M57)</f>
        <v>82.8</v>
      </c>
      <c r="I57" s="4">
        <f>INDEX('Draft Engine'!$S$3:$S$232,$M57)</f>
        <v>27.799999999999997</v>
      </c>
      <c r="J57" s="5"/>
      <c r="K57">
        <f>INDEX('Draft Engine'!$Z$3:$Z$232,$M57)</f>
        <v>55</v>
      </c>
      <c r="L57" t="str">
        <f>INDEX('LIVE SOURCE'!$H$3:$H$232,$M57)</f>
        <v>Every-week TE1 with real top-5 upside.</v>
      </c>
      <c r="M57" s="6">
        <f>MATCH($A57,'Draft Engine'!$Q$3:$Q$232,0)</f>
        <v>165</v>
      </c>
      <c r="N57">
        <f>INDEX('LIVE SOURCE'!$L$3:$L$232,$M57)</f>
        <v>11</v>
      </c>
    </row>
    <row r="58" spans="1:14" x14ac:dyDescent="0.25">
      <c r="A58">
        <v>56</v>
      </c>
      <c r="B58" t="str">
        <f>INDEX('Draft Engine'!$A$3:$A$232,$M58)</f>
        <v>RB</v>
      </c>
      <c r="C58">
        <f>INDEX('Draft Engine'!$F$3:$F$232,$M58)</f>
        <v>22</v>
      </c>
      <c r="D58" t="str">
        <f>INDEX('Draft Engine'!$B$3:$B$232,$M58)</f>
        <v>Quinshon Judkins</v>
      </c>
      <c r="E58" s="4">
        <f>INDEX('Draft Engine'!$E$3:$E$232,$M58)</f>
        <v>79.930300000000003</v>
      </c>
      <c r="F58" t="str">
        <f t="shared" si="0"/>
        <v>TIER 4</v>
      </c>
      <c r="G58" s="4">
        <f>INDEX('Draft Engine'!$N$3:$N$232,$M58)</f>
        <v>73.470789999999994</v>
      </c>
      <c r="H58" s="4">
        <f>INDEX('Draft Engine'!$R$3:$R$232,$M58)</f>
        <v>49.9</v>
      </c>
      <c r="I58" s="4">
        <f>INDEX('Draft Engine'!$S$3:$S$232,$M58)</f>
        <v>-6.1000000000000014</v>
      </c>
      <c r="J58" s="5"/>
      <c r="K58">
        <f>INDEX('Draft Engine'!$Z$3:$Z$232,$M58)</f>
        <v>56</v>
      </c>
      <c r="L58" t="str">
        <f>INDEX('LIVE SOURCE'!$H$3:$H$232,$M58)</f>
        <v>RB2/FLEX; useful weekly but role and receiving volume matter.</v>
      </c>
      <c r="M58" s="6">
        <f>MATCH($A58,'Draft Engine'!$Q$3:$Q$232,0)</f>
        <v>54</v>
      </c>
      <c r="N58">
        <f>INDEX('LIVE SOURCE'!$L$3:$L$232,$M58)</f>
        <v>11</v>
      </c>
    </row>
    <row r="59" spans="1:14" x14ac:dyDescent="0.25">
      <c r="A59">
        <v>57</v>
      </c>
      <c r="B59" t="str">
        <f>INDEX('Draft Engine'!$A$3:$A$232,$M59)</f>
        <v>WR</v>
      </c>
      <c r="C59">
        <f>INDEX('Draft Engine'!$F$3:$F$232,$M59)</f>
        <v>22</v>
      </c>
      <c r="D59" t="str">
        <f>INDEX('Draft Engine'!$B$3:$B$232,$M59)</f>
        <v>Terry McLaurin</v>
      </c>
      <c r="E59" s="4">
        <f>INDEX('Draft Engine'!$E$3:$E$232,$M59)</f>
        <v>79.900000000000006</v>
      </c>
      <c r="F59" t="str">
        <f t="shared" si="0"/>
        <v>TIER 4</v>
      </c>
      <c r="G59" s="4">
        <f>INDEX('Draft Engine'!$N$3:$N$232,$M59)</f>
        <v>73.179000000000002</v>
      </c>
      <c r="H59" s="4">
        <f>INDEX('Draft Engine'!$R$3:$R$232,$M59)</f>
        <v>43</v>
      </c>
      <c r="I59" s="4">
        <f>INDEX('Draft Engine'!$S$3:$S$232,$M59)</f>
        <v>-14</v>
      </c>
      <c r="J59" s="5"/>
      <c r="K59">
        <f>INDEX('Draft Engine'!$Z$3:$Z$232,$M59)</f>
        <v>57</v>
      </c>
      <c r="L59" t="str">
        <f>INDEX('LIVE SOURCE'!$H$3:$H$232,$M59)</f>
        <v>Strong WR2 with top-12 weekly upside.</v>
      </c>
      <c r="M59" s="6">
        <f>MATCH($A59,'Draft Engine'!$Q$3:$Q$232,0)</f>
        <v>105</v>
      </c>
      <c r="N59">
        <f>INDEX('LIVE SOURCE'!$L$3:$L$232,$M59)</f>
        <v>7</v>
      </c>
    </row>
    <row r="60" spans="1:14" x14ac:dyDescent="0.25">
      <c r="A60">
        <v>58</v>
      </c>
      <c r="B60" t="str">
        <f>INDEX('Draft Engine'!$A$3:$A$232,$M60)</f>
        <v>TE</v>
      </c>
      <c r="C60">
        <f>INDEX('Draft Engine'!$F$3:$F$232,$M60)</f>
        <v>8</v>
      </c>
      <c r="D60" t="str">
        <f>INDEX('Draft Engine'!$B$3:$B$232,$M60)</f>
        <v>Jake Ferguson</v>
      </c>
      <c r="E60" s="4">
        <f>INDEX('Draft Engine'!$E$3:$E$232,$M60)</f>
        <v>84.072999999999993</v>
      </c>
      <c r="F60" t="str">
        <f t="shared" si="0"/>
        <v>TIER 3</v>
      </c>
      <c r="G60" s="4">
        <f>INDEX('Draft Engine'!$N$3:$N$232,$M60)</f>
        <v>72.521996153846146</v>
      </c>
      <c r="H60" s="4">
        <f>INDEX('Draft Engine'!$R$3:$R$232,$M60)</f>
        <v>140.80000000000001</v>
      </c>
      <c r="I60" s="4">
        <f>INDEX('Draft Engine'!$S$3:$S$232,$M60)</f>
        <v>82.800000000000011</v>
      </c>
      <c r="J60" s="5"/>
      <c r="K60">
        <f>INDEX('Draft Engine'!$Z$3:$Z$232,$M60)</f>
        <v>58</v>
      </c>
      <c r="L60" t="str">
        <f>INDEX('LIVE SOURCE'!$H$3:$H$232,$M60)</f>
        <v>Every-week TE1 with real top-5 upside.</v>
      </c>
      <c r="M60" s="6">
        <f>MATCH($A60,'Draft Engine'!$Q$3:$Q$232,0)</f>
        <v>166</v>
      </c>
      <c r="N60">
        <f>INDEX('LIVE SOURCE'!$L$3:$L$232,$M60)</f>
        <v>14</v>
      </c>
    </row>
    <row r="61" spans="1:14" x14ac:dyDescent="0.25">
      <c r="A61">
        <v>59</v>
      </c>
      <c r="B61" t="str">
        <f>INDEX('Draft Engine'!$A$3:$A$232,$M61)</f>
        <v>QB</v>
      </c>
      <c r="C61">
        <f>INDEX('Draft Engine'!$F$3:$F$232,$M61)</f>
        <v>7</v>
      </c>
      <c r="D61" t="str">
        <f>INDEX('Draft Engine'!$B$3:$B$232,$M61)</f>
        <v>Patrick Mahomes II</v>
      </c>
      <c r="E61" s="4">
        <f>INDEX('Draft Engine'!$E$3:$E$232,$M61)</f>
        <v>87.006299999999996</v>
      </c>
      <c r="F61" t="str">
        <f t="shared" si="0"/>
        <v>TIER 2</v>
      </c>
      <c r="G61" s="4">
        <f>INDEX('Draft Engine'!$N$3:$N$232,$M61)</f>
        <v>72.110080384615387</v>
      </c>
      <c r="H61" s="4">
        <f>INDEX('Draft Engine'!$R$3:$R$232,$M61)</f>
        <v>97.4</v>
      </c>
      <c r="I61" s="4">
        <f>INDEX('Draft Engine'!$S$3:$S$232,$M61)</f>
        <v>38.400000000000006</v>
      </c>
      <c r="J61" s="5"/>
      <c r="K61">
        <f>INDEX('Draft Engine'!$Z$3:$Z$232,$M61)</f>
        <v>59</v>
      </c>
      <c r="L61" t="str">
        <f>INDEX('LIVE SOURCE'!$H$3:$H$232,$M61)</f>
        <v>Strong every-week QB1; frequent top-8 finishes expected.</v>
      </c>
      <c r="M61" s="6">
        <f>MATCH($A61,'Draft Engine'!$Q$3:$Q$232,0)</f>
        <v>7</v>
      </c>
      <c r="N61">
        <f>INDEX('LIVE SOURCE'!$L$3:$L$232,$M61)</f>
        <v>5</v>
      </c>
    </row>
    <row r="62" spans="1:14" x14ac:dyDescent="0.25">
      <c r="A62">
        <v>60</v>
      </c>
      <c r="B62" t="str">
        <f>INDEX('Draft Engine'!$A$3:$A$232,$M62)</f>
        <v>TE</v>
      </c>
      <c r="C62">
        <f>INDEX('Draft Engine'!$F$3:$F$232,$M62)</f>
        <v>9</v>
      </c>
      <c r="D62" t="str">
        <f>INDEX('Draft Engine'!$B$3:$B$232,$M62)</f>
        <v>Tucker Kraft</v>
      </c>
      <c r="E62" s="4">
        <f>INDEX('Draft Engine'!$E$3:$E$232,$M62)</f>
        <v>83.808599999999998</v>
      </c>
      <c r="F62" t="str">
        <f t="shared" si="0"/>
        <v>TIER 3</v>
      </c>
      <c r="G62" s="4">
        <f>INDEX('Draft Engine'!$N$3:$N$232,$M62)</f>
        <v>71.504268461538473</v>
      </c>
      <c r="H62" s="4">
        <f>INDEX('Draft Engine'!$R$3:$R$232,$M62)</f>
        <v>108.3</v>
      </c>
      <c r="I62" s="4">
        <f>INDEX('Draft Engine'!$S$3:$S$232,$M62)</f>
        <v>48.3</v>
      </c>
      <c r="J62" s="5"/>
      <c r="K62">
        <f>INDEX('Draft Engine'!$Z$3:$Z$232,$M62)</f>
        <v>60</v>
      </c>
      <c r="L62" t="str">
        <f>INDEX('LIVE SOURCE'!$H$3:$H$232,$M62)</f>
        <v>Low-end TE1; startable but replacement options remain close.</v>
      </c>
      <c r="M62" s="6">
        <f>MATCH($A62,'Draft Engine'!$Q$3:$Q$232,0)</f>
        <v>167</v>
      </c>
      <c r="N62">
        <f>INDEX('LIVE SOURCE'!$L$3:$L$232,$M62)</f>
        <v>11</v>
      </c>
    </row>
    <row r="63" spans="1:14" x14ac:dyDescent="0.25">
      <c r="A63">
        <v>61</v>
      </c>
      <c r="B63" t="str">
        <f>INDEX('Draft Engine'!$A$3:$A$232,$M63)</f>
        <v>WR</v>
      </c>
      <c r="C63">
        <f>INDEX('Draft Engine'!$F$3:$F$232,$M63)</f>
        <v>23</v>
      </c>
      <c r="D63" t="str">
        <f>INDEX('Draft Engine'!$B$3:$B$232,$M63)</f>
        <v>Luther Burden III</v>
      </c>
      <c r="E63" s="4">
        <f>INDEX('Draft Engine'!$E$3:$E$232,$M63)</f>
        <v>78.647499999999994</v>
      </c>
      <c r="F63" t="str">
        <f t="shared" si="0"/>
        <v>TIER 4</v>
      </c>
      <c r="G63" s="4">
        <f>INDEX('Draft Engine'!$N$3:$N$232,$M63)</f>
        <v>71.20279166666667</v>
      </c>
      <c r="H63" s="4">
        <f>INDEX('Draft Engine'!$R$3:$R$232,$M63)</f>
        <v>53.1</v>
      </c>
      <c r="I63" s="4">
        <f>INDEX('Draft Engine'!$S$3:$S$232,$M63)</f>
        <v>-7.8999999999999986</v>
      </c>
      <c r="J63" s="5"/>
      <c r="K63">
        <f>INDEX('Draft Engine'!$Z$3:$Z$232,$M63)</f>
        <v>61</v>
      </c>
      <c r="L63" t="str">
        <f>INDEX('LIVE SOURCE'!$H$3:$H$232,$M63)</f>
        <v>Strong WR2 with top-12 weekly upside.</v>
      </c>
      <c r="M63" s="6">
        <f>MATCH($A63,'Draft Engine'!$Q$3:$Q$232,0)</f>
        <v>108</v>
      </c>
      <c r="N63">
        <f>INDEX('LIVE SOURCE'!$L$3:$L$232,$M63)</f>
        <v>10</v>
      </c>
    </row>
    <row r="64" spans="1:14" x14ac:dyDescent="0.25">
      <c r="A64">
        <v>62</v>
      </c>
      <c r="B64" t="str">
        <f>INDEX('Draft Engine'!$A$3:$A$232,$M64)</f>
        <v>QB</v>
      </c>
      <c r="C64">
        <f>INDEX('Draft Engine'!$F$3:$F$232,$M64)</f>
        <v>8</v>
      </c>
      <c r="D64" t="str">
        <f>INDEX('Draft Engine'!$B$3:$B$232,$M64)</f>
        <v>Jayden Daniels</v>
      </c>
      <c r="E64" s="4">
        <f>INDEX('Draft Engine'!$E$3:$E$232,$M64)</f>
        <v>86.700299999999999</v>
      </c>
      <c r="F64" t="str">
        <f t="shared" si="0"/>
        <v>TIER 2</v>
      </c>
      <c r="G64" s="4">
        <f>INDEX('Draft Engine'!$N$3:$N$232,$M64)</f>
        <v>70.938549615384616</v>
      </c>
      <c r="H64" s="4">
        <f>INDEX('Draft Engine'!$R$3:$R$232,$M64)</f>
        <v>67</v>
      </c>
      <c r="I64" s="4">
        <f>INDEX('Draft Engine'!$S$3:$S$232,$M64)</f>
        <v>5</v>
      </c>
      <c r="J64" s="5"/>
      <c r="K64">
        <f>INDEX('Draft Engine'!$Z$3:$Z$232,$M64)</f>
        <v>62</v>
      </c>
      <c r="L64" t="str">
        <f>INDEX('LIVE SOURCE'!$H$3:$H$232,$M64)</f>
        <v>Strong every-week QB1; frequent top-8 finishes expected.</v>
      </c>
      <c r="M64" s="6">
        <f>MATCH($A64,'Draft Engine'!$Q$3:$Q$232,0)</f>
        <v>8</v>
      </c>
      <c r="N64">
        <f>INDEX('LIVE SOURCE'!$L$3:$L$232,$M64)</f>
        <v>7</v>
      </c>
    </row>
    <row r="65" spans="1:14" x14ac:dyDescent="0.25">
      <c r="A65">
        <v>63</v>
      </c>
      <c r="B65" t="str">
        <f>INDEX('Draft Engine'!$A$3:$A$232,$M65)</f>
        <v>RB</v>
      </c>
      <c r="C65">
        <f>INDEX('Draft Engine'!$F$3:$F$232,$M65)</f>
        <v>23</v>
      </c>
      <c r="D65" t="str">
        <f>INDEX('Draft Engine'!$B$3:$B$232,$M65)</f>
        <v>David Montgomery</v>
      </c>
      <c r="E65" s="4">
        <f>INDEX('Draft Engine'!$E$3:$E$232,$M65)</f>
        <v>77.910200000000003</v>
      </c>
      <c r="F65" t="str">
        <f t="shared" si="0"/>
        <v>TIER 4</v>
      </c>
      <c r="G65" s="4">
        <f>INDEX('Draft Engine'!$N$3:$N$232,$M65)</f>
        <v>70.470359999999999</v>
      </c>
      <c r="H65" s="4">
        <f>INDEX('Draft Engine'!$R$3:$R$232,$M65)</f>
        <v>66.400000000000006</v>
      </c>
      <c r="I65" s="4">
        <f>INDEX('Draft Engine'!$S$3:$S$232,$M65)</f>
        <v>3.4000000000000057</v>
      </c>
      <c r="J65" s="5"/>
      <c r="K65">
        <f>INDEX('Draft Engine'!$Z$3:$Z$232,$M65)</f>
        <v>63</v>
      </c>
      <c r="L65" t="str">
        <f>INDEX('LIVE SOURCE'!$H$3:$H$232,$M65)</f>
        <v>RB2/FLEX; useful weekly but role and receiving volume matter.</v>
      </c>
      <c r="M65" s="6">
        <f>MATCH($A65,'Draft Engine'!$Q$3:$Q$232,0)</f>
        <v>55</v>
      </c>
      <c r="N65">
        <f>INDEX('LIVE SOURCE'!$L$3:$L$232,$M65)</f>
        <v>8</v>
      </c>
    </row>
    <row r="66" spans="1:14" x14ac:dyDescent="0.25">
      <c r="A66">
        <v>64</v>
      </c>
      <c r="B66" t="str">
        <f>INDEX('Draft Engine'!$A$3:$A$232,$M66)</f>
        <v>WR</v>
      </c>
      <c r="C66">
        <f>INDEX('Draft Engine'!$F$3:$F$232,$M66)</f>
        <v>24</v>
      </c>
      <c r="D66" t="str">
        <f>INDEX('Draft Engine'!$B$3:$B$232,$M66)</f>
        <v>Davante Adams</v>
      </c>
      <c r="E66" s="4">
        <f>INDEX('Draft Engine'!$E$3:$E$232,$M66)</f>
        <v>78.064999999999998</v>
      </c>
      <c r="F66" t="str">
        <f t="shared" si="0"/>
        <v>TIER 4</v>
      </c>
      <c r="G66" s="4">
        <f>INDEX('Draft Engine'!$N$3:$N$232,$M66)</f>
        <v>70.117083333333326</v>
      </c>
      <c r="H66" s="4">
        <f>INDEX('Draft Engine'!$R$3:$R$232,$M66)</f>
        <v>41.5</v>
      </c>
      <c r="I66" s="4">
        <f>INDEX('Draft Engine'!$S$3:$S$232,$M66)</f>
        <v>-22.5</v>
      </c>
      <c r="J66" s="5"/>
      <c r="K66">
        <f>INDEX('Draft Engine'!$Z$3:$Z$232,$M66)</f>
        <v>64</v>
      </c>
      <c r="L66" t="str">
        <f>INDEX('LIVE SOURCE'!$H$3:$H$232,$M66)</f>
        <v>Strong WR2 with top-12 weekly upside.</v>
      </c>
      <c r="M66" s="6">
        <f>MATCH($A66,'Draft Engine'!$Q$3:$Q$232,0)</f>
        <v>107</v>
      </c>
      <c r="N66">
        <f>INDEX('LIVE SOURCE'!$L$3:$L$232,$M66)</f>
        <v>11</v>
      </c>
    </row>
    <row r="67" spans="1:14" x14ac:dyDescent="0.25">
      <c r="A67">
        <v>65</v>
      </c>
      <c r="B67" t="str">
        <f>INDEX('Draft Engine'!$A$3:$A$232,$M67)</f>
        <v>RB</v>
      </c>
      <c r="C67">
        <f>INDEX('Draft Engine'!$F$3:$F$232,$M67)</f>
        <v>24</v>
      </c>
      <c r="D67" t="str">
        <f>INDEX('Draft Engine'!$B$3:$B$232,$M67)</f>
        <v>TreVeyon Henderson</v>
      </c>
      <c r="E67" s="4">
        <f>INDEX('Draft Engine'!$E$3:$E$232,$M67)</f>
        <v>77.832499999999996</v>
      </c>
      <c r="F67" t="str">
        <f t="shared" ref="F67:F130" si="1">IF($E67&gt;=95,"ELITE",IF($E67&gt;=90,"TIER 1",IF($E67&gt;=85,"TIER 2",IF($E67&gt;=80,"TIER 3",IF($E67&gt;=75,"TIER 4",IF($E67&gt;=70,"TIER 5",IF($E67&gt;=65,"TIER 6","TIER 7")))))))</f>
        <v>TIER 4</v>
      </c>
      <c r="G67" s="4">
        <f>INDEX('Draft Engine'!$N$3:$N$232,$M67)</f>
        <v>70.014250000000004</v>
      </c>
      <c r="H67" s="4">
        <f>INDEX('Draft Engine'!$R$3:$R$232,$M67)</f>
        <v>55.4</v>
      </c>
      <c r="I67" s="4">
        <f>INDEX('Draft Engine'!$S$3:$S$232,$M67)</f>
        <v>-9.6000000000000014</v>
      </c>
      <c r="J67" s="5"/>
      <c r="K67">
        <f>INDEX('Draft Engine'!$Z$3:$Z$232,$M67)</f>
        <v>65</v>
      </c>
      <c r="L67" t="str">
        <f>INDEX('LIVE SOURCE'!$H$3:$H$232,$M67)</f>
        <v>RB2/FLEX; useful weekly but role and receiving volume matter.</v>
      </c>
      <c r="M67" s="6">
        <f>MATCH($A67,'Draft Engine'!$Q$3:$Q$232,0)</f>
        <v>56</v>
      </c>
      <c r="N67">
        <f>INDEX('LIVE SOURCE'!$L$3:$L$232,$M67)</f>
        <v>11</v>
      </c>
    </row>
    <row r="68" spans="1:14" x14ac:dyDescent="0.25">
      <c r="A68">
        <v>66</v>
      </c>
      <c r="B68" t="str">
        <f>INDEX('Draft Engine'!$A$3:$A$232,$M68)</f>
        <v>TE</v>
      </c>
      <c r="C68">
        <f>INDEX('Draft Engine'!$F$3:$F$232,$M68)</f>
        <v>10</v>
      </c>
      <c r="D68" t="str">
        <f>INDEX('Draft Engine'!$B$3:$B$232,$M68)</f>
        <v>Sam LaPorta</v>
      </c>
      <c r="E68" s="4">
        <f>INDEX('Draft Engine'!$E$3:$E$232,$M68)</f>
        <v>82.865300000000005</v>
      </c>
      <c r="F68" t="str">
        <f t="shared" si="1"/>
        <v>TIER 3</v>
      </c>
      <c r="G68" s="4">
        <f>INDEX('Draft Engine'!$N$3:$N$232,$M68)</f>
        <v>69.699145769230782</v>
      </c>
      <c r="H68" s="4">
        <f>INDEX('Draft Engine'!$R$3:$R$232,$M68)</f>
        <v>88.7</v>
      </c>
      <c r="I68" s="4">
        <f>INDEX('Draft Engine'!$S$3:$S$232,$M68)</f>
        <v>22.700000000000003</v>
      </c>
      <c r="J68" s="5"/>
      <c r="K68">
        <f>INDEX('Draft Engine'!$Z$3:$Z$232,$M68)</f>
        <v>66</v>
      </c>
      <c r="L68" t="str">
        <f>INDEX('LIVE SOURCE'!$H$3:$H$232,$M68)</f>
        <v>Low-end TE1; startable but replacement options remain close.</v>
      </c>
      <c r="M68" s="6">
        <f>MATCH($A68,'Draft Engine'!$Q$3:$Q$232,0)</f>
        <v>168</v>
      </c>
      <c r="N68">
        <f>INDEX('LIVE SOURCE'!$L$3:$L$232,$M68)</f>
        <v>6</v>
      </c>
    </row>
    <row r="69" spans="1:14" x14ac:dyDescent="0.25">
      <c r="A69">
        <v>67</v>
      </c>
      <c r="B69" t="str">
        <f>INDEX('Draft Engine'!$A$3:$A$232,$M69)</f>
        <v>QB</v>
      </c>
      <c r="C69">
        <f>INDEX('Draft Engine'!$F$3:$F$232,$M69)</f>
        <v>9</v>
      </c>
      <c r="D69" t="str">
        <f>INDEX('Draft Engine'!$B$3:$B$232,$M69)</f>
        <v>Joe Burrow</v>
      </c>
      <c r="E69" s="4">
        <f>INDEX('Draft Engine'!$E$3:$E$232,$M69)</f>
        <v>85.591300000000004</v>
      </c>
      <c r="F69" t="str">
        <f t="shared" si="1"/>
        <v>TIER 2</v>
      </c>
      <c r="G69" s="4">
        <f>INDEX('Draft Engine'!$N$3:$N$232,$M69)</f>
        <v>68.659368846153853</v>
      </c>
      <c r="H69" s="4">
        <f>INDEX('Draft Engine'!$R$3:$R$232,$M69)</f>
        <v>57.3</v>
      </c>
      <c r="I69" s="4">
        <f>INDEX('Draft Engine'!$S$3:$S$232,$M69)</f>
        <v>-9.7000000000000028</v>
      </c>
      <c r="J69" s="5"/>
      <c r="K69">
        <f>INDEX('Draft Engine'!$Z$3:$Z$232,$M69)</f>
        <v>67</v>
      </c>
      <c r="L69" t="str">
        <f>INDEX('LIVE SOURCE'!$H$3:$H$232,$M69)</f>
        <v>Low-end QB1/high-end QB2 in a 10-team league; startable most weeks.</v>
      </c>
      <c r="M69" s="6">
        <f>MATCH($A69,'Draft Engine'!$Q$3:$Q$232,0)</f>
        <v>9</v>
      </c>
      <c r="N69">
        <f>INDEX('LIVE SOURCE'!$L$3:$L$232,$M69)</f>
        <v>6</v>
      </c>
    </row>
    <row r="70" spans="1:14" x14ac:dyDescent="0.25">
      <c r="A70">
        <v>68</v>
      </c>
      <c r="B70" t="str">
        <f>INDEX('Draft Engine'!$A$3:$A$232,$M70)</f>
        <v>RB</v>
      </c>
      <c r="C70">
        <f>INDEX('Draft Engine'!$F$3:$F$232,$M70)</f>
        <v>25</v>
      </c>
      <c r="D70" t="str">
        <f>INDEX('Draft Engine'!$B$3:$B$232,$M70)</f>
        <v>Jadarian Price</v>
      </c>
      <c r="E70" s="4">
        <f>INDEX('Draft Engine'!$E$3:$E$232,$M70)</f>
        <v>76.662199999999999</v>
      </c>
      <c r="F70" t="str">
        <f t="shared" si="1"/>
        <v>TIER 4</v>
      </c>
      <c r="G70" s="4">
        <f>INDEX('Draft Engine'!$N$3:$N$232,$M70)</f>
        <v>68.12921</v>
      </c>
      <c r="H70" s="4">
        <f>INDEX('Draft Engine'!$R$3:$R$232,$M70)</f>
        <v>63</v>
      </c>
      <c r="I70" s="4">
        <f>INDEX('Draft Engine'!$S$3:$S$232,$M70)</f>
        <v>-5</v>
      </c>
      <c r="J70" s="5"/>
      <c r="K70">
        <f>INDEX('Draft Engine'!$Z$3:$Z$232,$M70)</f>
        <v>68</v>
      </c>
      <c r="L70" t="str">
        <f>INDEX('LIVE SOURCE'!$H$3:$H$232,$M70)</f>
        <v>RB2/FLEX; useful weekly but role and receiving volume matter.</v>
      </c>
      <c r="M70" s="6">
        <f>MATCH($A70,'Draft Engine'!$Q$3:$Q$232,0)</f>
        <v>57</v>
      </c>
      <c r="N70">
        <f>INDEX('LIVE SOURCE'!$L$3:$L$232,$M70)</f>
        <v>11</v>
      </c>
    </row>
    <row r="71" spans="1:14" x14ac:dyDescent="0.25">
      <c r="A71">
        <v>69</v>
      </c>
      <c r="B71" t="str">
        <f>INDEX('Draft Engine'!$A$3:$A$232,$M71)</f>
        <v>TE</v>
      </c>
      <c r="C71">
        <f>INDEX('Draft Engine'!$F$3:$F$232,$M71)</f>
        <v>11</v>
      </c>
      <c r="D71" t="str">
        <f>INDEX('Draft Engine'!$B$3:$B$232,$M71)</f>
        <v>Dalton Kincaid</v>
      </c>
      <c r="E71" s="4">
        <f>INDEX('Draft Engine'!$E$3:$E$232,$M71)</f>
        <v>81.914100000000005</v>
      </c>
      <c r="F71" t="str">
        <f t="shared" si="1"/>
        <v>TIER 3</v>
      </c>
      <c r="G71" s="4">
        <f>INDEX('Draft Engine'!$N$3:$N$232,$M71)</f>
        <v>67.88967807692309</v>
      </c>
      <c r="H71" s="4">
        <f>INDEX('Draft Engine'!$R$3:$R$232,$M71)</f>
        <v>152</v>
      </c>
      <c r="I71" s="4">
        <f>INDEX('Draft Engine'!$S$3:$S$232,$M71)</f>
        <v>83</v>
      </c>
      <c r="J71" s="5"/>
      <c r="K71">
        <f>INDEX('Draft Engine'!$Z$3:$Z$232,$M71)</f>
        <v>69</v>
      </c>
      <c r="L71" t="str">
        <f>INDEX('LIVE SOURCE'!$H$3:$H$232,$M71)</f>
        <v>Low-end TE1; startable but replacement options remain close.</v>
      </c>
      <c r="M71" s="6">
        <f>MATCH($A71,'Draft Engine'!$Q$3:$Q$232,0)</f>
        <v>169</v>
      </c>
      <c r="N71">
        <f>INDEX('LIVE SOURCE'!$L$3:$L$232,$M71)</f>
        <v>7</v>
      </c>
    </row>
    <row r="72" spans="1:14" x14ac:dyDescent="0.25">
      <c r="A72">
        <v>70</v>
      </c>
      <c r="B72" t="str">
        <f>INDEX('Draft Engine'!$A$3:$A$232,$M72)</f>
        <v>WR</v>
      </c>
      <c r="C72">
        <f>INDEX('Draft Engine'!$F$3:$F$232,$M72)</f>
        <v>25</v>
      </c>
      <c r="D72" t="str">
        <f>INDEX('Draft Engine'!$B$3:$B$232,$M72)</f>
        <v>Mike Evans</v>
      </c>
      <c r="E72" s="4">
        <f>INDEX('Draft Engine'!$E$3:$E$232,$M72)</f>
        <v>76.477500000000006</v>
      </c>
      <c r="F72" t="str">
        <f t="shared" si="1"/>
        <v>TIER 4</v>
      </c>
      <c r="G72" s="4">
        <f>INDEX('Draft Engine'!$N$3:$N$232,$M72)</f>
        <v>67.704625000000007</v>
      </c>
      <c r="H72" s="4">
        <f>INDEX('Draft Engine'!$R$3:$R$232,$M72)</f>
        <v>59.4</v>
      </c>
      <c r="I72" s="4">
        <f>INDEX('Draft Engine'!$S$3:$S$232,$M72)</f>
        <v>-10.600000000000001</v>
      </c>
      <c r="J72" s="5"/>
      <c r="K72">
        <f>INDEX('Draft Engine'!$Z$3:$Z$232,$M72)</f>
        <v>70</v>
      </c>
      <c r="L72" t="str">
        <f>INDEX('LIVE SOURCE'!$H$3:$H$232,$M72)</f>
        <v>WR2/FLEX; dependable lineup option with matchup-driven ceiling.</v>
      </c>
      <c r="M72" s="6">
        <f>MATCH($A72,'Draft Engine'!$Q$3:$Q$232,0)</f>
        <v>112</v>
      </c>
      <c r="N72">
        <f>INDEX('LIVE SOURCE'!$L$3:$L$232,$M72)</f>
        <v>8</v>
      </c>
    </row>
    <row r="73" spans="1:14" x14ac:dyDescent="0.25">
      <c r="A73">
        <v>71</v>
      </c>
      <c r="B73" t="str">
        <f>INDEX('Draft Engine'!$A$3:$A$232,$M73)</f>
        <v>QB</v>
      </c>
      <c r="C73">
        <f>INDEX('Draft Engine'!$F$3:$F$232,$M73)</f>
        <v>10</v>
      </c>
      <c r="D73" t="str">
        <f>INDEX('Draft Engine'!$B$3:$B$232,$M73)</f>
        <v>Matthew Stafford</v>
      </c>
      <c r="E73" s="4">
        <f>INDEX('Draft Engine'!$E$3:$E$232,$M73)</f>
        <v>85.419700000000006</v>
      </c>
      <c r="F73" t="str">
        <f t="shared" si="1"/>
        <v>TIER 2</v>
      </c>
      <c r="G73" s="4">
        <f>INDEX('Draft Engine'!$N$3:$N$232,$M73)</f>
        <v>67.651758076923088</v>
      </c>
      <c r="H73" s="4">
        <f>INDEX('Draft Engine'!$R$3:$R$232,$M73)</f>
        <v>83.7</v>
      </c>
      <c r="I73" s="4">
        <f>INDEX('Draft Engine'!$S$3:$S$232,$M73)</f>
        <v>12.700000000000003</v>
      </c>
      <c r="J73" s="5"/>
      <c r="K73">
        <f>INDEX('Draft Engine'!$Z$3:$Z$232,$M73)</f>
        <v>71</v>
      </c>
      <c r="L73" t="str">
        <f>INDEX('LIVE SOURCE'!$H$3:$H$232,$M73)</f>
        <v>Low-end QB1/high-end QB2 in a 10-team league; startable most weeks.</v>
      </c>
      <c r="M73" s="6">
        <f>MATCH($A73,'Draft Engine'!$Q$3:$Q$232,0)</f>
        <v>10</v>
      </c>
      <c r="N73">
        <f>INDEX('LIVE SOURCE'!$L$3:$L$232,$M73)</f>
        <v>11</v>
      </c>
    </row>
    <row r="74" spans="1:14" x14ac:dyDescent="0.25">
      <c r="A74">
        <v>72</v>
      </c>
      <c r="B74" t="str">
        <f>INDEX('Draft Engine'!$A$3:$A$232,$M74)</f>
        <v>WR</v>
      </c>
      <c r="C74">
        <f>INDEX('Draft Engine'!$F$3:$F$232,$M74)</f>
        <v>26</v>
      </c>
      <c r="D74" t="str">
        <f>INDEX('Draft Engine'!$B$3:$B$232,$M74)</f>
        <v>Jordyn Tyson</v>
      </c>
      <c r="E74" s="4">
        <f>INDEX('Draft Engine'!$E$3:$E$232,$M74)</f>
        <v>76.22</v>
      </c>
      <c r="F74" t="str">
        <f t="shared" si="1"/>
        <v>TIER 4</v>
      </c>
      <c r="G74" s="4">
        <f>INDEX('Draft Engine'!$N$3:$N$232,$M74)</f>
        <v>67.031666666666666</v>
      </c>
      <c r="H74" s="4">
        <f>INDEX('Draft Engine'!$R$3:$R$232,$M74)</f>
        <v>87.1</v>
      </c>
      <c r="I74" s="4">
        <f>INDEX('Draft Engine'!$S$3:$S$232,$M74)</f>
        <v>15.099999999999994</v>
      </c>
      <c r="J74" s="5"/>
      <c r="K74">
        <f>INDEX('Draft Engine'!$Z$3:$Z$232,$M74)</f>
        <v>72</v>
      </c>
      <c r="L74" t="str">
        <f>INDEX('LIVE SOURCE'!$H$3:$H$232,$M74)</f>
        <v>WR2/FLEX; dependable lineup option with matchup-driven ceiling.</v>
      </c>
      <c r="M74" s="6">
        <f>MATCH($A74,'Draft Engine'!$Q$3:$Q$232,0)</f>
        <v>119</v>
      </c>
      <c r="N74">
        <f>INDEX('LIVE SOURCE'!$L$3:$L$232,$M74)</f>
        <v>8</v>
      </c>
    </row>
    <row r="75" spans="1:14" x14ac:dyDescent="0.25">
      <c r="A75">
        <v>73</v>
      </c>
      <c r="B75" t="str">
        <f>INDEX('Draft Engine'!$A$3:$A$232,$M75)</f>
        <v>RB</v>
      </c>
      <c r="C75">
        <f>INDEX('Draft Engine'!$F$3:$F$232,$M75)</f>
        <v>26</v>
      </c>
      <c r="D75" t="str">
        <f>INDEX('Draft Engine'!$B$3:$B$232,$M75)</f>
        <v>Jaylen Warren</v>
      </c>
      <c r="E75" s="4">
        <f>INDEX('Draft Engine'!$E$3:$E$232,$M75)</f>
        <v>76.091800000000006</v>
      </c>
      <c r="F75" t="str">
        <f t="shared" si="1"/>
        <v>TIER 4</v>
      </c>
      <c r="G75" s="4">
        <f>INDEX('Draft Engine'!$N$3:$N$232,$M75)</f>
        <v>67.024115000000009</v>
      </c>
      <c r="H75" s="4">
        <f>INDEX('Draft Engine'!$R$3:$R$232,$M75)</f>
        <v>68.8</v>
      </c>
      <c r="I75" s="4">
        <f>INDEX('Draft Engine'!$S$3:$S$232,$M75)</f>
        <v>-4.2000000000000028</v>
      </c>
      <c r="J75" s="5"/>
      <c r="K75">
        <f>INDEX('Draft Engine'!$Z$3:$Z$232,$M75)</f>
        <v>73</v>
      </c>
      <c r="L75" t="str">
        <f>INDEX('LIVE SOURCE'!$H$3:$H$232,$M75)</f>
        <v>RB2/FLEX; useful weekly but role and receiving volume matter.</v>
      </c>
      <c r="M75" s="6">
        <f>MATCH($A75,'Draft Engine'!$Q$3:$Q$232,0)</f>
        <v>58</v>
      </c>
      <c r="N75">
        <f>INDEX('LIVE SOURCE'!$L$3:$L$232,$M75)</f>
        <v>9</v>
      </c>
    </row>
    <row r="76" spans="1:14" x14ac:dyDescent="0.25">
      <c r="A76">
        <v>74</v>
      </c>
      <c r="B76" t="str">
        <f>INDEX('Draft Engine'!$A$3:$A$232,$M76)</f>
        <v>TE</v>
      </c>
      <c r="C76">
        <f>INDEX('Draft Engine'!$F$3:$F$232,$M76)</f>
        <v>12</v>
      </c>
      <c r="D76" t="str">
        <f>INDEX('Draft Engine'!$B$3:$B$232,$M76)</f>
        <v>Travis Kelce</v>
      </c>
      <c r="E76" s="4">
        <f>INDEX('Draft Engine'!$E$3:$E$232,$M76)</f>
        <v>81.747799999999998</v>
      </c>
      <c r="F76" t="str">
        <f t="shared" si="1"/>
        <v>TIER 3</v>
      </c>
      <c r="G76" s="4">
        <f>INDEX('Draft Engine'!$N$3:$N$232,$M76)</f>
        <v>66.997905384615393</v>
      </c>
      <c r="H76" s="4">
        <f>INDEX('Draft Engine'!$R$3:$R$232,$M76)</f>
        <v>108.7</v>
      </c>
      <c r="I76" s="4">
        <f>INDEX('Draft Engine'!$S$3:$S$232,$M76)</f>
        <v>34.700000000000003</v>
      </c>
      <c r="J76" s="5"/>
      <c r="K76">
        <f>INDEX('Draft Engine'!$Z$3:$Z$232,$M76)</f>
        <v>74</v>
      </c>
      <c r="L76" t="str">
        <f>INDEX('LIVE SOURCE'!$H$3:$H$232,$M76)</f>
        <v>Low-end TE1; startable but replacement options remain close.</v>
      </c>
      <c r="M76" s="6">
        <f>MATCH($A76,'Draft Engine'!$Q$3:$Q$232,0)</f>
        <v>170</v>
      </c>
      <c r="N76">
        <f>INDEX('LIVE SOURCE'!$L$3:$L$232,$M76)</f>
        <v>5</v>
      </c>
    </row>
    <row r="77" spans="1:14" x14ac:dyDescent="0.25">
      <c r="A77">
        <v>75</v>
      </c>
      <c r="B77" t="str">
        <f>INDEX('Draft Engine'!$A$3:$A$232,$M77)</f>
        <v>QB</v>
      </c>
      <c r="C77">
        <f>INDEX('Draft Engine'!$F$3:$F$232,$M77)</f>
        <v>11</v>
      </c>
      <c r="D77" t="str">
        <f>INDEX('Draft Engine'!$B$3:$B$232,$M77)</f>
        <v>Bo Nix</v>
      </c>
      <c r="E77" s="4">
        <f>INDEX('Draft Engine'!$E$3:$E$232,$M77)</f>
        <v>85.248500000000007</v>
      </c>
      <c r="F77" t="str">
        <f t="shared" si="1"/>
        <v>TIER 2</v>
      </c>
      <c r="G77" s="4">
        <f>INDEX('Draft Engine'!$N$3:$N$232,$M77)</f>
        <v>66.64436730769232</v>
      </c>
      <c r="H77" s="4">
        <f>INDEX('Draft Engine'!$R$3:$R$232,$M77)</f>
        <v>121.5</v>
      </c>
      <c r="I77" s="4">
        <f>INDEX('Draft Engine'!$S$3:$S$232,$M77)</f>
        <v>46.5</v>
      </c>
      <c r="J77" s="5"/>
      <c r="K77">
        <f>INDEX('Draft Engine'!$Z$3:$Z$232,$M77)</f>
        <v>75</v>
      </c>
      <c r="L77" t="str">
        <f>INDEX('LIVE SOURCE'!$H$3:$H$232,$M77)</f>
        <v>Low-end QB1/high-end QB2 in a 10-team league; startable most weeks.</v>
      </c>
      <c r="M77" s="6">
        <f>MATCH($A77,'Draft Engine'!$Q$3:$Q$232,0)</f>
        <v>11</v>
      </c>
      <c r="N77">
        <f>INDEX('LIVE SOURCE'!$L$3:$L$232,$M77)</f>
        <v>10</v>
      </c>
    </row>
    <row r="78" spans="1:14" x14ac:dyDescent="0.25">
      <c r="A78">
        <v>76</v>
      </c>
      <c r="B78" t="str">
        <f>INDEX('Draft Engine'!$A$3:$A$232,$M78)</f>
        <v>WR</v>
      </c>
      <c r="C78">
        <f>INDEX('Draft Engine'!$F$3:$F$232,$M78)</f>
        <v>27</v>
      </c>
      <c r="D78" t="str">
        <f>INDEX('Draft Engine'!$B$3:$B$232,$M78)</f>
        <v>Jameson Williams</v>
      </c>
      <c r="E78" s="4">
        <f>INDEX('Draft Engine'!$E$3:$E$232,$M78)</f>
        <v>76.0625</v>
      </c>
      <c r="F78" t="str">
        <f t="shared" si="1"/>
        <v>TIER 4</v>
      </c>
      <c r="G78" s="4">
        <f>INDEX('Draft Engine'!$N$3:$N$232,$M78)</f>
        <v>66.503708333333336</v>
      </c>
      <c r="H78" s="4">
        <f>INDEX('Draft Engine'!$R$3:$R$232,$M78)</f>
        <v>45.8</v>
      </c>
      <c r="I78" s="4">
        <f>INDEX('Draft Engine'!$S$3:$S$232,$M78)</f>
        <v>-30.200000000000003</v>
      </c>
      <c r="J78" s="5"/>
      <c r="K78">
        <f>INDEX('Draft Engine'!$Z$3:$Z$232,$M78)</f>
        <v>76</v>
      </c>
      <c r="L78" t="str">
        <f>INDEX('LIVE SOURCE'!$H$3:$H$232,$M78)</f>
        <v>WR2/FLEX; dependable lineup option with matchup-driven ceiling.</v>
      </c>
      <c r="M78" s="6">
        <f>MATCH($A78,'Draft Engine'!$Q$3:$Q$232,0)</f>
        <v>110</v>
      </c>
      <c r="N78">
        <f>INDEX('LIVE SOURCE'!$L$3:$L$232,$M78)</f>
        <v>6</v>
      </c>
    </row>
    <row r="79" spans="1:14" x14ac:dyDescent="0.25">
      <c r="A79">
        <v>77</v>
      </c>
      <c r="B79" t="str">
        <f>INDEX('Draft Engine'!$A$3:$A$232,$M79)</f>
        <v>RB</v>
      </c>
      <c r="C79">
        <f>INDEX('Draft Engine'!$F$3:$F$232,$M79)</f>
        <v>27</v>
      </c>
      <c r="D79" t="str">
        <f>INDEX('Draft Engine'!$B$3:$B$232,$M79)</f>
        <v>Rico Dowdle</v>
      </c>
      <c r="E79" s="4">
        <f>INDEX('Draft Engine'!$E$3:$E$232,$M79)</f>
        <v>75.785799999999995</v>
      </c>
      <c r="F79" t="str">
        <f t="shared" si="1"/>
        <v>TIER 4</v>
      </c>
      <c r="G79" s="4">
        <f>INDEX('Draft Engine'!$N$3:$N$232,$M79)</f>
        <v>66.262439999999998</v>
      </c>
      <c r="H79" s="4">
        <f>INDEX('Draft Engine'!$R$3:$R$232,$M79)</f>
        <v>64.8</v>
      </c>
      <c r="I79" s="4">
        <f>INDEX('Draft Engine'!$S$3:$S$232,$M79)</f>
        <v>-12.200000000000003</v>
      </c>
      <c r="J79" s="5"/>
      <c r="K79">
        <f>INDEX('Draft Engine'!$Z$3:$Z$232,$M79)</f>
        <v>77</v>
      </c>
      <c r="L79" t="str">
        <f>INDEX('LIVE SOURCE'!$H$3:$H$232,$M79)</f>
        <v>RB2/FLEX; useful weekly but role and receiving volume matter.</v>
      </c>
      <c r="M79" s="6">
        <f>MATCH($A79,'Draft Engine'!$Q$3:$Q$232,0)</f>
        <v>59</v>
      </c>
      <c r="N79">
        <f>INDEX('LIVE SOURCE'!$L$3:$L$232,$M79)</f>
        <v>9</v>
      </c>
    </row>
    <row r="80" spans="1:14" x14ac:dyDescent="0.25">
      <c r="A80">
        <v>78</v>
      </c>
      <c r="B80" t="str">
        <f>INDEX('Draft Engine'!$A$3:$A$232,$M80)</f>
        <v>QB</v>
      </c>
      <c r="C80">
        <f>INDEX('Draft Engine'!$F$3:$F$232,$M80)</f>
        <v>12</v>
      </c>
      <c r="D80" t="str">
        <f>INDEX('Draft Engine'!$B$3:$B$232,$M80)</f>
        <v>Dak Prescott</v>
      </c>
      <c r="E80" s="4">
        <f>INDEX('Draft Engine'!$E$3:$E$232,$M80)</f>
        <v>85.115600000000001</v>
      </c>
      <c r="F80" t="str">
        <f t="shared" si="1"/>
        <v>TIER 2</v>
      </c>
      <c r="G80" s="4">
        <f>INDEX('Draft Engine'!$N$3:$N$232,$M80)</f>
        <v>65.694041538461533</v>
      </c>
      <c r="H80" s="4">
        <f>INDEX('Draft Engine'!$R$3:$R$232,$M80)</f>
        <v>65.400000000000006</v>
      </c>
      <c r="I80" s="4">
        <f>INDEX('Draft Engine'!$S$3:$S$232,$M80)</f>
        <v>-12.599999999999994</v>
      </c>
      <c r="J80" s="5"/>
      <c r="K80">
        <f>INDEX('Draft Engine'!$Z$3:$Z$232,$M80)</f>
        <v>78</v>
      </c>
      <c r="L80" t="str">
        <f>INDEX('LIVE SOURCE'!$H$3:$H$232,$M80)</f>
        <v>Low-end QB1/high-end QB2 in a 10-team league; startable most weeks.</v>
      </c>
      <c r="M80" s="6">
        <f>MATCH($A80,'Draft Engine'!$Q$3:$Q$232,0)</f>
        <v>12</v>
      </c>
      <c r="N80">
        <f>INDEX('LIVE SOURCE'!$L$3:$L$232,$M80)</f>
        <v>14</v>
      </c>
    </row>
    <row r="81" spans="1:14" x14ac:dyDescent="0.25">
      <c r="A81">
        <v>79</v>
      </c>
      <c r="B81" t="str">
        <f>INDEX('Draft Engine'!$A$3:$A$232,$M81)</f>
        <v>WR</v>
      </c>
      <c r="C81">
        <f>INDEX('Draft Engine'!$F$3:$F$232,$M81)</f>
        <v>28</v>
      </c>
      <c r="D81" t="str">
        <f>INDEX('Draft Engine'!$B$3:$B$232,$M81)</f>
        <v>Michael Pittman Jr.</v>
      </c>
      <c r="E81" s="4">
        <f>INDEX('Draft Engine'!$E$3:$E$232,$M81)</f>
        <v>75.55</v>
      </c>
      <c r="F81" t="str">
        <f t="shared" si="1"/>
        <v>TIER 4</v>
      </c>
      <c r="G81" s="4">
        <f>INDEX('Draft Engine'!$N$3:$N$232,$M81)</f>
        <v>65.492500000000007</v>
      </c>
      <c r="H81" s="4">
        <f>INDEX('Draft Engine'!$R$3:$R$232,$M81)</f>
        <v>72.2</v>
      </c>
      <c r="I81" s="4">
        <f>INDEX('Draft Engine'!$S$3:$S$232,$M81)</f>
        <v>-6.7999999999999972</v>
      </c>
      <c r="J81" s="5"/>
      <c r="K81">
        <f>INDEX('Draft Engine'!$Z$3:$Z$232,$M81)</f>
        <v>79</v>
      </c>
      <c r="L81" t="str">
        <f>INDEX('LIVE SOURCE'!$H$3:$H$232,$M81)</f>
        <v>WR2/FLEX; dependable lineup option with matchup-driven ceiling.</v>
      </c>
      <c r="M81" s="6">
        <f>MATCH($A81,'Draft Engine'!$Q$3:$Q$232,0)</f>
        <v>120</v>
      </c>
      <c r="N81">
        <f>INDEX('LIVE SOURCE'!$L$3:$L$232,$M81)</f>
        <v>9</v>
      </c>
    </row>
    <row r="82" spans="1:14" x14ac:dyDescent="0.25">
      <c r="A82">
        <v>80</v>
      </c>
      <c r="B82" t="str">
        <f>INDEX('Draft Engine'!$A$3:$A$232,$M82)</f>
        <v>WR</v>
      </c>
      <c r="C82">
        <f>INDEX('Draft Engine'!$F$3:$F$232,$M82)</f>
        <v>29</v>
      </c>
      <c r="D82" t="str">
        <f>INDEX('Draft Engine'!$B$3:$B$232,$M82)</f>
        <v>DJ Moore</v>
      </c>
      <c r="E82" s="4">
        <f>INDEX('Draft Engine'!$E$3:$E$232,$M82)</f>
        <v>75.48</v>
      </c>
      <c r="F82" t="str">
        <f t="shared" si="1"/>
        <v>TIER 4</v>
      </c>
      <c r="G82" s="4">
        <f>INDEX('Draft Engine'!$N$3:$N$232,$M82)</f>
        <v>65.066666666666677</v>
      </c>
      <c r="H82" s="4">
        <f>INDEX('Draft Engine'!$R$3:$R$232,$M82)</f>
        <v>52.9</v>
      </c>
      <c r="I82" s="4">
        <f>INDEX('Draft Engine'!$S$3:$S$232,$M82)</f>
        <v>-27.1</v>
      </c>
      <c r="J82" s="5"/>
      <c r="K82">
        <f>INDEX('Draft Engine'!$Z$3:$Z$232,$M82)</f>
        <v>80</v>
      </c>
      <c r="L82" t="str">
        <f>INDEX('LIVE SOURCE'!$H$3:$H$232,$M82)</f>
        <v>WR2/FLEX; dependable lineup option with matchup-driven ceiling.</v>
      </c>
      <c r="M82" s="6">
        <f>MATCH($A82,'Draft Engine'!$Q$3:$Q$232,0)</f>
        <v>109</v>
      </c>
      <c r="N82">
        <f>INDEX('LIVE SOURCE'!$L$3:$L$232,$M82)</f>
        <v>7</v>
      </c>
    </row>
    <row r="83" spans="1:14" x14ac:dyDescent="0.25">
      <c r="A83">
        <v>81</v>
      </c>
      <c r="B83" t="str">
        <f>INDEX('Draft Engine'!$A$3:$A$232,$M83)</f>
        <v>RB</v>
      </c>
      <c r="C83">
        <f>INDEX('Draft Engine'!$F$3:$F$232,$M83)</f>
        <v>28</v>
      </c>
      <c r="D83" t="str">
        <f>INDEX('Draft Engine'!$B$3:$B$232,$M83)</f>
        <v>Tony Pollard</v>
      </c>
      <c r="E83" s="4">
        <f>INDEX('Draft Engine'!$E$3:$E$232,$M83)</f>
        <v>75.098600000000005</v>
      </c>
      <c r="F83" t="str">
        <f t="shared" si="1"/>
        <v>TIER 4</v>
      </c>
      <c r="G83" s="4">
        <f>INDEX('Draft Engine'!$N$3:$N$232,$M83)</f>
        <v>65.003105000000005</v>
      </c>
      <c r="H83" s="4">
        <f>INDEX('Draft Engine'!$R$3:$R$232,$M83)</f>
        <v>65.5</v>
      </c>
      <c r="I83" s="4">
        <f>INDEX('Draft Engine'!$S$3:$S$232,$M83)</f>
        <v>-15.5</v>
      </c>
      <c r="J83" s="5"/>
      <c r="K83">
        <f>INDEX('Draft Engine'!$Z$3:$Z$232,$M83)</f>
        <v>81</v>
      </c>
      <c r="L83" t="str">
        <f>INDEX('LIVE SOURCE'!$H$3:$H$232,$M83)</f>
        <v>RB2/FLEX; useful weekly but role and receiving volume matter.</v>
      </c>
      <c r="M83" s="6">
        <f>MATCH($A83,'Draft Engine'!$Q$3:$Q$232,0)</f>
        <v>60</v>
      </c>
      <c r="N83">
        <f>INDEX('LIVE SOURCE'!$L$3:$L$232,$M83)</f>
        <v>9</v>
      </c>
    </row>
    <row r="84" spans="1:14" x14ac:dyDescent="0.25">
      <c r="A84">
        <v>82</v>
      </c>
      <c r="B84" t="str">
        <f>INDEX('Draft Engine'!$A$3:$A$232,$M84)</f>
        <v>QB</v>
      </c>
      <c r="C84">
        <f>INDEX('Draft Engine'!$F$3:$F$232,$M84)</f>
        <v>13</v>
      </c>
      <c r="D84" t="str">
        <f>INDEX('Draft Engine'!$B$3:$B$232,$M84)</f>
        <v>Trevor Lawrence</v>
      </c>
      <c r="E84" s="4">
        <f>INDEX('Draft Engine'!$E$3:$E$232,$M84)</f>
        <v>84.692099999999996</v>
      </c>
      <c r="F84" t="str">
        <f t="shared" si="1"/>
        <v>TIER 3</v>
      </c>
      <c r="G84" s="4">
        <f>INDEX('Draft Engine'!$N$3:$N$232,$M84)</f>
        <v>64.349885769230767</v>
      </c>
      <c r="H84" s="4">
        <f>INDEX('Draft Engine'!$R$3:$R$232,$M84)</f>
        <v>89.6</v>
      </c>
      <c r="I84" s="4">
        <f>INDEX('Draft Engine'!$S$3:$S$232,$M84)</f>
        <v>7.5999999999999943</v>
      </c>
      <c r="J84" s="5"/>
      <c r="K84">
        <f>INDEX('Draft Engine'!$Z$3:$Z$232,$M84)</f>
        <v>82</v>
      </c>
      <c r="L84" t="str">
        <f>INDEX('LIVE SOURCE'!$H$3:$H$232,$M84)</f>
        <v>QB2/streaming tier; useful when matchup and supporting cast line up.</v>
      </c>
      <c r="M84" s="6">
        <f>MATCH($A84,'Draft Engine'!$Q$3:$Q$232,0)</f>
        <v>13</v>
      </c>
      <c r="N84">
        <f>INDEX('LIVE SOURCE'!$L$3:$L$232,$M84)</f>
        <v>7</v>
      </c>
    </row>
    <row r="85" spans="1:14" x14ac:dyDescent="0.25">
      <c r="A85">
        <v>83</v>
      </c>
      <c r="B85" t="str">
        <f>INDEX('Draft Engine'!$A$3:$A$232,$M85)</f>
        <v>TE</v>
      </c>
      <c r="C85">
        <f>INDEX('Draft Engine'!$F$3:$F$232,$M85)</f>
        <v>13</v>
      </c>
      <c r="D85" t="str">
        <f>INDEX('Draft Engine'!$B$3:$B$232,$M85)</f>
        <v>Dallas Goedert</v>
      </c>
      <c r="E85" s="4">
        <f>INDEX('Draft Engine'!$E$3:$E$232,$M85)</f>
        <v>79.918099999999995</v>
      </c>
      <c r="F85" t="str">
        <f t="shared" si="1"/>
        <v>TIER 4</v>
      </c>
      <c r="G85" s="4">
        <f>INDEX('Draft Engine'!$N$3:$N$232,$M85)</f>
        <v>64.147262692307692</v>
      </c>
      <c r="H85" s="4">
        <f>INDEX('Draft Engine'!$R$3:$R$232,$M85)</f>
        <v>103.9</v>
      </c>
      <c r="I85" s="4">
        <f>INDEX('Draft Engine'!$S$3:$S$232,$M85)</f>
        <v>20.900000000000006</v>
      </c>
      <c r="J85" s="5"/>
      <c r="K85">
        <f>INDEX('Draft Engine'!$Z$3:$Z$232,$M85)</f>
        <v>83</v>
      </c>
      <c r="L85" t="str">
        <f>INDEX('LIVE SOURCE'!$H$3:$H$232,$M85)</f>
        <v>Streaming/TE2 range; touchdown and route volume drive usefulness.</v>
      </c>
      <c r="M85" s="6">
        <f>MATCH($A85,'Draft Engine'!$Q$3:$Q$232,0)</f>
        <v>171</v>
      </c>
      <c r="N85">
        <f>INDEX('LIVE SOURCE'!$L$3:$L$232,$M85)</f>
        <v>10</v>
      </c>
    </row>
    <row r="86" spans="1:14" x14ac:dyDescent="0.25">
      <c r="A86">
        <v>84</v>
      </c>
      <c r="B86" t="str">
        <f>INDEX('Draft Engine'!$A$3:$A$232,$M86)</f>
        <v>RB</v>
      </c>
      <c r="C86">
        <f>INDEX('Draft Engine'!$F$3:$F$232,$M86)</f>
        <v>29</v>
      </c>
      <c r="D86" t="str">
        <f>INDEX('Draft Engine'!$B$3:$B$232,$M86)</f>
        <v>Rhamondre Stevenson</v>
      </c>
      <c r="E86" s="4">
        <f>INDEX('Draft Engine'!$E$3:$E$232,$M86)</f>
        <v>74.588099999999997</v>
      </c>
      <c r="F86" t="str">
        <f t="shared" si="1"/>
        <v>TIER 5</v>
      </c>
      <c r="G86" s="4">
        <f>INDEX('Draft Engine'!$N$3:$N$232,$M86)</f>
        <v>63.984954999999999</v>
      </c>
      <c r="H86" s="4">
        <f>INDEX('Draft Engine'!$R$3:$R$232,$M86)</f>
        <v>72.3</v>
      </c>
      <c r="I86" s="4">
        <f>INDEX('Draft Engine'!$S$3:$S$232,$M86)</f>
        <v>-11.700000000000003</v>
      </c>
      <c r="J86" s="5"/>
      <c r="K86">
        <f>INDEX('Draft Engine'!$Z$3:$Z$232,$M86)</f>
        <v>84</v>
      </c>
      <c r="L86" t="str">
        <f>INDEX('LIVE SOURCE'!$H$3:$H$232,$M86)</f>
        <v>RB2/FLEX; useful weekly but role and receiving volume matter.</v>
      </c>
      <c r="M86" s="6">
        <f>MATCH($A86,'Draft Engine'!$Q$3:$Q$232,0)</f>
        <v>61</v>
      </c>
      <c r="N86">
        <f>INDEX('LIVE SOURCE'!$L$3:$L$232,$M86)</f>
        <v>11</v>
      </c>
    </row>
    <row r="87" spans="1:14" x14ac:dyDescent="0.25">
      <c r="A87">
        <v>85</v>
      </c>
      <c r="B87" t="str">
        <f>INDEX('Draft Engine'!$A$3:$A$232,$M87)</f>
        <v>WR</v>
      </c>
      <c r="C87">
        <f>INDEX('Draft Engine'!$F$3:$F$232,$M87)</f>
        <v>30</v>
      </c>
      <c r="D87" t="str">
        <f>INDEX('Draft Engine'!$B$3:$B$232,$M87)</f>
        <v>Jakobi Meyers</v>
      </c>
      <c r="E87" s="4">
        <f>INDEX('Draft Engine'!$E$3:$E$232,$M87)</f>
        <v>74.88</v>
      </c>
      <c r="F87" t="str">
        <f t="shared" si="1"/>
        <v>TIER 5</v>
      </c>
      <c r="G87" s="4">
        <f>INDEX('Draft Engine'!$N$3:$N$232,$M87)</f>
        <v>63.953333333333333</v>
      </c>
      <c r="H87" s="4">
        <f>INDEX('Draft Engine'!$R$3:$R$232,$M87)</f>
        <v>75.599999999999994</v>
      </c>
      <c r="I87" s="4">
        <f>INDEX('Draft Engine'!$S$3:$S$232,$M87)</f>
        <v>-9.4000000000000057</v>
      </c>
      <c r="J87" s="5"/>
      <c r="K87">
        <f>INDEX('Draft Engine'!$Z$3:$Z$232,$M87)</f>
        <v>85</v>
      </c>
      <c r="L87" t="str">
        <f>INDEX('LIVE SOURCE'!$H$3:$H$232,$M87)</f>
        <v>WR2/FLEX; dependable lineup option with matchup-driven ceiling.</v>
      </c>
      <c r="M87" s="6">
        <f>MATCH($A87,'Draft Engine'!$Q$3:$Q$232,0)</f>
        <v>121</v>
      </c>
      <c r="N87">
        <f>INDEX('LIVE SOURCE'!$L$3:$L$232,$M87)</f>
        <v>7</v>
      </c>
    </row>
    <row r="88" spans="1:14" x14ac:dyDescent="0.25">
      <c r="A88">
        <v>86</v>
      </c>
      <c r="B88" t="str">
        <f>INDEX('Draft Engine'!$A$3:$A$232,$M88)</f>
        <v>RB</v>
      </c>
      <c r="C88">
        <f>INDEX('Draft Engine'!$F$3:$F$232,$M88)</f>
        <v>30</v>
      </c>
      <c r="D88" t="str">
        <f>INDEX('Draft Engine'!$B$3:$B$232,$M88)</f>
        <v>Kenneth Gainwell</v>
      </c>
      <c r="E88" s="4">
        <f>INDEX('Draft Engine'!$E$3:$E$232,$M88)</f>
        <v>74.504900000000006</v>
      </c>
      <c r="F88" t="str">
        <f t="shared" si="1"/>
        <v>TIER 5</v>
      </c>
      <c r="G88" s="4">
        <f>INDEX('Draft Engine'!$N$3:$N$232,$M88)</f>
        <v>63.507820000000002</v>
      </c>
      <c r="H88" s="4">
        <f>INDEX('Draft Engine'!$R$3:$R$232,$M88)</f>
        <v>123.8</v>
      </c>
      <c r="I88" s="4">
        <f>INDEX('Draft Engine'!$S$3:$S$232,$M88)</f>
        <v>37.799999999999997</v>
      </c>
      <c r="J88" s="5"/>
      <c r="K88">
        <f>INDEX('Draft Engine'!$Z$3:$Z$232,$M88)</f>
        <v>86</v>
      </c>
      <c r="L88" t="str">
        <f>INDEX('LIVE SOURCE'!$H$3:$H$232,$M88)</f>
        <v>RB2/FLEX; useful weekly but role and receiving volume matter.</v>
      </c>
      <c r="M88" s="6">
        <f>MATCH($A88,'Draft Engine'!$Q$3:$Q$232,0)</f>
        <v>62</v>
      </c>
      <c r="N88">
        <f>INDEX('LIVE SOURCE'!$L$3:$L$232,$M88)</f>
        <v>10</v>
      </c>
    </row>
    <row r="89" spans="1:14" x14ac:dyDescent="0.25">
      <c r="A89">
        <v>87</v>
      </c>
      <c r="B89" t="str">
        <f>INDEX('Draft Engine'!$A$3:$A$232,$M89)</f>
        <v>RB</v>
      </c>
      <c r="C89">
        <f>INDEX('Draft Engine'!$F$3:$F$232,$M89)</f>
        <v>31</v>
      </c>
      <c r="D89" t="str">
        <f>INDEX('Draft Engine'!$B$3:$B$232,$M89)</f>
        <v>Bhayshul Tuten</v>
      </c>
      <c r="E89" s="4">
        <f>INDEX('Draft Engine'!$E$3:$E$232,$M89)</f>
        <v>74.467699999999994</v>
      </c>
      <c r="F89" t="str">
        <f t="shared" si="1"/>
        <v>TIER 5</v>
      </c>
      <c r="G89" s="4">
        <f>INDEX('Draft Engine'!$N$3:$N$232,$M89)</f>
        <v>63.109984999999995</v>
      </c>
      <c r="H89" s="4">
        <f>INDEX('Draft Engine'!$R$3:$R$232,$M89)</f>
        <v>52.3</v>
      </c>
      <c r="I89" s="4">
        <f>INDEX('Draft Engine'!$S$3:$S$232,$M89)</f>
        <v>-34.700000000000003</v>
      </c>
      <c r="J89" s="5"/>
      <c r="K89">
        <f>INDEX('Draft Engine'!$Z$3:$Z$232,$M89)</f>
        <v>87</v>
      </c>
      <c r="L89" t="str">
        <f>INDEX('LIVE SOURCE'!$H$3:$H$232,$M89)</f>
        <v>FLEX/bench depth with upside if workload grows.</v>
      </c>
      <c r="M89" s="6">
        <f>MATCH($A89,'Draft Engine'!$Q$3:$Q$232,0)</f>
        <v>63</v>
      </c>
      <c r="N89">
        <f>INDEX('LIVE SOURCE'!$L$3:$L$232,$M89)</f>
        <v>7</v>
      </c>
    </row>
    <row r="90" spans="1:14" x14ac:dyDescent="0.25">
      <c r="A90">
        <v>88</v>
      </c>
      <c r="B90" t="str">
        <f>INDEX('Draft Engine'!$A$3:$A$232,$M90)</f>
        <v>WR</v>
      </c>
      <c r="C90">
        <f>INDEX('Draft Engine'!$F$3:$F$232,$M90)</f>
        <v>31</v>
      </c>
      <c r="D90" t="str">
        <f>INDEX('Draft Engine'!$B$3:$B$232,$M90)</f>
        <v>Jordan Addison</v>
      </c>
      <c r="E90" s="4">
        <f>INDEX('Draft Engine'!$E$3:$E$232,$M90)</f>
        <v>74.209999999999994</v>
      </c>
      <c r="F90" t="str">
        <f t="shared" si="1"/>
        <v>TIER 5</v>
      </c>
      <c r="G90" s="4">
        <f>INDEX('Draft Engine'!$N$3:$N$232,$M90)</f>
        <v>62.747500000000002</v>
      </c>
      <c r="H90" s="4">
        <f>INDEX('Draft Engine'!$R$3:$R$232,$M90)</f>
        <v>103.3</v>
      </c>
      <c r="I90" s="4">
        <f>INDEX('Draft Engine'!$S$3:$S$232,$M90)</f>
        <v>15.299999999999997</v>
      </c>
      <c r="J90" s="5"/>
      <c r="K90">
        <f>INDEX('Draft Engine'!$Z$3:$Z$232,$M90)</f>
        <v>88</v>
      </c>
      <c r="L90" t="str">
        <f>INDEX('LIVE SOURCE'!$H$3:$H$232,$M90)</f>
        <v>WR2/FLEX; dependable lineup option with matchup-driven ceiling.</v>
      </c>
      <c r="M90" s="6">
        <f>MATCH($A90,'Draft Engine'!$Q$3:$Q$232,0)</f>
        <v>122</v>
      </c>
      <c r="N90">
        <f>INDEX('LIVE SOURCE'!$L$3:$L$232,$M90)</f>
        <v>6</v>
      </c>
    </row>
    <row r="91" spans="1:14" x14ac:dyDescent="0.25">
      <c r="A91">
        <v>89</v>
      </c>
      <c r="B91" t="str">
        <f>INDEX('Draft Engine'!$A$3:$A$232,$M91)</f>
        <v>TE</v>
      </c>
      <c r="C91">
        <f>INDEX('Draft Engine'!$F$3:$F$232,$M91)</f>
        <v>14</v>
      </c>
      <c r="D91" t="str">
        <f>INDEX('Draft Engine'!$B$3:$B$232,$M91)</f>
        <v>Mark Andrews</v>
      </c>
      <c r="E91" s="4">
        <f>INDEX('Draft Engine'!$E$3:$E$232,$M91)</f>
        <v>79.065399999999997</v>
      </c>
      <c r="F91" t="str">
        <f t="shared" si="1"/>
        <v>TIER 4</v>
      </c>
      <c r="G91" s="4">
        <f>INDEX('Draft Engine'!$N$3:$N$232,$M91)</f>
        <v>62.445970000000003</v>
      </c>
      <c r="H91" s="4">
        <f>INDEX('Draft Engine'!$R$3:$R$232,$M91)</f>
        <v>145</v>
      </c>
      <c r="I91" s="4">
        <f>INDEX('Draft Engine'!$S$3:$S$232,$M91)</f>
        <v>56</v>
      </c>
      <c r="J91" s="5"/>
      <c r="K91">
        <f>INDEX('Draft Engine'!$Z$3:$Z$232,$M91)</f>
        <v>89</v>
      </c>
      <c r="L91" t="str">
        <f>INDEX('LIVE SOURCE'!$H$3:$H$232,$M91)</f>
        <v>Streaming/TE2 range; touchdown and route volume drive usefulness.</v>
      </c>
      <c r="M91" s="6">
        <f>MATCH($A91,'Draft Engine'!$Q$3:$Q$232,0)</f>
        <v>172</v>
      </c>
      <c r="N91">
        <f>INDEX('LIVE SOURCE'!$L$3:$L$232,$M91)</f>
        <v>13</v>
      </c>
    </row>
    <row r="92" spans="1:14" x14ac:dyDescent="0.25">
      <c r="A92">
        <v>90</v>
      </c>
      <c r="B92" t="str">
        <f>INDEX('Draft Engine'!$A$3:$A$232,$M92)</f>
        <v>QB</v>
      </c>
      <c r="C92">
        <f>INDEX('Draft Engine'!$F$3:$F$232,$M92)</f>
        <v>14</v>
      </c>
      <c r="D92" t="str">
        <f>INDEX('Draft Engine'!$B$3:$B$232,$M92)</f>
        <v>Brock Purdy</v>
      </c>
      <c r="E92" s="4">
        <f>INDEX('Draft Engine'!$E$3:$E$232,$M92)</f>
        <v>83.8386</v>
      </c>
      <c r="F92" t="str">
        <f t="shared" si="1"/>
        <v>TIER 3</v>
      </c>
      <c r="G92" s="4">
        <f>INDEX('Draft Engine'!$N$3:$N$232,$M92)</f>
        <v>62.427230000000009</v>
      </c>
      <c r="H92" s="4">
        <f>INDEX('Draft Engine'!$R$3:$R$232,$M92)</f>
        <v>75.7</v>
      </c>
      <c r="I92" s="4">
        <f>INDEX('Draft Engine'!$S$3:$S$232,$M92)</f>
        <v>-14.299999999999997</v>
      </c>
      <c r="J92" s="5"/>
      <c r="K92">
        <f>INDEX('Draft Engine'!$Z$3:$Z$232,$M92)</f>
        <v>90</v>
      </c>
      <c r="L92" t="str">
        <f>INDEX('LIVE SOURCE'!$H$3:$H$232,$M92)</f>
        <v>QB2/streaming tier; useful when matchup and supporting cast line up.</v>
      </c>
      <c r="M92" s="6">
        <f>MATCH($A92,'Draft Engine'!$Q$3:$Q$232,0)</f>
        <v>14</v>
      </c>
      <c r="N92">
        <f>INDEX('LIVE SOURCE'!$L$3:$L$232,$M92)</f>
        <v>8</v>
      </c>
    </row>
    <row r="93" spans="1:14" x14ac:dyDescent="0.25">
      <c r="A93">
        <v>91</v>
      </c>
      <c r="B93" t="str">
        <f>INDEX('Draft Engine'!$A$3:$A$232,$M93)</f>
        <v>WR</v>
      </c>
      <c r="C93">
        <f>INDEX('Draft Engine'!$F$3:$F$232,$M93)</f>
        <v>32</v>
      </c>
      <c r="D93" t="str">
        <f>INDEX('Draft Engine'!$B$3:$B$232,$M93)</f>
        <v>Christian Watson</v>
      </c>
      <c r="E93" s="4">
        <f>INDEX('Draft Engine'!$E$3:$E$232,$M93)</f>
        <v>73.892499999999998</v>
      </c>
      <c r="F93" t="str">
        <f t="shared" si="1"/>
        <v>TIER 5</v>
      </c>
      <c r="G93" s="4">
        <f>INDEX('Draft Engine'!$N$3:$N$232,$M93)</f>
        <v>61.987541666666665</v>
      </c>
      <c r="H93" s="4">
        <f>INDEX('Draft Engine'!$R$3:$R$232,$M93)</f>
        <v>70.900000000000006</v>
      </c>
      <c r="I93" s="4">
        <f>INDEX('Draft Engine'!$S$3:$S$232,$M93)</f>
        <v>-20.099999999999994</v>
      </c>
      <c r="J93" s="5"/>
      <c r="K93">
        <f>INDEX('Draft Engine'!$Z$3:$Z$232,$M93)</f>
        <v>91</v>
      </c>
      <c r="L93" t="str">
        <f>INDEX('LIVE SOURCE'!$H$3:$H$232,$M93)</f>
        <v>WR2/FLEX; dependable lineup option with matchup-driven ceiling.</v>
      </c>
      <c r="M93" s="6">
        <f>MATCH($A93,'Draft Engine'!$Q$3:$Q$232,0)</f>
        <v>114</v>
      </c>
      <c r="N93">
        <f>INDEX('LIVE SOURCE'!$L$3:$L$232,$M93)</f>
        <v>11</v>
      </c>
    </row>
    <row r="94" spans="1:14" x14ac:dyDescent="0.25">
      <c r="A94">
        <v>92</v>
      </c>
      <c r="B94" t="str">
        <f>INDEX('Draft Engine'!$A$3:$A$232,$M94)</f>
        <v>RB</v>
      </c>
      <c r="C94">
        <f>INDEX('Draft Engine'!$F$3:$F$232,$M94)</f>
        <v>32</v>
      </c>
      <c r="D94" t="str">
        <f>INDEX('Draft Engine'!$B$3:$B$232,$M94)</f>
        <v>RJ Harvey</v>
      </c>
      <c r="E94" s="4">
        <f>INDEX('Draft Engine'!$E$3:$E$232,$M94)</f>
        <v>73.567800000000005</v>
      </c>
      <c r="F94" t="str">
        <f t="shared" si="1"/>
        <v>TIER 5</v>
      </c>
      <c r="G94" s="4">
        <f>INDEX('Draft Engine'!$N$3:$N$232,$M94)</f>
        <v>61.571665000000003</v>
      </c>
      <c r="H94" s="4">
        <f>INDEX('Draft Engine'!$R$3:$R$232,$M94)</f>
        <v>82.6</v>
      </c>
      <c r="I94" s="4">
        <f>INDEX('Draft Engine'!$S$3:$S$232,$M94)</f>
        <v>-9.4000000000000057</v>
      </c>
      <c r="J94" s="5"/>
      <c r="K94">
        <f>INDEX('Draft Engine'!$Z$3:$Z$232,$M94)</f>
        <v>92</v>
      </c>
      <c r="L94" t="str">
        <f>INDEX('LIVE SOURCE'!$H$3:$H$232,$M94)</f>
        <v>FLEX/bench depth with upside if workload grows.</v>
      </c>
      <c r="M94" s="6">
        <f>MATCH($A94,'Draft Engine'!$Q$3:$Q$232,0)</f>
        <v>64</v>
      </c>
      <c r="N94">
        <f>INDEX('LIVE SOURCE'!$L$3:$L$232,$M94)</f>
        <v>10</v>
      </c>
    </row>
    <row r="95" spans="1:14" x14ac:dyDescent="0.25">
      <c r="A95">
        <v>93</v>
      </c>
      <c r="B95" t="str">
        <f>INDEX('Draft Engine'!$A$3:$A$232,$M95)</f>
        <v>WR</v>
      </c>
      <c r="C95">
        <f>INDEX('Draft Engine'!$F$3:$F$232,$M95)</f>
        <v>33</v>
      </c>
      <c r="D95" t="str">
        <f>INDEX('Draft Engine'!$B$3:$B$232,$M95)</f>
        <v>Rome Odunze</v>
      </c>
      <c r="E95" s="4">
        <f>INDEX('Draft Engine'!$E$3:$E$232,$M95)</f>
        <v>73.644999999999996</v>
      </c>
      <c r="F95" t="str">
        <f t="shared" si="1"/>
        <v>TIER 5</v>
      </c>
      <c r="G95" s="4">
        <f>INDEX('Draft Engine'!$N$3:$N$232,$M95)</f>
        <v>61.338083333333337</v>
      </c>
      <c r="H95" s="4">
        <f>INDEX('Draft Engine'!$R$3:$R$232,$M95)</f>
        <v>49.3</v>
      </c>
      <c r="I95" s="4">
        <f>INDEX('Draft Engine'!$S$3:$S$232,$M95)</f>
        <v>-43.7</v>
      </c>
      <c r="J95" s="5"/>
      <c r="K95">
        <f>INDEX('Draft Engine'!$Z$3:$Z$232,$M95)</f>
        <v>93</v>
      </c>
      <c r="L95" t="str">
        <f>INDEX('LIVE SOURCE'!$H$3:$H$232,$M95)</f>
        <v>WR2/FLEX; dependable lineup option with matchup-driven ceiling.</v>
      </c>
      <c r="M95" s="6">
        <f>MATCH($A95,'Draft Engine'!$Q$3:$Q$232,0)</f>
        <v>111</v>
      </c>
      <c r="N95">
        <f>INDEX('LIVE SOURCE'!$L$3:$L$232,$M95)</f>
        <v>10</v>
      </c>
    </row>
    <row r="96" spans="1:14" x14ac:dyDescent="0.25">
      <c r="A96">
        <v>94</v>
      </c>
      <c r="B96" t="str">
        <f>INDEX('Draft Engine'!$A$3:$A$232,$M96)</f>
        <v>TE</v>
      </c>
      <c r="C96">
        <f>INDEX('Draft Engine'!$F$3:$F$232,$M96)</f>
        <v>15</v>
      </c>
      <c r="D96" t="str">
        <f>INDEX('Draft Engine'!$B$3:$B$232,$M96)</f>
        <v>Isaiah Likely</v>
      </c>
      <c r="E96" s="4">
        <f>INDEX('Draft Engine'!$E$3:$E$232,$M96)</f>
        <v>78.579499999999996</v>
      </c>
      <c r="F96" t="str">
        <f t="shared" si="1"/>
        <v>TIER 4</v>
      </c>
      <c r="G96" s="4">
        <f>INDEX('Draft Engine'!$N$3:$N$232,$M96)</f>
        <v>61.180417307692309</v>
      </c>
      <c r="H96" s="4">
        <f>INDEX('Draft Engine'!$R$3:$R$232,$M96)</f>
        <v>133.1</v>
      </c>
      <c r="I96" s="4">
        <f>INDEX('Draft Engine'!$S$3:$S$232,$M96)</f>
        <v>39.099999999999994</v>
      </c>
      <c r="J96" s="5"/>
      <c r="K96">
        <f>INDEX('Draft Engine'!$Z$3:$Z$232,$M96)</f>
        <v>94</v>
      </c>
      <c r="L96" t="str">
        <f>INDEX('LIVE SOURCE'!$H$3:$H$232,$M96)</f>
        <v>Streaming/TE2 range; touchdown and route volume drive usefulness.</v>
      </c>
      <c r="M96" s="6">
        <f>MATCH($A96,'Draft Engine'!$Q$3:$Q$232,0)</f>
        <v>173</v>
      </c>
      <c r="N96">
        <f>INDEX('LIVE SOURCE'!$L$3:$L$232,$M96)</f>
        <v>8</v>
      </c>
    </row>
    <row r="97" spans="1:14" x14ac:dyDescent="0.25">
      <c r="A97">
        <v>95</v>
      </c>
      <c r="B97" t="str">
        <f>INDEX('Draft Engine'!$A$3:$A$232,$M97)</f>
        <v>WR</v>
      </c>
      <c r="C97">
        <f>INDEX('Draft Engine'!$F$3:$F$232,$M97)</f>
        <v>34</v>
      </c>
      <c r="D97" t="str">
        <f>INDEX('Draft Engine'!$B$3:$B$232,$M97)</f>
        <v>Wan'Dale Robinson</v>
      </c>
      <c r="E97" s="4">
        <f>INDEX('Draft Engine'!$E$3:$E$232,$M97)</f>
        <v>73.540000000000006</v>
      </c>
      <c r="F97" t="str">
        <f t="shared" si="1"/>
        <v>TIER 5</v>
      </c>
      <c r="G97" s="4">
        <f>INDEX('Draft Engine'!$N$3:$N$232,$M97)</f>
        <v>60.875000000000007</v>
      </c>
      <c r="H97" s="4">
        <f>INDEX('Draft Engine'!$R$3:$R$232,$M97)</f>
        <v>71</v>
      </c>
      <c r="I97" s="4">
        <f>INDEX('Draft Engine'!$S$3:$S$232,$M97)</f>
        <v>-24</v>
      </c>
      <c r="J97" s="5"/>
      <c r="K97">
        <f>INDEX('Draft Engine'!$Z$3:$Z$232,$M97)</f>
        <v>95</v>
      </c>
      <c r="L97" t="str">
        <f>INDEX('LIVE SOURCE'!$H$3:$H$232,$M97)</f>
        <v>WR2/FLEX; dependable lineup option with matchup-driven ceiling.</v>
      </c>
      <c r="M97" s="6">
        <f>MATCH($A97,'Draft Engine'!$Q$3:$Q$232,0)</f>
        <v>123</v>
      </c>
      <c r="N97">
        <f>INDEX('LIVE SOURCE'!$L$3:$L$232,$M97)</f>
        <v>9</v>
      </c>
    </row>
    <row r="98" spans="1:14" x14ac:dyDescent="0.25">
      <c r="A98">
        <v>96</v>
      </c>
      <c r="B98" t="str">
        <f>INDEX('Draft Engine'!$A$3:$A$232,$M98)</f>
        <v>QB</v>
      </c>
      <c r="C98">
        <f>INDEX('Draft Engine'!$F$3:$F$232,$M98)</f>
        <v>15</v>
      </c>
      <c r="D98" t="str">
        <f>INDEX('Draft Engine'!$B$3:$B$232,$M98)</f>
        <v>Jaxson Dart</v>
      </c>
      <c r="E98" s="4">
        <f>INDEX('Draft Engine'!$E$3:$E$232,$M98)</f>
        <v>83.060699999999997</v>
      </c>
      <c r="F98" t="str">
        <f t="shared" si="1"/>
        <v>TIER 3</v>
      </c>
      <c r="G98" s="4">
        <f>INDEX('Draft Engine'!$N$3:$N$232,$M98)</f>
        <v>60.600154230769235</v>
      </c>
      <c r="H98" s="4">
        <f>INDEX('Draft Engine'!$R$3:$R$232,$M98)</f>
        <v>100.4</v>
      </c>
      <c r="I98" s="4">
        <f>INDEX('Draft Engine'!$S$3:$S$232,$M98)</f>
        <v>4.4000000000000057</v>
      </c>
      <c r="J98" s="5"/>
      <c r="K98">
        <f>INDEX('Draft Engine'!$Z$3:$Z$232,$M98)</f>
        <v>96</v>
      </c>
      <c r="L98" t="str">
        <f>INDEX('LIVE SOURCE'!$H$3:$H$232,$M98)</f>
        <v>QB2/streaming tier; useful when matchup and supporting cast line up.</v>
      </c>
      <c r="M98" s="6">
        <f>MATCH($A98,'Draft Engine'!$Q$3:$Q$232,0)</f>
        <v>15</v>
      </c>
      <c r="N98">
        <f>INDEX('LIVE SOURCE'!$L$3:$L$232,$M98)</f>
        <v>8</v>
      </c>
    </row>
    <row r="99" spans="1:14" x14ac:dyDescent="0.25">
      <c r="A99">
        <v>97</v>
      </c>
      <c r="B99" t="str">
        <f>INDEX('Draft Engine'!$A$3:$A$232,$M99)</f>
        <v>TE</v>
      </c>
      <c r="C99">
        <f>INDEX('Draft Engine'!$F$3:$F$232,$M99)</f>
        <v>16</v>
      </c>
      <c r="D99" t="str">
        <f>INDEX('Draft Engine'!$B$3:$B$232,$M99)</f>
        <v>Juwan Johnson</v>
      </c>
      <c r="E99" s="4">
        <f>INDEX('Draft Engine'!$E$3:$E$232,$M99)</f>
        <v>78.320300000000003</v>
      </c>
      <c r="F99" t="str">
        <f t="shared" si="1"/>
        <v>TIER 4</v>
      </c>
      <c r="G99" s="4">
        <f>INDEX('Draft Engine'!$N$3:$N$232,$M99)</f>
        <v>60.183549615384614</v>
      </c>
      <c r="H99" s="4">
        <f>INDEX('Draft Engine'!$R$3:$R$232,$M99)</f>
        <v>159.19999999999999</v>
      </c>
      <c r="I99" s="4">
        <f>INDEX('Draft Engine'!$S$3:$S$232,$M99)</f>
        <v>62.199999999999989</v>
      </c>
      <c r="J99" s="5"/>
      <c r="K99">
        <f>INDEX('Draft Engine'!$Z$3:$Z$232,$M99)</f>
        <v>97</v>
      </c>
      <c r="L99" t="str">
        <f>INDEX('LIVE SOURCE'!$H$3:$H$232,$M99)</f>
        <v>Streaming/TE2 range; touchdown and route volume drive usefulness.</v>
      </c>
      <c r="M99" s="6">
        <f>MATCH($A99,'Draft Engine'!$Q$3:$Q$232,0)</f>
        <v>174</v>
      </c>
      <c r="N99">
        <f>INDEX('LIVE SOURCE'!$L$3:$L$232,$M99)</f>
        <v>8</v>
      </c>
    </row>
    <row r="100" spans="1:14" x14ac:dyDescent="0.25">
      <c r="A100">
        <v>98</v>
      </c>
      <c r="B100" t="str">
        <f>INDEX('Draft Engine'!$A$3:$A$232,$M100)</f>
        <v>RB</v>
      </c>
      <c r="C100">
        <f>INDEX('Draft Engine'!$F$3:$F$232,$M100)</f>
        <v>33</v>
      </c>
      <c r="D100" t="str">
        <f>INDEX('Draft Engine'!$B$3:$B$232,$M100)</f>
        <v>Kyle Monangai</v>
      </c>
      <c r="E100" s="4">
        <f>INDEX('Draft Engine'!$E$3:$E$232,$M100)</f>
        <v>72.610200000000006</v>
      </c>
      <c r="F100" t="str">
        <f t="shared" si="1"/>
        <v>TIER 5</v>
      </c>
      <c r="G100" s="4">
        <f>INDEX('Draft Engine'!$N$3:$N$232,$M100)</f>
        <v>59.965610000000005</v>
      </c>
      <c r="H100" s="4">
        <f>INDEX('Draft Engine'!$R$3:$R$232,$M100)</f>
        <v>100.3</v>
      </c>
      <c r="I100" s="4">
        <f>INDEX('Draft Engine'!$S$3:$S$232,$M100)</f>
        <v>2.2999999999999972</v>
      </c>
      <c r="J100" s="5"/>
      <c r="K100">
        <f>INDEX('Draft Engine'!$Z$3:$Z$232,$M100)</f>
        <v>98</v>
      </c>
      <c r="L100" t="str">
        <f>INDEX('LIVE SOURCE'!$H$3:$H$232,$M100)</f>
        <v>FLEX/bench depth with upside if workload grows.</v>
      </c>
      <c r="M100" s="6">
        <f>MATCH($A100,'Draft Engine'!$Q$3:$Q$232,0)</f>
        <v>65</v>
      </c>
      <c r="N100">
        <f>INDEX('LIVE SOURCE'!$L$3:$L$232,$M100)</f>
        <v>10</v>
      </c>
    </row>
    <row r="101" spans="1:14" x14ac:dyDescent="0.25">
      <c r="A101">
        <v>99</v>
      </c>
      <c r="B101" t="str">
        <f>INDEX('Draft Engine'!$A$3:$A$232,$M101)</f>
        <v>QB</v>
      </c>
      <c r="C101">
        <f>INDEX('Draft Engine'!$F$3:$F$232,$M101)</f>
        <v>16</v>
      </c>
      <c r="D101" t="str">
        <f>INDEX('Draft Engine'!$B$3:$B$232,$M101)</f>
        <v>Jared Goff</v>
      </c>
      <c r="E101" s="4">
        <f>INDEX('Draft Engine'!$E$3:$E$232,$M101)</f>
        <v>82.642499999999998</v>
      </c>
      <c r="F101" t="str">
        <f t="shared" si="1"/>
        <v>TIER 3</v>
      </c>
      <c r="G101" s="4">
        <f>INDEX('Draft Engine'!$N$3:$N$232,$M101)</f>
        <v>59.258913461538462</v>
      </c>
      <c r="H101" s="4">
        <f>INDEX('Draft Engine'!$R$3:$R$232,$M101)</f>
        <v>107.9</v>
      </c>
      <c r="I101" s="4">
        <f>INDEX('Draft Engine'!$S$3:$S$232,$M101)</f>
        <v>8.9000000000000057</v>
      </c>
      <c r="J101" s="5"/>
      <c r="K101">
        <f>INDEX('Draft Engine'!$Z$3:$Z$232,$M101)</f>
        <v>99</v>
      </c>
      <c r="L101" t="str">
        <f>INDEX('LIVE SOURCE'!$H$3:$H$232,$M101)</f>
        <v>QB2/streaming tier; useful when matchup and supporting cast line up.</v>
      </c>
      <c r="M101" s="6">
        <f>MATCH($A101,'Draft Engine'!$Q$3:$Q$232,0)</f>
        <v>16</v>
      </c>
      <c r="N101">
        <f>INDEX('LIVE SOURCE'!$L$3:$L$232,$M101)</f>
        <v>6</v>
      </c>
    </row>
    <row r="102" spans="1:14" x14ac:dyDescent="0.25">
      <c r="A102">
        <v>100</v>
      </c>
      <c r="B102" t="str">
        <f>INDEX('Draft Engine'!$A$3:$A$232,$M102)</f>
        <v>RB</v>
      </c>
      <c r="C102">
        <f>INDEX('Draft Engine'!$F$3:$F$232,$M102)</f>
        <v>34</v>
      </c>
      <c r="D102" t="str">
        <f>INDEX('Draft Engine'!$B$3:$B$232,$M102)</f>
        <v>Chuba Hubbard</v>
      </c>
      <c r="E102" s="4">
        <f>INDEX('Draft Engine'!$E$3:$E$232,$M102)</f>
        <v>71.866699999999994</v>
      </c>
      <c r="F102" t="str">
        <f t="shared" si="1"/>
        <v>TIER 5</v>
      </c>
      <c r="G102" s="4">
        <f>INDEX('Draft Engine'!$N$3:$N$232,$M102)</f>
        <v>58.621310000000001</v>
      </c>
      <c r="H102" s="4">
        <f>INDEX('Draft Engine'!$R$3:$R$232,$M102)</f>
        <v>75.900000000000006</v>
      </c>
      <c r="I102" s="4">
        <f>INDEX('Draft Engine'!$S$3:$S$232,$M102)</f>
        <v>-24.099999999999994</v>
      </c>
      <c r="J102" s="5"/>
      <c r="K102">
        <f>INDEX('Draft Engine'!$Z$3:$Z$232,$M102)</f>
        <v>100</v>
      </c>
      <c r="L102" t="str">
        <f>INDEX('LIVE SOURCE'!$H$3:$H$232,$M102)</f>
        <v>FLEX/bench depth with upside if workload grows.</v>
      </c>
      <c r="M102" s="6">
        <f>MATCH($A102,'Draft Engine'!$Q$3:$Q$232,0)</f>
        <v>66</v>
      </c>
      <c r="N102">
        <f>INDEX('LIVE SOURCE'!$L$3:$L$232,$M102)</f>
        <v>5</v>
      </c>
    </row>
    <row r="103" spans="1:14" x14ac:dyDescent="0.25">
      <c r="A103">
        <v>101</v>
      </c>
      <c r="B103" t="str">
        <f>INDEX('Draft Engine'!$A$3:$A$232,$M103)</f>
        <v>WR</v>
      </c>
      <c r="C103">
        <f>INDEX('Draft Engine'!$F$3:$F$232,$M103)</f>
        <v>35</v>
      </c>
      <c r="D103" t="str">
        <f>INDEX('Draft Engine'!$B$3:$B$232,$M103)</f>
        <v>Carnell Tate</v>
      </c>
      <c r="E103" s="4">
        <f>INDEX('Draft Engine'!$E$3:$E$232,$M103)</f>
        <v>71.89</v>
      </c>
      <c r="F103" t="str">
        <f t="shared" si="1"/>
        <v>TIER 5</v>
      </c>
      <c r="G103" s="4">
        <f>INDEX('Draft Engine'!$N$3:$N$232,$M103)</f>
        <v>58.374166666666667</v>
      </c>
      <c r="H103" s="4">
        <f>INDEX('Draft Engine'!$R$3:$R$232,$M103)</f>
        <v>77.400000000000006</v>
      </c>
      <c r="I103" s="4">
        <f>INDEX('Draft Engine'!$S$3:$S$232,$M103)</f>
        <v>-23.599999999999994</v>
      </c>
      <c r="J103" s="5"/>
      <c r="K103">
        <f>INDEX('Draft Engine'!$Z$3:$Z$232,$M103)</f>
        <v>101</v>
      </c>
      <c r="L103" t="str">
        <f>INDEX('LIVE SOURCE'!$H$3:$H$232,$M103)</f>
        <v>WR2/FLEX; dependable lineup option with matchup-driven ceiling.</v>
      </c>
      <c r="M103" s="6">
        <f>MATCH($A103,'Draft Engine'!$Q$3:$Q$232,0)</f>
        <v>117</v>
      </c>
      <c r="N103">
        <f>INDEX('LIVE SOURCE'!$L$3:$L$232,$M103)</f>
        <v>9</v>
      </c>
    </row>
    <row r="104" spans="1:14" x14ac:dyDescent="0.25">
      <c r="A104">
        <v>102</v>
      </c>
      <c r="B104" t="str">
        <f>INDEX('Draft Engine'!$A$3:$A$232,$M104)</f>
        <v>RB</v>
      </c>
      <c r="C104">
        <f>INDEX('Draft Engine'!$F$3:$F$232,$M104)</f>
        <v>35</v>
      </c>
      <c r="D104" t="str">
        <f>INDEX('Draft Engine'!$B$3:$B$232,$M104)</f>
        <v>Aaron Jones Sr.</v>
      </c>
      <c r="E104" s="4">
        <f>INDEX('Draft Engine'!$E$3:$E$232,$M104)</f>
        <v>71.697699999999998</v>
      </c>
      <c r="F104" t="str">
        <f t="shared" si="1"/>
        <v>TIER 5</v>
      </c>
      <c r="G104" s="4">
        <f>INDEX('Draft Engine'!$N$3:$N$232,$M104)</f>
        <v>58.042985000000002</v>
      </c>
      <c r="H104" s="4">
        <f>INDEX('Draft Engine'!$R$3:$R$232,$M104)</f>
        <v>90.7</v>
      </c>
      <c r="I104" s="4">
        <f>INDEX('Draft Engine'!$S$3:$S$232,$M104)</f>
        <v>-11.299999999999997</v>
      </c>
      <c r="J104" s="5"/>
      <c r="K104">
        <f>INDEX('Draft Engine'!$Z$3:$Z$232,$M104)</f>
        <v>102</v>
      </c>
      <c r="L104" t="str">
        <f>INDEX('LIVE SOURCE'!$H$3:$H$232,$M104)</f>
        <v>FLEX/bench depth with upside if workload grows.</v>
      </c>
      <c r="M104" s="6">
        <f>MATCH($A104,'Draft Engine'!$Q$3:$Q$232,0)</f>
        <v>67</v>
      </c>
      <c r="N104">
        <f>INDEX('LIVE SOURCE'!$L$3:$L$232,$M104)</f>
        <v>6</v>
      </c>
    </row>
    <row r="105" spans="1:14" x14ac:dyDescent="0.25">
      <c r="A105">
        <v>103</v>
      </c>
      <c r="B105" t="str">
        <f>INDEX('Draft Engine'!$A$3:$A$232,$M105)</f>
        <v>WR</v>
      </c>
      <c r="C105">
        <f>INDEX('Draft Engine'!$F$3:$F$232,$M105)</f>
        <v>36</v>
      </c>
      <c r="D105" t="str">
        <f>INDEX('Draft Engine'!$B$3:$B$232,$M105)</f>
        <v>Marvin Harrison Jr.</v>
      </c>
      <c r="E105" s="4">
        <f>INDEX('Draft Engine'!$E$3:$E$232,$M105)</f>
        <v>71.81</v>
      </c>
      <c r="F105" t="str">
        <f t="shared" si="1"/>
        <v>TIER 5</v>
      </c>
      <c r="G105" s="4">
        <f>INDEX('Draft Engine'!$N$3:$N$232,$M105)</f>
        <v>57.942833333333347</v>
      </c>
      <c r="H105" s="4">
        <f>INDEX('Draft Engine'!$R$3:$R$232,$M105)</f>
        <v>63.9</v>
      </c>
      <c r="I105" s="4">
        <f>INDEX('Draft Engine'!$S$3:$S$232,$M105)</f>
        <v>-39.1</v>
      </c>
      <c r="J105" s="5"/>
      <c r="K105">
        <f>INDEX('Draft Engine'!$Z$3:$Z$232,$M105)</f>
        <v>103</v>
      </c>
      <c r="L105" t="str">
        <f>INDEX('LIVE SOURCE'!$H$3:$H$232,$M105)</f>
        <v>FLEX/bench receiver; needs target growth or efficiency spikes.</v>
      </c>
      <c r="M105" s="6">
        <f>MATCH($A105,'Draft Engine'!$Q$3:$Q$232,0)</f>
        <v>113</v>
      </c>
      <c r="N105">
        <f>INDEX('LIVE SOURCE'!$L$3:$L$232,$M105)</f>
        <v>14</v>
      </c>
    </row>
    <row r="106" spans="1:14" x14ac:dyDescent="0.25">
      <c r="A106">
        <v>104</v>
      </c>
      <c r="B106" t="str">
        <f>INDEX('Draft Engine'!$A$3:$A$232,$M106)</f>
        <v>WR</v>
      </c>
      <c r="C106">
        <f>INDEX('Draft Engine'!$F$3:$F$232,$M106)</f>
        <v>37</v>
      </c>
      <c r="D106" t="str">
        <f>INDEX('Draft Engine'!$B$3:$B$232,$M106)</f>
        <v>Parker Washington</v>
      </c>
      <c r="E106" s="4">
        <f>INDEX('Draft Engine'!$E$3:$E$232,$M106)</f>
        <v>71.53</v>
      </c>
      <c r="F106" t="str">
        <f t="shared" si="1"/>
        <v>TIER 5</v>
      </c>
      <c r="G106" s="4">
        <f>INDEX('Draft Engine'!$N$3:$N$232,$M106)</f>
        <v>57.2395</v>
      </c>
      <c r="H106" s="4">
        <f>INDEX('Draft Engine'!$R$3:$R$232,$M106)</f>
        <v>72.3</v>
      </c>
      <c r="I106" s="4">
        <f>INDEX('Draft Engine'!$S$3:$S$232,$M106)</f>
        <v>-31.700000000000003</v>
      </c>
      <c r="J106" s="5"/>
      <c r="K106">
        <f>INDEX('Draft Engine'!$Z$3:$Z$232,$M106)</f>
        <v>104</v>
      </c>
      <c r="L106" t="str">
        <f>INDEX('LIVE SOURCE'!$H$3:$H$232,$M106)</f>
        <v>FLEX/bench receiver; needs target growth or efficiency spikes.</v>
      </c>
      <c r="M106" s="6">
        <f>MATCH($A106,'Draft Engine'!$Q$3:$Q$232,0)</f>
        <v>126</v>
      </c>
      <c r="N106">
        <f>INDEX('LIVE SOURCE'!$L$3:$L$232,$M106)</f>
        <v>7</v>
      </c>
    </row>
    <row r="107" spans="1:14" x14ac:dyDescent="0.25">
      <c r="A107">
        <v>105</v>
      </c>
      <c r="B107" t="str">
        <f>INDEX('Draft Engine'!$A$3:$A$232,$M107)</f>
        <v>TE</v>
      </c>
      <c r="C107">
        <f>INDEX('Draft Engine'!$F$3:$F$232,$M107)</f>
        <v>17</v>
      </c>
      <c r="D107" t="str">
        <f>INDEX('Draft Engine'!$B$3:$B$232,$M107)</f>
        <v>Hunter Henry</v>
      </c>
      <c r="E107" s="4">
        <f>INDEX('Draft Engine'!$E$3:$E$232,$M107)</f>
        <v>76.252600000000001</v>
      </c>
      <c r="F107" t="str">
        <f t="shared" si="1"/>
        <v>TIER 4</v>
      </c>
      <c r="G107" s="4">
        <f>INDEX('Draft Engine'!$N$3:$N$232,$M107)</f>
        <v>57.058006923076931</v>
      </c>
      <c r="H107" s="4">
        <f>INDEX('Draft Engine'!$R$3:$R$232,$M107)</f>
        <v>156.6</v>
      </c>
      <c r="I107" s="4">
        <f>INDEX('Draft Engine'!$S$3:$S$232,$M107)</f>
        <v>51.599999999999994</v>
      </c>
      <c r="J107" s="5"/>
      <c r="K107">
        <f>INDEX('Draft Engine'!$Z$3:$Z$232,$M107)</f>
        <v>105</v>
      </c>
      <c r="L107" t="str">
        <f>INDEX('LIVE SOURCE'!$H$3:$H$232,$M107)</f>
        <v>Streaming/TE2 range; touchdown and route volume drive usefulness.</v>
      </c>
      <c r="M107" s="6">
        <f>MATCH($A107,'Draft Engine'!$Q$3:$Q$232,0)</f>
        <v>175</v>
      </c>
      <c r="N107">
        <f>INDEX('LIVE SOURCE'!$L$3:$L$232,$M107)</f>
        <v>11</v>
      </c>
    </row>
    <row r="108" spans="1:14" x14ac:dyDescent="0.25">
      <c r="A108">
        <v>106</v>
      </c>
      <c r="B108" t="str">
        <f>INDEX('Draft Engine'!$A$3:$A$232,$M108)</f>
        <v>RB</v>
      </c>
      <c r="C108">
        <f>INDEX('Draft Engine'!$F$3:$F$232,$M108)</f>
        <v>36</v>
      </c>
      <c r="D108" t="str">
        <f>INDEX('Draft Engine'!$B$3:$B$232,$M108)</f>
        <v>J.K. Dobbins</v>
      </c>
      <c r="E108" s="4">
        <f>INDEX('Draft Engine'!$E$3:$E$232,$M108)</f>
        <v>71.166600000000003</v>
      </c>
      <c r="F108" t="str">
        <f t="shared" si="1"/>
        <v>TIER 5</v>
      </c>
      <c r="G108" s="4">
        <f>INDEX('Draft Engine'!$N$3:$N$232,$M108)</f>
        <v>56.995505000000009</v>
      </c>
      <c r="H108" s="4">
        <f>INDEX('Draft Engine'!$R$3:$R$232,$M108)</f>
        <v>91.9</v>
      </c>
      <c r="I108" s="4">
        <f>INDEX('Draft Engine'!$S$3:$S$232,$M108)</f>
        <v>-14.099999999999994</v>
      </c>
      <c r="J108" s="5"/>
      <c r="K108">
        <f>INDEX('Draft Engine'!$Z$3:$Z$232,$M108)</f>
        <v>106</v>
      </c>
      <c r="L108" t="str">
        <f>INDEX('LIVE SOURCE'!$H$3:$H$232,$M108)</f>
        <v>FLEX/bench depth with upside if workload grows.</v>
      </c>
      <c r="M108" s="6">
        <f>MATCH($A108,'Draft Engine'!$Q$3:$Q$232,0)</f>
        <v>68</v>
      </c>
      <c r="N108">
        <f>INDEX('LIVE SOURCE'!$L$3:$L$232,$M108)</f>
        <v>10</v>
      </c>
    </row>
    <row r="109" spans="1:14" x14ac:dyDescent="0.25">
      <c r="A109">
        <v>107</v>
      </c>
      <c r="B109" t="str">
        <f>INDEX('Draft Engine'!$A$3:$A$232,$M109)</f>
        <v>WR</v>
      </c>
      <c r="C109">
        <f>INDEX('Draft Engine'!$F$3:$F$232,$M109)</f>
        <v>38</v>
      </c>
      <c r="D109" t="str">
        <f>INDEX('Draft Engine'!$B$3:$B$232,$M109)</f>
        <v>Stefon Diggs</v>
      </c>
      <c r="E109" s="4">
        <f>INDEX('Draft Engine'!$E$3:$E$232,$M109)</f>
        <v>71.2</v>
      </c>
      <c r="F109" t="str">
        <f t="shared" si="1"/>
        <v>TIER 5</v>
      </c>
      <c r="G109" s="4">
        <f>INDEX('Draft Engine'!$N$3:$N$232,$M109)</f>
        <v>56.472666666666669</v>
      </c>
      <c r="H109" s="4">
        <f>INDEX('Draft Engine'!$R$3:$R$232,$M109)</f>
        <v>90.5</v>
      </c>
      <c r="I109" s="4">
        <f>INDEX('Draft Engine'!$S$3:$S$232,$M109)</f>
        <v>-16.5</v>
      </c>
      <c r="J109" s="5"/>
      <c r="K109">
        <f>INDEX('Draft Engine'!$Z$3:$Z$232,$M109)</f>
        <v>107</v>
      </c>
      <c r="L109" t="str">
        <f>INDEX('LIVE SOURCE'!$H$3:$H$232,$M109)</f>
        <v>Added 2026-08-12 from ESPN consensus (WR41).</v>
      </c>
      <c r="M109" s="6">
        <f>MATCH($A109,'Draft Engine'!$Q$3:$Q$232,0)</f>
        <v>155</v>
      </c>
      <c r="N109">
        <f>INDEX('LIVE SOURCE'!$L$3:$L$232,$M109)</f>
        <v>7</v>
      </c>
    </row>
    <row r="110" spans="1:14" x14ac:dyDescent="0.25">
      <c r="A110">
        <v>108</v>
      </c>
      <c r="B110" t="str">
        <f>INDEX('Draft Engine'!$A$3:$A$232,$M110)</f>
        <v>TE</v>
      </c>
      <c r="C110">
        <f>INDEX('Draft Engine'!$F$3:$F$232,$M110)</f>
        <v>18</v>
      </c>
      <c r="D110" t="str">
        <f>INDEX('Draft Engine'!$B$3:$B$232,$M110)</f>
        <v>Brenton Strange</v>
      </c>
      <c r="E110" s="4">
        <f>INDEX('Draft Engine'!$E$3:$E$232,$M110)</f>
        <v>76.0321</v>
      </c>
      <c r="F110" t="str">
        <f t="shared" si="1"/>
        <v>TIER 4</v>
      </c>
      <c r="G110" s="4">
        <f>INDEX('Draft Engine'!$N$3:$N$232,$M110)</f>
        <v>56.100424230769235</v>
      </c>
      <c r="H110" s="4">
        <f>INDEX('Draft Engine'!$R$3:$R$232,$M110)</f>
        <v>165</v>
      </c>
      <c r="I110" s="4">
        <f>INDEX('Draft Engine'!$S$3:$S$232,$M110)</f>
        <v>57</v>
      </c>
      <c r="J110" s="5"/>
      <c r="K110">
        <f>INDEX('Draft Engine'!$Z$3:$Z$232,$M110)</f>
        <v>108</v>
      </c>
      <c r="L110" t="str">
        <f>INDEX('LIVE SOURCE'!$H$3:$H$232,$M110)</f>
        <v>Streaming/TE2 range; touchdown and route volume drive usefulness.</v>
      </c>
      <c r="M110" s="6">
        <f>MATCH($A110,'Draft Engine'!$Q$3:$Q$232,0)</f>
        <v>176</v>
      </c>
      <c r="N110">
        <f>INDEX('LIVE SOURCE'!$L$3:$L$232,$M110)</f>
        <v>7</v>
      </c>
    </row>
    <row r="111" spans="1:14" x14ac:dyDescent="0.25">
      <c r="A111">
        <v>109</v>
      </c>
      <c r="B111" t="str">
        <f>INDEX('Draft Engine'!$A$3:$A$232,$M111)</f>
        <v>QB</v>
      </c>
      <c r="C111">
        <f>INDEX('Draft Engine'!$F$3:$F$232,$M111)</f>
        <v>17</v>
      </c>
      <c r="D111" t="str">
        <f>INDEX('Draft Engine'!$B$3:$B$232,$M111)</f>
        <v>Kyler Murray</v>
      </c>
      <c r="E111" s="4">
        <f>INDEX('Draft Engine'!$E$3:$E$232,$M111)</f>
        <v>80.710099999999997</v>
      </c>
      <c r="F111" t="str">
        <f t="shared" si="1"/>
        <v>TIER 3</v>
      </c>
      <c r="G111" s="4">
        <f>INDEX('Draft Engine'!$N$3:$N$232,$M111)</f>
        <v>55.860862692307691</v>
      </c>
      <c r="H111" s="4">
        <f>INDEX('Draft Engine'!$R$3:$R$232,$M111)</f>
        <v>146.6</v>
      </c>
      <c r="I111" s="4">
        <f>INDEX('Draft Engine'!$S$3:$S$232,$M111)</f>
        <v>37.599999999999994</v>
      </c>
      <c r="J111" s="5"/>
      <c r="K111">
        <f>INDEX('Draft Engine'!$Z$3:$Z$232,$M111)</f>
        <v>109</v>
      </c>
      <c r="L111" t="str">
        <f>INDEX('LIVE SOURCE'!$H$3:$H$232,$M111)</f>
        <v>QB2/streaming tier; useful when matchup and supporting cast line up.</v>
      </c>
      <c r="M111" s="6">
        <f>MATCH($A111,'Draft Engine'!$Q$3:$Q$232,0)</f>
        <v>17</v>
      </c>
      <c r="N111">
        <f>INDEX('LIVE SOURCE'!$L$3:$L$232,$M111)</f>
        <v>6</v>
      </c>
    </row>
    <row r="112" spans="1:14" x14ac:dyDescent="0.25">
      <c r="A112">
        <v>110</v>
      </c>
      <c r="B112" t="str">
        <f>INDEX('Draft Engine'!$A$3:$A$232,$M112)</f>
        <v>WR</v>
      </c>
      <c r="C112">
        <f>INDEX('Draft Engine'!$F$3:$F$232,$M112)</f>
        <v>39</v>
      </c>
      <c r="D112" t="str">
        <f>INDEX('Draft Engine'!$B$3:$B$232,$M112)</f>
        <v>Chris Godwin Jr.</v>
      </c>
      <c r="E112" s="4">
        <f>INDEX('Draft Engine'!$E$3:$E$232,$M112)</f>
        <v>70.86</v>
      </c>
      <c r="F112" t="str">
        <f t="shared" si="1"/>
        <v>TIER 5</v>
      </c>
      <c r="G112" s="4">
        <f>INDEX('Draft Engine'!$N$3:$N$232,$M112)</f>
        <v>55.70033333333334</v>
      </c>
      <c r="H112" s="4">
        <f>INDEX('Draft Engine'!$R$3:$R$232,$M112)</f>
        <v>92.4</v>
      </c>
      <c r="I112" s="4">
        <f>INDEX('Draft Engine'!$S$3:$S$232,$M112)</f>
        <v>-17.599999999999994</v>
      </c>
      <c r="J112" s="5"/>
      <c r="K112">
        <f>INDEX('Draft Engine'!$Z$3:$Z$232,$M112)</f>
        <v>110</v>
      </c>
      <c r="L112" t="str">
        <f>INDEX('LIVE SOURCE'!$H$3:$H$232,$M112)</f>
        <v>FLEX/bench receiver; needs target growth or efficiency spikes.</v>
      </c>
      <c r="M112" s="6">
        <f>MATCH($A112,'Draft Engine'!$Q$3:$Q$232,0)</f>
        <v>127</v>
      </c>
      <c r="N112">
        <f>INDEX('LIVE SOURCE'!$L$3:$L$232,$M112)</f>
        <v>10</v>
      </c>
    </row>
    <row r="113" spans="1:14" x14ac:dyDescent="0.25">
      <c r="A113">
        <v>111</v>
      </c>
      <c r="B113" t="str">
        <f>INDEX('Draft Engine'!$A$3:$A$232,$M113)</f>
        <v>WR</v>
      </c>
      <c r="C113">
        <f>INDEX('Draft Engine'!$F$3:$F$232,$M113)</f>
        <v>40</v>
      </c>
      <c r="D113" t="str">
        <f>INDEX('Draft Engine'!$B$3:$B$232,$M113)</f>
        <v>Alec Pierce</v>
      </c>
      <c r="E113" s="4">
        <f>INDEX('Draft Engine'!$E$3:$E$232,$M113)</f>
        <v>70.724999999999994</v>
      </c>
      <c r="F113" t="str">
        <f t="shared" si="1"/>
        <v>TIER 5</v>
      </c>
      <c r="G113" s="4">
        <f>INDEX('Draft Engine'!$N$3:$N$232,$M113)</f>
        <v>55.184750000000001</v>
      </c>
      <c r="H113" s="4">
        <f>INDEX('Draft Engine'!$R$3:$R$232,$M113)</f>
        <v>55.3</v>
      </c>
      <c r="I113" s="4">
        <f>INDEX('Draft Engine'!$S$3:$S$232,$M113)</f>
        <v>-55.7</v>
      </c>
      <c r="J113" s="5"/>
      <c r="K113">
        <f>INDEX('Draft Engine'!$Z$3:$Z$232,$M113)</f>
        <v>111</v>
      </c>
      <c r="L113" t="str">
        <f>INDEX('LIVE SOURCE'!$H$3:$H$232,$M113)</f>
        <v>FLEX/bench receiver; needs target growth or efficiency spikes.</v>
      </c>
      <c r="M113" s="6">
        <f>MATCH($A113,'Draft Engine'!$Q$3:$Q$232,0)</f>
        <v>115</v>
      </c>
      <c r="N113">
        <f>INDEX('LIVE SOURCE'!$L$3:$L$232,$M113)</f>
        <v>13</v>
      </c>
    </row>
    <row r="114" spans="1:14" x14ac:dyDescent="0.25">
      <c r="A114">
        <v>112</v>
      </c>
      <c r="B114" t="str">
        <f>INDEX('Draft Engine'!$A$3:$A$232,$M114)</f>
        <v>TE</v>
      </c>
      <c r="C114">
        <f>INDEX('Draft Engine'!$F$3:$F$232,$M114)</f>
        <v>19</v>
      </c>
      <c r="D114" t="str">
        <f>INDEX('Draft Engine'!$B$3:$B$232,$M114)</f>
        <v>Chig Okonkwo</v>
      </c>
      <c r="E114" s="4">
        <f>INDEX('Draft Engine'!$E$3:$E$232,$M114)</f>
        <v>75.513199999999998</v>
      </c>
      <c r="F114" t="str">
        <f t="shared" si="1"/>
        <v>TIER 4</v>
      </c>
      <c r="G114" s="4">
        <f>INDEX('Draft Engine'!$N$3:$N$232,$M114)</f>
        <v>54.798721538461542</v>
      </c>
      <c r="H114" s="4">
        <f>INDEX('Draft Engine'!$R$3:$R$232,$M114)</f>
        <v>162.19999999999999</v>
      </c>
      <c r="I114" s="4">
        <f>INDEX('Draft Engine'!$S$3:$S$232,$M114)</f>
        <v>50.199999999999989</v>
      </c>
      <c r="J114" s="5"/>
      <c r="K114">
        <f>INDEX('Draft Engine'!$Z$3:$Z$232,$M114)</f>
        <v>112</v>
      </c>
      <c r="L114" t="str">
        <f>INDEX('LIVE SOURCE'!$H$3:$H$232,$M114)</f>
        <v>Deep TE stash; needs a larger route/target role to matter in 10-team leagues.</v>
      </c>
      <c r="M114" s="6">
        <f>MATCH($A114,'Draft Engine'!$Q$3:$Q$232,0)</f>
        <v>177</v>
      </c>
      <c r="N114">
        <f>INDEX('LIVE SOURCE'!$L$3:$L$232,$M114)</f>
        <v>7</v>
      </c>
    </row>
    <row r="115" spans="1:14" x14ac:dyDescent="0.25">
      <c r="A115">
        <v>113</v>
      </c>
      <c r="B115" t="str">
        <f>INDEX('Draft Engine'!$A$3:$A$232,$M115)</f>
        <v>RB</v>
      </c>
      <c r="C115">
        <f>INDEX('Draft Engine'!$F$3:$F$232,$M115)</f>
        <v>37</v>
      </c>
      <c r="D115" t="str">
        <f>INDEX('Draft Engine'!$B$3:$B$232,$M115)</f>
        <v>Blake Corum</v>
      </c>
      <c r="E115" s="4">
        <f>INDEX('Draft Engine'!$E$3:$E$232,$M115)</f>
        <v>69.519599999999997</v>
      </c>
      <c r="F115" t="str">
        <f t="shared" si="1"/>
        <v>TIER 6</v>
      </c>
      <c r="G115" s="4">
        <f>INDEX('Draft Engine'!$N$3:$N$232,$M115)</f>
        <v>54.488279999999996</v>
      </c>
      <c r="H115" s="4">
        <f>INDEX('Draft Engine'!$R$3:$R$232,$M115)</f>
        <v>122.4</v>
      </c>
      <c r="I115" s="4">
        <f>INDEX('Draft Engine'!$S$3:$S$232,$M115)</f>
        <v>9.4000000000000057</v>
      </c>
      <c r="J115" s="5"/>
      <c r="K115">
        <f>INDEX('Draft Engine'!$Z$3:$Z$232,$M115)</f>
        <v>113</v>
      </c>
      <c r="L115" t="str">
        <f>INDEX('LIVE SOURCE'!$H$3:$H$232,$M115)</f>
        <v>FLEX/bench depth with upside if workload grows.</v>
      </c>
      <c r="M115" s="6">
        <f>MATCH($A115,'Draft Engine'!$Q$3:$Q$232,0)</f>
        <v>69</v>
      </c>
      <c r="N115">
        <f>INDEX('LIVE SOURCE'!$L$3:$L$232,$M115)</f>
        <v>11</v>
      </c>
    </row>
    <row r="116" spans="1:14" x14ac:dyDescent="0.25">
      <c r="A116">
        <v>114</v>
      </c>
      <c r="B116" t="str">
        <f>INDEX('Draft Engine'!$A$3:$A$232,$M116)</f>
        <v>QB</v>
      </c>
      <c r="C116">
        <f>INDEX('Draft Engine'!$F$3:$F$232,$M116)</f>
        <v>18</v>
      </c>
      <c r="D116" t="str">
        <f>INDEX('Draft Engine'!$B$3:$B$232,$M116)</f>
        <v>Jordan Love</v>
      </c>
      <c r="E116" s="4">
        <f>INDEX('Draft Engine'!$E$3:$E$232,$M116)</f>
        <v>80.040800000000004</v>
      </c>
      <c r="F116" t="str">
        <f t="shared" si="1"/>
        <v>TIER 3</v>
      </c>
      <c r="G116" s="4">
        <f>INDEX('Draft Engine'!$N$3:$N$232,$M116)</f>
        <v>54.183516923076922</v>
      </c>
      <c r="H116" s="4">
        <f>INDEX('Draft Engine'!$R$3:$R$232,$M116)</f>
        <v>150.5</v>
      </c>
      <c r="I116" s="4">
        <f>INDEX('Draft Engine'!$S$3:$S$232,$M116)</f>
        <v>36.5</v>
      </c>
      <c r="J116" s="5"/>
      <c r="K116">
        <f>INDEX('Draft Engine'!$Z$3:$Z$232,$M116)</f>
        <v>114</v>
      </c>
      <c r="L116" t="str">
        <f>INDEX('LIVE SOURCE'!$H$3:$H$232,$M116)</f>
        <v>QB2/streaming tier; useful when matchup and supporting cast line up.</v>
      </c>
      <c r="M116" s="6">
        <f>MATCH($A116,'Draft Engine'!$Q$3:$Q$232,0)</f>
        <v>18</v>
      </c>
      <c r="N116">
        <f>INDEX('LIVE SOURCE'!$L$3:$L$232,$M116)</f>
        <v>11</v>
      </c>
    </row>
    <row r="117" spans="1:14" x14ac:dyDescent="0.25">
      <c r="A117">
        <v>115</v>
      </c>
      <c r="B117" t="str">
        <f>INDEX('Draft Engine'!$A$3:$A$232,$M117)</f>
        <v>WR</v>
      </c>
      <c r="C117">
        <f>INDEX('Draft Engine'!$F$3:$F$232,$M117)</f>
        <v>41</v>
      </c>
      <c r="D117" t="str">
        <f>INDEX('Draft Engine'!$B$3:$B$232,$M117)</f>
        <v>Quentin Johnston</v>
      </c>
      <c r="E117" s="4">
        <f>INDEX('Draft Engine'!$E$3:$E$232,$M117)</f>
        <v>70.19</v>
      </c>
      <c r="F117" t="str">
        <f t="shared" si="1"/>
        <v>TIER 5</v>
      </c>
      <c r="G117" s="4">
        <f>INDEX('Draft Engine'!$N$3:$N$232,$M117)</f>
        <v>54.161166666666666</v>
      </c>
      <c r="H117" s="4">
        <f>INDEX('Draft Engine'!$R$3:$R$232,$M117)</f>
        <v>95.6</v>
      </c>
      <c r="I117" s="4">
        <f>INDEX('Draft Engine'!$S$3:$S$232,$M117)</f>
        <v>-19.400000000000006</v>
      </c>
      <c r="J117" s="5"/>
      <c r="K117">
        <f>INDEX('Draft Engine'!$Z$3:$Z$232,$M117)</f>
        <v>115</v>
      </c>
      <c r="L117" t="str">
        <f>INDEX('LIVE SOURCE'!$H$3:$H$232,$M117)</f>
        <v>FLEX/bench receiver; needs target growth or efficiency spikes.</v>
      </c>
      <c r="M117" s="6">
        <f>MATCH($A117,'Draft Engine'!$Q$3:$Q$232,0)</f>
        <v>128</v>
      </c>
      <c r="N117">
        <f>INDEX('LIVE SOURCE'!$L$3:$L$232,$M117)</f>
        <v>7</v>
      </c>
    </row>
    <row r="118" spans="1:14" x14ac:dyDescent="0.25">
      <c r="A118">
        <v>116</v>
      </c>
      <c r="B118" t="str">
        <f>INDEX('Draft Engine'!$A$3:$A$232,$M118)</f>
        <v>RB</v>
      </c>
      <c r="C118">
        <f>INDEX('Draft Engine'!$F$3:$F$232,$M118)</f>
        <v>38</v>
      </c>
      <c r="D118" t="str">
        <f>INDEX('Draft Engine'!$B$3:$B$232,$M118)</f>
        <v>Rachaad White</v>
      </c>
      <c r="E118" s="4">
        <f>INDEX('Draft Engine'!$E$3:$E$232,$M118)</f>
        <v>69.203699999999998</v>
      </c>
      <c r="F118" t="str">
        <f t="shared" si="1"/>
        <v>TIER 6</v>
      </c>
      <c r="G118" s="4">
        <f>INDEX('Draft Engine'!$N$3:$N$232,$M118)</f>
        <v>53.721159999999998</v>
      </c>
      <c r="H118" s="4">
        <f>INDEX('Draft Engine'!$R$3:$R$232,$M118)</f>
        <v>99.9</v>
      </c>
      <c r="I118" s="4">
        <f>INDEX('Draft Engine'!$S$3:$S$232,$M118)</f>
        <v>-16.099999999999994</v>
      </c>
      <c r="J118" s="5"/>
      <c r="K118">
        <f>INDEX('Draft Engine'!$Z$3:$Z$232,$M118)</f>
        <v>116</v>
      </c>
      <c r="L118" t="str">
        <f>INDEX('LIVE SOURCE'!$H$3:$H$232,$M118)</f>
        <v>FLEX/bench depth with upside if workload grows.</v>
      </c>
      <c r="M118" s="6">
        <f>MATCH($A118,'Draft Engine'!$Q$3:$Q$232,0)</f>
        <v>70</v>
      </c>
      <c r="N118">
        <f>INDEX('LIVE SOURCE'!$L$3:$L$232,$M118)</f>
        <v>7</v>
      </c>
    </row>
    <row r="119" spans="1:14" x14ac:dyDescent="0.25">
      <c r="A119">
        <v>117</v>
      </c>
      <c r="B119" t="str">
        <f>INDEX('Draft Engine'!$A$3:$A$232,$M119)</f>
        <v>WR</v>
      </c>
      <c r="C119">
        <f>INDEX('Draft Engine'!$F$3:$F$232,$M119)</f>
        <v>42</v>
      </c>
      <c r="D119" t="str">
        <f>INDEX('Draft Engine'!$B$3:$B$232,$M119)</f>
        <v>DK Metcalf</v>
      </c>
      <c r="E119" s="4">
        <f>INDEX('Draft Engine'!$E$3:$E$232,$M119)</f>
        <v>69.807500000000005</v>
      </c>
      <c r="F119" t="str">
        <f t="shared" si="1"/>
        <v>TIER 6</v>
      </c>
      <c r="G119" s="4">
        <f>INDEX('Draft Engine'!$N$3:$N$232,$M119)</f>
        <v>53.329458333333342</v>
      </c>
      <c r="H119" s="4">
        <f>INDEX('Draft Engine'!$R$3:$R$232,$M119)</f>
        <v>65.900000000000006</v>
      </c>
      <c r="I119" s="4">
        <f>INDEX('Draft Engine'!$S$3:$S$232,$M119)</f>
        <v>-51.099999999999994</v>
      </c>
      <c r="J119" s="5"/>
      <c r="K119">
        <f>INDEX('Draft Engine'!$Z$3:$Z$232,$M119)</f>
        <v>117</v>
      </c>
      <c r="L119" t="str">
        <f>INDEX('LIVE SOURCE'!$H$3:$H$232,$M119)</f>
        <v>FLEX/bench receiver; needs target growth or efficiency spikes.</v>
      </c>
      <c r="M119" s="6">
        <f>MATCH($A119,'Draft Engine'!$Q$3:$Q$232,0)</f>
        <v>116</v>
      </c>
      <c r="N119">
        <f>INDEX('LIVE SOURCE'!$L$3:$L$232,$M119)</f>
        <v>9</v>
      </c>
    </row>
    <row r="120" spans="1:14" x14ac:dyDescent="0.25">
      <c r="A120">
        <v>118</v>
      </c>
      <c r="B120" t="str">
        <f>INDEX('Draft Engine'!$A$3:$A$232,$M120)</f>
        <v>QB</v>
      </c>
      <c r="C120">
        <f>INDEX('Draft Engine'!$F$3:$F$232,$M120)</f>
        <v>19</v>
      </c>
      <c r="D120" t="str">
        <f>INDEX('Draft Engine'!$B$3:$B$232,$M120)</f>
        <v>Baker Mayfield</v>
      </c>
      <c r="E120" s="4">
        <f>INDEX('Draft Engine'!$E$3:$E$232,$M120)</f>
        <v>79.825999999999993</v>
      </c>
      <c r="F120" t="str">
        <f t="shared" si="1"/>
        <v>TIER 4</v>
      </c>
      <c r="G120" s="4">
        <f>INDEX('Draft Engine'!$N$3:$N$232,$M120)</f>
        <v>53.116146153846152</v>
      </c>
      <c r="H120" s="4">
        <f>INDEX('Draft Engine'!$R$3:$R$232,$M120)</f>
        <v>128.6</v>
      </c>
      <c r="I120" s="4">
        <f>INDEX('Draft Engine'!$S$3:$S$232,$M120)</f>
        <v>10.599999999999994</v>
      </c>
      <c r="J120" s="5"/>
      <c r="K120">
        <f>INDEX('Draft Engine'!$Z$3:$Z$232,$M120)</f>
        <v>118</v>
      </c>
      <c r="L120" t="str">
        <f>INDEX('LIVE SOURCE'!$H$3:$H$232,$M120)</f>
        <v>Bench/streaming option; needs matchup, rushing or TD spike weeks.</v>
      </c>
      <c r="M120" s="6">
        <f>MATCH($A120,'Draft Engine'!$Q$3:$Q$232,0)</f>
        <v>19</v>
      </c>
      <c r="N120">
        <f>INDEX('LIVE SOURCE'!$L$3:$L$232,$M120)</f>
        <v>10</v>
      </c>
    </row>
    <row r="121" spans="1:14" x14ac:dyDescent="0.25">
      <c r="A121">
        <v>119</v>
      </c>
      <c r="B121" t="str">
        <f>INDEX('Draft Engine'!$A$3:$A$232,$M121)</f>
        <v>RB</v>
      </c>
      <c r="C121">
        <f>INDEX('Draft Engine'!$F$3:$F$232,$M121)</f>
        <v>39</v>
      </c>
      <c r="D121" t="str">
        <f>INDEX('Draft Engine'!$B$3:$B$232,$M121)</f>
        <v>Jacory Croskey-Merritt</v>
      </c>
      <c r="E121" s="4">
        <f>INDEX('Draft Engine'!$E$3:$E$232,$M121)</f>
        <v>68.992199999999997</v>
      </c>
      <c r="F121" t="str">
        <f t="shared" si="1"/>
        <v>TIER 6</v>
      </c>
      <c r="G121" s="4">
        <f>INDEX('Draft Engine'!$N$3:$N$232,$M121)</f>
        <v>53.083460000000002</v>
      </c>
      <c r="H121" s="4">
        <f>INDEX('Draft Engine'!$R$3:$R$232,$M121)</f>
        <v>111.3</v>
      </c>
      <c r="I121" s="4">
        <f>INDEX('Draft Engine'!$S$3:$S$232,$M121)</f>
        <v>-7.7000000000000028</v>
      </c>
      <c r="J121" s="5"/>
      <c r="K121">
        <f>INDEX('Draft Engine'!$Z$3:$Z$232,$M121)</f>
        <v>119</v>
      </c>
      <c r="L121" t="str">
        <f>INDEX('LIVE SOURCE'!$H$3:$H$232,$M121)</f>
        <v>FLEX/bench depth with upside if workload grows.</v>
      </c>
      <c r="M121" s="6">
        <f>MATCH($A121,'Draft Engine'!$Q$3:$Q$232,0)</f>
        <v>71</v>
      </c>
      <c r="N121">
        <f>INDEX('LIVE SOURCE'!$L$3:$L$232,$M121)</f>
        <v>7</v>
      </c>
    </row>
    <row r="122" spans="1:14" x14ac:dyDescent="0.25">
      <c r="A122">
        <v>120</v>
      </c>
      <c r="B122" t="str">
        <f>INDEX('Draft Engine'!$A$3:$A$232,$M122)</f>
        <v>TE</v>
      </c>
      <c r="C122">
        <f>INDEX('Draft Engine'!$F$3:$F$232,$M122)</f>
        <v>20</v>
      </c>
      <c r="D122" t="str">
        <f>INDEX('Draft Engine'!$B$3:$B$232,$M122)</f>
        <v>Kenyon Sadiq</v>
      </c>
      <c r="E122" s="4">
        <f>INDEX('Draft Engine'!$E$3:$E$232,$M122)</f>
        <v>74.093800000000002</v>
      </c>
      <c r="F122" t="str">
        <f t="shared" si="1"/>
        <v>TIER 5</v>
      </c>
      <c r="G122" s="4">
        <f>INDEX('Draft Engine'!$N$3:$N$232,$M122)</f>
        <v>52.425743846153857</v>
      </c>
      <c r="H122" s="4">
        <f>INDEX('Draft Engine'!$R$3:$R$232,$M122)</f>
        <v>158.80000000000001</v>
      </c>
      <c r="I122" s="4">
        <f>INDEX('Draft Engine'!$S$3:$S$232,$M122)</f>
        <v>38.800000000000011</v>
      </c>
      <c r="J122" s="5"/>
      <c r="K122">
        <f>INDEX('Draft Engine'!$Z$3:$Z$232,$M122)</f>
        <v>120</v>
      </c>
      <c r="L122" t="str">
        <f>INDEX('LIVE SOURCE'!$H$3:$H$232,$M122)</f>
        <v>Deep TE stash; needs a larger route/target role to matter in 10-team leagues.</v>
      </c>
      <c r="M122" s="6">
        <f>MATCH($A122,'Draft Engine'!$Q$3:$Q$232,0)</f>
        <v>178</v>
      </c>
      <c r="N122">
        <f>INDEX('LIVE SOURCE'!$L$3:$L$232,$M122)</f>
        <v>13</v>
      </c>
    </row>
    <row r="123" spans="1:14" x14ac:dyDescent="0.25">
      <c r="A123">
        <v>121</v>
      </c>
      <c r="B123" t="str">
        <f>INDEX('Draft Engine'!$A$3:$A$232,$M123)</f>
        <v>WR</v>
      </c>
      <c r="C123">
        <f>INDEX('Draft Engine'!$F$3:$F$232,$M123)</f>
        <v>43</v>
      </c>
      <c r="D123" t="str">
        <f>INDEX('Draft Engine'!$B$3:$B$232,$M123)</f>
        <v>Makai Lemon</v>
      </c>
      <c r="E123" s="4">
        <f>INDEX('Draft Engine'!$E$3:$E$232,$M123)</f>
        <v>69.2</v>
      </c>
      <c r="F123" t="str">
        <f t="shared" si="1"/>
        <v>TIER 6</v>
      </c>
      <c r="G123" s="4">
        <f>INDEX('Draft Engine'!$N$3:$N$232,$M123)</f>
        <v>52.194000000000003</v>
      </c>
      <c r="H123" s="4">
        <f>INDEX('Draft Engine'!$R$3:$R$232,$M123)</f>
        <v>108.5</v>
      </c>
      <c r="I123" s="4">
        <f>INDEX('Draft Engine'!$S$3:$S$232,$M123)</f>
        <v>-12.5</v>
      </c>
      <c r="J123" s="5"/>
      <c r="K123">
        <f>INDEX('Draft Engine'!$Z$3:$Z$232,$M123)</f>
        <v>121</v>
      </c>
      <c r="L123" t="str">
        <f>INDEX('LIVE SOURCE'!$H$3:$H$232,$M123)</f>
        <v>WR2/FLEX; dependable lineup option with matchup-driven ceiling.</v>
      </c>
      <c r="M123" s="6">
        <f>MATCH($A123,'Draft Engine'!$Q$3:$Q$232,0)</f>
        <v>125</v>
      </c>
      <c r="N123">
        <f>INDEX('LIVE SOURCE'!$L$3:$L$232,$M123)</f>
        <v>10</v>
      </c>
    </row>
    <row r="124" spans="1:14" x14ac:dyDescent="0.25">
      <c r="A124">
        <v>122</v>
      </c>
      <c r="B124" t="str">
        <f>INDEX('Draft Engine'!$A$3:$A$232,$M124)</f>
        <v>TE</v>
      </c>
      <c r="C124">
        <f>INDEX('Draft Engine'!$F$3:$F$232,$M124)</f>
        <v>21</v>
      </c>
      <c r="D124" t="str">
        <f>INDEX('Draft Engine'!$B$3:$B$232,$M124)</f>
        <v>T.J. Hockenson</v>
      </c>
      <c r="E124" s="4">
        <f>INDEX('Draft Engine'!$E$3:$E$232,$M124)</f>
        <v>73.852699999999999</v>
      </c>
      <c r="F124" t="str">
        <f t="shared" si="1"/>
        <v>TIER 5</v>
      </c>
      <c r="G124" s="4">
        <f>INDEX('Draft Engine'!$N$3:$N$232,$M124)</f>
        <v>51.802985</v>
      </c>
      <c r="H124" s="4">
        <f>INDEX('Draft Engine'!$R$3:$R$232,$M124)</f>
        <v>146.5</v>
      </c>
      <c r="I124" s="4">
        <f>INDEX('Draft Engine'!$S$3:$S$232,$M124)</f>
        <v>24.5</v>
      </c>
      <c r="J124" s="5"/>
      <c r="K124">
        <f>INDEX('Draft Engine'!$Z$3:$Z$232,$M124)</f>
        <v>122</v>
      </c>
      <c r="L124" t="str">
        <f>INDEX('LIVE SOURCE'!$H$3:$H$232,$M124)</f>
        <v>Deep TE stash; needs a larger route/target role to matter in 10-team leagues.</v>
      </c>
      <c r="M124" s="6">
        <f>MATCH($A124,'Draft Engine'!$Q$3:$Q$232,0)</f>
        <v>179</v>
      </c>
      <c r="N124">
        <f>INDEX('LIVE SOURCE'!$L$3:$L$232,$M124)</f>
        <v>6</v>
      </c>
    </row>
    <row r="125" spans="1:14" x14ac:dyDescent="0.25">
      <c r="A125">
        <v>123</v>
      </c>
      <c r="B125" t="str">
        <f>INDEX('Draft Engine'!$A$3:$A$232,$M125)</f>
        <v>WR</v>
      </c>
      <c r="C125">
        <f>INDEX('Draft Engine'!$F$3:$F$232,$M125)</f>
        <v>44</v>
      </c>
      <c r="D125" t="str">
        <f>INDEX('Draft Engine'!$B$3:$B$232,$M125)</f>
        <v>Michael Wilson</v>
      </c>
      <c r="E125" s="4">
        <f>INDEX('Draft Engine'!$E$3:$E$232,$M125)</f>
        <v>68.849999999999994</v>
      </c>
      <c r="F125" t="str">
        <f t="shared" si="1"/>
        <v>TIER 6</v>
      </c>
      <c r="G125" s="4">
        <f>INDEX('Draft Engine'!$N$3:$N$232,$M125)</f>
        <v>51.416166666666662</v>
      </c>
      <c r="H125" s="4">
        <f>INDEX('Draft Engine'!$R$3:$R$232,$M125)</f>
        <v>88.6</v>
      </c>
      <c r="I125" s="4">
        <f>INDEX('Draft Engine'!$S$3:$S$232,$M125)</f>
        <v>-34.400000000000006</v>
      </c>
      <c r="J125" s="5"/>
      <c r="K125">
        <f>INDEX('Draft Engine'!$Z$3:$Z$232,$M125)</f>
        <v>123</v>
      </c>
      <c r="L125" t="str">
        <f>INDEX('LIVE SOURCE'!$H$3:$H$232,$M125)</f>
        <v>FLEX/bench receiver; needs target growth or efficiency spikes.</v>
      </c>
      <c r="M125" s="6">
        <f>MATCH($A125,'Draft Engine'!$Q$3:$Q$232,0)</f>
        <v>130</v>
      </c>
      <c r="N125">
        <f>INDEX('LIVE SOURCE'!$L$3:$L$232,$M125)</f>
        <v>14</v>
      </c>
    </row>
    <row r="126" spans="1:14" x14ac:dyDescent="0.25">
      <c r="A126">
        <v>124</v>
      </c>
      <c r="B126" t="str">
        <f>INDEX('Draft Engine'!$A$3:$A$232,$M126)</f>
        <v>TE</v>
      </c>
      <c r="C126">
        <f>INDEX('Draft Engine'!$F$3:$F$232,$M126)</f>
        <v>22</v>
      </c>
      <c r="D126" t="str">
        <f>INDEX('Draft Engine'!$B$3:$B$232,$M126)</f>
        <v>Dalton Schultz</v>
      </c>
      <c r="E126" s="4">
        <f>INDEX('Draft Engine'!$E$3:$E$232,$M126)</f>
        <v>73.279499999999999</v>
      </c>
      <c r="F126" t="str">
        <f t="shared" si="1"/>
        <v>TIER 5</v>
      </c>
      <c r="G126" s="4">
        <f>INDEX('Draft Engine'!$N$3:$N$232,$M126)</f>
        <v>51.127724999999998</v>
      </c>
      <c r="H126" s="4">
        <f>INDEX('Draft Engine'!$R$3:$R$232,$M126)</f>
        <v>157.5</v>
      </c>
      <c r="I126" s="4">
        <f>INDEX('Draft Engine'!$S$3:$S$232,$M126)</f>
        <v>33.5</v>
      </c>
      <c r="J126" s="5"/>
      <c r="K126">
        <f>INDEX('Draft Engine'!$Z$3:$Z$232,$M126)</f>
        <v>124</v>
      </c>
      <c r="L126" t="str">
        <f>INDEX('LIVE SOURCE'!$H$3:$H$232,$M126)</f>
        <v>Deep TE stash; needs a larger route/target role to matter in 10-team leagues.</v>
      </c>
      <c r="M126" s="6">
        <f>MATCH($A126,'Draft Engine'!$Q$3:$Q$232,0)</f>
        <v>180</v>
      </c>
      <c r="N126">
        <f>INDEX('LIVE SOURCE'!$L$3:$L$232,$M126)</f>
        <v>8</v>
      </c>
    </row>
    <row r="127" spans="1:14" x14ac:dyDescent="0.25">
      <c r="A127">
        <v>125</v>
      </c>
      <c r="B127" t="str">
        <f>INDEX('Draft Engine'!$A$3:$A$232,$M127)</f>
        <v>RB</v>
      </c>
      <c r="C127">
        <f>INDEX('Draft Engine'!$F$3:$F$232,$M127)</f>
        <v>40</v>
      </c>
      <c r="D127" t="str">
        <f>INDEX('Draft Engine'!$B$3:$B$232,$M127)</f>
        <v>Jordan Mason</v>
      </c>
      <c r="E127" s="4">
        <f>INDEX('Draft Engine'!$E$3:$E$232,$M127)</f>
        <v>67.657399999999996</v>
      </c>
      <c r="F127" t="str">
        <f t="shared" si="1"/>
        <v>TIER 6</v>
      </c>
      <c r="G127" s="4">
        <f>INDEX('Draft Engine'!$N$3:$N$232,$M127)</f>
        <v>50.981945000000003</v>
      </c>
      <c r="H127" s="4">
        <f>INDEX('Draft Engine'!$R$3:$R$232,$M127)</f>
        <v>122.8</v>
      </c>
      <c r="I127" s="4">
        <f>INDEX('Draft Engine'!$S$3:$S$232,$M127)</f>
        <v>-2.2000000000000028</v>
      </c>
      <c r="J127" s="5"/>
      <c r="K127">
        <f>INDEX('Draft Engine'!$Z$3:$Z$232,$M127)</f>
        <v>125</v>
      </c>
      <c r="L127" t="str">
        <f>INDEX('LIVE SOURCE'!$H$3:$H$232,$M127)</f>
        <v>FLEX/bench depth with upside if workload grows.</v>
      </c>
      <c r="M127" s="6">
        <f>MATCH($A127,'Draft Engine'!$Q$3:$Q$232,0)</f>
        <v>72</v>
      </c>
      <c r="N127">
        <f>INDEX('LIVE SOURCE'!$L$3:$L$232,$M127)</f>
        <v>6</v>
      </c>
    </row>
    <row r="128" spans="1:14" x14ac:dyDescent="0.25">
      <c r="A128">
        <v>126</v>
      </c>
      <c r="B128" t="str">
        <f>INDEX('Draft Engine'!$A$3:$A$232,$M128)</f>
        <v>WR</v>
      </c>
      <c r="C128">
        <f>INDEX('Draft Engine'!$F$3:$F$232,$M128)</f>
        <v>45</v>
      </c>
      <c r="D128" t="str">
        <f>INDEX('Draft Engine'!$B$3:$B$232,$M128)</f>
        <v>Courtland Sutton</v>
      </c>
      <c r="E128" s="4">
        <f>INDEX('Draft Engine'!$E$3:$E$232,$M128)</f>
        <v>68.722499999999997</v>
      </c>
      <c r="F128" t="str">
        <f t="shared" si="1"/>
        <v>TIER 6</v>
      </c>
      <c r="G128" s="4">
        <f>INDEX('Draft Engine'!$N$3:$N$232,$M128)</f>
        <v>50.904708333333339</v>
      </c>
      <c r="H128" s="4">
        <f>INDEX('Draft Engine'!$R$3:$R$232,$M128)</f>
        <v>59.6</v>
      </c>
      <c r="I128" s="4">
        <f>INDEX('Draft Engine'!$S$3:$S$232,$M128)</f>
        <v>-66.400000000000006</v>
      </c>
      <c r="J128" s="5"/>
      <c r="K128">
        <f>INDEX('Draft Engine'!$Z$3:$Z$232,$M128)</f>
        <v>126</v>
      </c>
      <c r="L128" t="str">
        <f>INDEX('LIVE SOURCE'!$H$3:$H$232,$M128)</f>
        <v>FLEX/bench receiver; needs target growth or efficiency spikes.</v>
      </c>
      <c r="M128" s="6">
        <f>MATCH($A128,'Draft Engine'!$Q$3:$Q$232,0)</f>
        <v>118</v>
      </c>
      <c r="N128">
        <f>INDEX('LIVE SOURCE'!$L$3:$L$232,$M128)</f>
        <v>10</v>
      </c>
    </row>
    <row r="129" spans="1:14" x14ac:dyDescent="0.25">
      <c r="A129">
        <v>127</v>
      </c>
      <c r="B129" t="str">
        <f>INDEX('Draft Engine'!$A$3:$A$232,$M129)</f>
        <v>TE</v>
      </c>
      <c r="C129">
        <f>INDEX('Draft Engine'!$F$3:$F$232,$M129)</f>
        <v>23</v>
      </c>
      <c r="D129" t="str">
        <f>INDEX('Draft Engine'!$B$3:$B$232,$M129)</f>
        <v>Oronde Gadsden II</v>
      </c>
      <c r="E129" s="4">
        <f>INDEX('Draft Engine'!$E$3:$E$232,$M129)</f>
        <v>72.513800000000003</v>
      </c>
      <c r="F129" t="str">
        <f t="shared" si="1"/>
        <v>TIER 5</v>
      </c>
      <c r="G129" s="4">
        <f>INDEX('Draft Engine'!$N$3:$N$232,$M129)</f>
        <v>50.220590000000009</v>
      </c>
      <c r="H129" s="4">
        <f>INDEX('Draft Engine'!$R$3:$R$232,$M129)</f>
        <v>150.69999999999999</v>
      </c>
      <c r="I129" s="4">
        <f>INDEX('Draft Engine'!$S$3:$S$232,$M129)</f>
        <v>23.699999999999989</v>
      </c>
      <c r="J129" s="5"/>
      <c r="K129">
        <f>INDEX('Draft Engine'!$Z$3:$Z$232,$M129)</f>
        <v>127</v>
      </c>
      <c r="L129" t="str">
        <f>INDEX('LIVE SOURCE'!$H$3:$H$232,$M129)</f>
        <v>Deep TE stash; needs a larger route/target role to matter in 10-team leagues.</v>
      </c>
      <c r="M129" s="6">
        <f>MATCH($A129,'Draft Engine'!$Q$3:$Q$232,0)</f>
        <v>181</v>
      </c>
      <c r="N129">
        <f>INDEX('LIVE SOURCE'!$L$3:$L$232,$M129)</f>
        <v>7</v>
      </c>
    </row>
    <row r="130" spans="1:14" x14ac:dyDescent="0.25">
      <c r="A130">
        <v>128</v>
      </c>
      <c r="B130" t="str">
        <f>INDEX('Draft Engine'!$A$3:$A$232,$M130)</f>
        <v>WR</v>
      </c>
      <c r="C130">
        <f>INDEX('Draft Engine'!$F$3:$F$232,$M130)</f>
        <v>46</v>
      </c>
      <c r="D130" t="str">
        <f>INDEX('Draft Engine'!$B$3:$B$232,$M130)</f>
        <v>Xavier Worthy</v>
      </c>
      <c r="E130" s="4">
        <f>INDEX('Draft Engine'!$E$3:$E$232,$M130)</f>
        <v>68.180000000000007</v>
      </c>
      <c r="F130" t="str">
        <f t="shared" si="1"/>
        <v>TIER 6</v>
      </c>
      <c r="G130" s="4">
        <f>INDEX('Draft Engine'!$N$3:$N$232,$M130)</f>
        <v>49.87700000000001</v>
      </c>
      <c r="H130" s="4">
        <f>INDEX('Draft Engine'!$R$3:$R$232,$M130)</f>
        <v>105.9</v>
      </c>
      <c r="I130" s="4">
        <f>INDEX('Draft Engine'!$S$3:$S$232,$M130)</f>
        <v>-22.099999999999994</v>
      </c>
      <c r="J130" s="5"/>
      <c r="K130">
        <f>INDEX('Draft Engine'!$Z$3:$Z$232,$M130)</f>
        <v>128</v>
      </c>
      <c r="L130" t="str">
        <f>INDEX('LIVE SOURCE'!$H$3:$H$232,$M130)</f>
        <v>FLEX/bench receiver; needs target growth or efficiency spikes.</v>
      </c>
      <c r="M130" s="6">
        <f>MATCH($A130,'Draft Engine'!$Q$3:$Q$232,0)</f>
        <v>131</v>
      </c>
      <c r="N130">
        <f>INDEX('LIVE SOURCE'!$L$3:$L$232,$M130)</f>
        <v>5</v>
      </c>
    </row>
    <row r="131" spans="1:14" x14ac:dyDescent="0.25">
      <c r="A131">
        <v>129</v>
      </c>
      <c r="B131" t="str">
        <f>INDEX('Draft Engine'!$A$3:$A$232,$M131)</f>
        <v>RB</v>
      </c>
      <c r="C131">
        <f>INDEX('Draft Engine'!$F$3:$F$232,$M131)</f>
        <v>41</v>
      </c>
      <c r="D131" t="str">
        <f>INDEX('Draft Engine'!$B$3:$B$232,$M131)</f>
        <v>Woody Marks</v>
      </c>
      <c r="E131" s="4">
        <f>INDEX('Draft Engine'!$E$3:$E$232,$M131)</f>
        <v>66.866200000000006</v>
      </c>
      <c r="F131" t="str">
        <f t="shared" ref="F131:F194" si="2">IF($E131&gt;=95,"ELITE",IF($E131&gt;=90,"TIER 1",IF($E131&gt;=85,"TIER 2",IF($E131&gt;=80,"TIER 3",IF($E131&gt;=75,"TIER 4",IF($E131&gt;=70,"TIER 5",IF($E131&gt;=65,"TIER 6","TIER 7")))))))</f>
        <v>TIER 6</v>
      </c>
      <c r="G131" s="4">
        <f>INDEX('Draft Engine'!$N$3:$N$232,$M131)</f>
        <v>49.575410000000005</v>
      </c>
      <c r="H131" s="4">
        <f>INDEX('Draft Engine'!$R$3:$R$232,$M131)</f>
        <v>149.19999999999999</v>
      </c>
      <c r="I131" s="4">
        <f>INDEX('Draft Engine'!$S$3:$S$232,$M131)</f>
        <v>20.199999999999989</v>
      </c>
      <c r="J131" s="5"/>
      <c r="K131">
        <f>INDEX('Draft Engine'!$Z$3:$Z$232,$M131)</f>
        <v>129</v>
      </c>
      <c r="L131" t="str">
        <f>INDEX('LIVE SOURCE'!$H$3:$H$232,$M131)</f>
        <v>Bench stash/handcuff profile; value is tied to role change or injury ahead.</v>
      </c>
      <c r="M131" s="6">
        <f>MATCH($A131,'Draft Engine'!$Q$3:$Q$232,0)</f>
        <v>73</v>
      </c>
      <c r="N131">
        <f>INDEX('LIVE SOURCE'!$L$3:$L$232,$M131)</f>
        <v>8</v>
      </c>
    </row>
    <row r="132" spans="1:14" x14ac:dyDescent="0.25">
      <c r="A132">
        <v>130</v>
      </c>
      <c r="B132" t="str">
        <f>INDEX('Draft Engine'!$A$3:$A$232,$M132)</f>
        <v>QB</v>
      </c>
      <c r="C132">
        <f>INDEX('Draft Engine'!$F$3:$F$232,$M132)</f>
        <v>20</v>
      </c>
      <c r="D132" t="str">
        <f>INDEX('Draft Engine'!$B$3:$B$232,$M132)</f>
        <v>Tyler Shough</v>
      </c>
      <c r="E132" s="4">
        <f>INDEX('Draft Engine'!$E$3:$E$232,$M132)</f>
        <v>77.365600000000001</v>
      </c>
      <c r="F132" t="str">
        <f t="shared" si="2"/>
        <v>TIER 4</v>
      </c>
      <c r="G132" s="4">
        <f>INDEX('Draft Engine'!$N$3:$N$232,$M132)</f>
        <v>48.995695384615388</v>
      </c>
      <c r="H132" s="4">
        <f>INDEX('Draft Engine'!$R$3:$R$232,$M132)</f>
        <v>137.69999999999999</v>
      </c>
      <c r="I132" s="4">
        <f>INDEX('Draft Engine'!$S$3:$S$232,$M132)</f>
        <v>7.6999999999999886</v>
      </c>
      <c r="J132" s="5"/>
      <c r="K132">
        <f>INDEX('Draft Engine'!$Z$3:$Z$232,$M132)</f>
        <v>130</v>
      </c>
      <c r="L132" t="str">
        <f>INDEX('LIVE SOURCE'!$H$3:$H$232,$M132)</f>
        <v>Bench/streaming option; needs matchup, rushing or TD spike weeks.</v>
      </c>
      <c r="M132" s="6">
        <f>MATCH($A132,'Draft Engine'!$Q$3:$Q$232,0)</f>
        <v>20</v>
      </c>
      <c r="N132">
        <f>INDEX('LIVE SOURCE'!$L$3:$L$232,$M132)</f>
        <v>8</v>
      </c>
    </row>
    <row r="133" spans="1:14" x14ac:dyDescent="0.25">
      <c r="A133">
        <v>131</v>
      </c>
      <c r="B133" t="str">
        <f>INDEX('Draft Engine'!$A$3:$A$232,$M133)</f>
        <v>DST</v>
      </c>
      <c r="C133">
        <f>INDEX('Draft Engine'!$F$3:$F$232,$M133)</f>
        <v>1</v>
      </c>
      <c r="D133" t="str">
        <f>INDEX('Draft Engine'!$B$3:$B$232,$M133)</f>
        <v>Houston Texans</v>
      </c>
      <c r="E133" s="4">
        <f>INDEX('Draft Engine'!$E$3:$E$232,$M133)</f>
        <v>93</v>
      </c>
      <c r="F133" t="str">
        <f t="shared" si="2"/>
        <v>TIER 1</v>
      </c>
      <c r="G133" s="4">
        <f>INDEX('Draft Engine'!$N$3:$N$232,$M133)</f>
        <v>56.854000000000013</v>
      </c>
      <c r="H133" s="4">
        <f>INDEX('Draft Engine'!$R$3:$R$232,$M133)</f>
        <v>160</v>
      </c>
      <c r="I133" s="4">
        <f>INDEX('Draft Engine'!$S$3:$S$232,$M133)</f>
        <v>29</v>
      </c>
      <c r="J133" s="5"/>
      <c r="K133">
        <f>INDEX('Draft Engine'!$Z$3:$Z$232,$M133)</f>
        <v>131</v>
      </c>
      <c r="L133" t="str">
        <f>INDEX('LIVE SOURCE'!$H$3:$H$232,$M133)</f>
        <v>Elite DST target if available in the final rounds; otherwise streaming remains viable.</v>
      </c>
      <c r="M133" s="6">
        <f>MATCH($A133,'Draft Engine'!$Q$3:$Q$232,0)</f>
        <v>199</v>
      </c>
      <c r="N133">
        <f>INDEX('LIVE SOURCE'!$L$3:$L$232,$M133)</f>
        <v>8</v>
      </c>
    </row>
    <row r="134" spans="1:14" x14ac:dyDescent="0.25">
      <c r="A134">
        <v>132</v>
      </c>
      <c r="B134" t="str">
        <f>INDEX('Draft Engine'!$A$3:$A$232,$M134)</f>
        <v>DST</v>
      </c>
      <c r="C134">
        <f>INDEX('Draft Engine'!$F$3:$F$232,$M134)</f>
        <v>2</v>
      </c>
      <c r="D134" t="str">
        <f>INDEX('Draft Engine'!$B$3:$B$232,$M134)</f>
        <v>Denver Broncos</v>
      </c>
      <c r="E134" s="4">
        <f>INDEX('Draft Engine'!$E$3:$E$232,$M134)</f>
        <v>91.9</v>
      </c>
      <c r="F134" t="str">
        <f t="shared" si="2"/>
        <v>TIER 1</v>
      </c>
      <c r="G134" s="4">
        <f>INDEX('Draft Engine'!$N$3:$N$232,$M134)</f>
        <v>55.38900000000001</v>
      </c>
      <c r="H134" s="4">
        <f>INDEX('Draft Engine'!$R$3:$R$232,$M134)</f>
        <v>164</v>
      </c>
      <c r="I134" s="4">
        <f>INDEX('Draft Engine'!$S$3:$S$232,$M134)</f>
        <v>32</v>
      </c>
      <c r="J134" s="5"/>
      <c r="K134">
        <f>INDEX('Draft Engine'!$Z$3:$Z$232,$M134)</f>
        <v>132</v>
      </c>
      <c r="L134" t="str">
        <f>INDEX('LIVE SOURCE'!$H$3:$H$232,$M134)</f>
        <v>Elite DST target if available in the final rounds; otherwise streaming remains viable.</v>
      </c>
      <c r="M134" s="6">
        <f>MATCH($A134,'Draft Engine'!$Q$3:$Q$232,0)</f>
        <v>200</v>
      </c>
      <c r="N134">
        <f>INDEX('LIVE SOURCE'!$L$3:$L$232,$M134)</f>
        <v>10</v>
      </c>
    </row>
    <row r="135" spans="1:14" x14ac:dyDescent="0.25">
      <c r="A135">
        <v>133</v>
      </c>
      <c r="B135" t="str">
        <f>INDEX('Draft Engine'!$A$3:$A$232,$M135)</f>
        <v>DST</v>
      </c>
      <c r="C135">
        <f>INDEX('Draft Engine'!$F$3:$F$232,$M135)</f>
        <v>3</v>
      </c>
      <c r="D135" t="str">
        <f>INDEX('Draft Engine'!$B$3:$B$232,$M135)</f>
        <v>Seattle Seahawks</v>
      </c>
      <c r="E135" s="4">
        <f>INDEX('Draft Engine'!$E$3:$E$232,$M135)</f>
        <v>90.8</v>
      </c>
      <c r="F135" t="str">
        <f t="shared" si="2"/>
        <v>TIER 1</v>
      </c>
      <c r="G135" s="4">
        <f>INDEX('Draft Engine'!$N$3:$N$232,$M135)</f>
        <v>53.924000000000007</v>
      </c>
      <c r="H135" s="4">
        <f>INDEX('Draft Engine'!$R$3:$R$232,$M135)</f>
        <v>168</v>
      </c>
      <c r="I135" s="4">
        <f>INDEX('Draft Engine'!$S$3:$S$232,$M135)</f>
        <v>35</v>
      </c>
      <c r="J135" s="5"/>
      <c r="K135">
        <f>INDEX('Draft Engine'!$Z$3:$Z$232,$M135)</f>
        <v>133</v>
      </c>
      <c r="L135" t="str">
        <f>INDEX('LIVE SOURCE'!$H$3:$H$232,$M135)</f>
        <v>Elite DST target if available in the final rounds; otherwise streaming remains viable.</v>
      </c>
      <c r="M135" s="6">
        <f>MATCH($A135,'Draft Engine'!$Q$3:$Q$232,0)</f>
        <v>201</v>
      </c>
      <c r="N135">
        <f>INDEX('LIVE SOURCE'!$L$3:$L$232,$M135)</f>
        <v>11</v>
      </c>
    </row>
    <row r="136" spans="1:14" x14ac:dyDescent="0.25">
      <c r="A136">
        <v>134</v>
      </c>
      <c r="B136" t="str">
        <f>INDEX('Draft Engine'!$A$3:$A$232,$M136)</f>
        <v>DST</v>
      </c>
      <c r="C136">
        <f>INDEX('Draft Engine'!$F$3:$F$232,$M136)</f>
        <v>4</v>
      </c>
      <c r="D136" t="str">
        <f>INDEX('Draft Engine'!$B$3:$B$232,$M136)</f>
        <v>Los Angeles Rams</v>
      </c>
      <c r="E136" s="4">
        <f>INDEX('Draft Engine'!$E$3:$E$232,$M136)</f>
        <v>89.7</v>
      </c>
      <c r="F136" t="str">
        <f t="shared" si="2"/>
        <v>TIER 2</v>
      </c>
      <c r="G136" s="4">
        <f>INDEX('Draft Engine'!$N$3:$N$232,$M136)</f>
        <v>52.477000000000004</v>
      </c>
      <c r="H136" s="4">
        <f>INDEX('Draft Engine'!$R$3:$R$232,$M136)</f>
        <v>134.1</v>
      </c>
      <c r="I136" s="4">
        <f>INDEX('Draft Engine'!$S$3:$S$232,$M136)</f>
        <v>9.9999999999994316E-2</v>
      </c>
      <c r="J136" s="5"/>
      <c r="K136">
        <f>INDEX('Draft Engine'!$Z$3:$Z$232,$M136)</f>
        <v>134</v>
      </c>
      <c r="L136" t="str">
        <f>INDEX('LIVE SOURCE'!$H$3:$H$232,$M136)</f>
        <v>Elite DST target if available in the final rounds; otherwise streaming remains viable.</v>
      </c>
      <c r="M136" s="6">
        <f>MATCH($A136,'Draft Engine'!$Q$3:$Q$232,0)</f>
        <v>202</v>
      </c>
      <c r="N136">
        <f>INDEX('LIVE SOURCE'!$L$3:$L$232,$M136)</f>
        <v>11</v>
      </c>
    </row>
    <row r="137" spans="1:14" x14ac:dyDescent="0.25">
      <c r="A137">
        <v>135</v>
      </c>
      <c r="B137" t="str">
        <f>INDEX('Draft Engine'!$A$3:$A$232,$M137)</f>
        <v>DST</v>
      </c>
      <c r="C137">
        <f>INDEX('Draft Engine'!$F$3:$F$232,$M137)</f>
        <v>5</v>
      </c>
      <c r="D137" t="str">
        <f>INDEX('Draft Engine'!$B$3:$B$232,$M137)</f>
        <v>Philadelphia Eagles</v>
      </c>
      <c r="E137" s="4">
        <f>INDEX('Draft Engine'!$E$3:$E$232,$M137)</f>
        <v>88.6</v>
      </c>
      <c r="F137" t="str">
        <f t="shared" si="2"/>
        <v>TIER 2</v>
      </c>
      <c r="G137" s="4">
        <f>INDEX('Draft Engine'!$N$3:$N$232,$M137)</f>
        <v>51.012</v>
      </c>
      <c r="H137" s="4">
        <f>INDEX('Draft Engine'!$R$3:$R$232,$M137)</f>
        <v>176</v>
      </c>
      <c r="I137" s="4">
        <f>INDEX('Draft Engine'!$S$3:$S$232,$M137)</f>
        <v>41</v>
      </c>
      <c r="J137" s="5"/>
      <c r="K137">
        <f>INDEX('Draft Engine'!$Z$3:$Z$232,$M137)</f>
        <v>135</v>
      </c>
      <c r="L137" t="str">
        <f>INDEX('LIVE SOURCE'!$H$3:$H$232,$M137)</f>
        <v>Elite DST target if available in the final rounds; otherwise streaming remains viable.</v>
      </c>
      <c r="M137" s="6">
        <f>MATCH($A137,'Draft Engine'!$Q$3:$Q$232,0)</f>
        <v>203</v>
      </c>
      <c r="N137">
        <f>INDEX('LIVE SOURCE'!$L$3:$L$232,$M137)</f>
        <v>10</v>
      </c>
    </row>
    <row r="138" spans="1:14" x14ac:dyDescent="0.25">
      <c r="A138">
        <v>136</v>
      </c>
      <c r="B138" t="str">
        <f>INDEX('Draft Engine'!$A$3:$A$232,$M138)</f>
        <v>DST</v>
      </c>
      <c r="C138">
        <f>INDEX('Draft Engine'!$F$3:$F$232,$M138)</f>
        <v>6</v>
      </c>
      <c r="D138" t="str">
        <f>INDEX('Draft Engine'!$B$3:$B$232,$M138)</f>
        <v>Minnesota Vikings</v>
      </c>
      <c r="E138" s="4">
        <f>INDEX('Draft Engine'!$E$3:$E$232,$M138)</f>
        <v>87.5</v>
      </c>
      <c r="F138" t="str">
        <f t="shared" si="2"/>
        <v>TIER 2</v>
      </c>
      <c r="G138" s="4">
        <f>INDEX('Draft Engine'!$N$3:$N$232,$M138)</f>
        <v>49.547000000000011</v>
      </c>
      <c r="H138" s="4">
        <f>INDEX('Draft Engine'!$R$3:$R$232,$M138)</f>
        <v>180</v>
      </c>
      <c r="I138" s="4">
        <f>INDEX('Draft Engine'!$S$3:$S$232,$M138)</f>
        <v>44</v>
      </c>
      <c r="J138" s="5"/>
      <c r="K138">
        <f>INDEX('Draft Engine'!$Z$3:$Z$232,$M138)</f>
        <v>136</v>
      </c>
      <c r="L138" t="str">
        <f>INDEX('LIVE SOURCE'!$H$3:$H$232,$M138)</f>
        <v>Streaming/late-round defense; matchup matters more than preseason rank.</v>
      </c>
      <c r="M138" s="6">
        <f>MATCH($A138,'Draft Engine'!$Q$3:$Q$232,0)</f>
        <v>204</v>
      </c>
      <c r="N138">
        <f>INDEX('LIVE SOURCE'!$L$3:$L$232,$M138)</f>
        <v>6</v>
      </c>
    </row>
    <row r="139" spans="1:14" x14ac:dyDescent="0.25">
      <c r="A139">
        <v>137</v>
      </c>
      <c r="B139" t="str">
        <f>INDEX('Draft Engine'!$A$3:$A$232,$M139)</f>
        <v>DST</v>
      </c>
      <c r="C139">
        <f>INDEX('Draft Engine'!$F$3:$F$232,$M139)</f>
        <v>7</v>
      </c>
      <c r="D139" t="str">
        <f>INDEX('Draft Engine'!$B$3:$B$232,$M139)</f>
        <v>New England Patriots</v>
      </c>
      <c r="E139" s="4">
        <f>INDEX('Draft Engine'!$E$3:$E$232,$M139)</f>
        <v>86.4</v>
      </c>
      <c r="F139" t="str">
        <f t="shared" si="2"/>
        <v>TIER 2</v>
      </c>
      <c r="G139" s="4">
        <f>INDEX('Draft Engine'!$N$3:$N$232,$M139)</f>
        <v>48.082000000000008</v>
      </c>
      <c r="H139" s="4">
        <f>INDEX('Draft Engine'!$R$3:$R$232,$M139)</f>
        <v>184</v>
      </c>
      <c r="I139" s="4">
        <f>INDEX('Draft Engine'!$S$3:$S$232,$M139)</f>
        <v>47</v>
      </c>
      <c r="J139" s="5"/>
      <c r="K139">
        <f>INDEX('Draft Engine'!$Z$3:$Z$232,$M139)</f>
        <v>137</v>
      </c>
      <c r="L139" t="str">
        <f>INDEX('LIVE SOURCE'!$H$3:$H$232,$M139)</f>
        <v>Streaming/late-round defense; matchup matters more than preseason rank.</v>
      </c>
      <c r="M139" s="6">
        <f>MATCH($A139,'Draft Engine'!$Q$3:$Q$232,0)</f>
        <v>205</v>
      </c>
      <c r="N139">
        <f>INDEX('LIVE SOURCE'!$L$3:$L$232,$M139)</f>
        <v>11</v>
      </c>
    </row>
    <row r="140" spans="1:14" x14ac:dyDescent="0.25">
      <c r="A140">
        <v>138</v>
      </c>
      <c r="B140" t="str">
        <f>INDEX('Draft Engine'!$A$3:$A$232,$M140)</f>
        <v>DST</v>
      </c>
      <c r="C140">
        <f>INDEX('Draft Engine'!$F$3:$F$232,$M140)</f>
        <v>8</v>
      </c>
      <c r="D140" t="str">
        <f>INDEX('Draft Engine'!$B$3:$B$232,$M140)</f>
        <v>Jacksonville Jaguars</v>
      </c>
      <c r="E140" s="4">
        <f>INDEX('Draft Engine'!$E$3:$E$232,$M140)</f>
        <v>85.3</v>
      </c>
      <c r="F140" t="str">
        <f t="shared" si="2"/>
        <v>TIER 2</v>
      </c>
      <c r="G140" s="4">
        <f>INDEX('Draft Engine'!$N$3:$N$232,$M140)</f>
        <v>46.61699999999999</v>
      </c>
      <c r="H140" s="4">
        <f>INDEX('Draft Engine'!$R$3:$R$232,$M140)</f>
        <v>188</v>
      </c>
      <c r="I140" s="4">
        <f>INDEX('Draft Engine'!$S$3:$S$232,$M140)</f>
        <v>50</v>
      </c>
      <c r="J140" s="5"/>
      <c r="K140">
        <f>INDEX('Draft Engine'!$Z$3:$Z$232,$M140)</f>
        <v>138</v>
      </c>
      <c r="L140" t="str">
        <f>INDEX('LIVE SOURCE'!$H$3:$H$232,$M140)</f>
        <v>Streaming/late-round defense; matchup matters more than preseason rank.</v>
      </c>
      <c r="M140" s="6">
        <f>MATCH($A140,'Draft Engine'!$Q$3:$Q$232,0)</f>
        <v>206</v>
      </c>
      <c r="N140">
        <f>INDEX('LIVE SOURCE'!$L$3:$L$232,$M140)</f>
        <v>7</v>
      </c>
    </row>
    <row r="141" spans="1:14" x14ac:dyDescent="0.25">
      <c r="A141">
        <v>139</v>
      </c>
      <c r="B141" t="str">
        <f>INDEX('Draft Engine'!$A$3:$A$232,$M141)</f>
        <v>DST</v>
      </c>
      <c r="C141">
        <f>INDEX('Draft Engine'!$F$3:$F$232,$M141)</f>
        <v>9</v>
      </c>
      <c r="D141" t="str">
        <f>INDEX('Draft Engine'!$B$3:$B$232,$M141)</f>
        <v>Pittsburgh Steelers</v>
      </c>
      <c r="E141" s="4">
        <f>INDEX('Draft Engine'!$E$3:$E$232,$M141)</f>
        <v>84.2</v>
      </c>
      <c r="F141" t="str">
        <f t="shared" si="2"/>
        <v>TIER 3</v>
      </c>
      <c r="G141" s="4">
        <f>INDEX('Draft Engine'!$N$3:$N$232,$M141)</f>
        <v>45.17</v>
      </c>
      <c r="H141" s="4">
        <f>INDEX('Draft Engine'!$R$3:$R$232,$M141)</f>
        <v>192</v>
      </c>
      <c r="I141" s="4">
        <f>INDEX('Draft Engine'!$S$3:$S$232,$M141)</f>
        <v>53</v>
      </c>
      <c r="J141" s="5"/>
      <c r="K141">
        <f>INDEX('Draft Engine'!$Z$3:$Z$232,$M141)</f>
        <v>139</v>
      </c>
      <c r="L141" t="str">
        <f>INDEX('LIVE SOURCE'!$H$3:$H$232,$M141)</f>
        <v>Streaming/late-round defense; matchup matters more than preseason rank.</v>
      </c>
      <c r="M141" s="6">
        <f>MATCH($A141,'Draft Engine'!$Q$3:$Q$232,0)</f>
        <v>207</v>
      </c>
      <c r="N141">
        <f>INDEX('LIVE SOURCE'!$L$3:$L$232,$M141)</f>
        <v>9</v>
      </c>
    </row>
    <row r="142" spans="1:14" x14ac:dyDescent="0.25">
      <c r="A142">
        <v>140</v>
      </c>
      <c r="B142" t="str">
        <f>INDEX('Draft Engine'!$A$3:$A$232,$M142)</f>
        <v>DST</v>
      </c>
      <c r="C142">
        <f>INDEX('Draft Engine'!$F$3:$F$232,$M142)</f>
        <v>10</v>
      </c>
      <c r="D142" t="str">
        <f>INDEX('Draft Engine'!$B$3:$B$232,$M142)</f>
        <v>Los Angeles Chargers</v>
      </c>
      <c r="E142" s="4">
        <f>INDEX('Draft Engine'!$E$3:$E$232,$M142)</f>
        <v>83.1</v>
      </c>
      <c r="F142" t="str">
        <f t="shared" si="2"/>
        <v>TIER 3</v>
      </c>
      <c r="G142" s="4">
        <f>INDEX('Draft Engine'!$N$3:$N$232,$M142)</f>
        <v>43.704999999999998</v>
      </c>
      <c r="H142" s="4">
        <f>INDEX('Draft Engine'!$R$3:$R$232,$M142)</f>
        <v>144.69999999999999</v>
      </c>
      <c r="I142" s="4">
        <f>INDEX('Draft Engine'!$S$3:$S$232,$M142)</f>
        <v>4.6999999999999886</v>
      </c>
      <c r="J142" s="5"/>
      <c r="K142">
        <f>INDEX('Draft Engine'!$Z$3:$Z$232,$M142)</f>
        <v>140</v>
      </c>
      <c r="L142" t="str">
        <f>INDEX('LIVE SOURCE'!$H$3:$H$232,$M142)</f>
        <v>Streaming/late-round defense; matchup matters more than preseason rank.</v>
      </c>
      <c r="M142" s="6">
        <f>MATCH($A142,'Draft Engine'!$Q$3:$Q$232,0)</f>
        <v>208</v>
      </c>
      <c r="N142">
        <f>INDEX('LIVE SOURCE'!$L$3:$L$232,$M142)</f>
        <v>7</v>
      </c>
    </row>
    <row r="143" spans="1:14" x14ac:dyDescent="0.25">
      <c r="A143">
        <v>141</v>
      </c>
      <c r="B143" t="str">
        <f>INDEX('Draft Engine'!$A$3:$A$232,$M143)</f>
        <v>K</v>
      </c>
      <c r="C143">
        <f>INDEX('Draft Engine'!$F$3:$F$232,$M143)</f>
        <v>1</v>
      </c>
      <c r="D143" t="str">
        <f>INDEX('Draft Engine'!$B$3:$B$232,$M143)</f>
        <v>Brandon Aubrey</v>
      </c>
      <c r="E143" s="4">
        <f>INDEX('Draft Engine'!$E$3:$E$232,$M143)</f>
        <v>94</v>
      </c>
      <c r="F143" t="str">
        <f t="shared" si="2"/>
        <v>TIER 1</v>
      </c>
      <c r="G143" s="4">
        <f>INDEX('Draft Engine'!$N$3:$N$232,$M143)</f>
        <v>64.078000000000003</v>
      </c>
      <c r="H143" s="4">
        <f>INDEX('Draft Engine'!$R$3:$R$232,$M143)</f>
        <v>155</v>
      </c>
      <c r="I143" s="4">
        <f>INDEX('Draft Engine'!$S$3:$S$232,$M143)</f>
        <v>14</v>
      </c>
      <c r="J143" s="5"/>
      <c r="K143">
        <f>INDEX('Draft Engine'!$Z$3:$Z$232,$M143)</f>
        <v>141</v>
      </c>
      <c r="L143" t="str">
        <f>INDEX('LIVE SOURCE'!$H$3:$H$232,$M143)</f>
        <v>Top-tier kicker option, but still a final-round target.</v>
      </c>
      <c r="M143" s="6">
        <f>MATCH($A143,'Draft Engine'!$Q$3:$Q$232,0)</f>
        <v>187</v>
      </c>
      <c r="N143">
        <f>INDEX('LIVE SOURCE'!$L$3:$L$232,$M143)</f>
        <v>14</v>
      </c>
    </row>
    <row r="144" spans="1:14" x14ac:dyDescent="0.25">
      <c r="A144">
        <v>142</v>
      </c>
      <c r="B144" t="str">
        <f>INDEX('Draft Engine'!$A$3:$A$232,$M144)</f>
        <v>K</v>
      </c>
      <c r="C144">
        <f>INDEX('Draft Engine'!$F$3:$F$232,$M144)</f>
        <v>2</v>
      </c>
      <c r="D144" t="str">
        <f>INDEX('Draft Engine'!$B$3:$B$232,$M144)</f>
        <v>Ka'imi Fairbairn</v>
      </c>
      <c r="E144" s="4">
        <f>INDEX('Draft Engine'!$E$3:$E$232,$M144)</f>
        <v>91.8</v>
      </c>
      <c r="F144" t="str">
        <f t="shared" si="2"/>
        <v>TIER 1</v>
      </c>
      <c r="G144" s="4">
        <f>INDEX('Draft Engine'!$N$3:$N$232,$M144)</f>
        <v>61.52600000000001</v>
      </c>
      <c r="H144" s="4">
        <f>INDEX('Draft Engine'!$R$3:$R$232,$M144)</f>
        <v>160</v>
      </c>
      <c r="I144" s="4">
        <f>INDEX('Draft Engine'!$S$3:$S$232,$M144)</f>
        <v>18</v>
      </c>
      <c r="J144" s="5"/>
      <c r="K144">
        <f>INDEX('Draft Engine'!$Z$3:$Z$232,$M144)</f>
        <v>142</v>
      </c>
      <c r="L144" t="str">
        <f>INDEX('LIVE SOURCE'!$H$3:$H$232,$M144)</f>
        <v>Top-tier kicker option, but still a final-round target.</v>
      </c>
      <c r="M144" s="6">
        <f>MATCH($A144,'Draft Engine'!$Q$3:$Q$232,0)</f>
        <v>188</v>
      </c>
      <c r="N144">
        <f>INDEX('LIVE SOURCE'!$L$3:$L$232,$M144)</f>
        <v>8</v>
      </c>
    </row>
    <row r="145" spans="1:14" x14ac:dyDescent="0.25">
      <c r="A145">
        <v>143</v>
      </c>
      <c r="B145" t="str">
        <f>INDEX('Draft Engine'!$A$3:$A$232,$M145)</f>
        <v>K</v>
      </c>
      <c r="C145">
        <f>INDEX('Draft Engine'!$F$3:$F$232,$M145)</f>
        <v>3</v>
      </c>
      <c r="D145" t="str">
        <f>INDEX('Draft Engine'!$B$3:$B$232,$M145)</f>
        <v>Cameron Dicker</v>
      </c>
      <c r="E145" s="4">
        <f>INDEX('Draft Engine'!$E$3:$E$232,$M145)</f>
        <v>89.6</v>
      </c>
      <c r="F145" t="str">
        <f t="shared" si="2"/>
        <v>TIER 2</v>
      </c>
      <c r="G145" s="4">
        <f>INDEX('Draft Engine'!$N$3:$N$232,$M145)</f>
        <v>58.974000000000004</v>
      </c>
      <c r="H145" s="4">
        <f>INDEX('Draft Engine'!$R$3:$R$232,$M145)</f>
        <v>165</v>
      </c>
      <c r="I145" s="4">
        <f>INDEX('Draft Engine'!$S$3:$S$232,$M145)</f>
        <v>22</v>
      </c>
      <c r="J145" s="5"/>
      <c r="K145">
        <f>INDEX('Draft Engine'!$Z$3:$Z$232,$M145)</f>
        <v>143</v>
      </c>
      <c r="L145" t="str">
        <f>INDEX('LIVE SOURCE'!$H$3:$H$232,$M145)</f>
        <v>Top-tier kicker option, but still a final-round target.</v>
      </c>
      <c r="M145" s="6">
        <f>MATCH($A145,'Draft Engine'!$Q$3:$Q$232,0)</f>
        <v>189</v>
      </c>
      <c r="N145">
        <f>INDEX('LIVE SOURCE'!$L$3:$L$232,$M145)</f>
        <v>7</v>
      </c>
    </row>
    <row r="146" spans="1:14" x14ac:dyDescent="0.25">
      <c r="A146">
        <v>144</v>
      </c>
      <c r="B146" t="str">
        <f>INDEX('Draft Engine'!$A$3:$A$232,$M146)</f>
        <v>K</v>
      </c>
      <c r="C146">
        <f>INDEX('Draft Engine'!$F$3:$F$232,$M146)</f>
        <v>4</v>
      </c>
      <c r="D146" t="str">
        <f>INDEX('Draft Engine'!$B$3:$B$232,$M146)</f>
        <v>Jason Myers</v>
      </c>
      <c r="E146" s="4">
        <f>INDEX('Draft Engine'!$E$3:$E$232,$M146)</f>
        <v>87.4</v>
      </c>
      <c r="F146" t="str">
        <f t="shared" si="2"/>
        <v>TIER 2</v>
      </c>
      <c r="G146" s="4">
        <f>INDEX('Draft Engine'!$N$3:$N$232,$M146)</f>
        <v>56.421999999999997</v>
      </c>
      <c r="H146" s="4">
        <f>INDEX('Draft Engine'!$R$3:$R$232,$M146)</f>
        <v>170</v>
      </c>
      <c r="I146" s="4">
        <f>INDEX('Draft Engine'!$S$3:$S$232,$M146)</f>
        <v>26</v>
      </c>
      <c r="J146" s="5"/>
      <c r="K146">
        <f>INDEX('Draft Engine'!$Z$3:$Z$232,$M146)</f>
        <v>144</v>
      </c>
      <c r="L146" t="str">
        <f>INDEX('LIVE SOURCE'!$H$3:$H$232,$M146)</f>
        <v>Top-tier kicker option, but still a final-round target.</v>
      </c>
      <c r="M146" s="6">
        <f>MATCH($A146,'Draft Engine'!$Q$3:$Q$232,0)</f>
        <v>190</v>
      </c>
      <c r="N146">
        <f>INDEX('LIVE SOURCE'!$L$3:$L$232,$M146)</f>
        <v>11</v>
      </c>
    </row>
    <row r="147" spans="1:14" x14ac:dyDescent="0.25">
      <c r="A147">
        <v>145</v>
      </c>
      <c r="B147" t="str">
        <f>INDEX('Draft Engine'!$A$3:$A$232,$M147)</f>
        <v>K</v>
      </c>
      <c r="C147">
        <f>INDEX('Draft Engine'!$F$3:$F$232,$M147)</f>
        <v>5</v>
      </c>
      <c r="D147" t="str">
        <f>INDEX('Draft Engine'!$B$3:$B$232,$M147)</f>
        <v>Cam Little</v>
      </c>
      <c r="E147" s="4">
        <f>INDEX('Draft Engine'!$E$3:$E$232,$M147)</f>
        <v>85.2</v>
      </c>
      <c r="F147" t="str">
        <f t="shared" si="2"/>
        <v>TIER 2</v>
      </c>
      <c r="G147" s="4">
        <f>INDEX('Draft Engine'!$N$3:$N$232,$M147)</f>
        <v>53.870000000000005</v>
      </c>
      <c r="H147" s="4">
        <f>INDEX('Draft Engine'!$R$3:$R$232,$M147)</f>
        <v>175</v>
      </c>
      <c r="I147" s="4">
        <f>INDEX('Draft Engine'!$S$3:$S$232,$M147)</f>
        <v>30</v>
      </c>
      <c r="J147" s="5"/>
      <c r="K147">
        <f>INDEX('Draft Engine'!$Z$3:$Z$232,$M147)</f>
        <v>145</v>
      </c>
      <c r="L147" t="str">
        <f>INDEX('LIVE SOURCE'!$H$3:$H$232,$M147)</f>
        <v>Top-tier kicker option, but still a final-round target.</v>
      </c>
      <c r="M147" s="6">
        <f>MATCH($A147,'Draft Engine'!$Q$3:$Q$232,0)</f>
        <v>191</v>
      </c>
      <c r="N147">
        <f>INDEX('LIVE SOURCE'!$L$3:$L$232,$M147)</f>
        <v>7</v>
      </c>
    </row>
    <row r="148" spans="1:14" x14ac:dyDescent="0.25">
      <c r="A148">
        <v>146</v>
      </c>
      <c r="B148" t="str">
        <f>INDEX('Draft Engine'!$A$3:$A$232,$M148)</f>
        <v>K</v>
      </c>
      <c r="C148">
        <f>INDEX('Draft Engine'!$F$3:$F$232,$M148)</f>
        <v>6</v>
      </c>
      <c r="D148" t="str">
        <f>INDEX('Draft Engine'!$B$3:$B$232,$M148)</f>
        <v>Eddy Pineiro</v>
      </c>
      <c r="E148" s="4">
        <f>INDEX('Draft Engine'!$E$3:$E$232,$M148)</f>
        <v>83</v>
      </c>
      <c r="F148" t="str">
        <f t="shared" si="2"/>
        <v>TIER 3</v>
      </c>
      <c r="G148" s="4">
        <f>INDEX('Draft Engine'!$N$3:$N$232,$M148)</f>
        <v>51.318000000000012</v>
      </c>
      <c r="H148" s="4">
        <f>INDEX('Draft Engine'!$R$3:$R$232,$M148)</f>
        <v>180</v>
      </c>
      <c r="I148" s="4">
        <f>INDEX('Draft Engine'!$S$3:$S$232,$M148)</f>
        <v>34</v>
      </c>
      <c r="J148" s="5"/>
      <c r="K148">
        <f>INDEX('Draft Engine'!$Z$3:$Z$232,$M148)</f>
        <v>146</v>
      </c>
      <c r="L148" t="str">
        <f>INDEX('LIVE SOURCE'!$H$3:$H$232,$M148)</f>
        <v>Late-round kicker; treat as replaceable unless scoring strongly rewards distance.</v>
      </c>
      <c r="M148" s="6">
        <f>MATCH($A148,'Draft Engine'!$Q$3:$Q$232,0)</f>
        <v>192</v>
      </c>
      <c r="N148">
        <f>INDEX('LIVE SOURCE'!$L$3:$L$232,$M148)</f>
        <v>8</v>
      </c>
    </row>
    <row r="149" spans="1:14" x14ac:dyDescent="0.25">
      <c r="A149">
        <v>147</v>
      </c>
      <c r="B149" t="str">
        <f>INDEX('Draft Engine'!$A$3:$A$232,$M149)</f>
        <v>K</v>
      </c>
      <c r="C149">
        <f>INDEX('Draft Engine'!$F$3:$F$232,$M149)</f>
        <v>7</v>
      </c>
      <c r="D149" t="str">
        <f>INDEX('Draft Engine'!$B$3:$B$232,$M149)</f>
        <v>Tyler Loop</v>
      </c>
      <c r="E149" s="4">
        <f>INDEX('Draft Engine'!$E$3:$E$232,$M149)</f>
        <v>80.8</v>
      </c>
      <c r="F149" t="str">
        <f t="shared" si="2"/>
        <v>TIER 3</v>
      </c>
      <c r="G149" s="4">
        <f>INDEX('Draft Engine'!$N$3:$N$232,$M149)</f>
        <v>48.766000000000005</v>
      </c>
      <c r="H149" s="4">
        <f>INDEX('Draft Engine'!$R$3:$R$232,$M149)</f>
        <v>185</v>
      </c>
      <c r="I149" s="4">
        <f>INDEX('Draft Engine'!$S$3:$S$232,$M149)</f>
        <v>38</v>
      </c>
      <c r="J149" s="5"/>
      <c r="K149">
        <f>INDEX('Draft Engine'!$Z$3:$Z$232,$M149)</f>
        <v>147</v>
      </c>
      <c r="L149" t="str">
        <f>INDEX('LIVE SOURCE'!$H$3:$H$232,$M149)</f>
        <v>Late-round kicker; treat as replaceable unless scoring strongly rewards distance.</v>
      </c>
      <c r="M149" s="6">
        <f>MATCH($A149,'Draft Engine'!$Q$3:$Q$232,0)</f>
        <v>193</v>
      </c>
      <c r="N149">
        <f>INDEX('LIVE SOURCE'!$L$3:$L$232,$M149)</f>
        <v>13</v>
      </c>
    </row>
    <row r="150" spans="1:14" x14ac:dyDescent="0.25">
      <c r="A150">
        <v>148</v>
      </c>
      <c r="B150" t="str">
        <f>INDEX('Draft Engine'!$A$3:$A$232,$M150)</f>
        <v>K</v>
      </c>
      <c r="C150">
        <f>INDEX('Draft Engine'!$F$3:$F$232,$M150)</f>
        <v>8</v>
      </c>
      <c r="D150" t="str">
        <f>INDEX('Draft Engine'!$B$3:$B$232,$M150)</f>
        <v>Harrison Mevis</v>
      </c>
      <c r="E150" s="4">
        <f>INDEX('Draft Engine'!$E$3:$E$232,$M150)</f>
        <v>78.599999999999994</v>
      </c>
      <c r="F150" t="str">
        <f t="shared" si="2"/>
        <v>TIER 4</v>
      </c>
      <c r="G150" s="4">
        <f>INDEX('Draft Engine'!$N$3:$N$232,$M150)</f>
        <v>46.213999999999999</v>
      </c>
      <c r="H150" s="4">
        <f>INDEX('Draft Engine'!$R$3:$R$232,$M150)</f>
        <v>190</v>
      </c>
      <c r="I150" s="4">
        <f>INDEX('Draft Engine'!$S$3:$S$232,$M150)</f>
        <v>42</v>
      </c>
      <c r="J150" s="5"/>
      <c r="K150">
        <f>INDEX('Draft Engine'!$Z$3:$Z$232,$M150)</f>
        <v>148</v>
      </c>
      <c r="L150" t="str">
        <f>INDEX('LIVE SOURCE'!$H$3:$H$232,$M150)</f>
        <v>Late-round kicker; treat as replaceable unless scoring strongly rewards distance.</v>
      </c>
      <c r="M150" s="6">
        <f>MATCH($A150,'Draft Engine'!$Q$3:$Q$232,0)</f>
        <v>194</v>
      </c>
      <c r="N150">
        <f>INDEX('LIVE SOURCE'!$L$3:$L$232,$M150)</f>
        <v>11</v>
      </c>
    </row>
    <row r="151" spans="1:14" x14ac:dyDescent="0.25">
      <c r="A151">
        <v>149</v>
      </c>
      <c r="B151" t="str">
        <f>INDEX('Draft Engine'!$A$3:$A$232,$M151)</f>
        <v>K</v>
      </c>
      <c r="C151">
        <f>INDEX('Draft Engine'!$F$3:$F$232,$M151)</f>
        <v>9</v>
      </c>
      <c r="D151" t="str">
        <f>INDEX('Draft Engine'!$B$3:$B$232,$M151)</f>
        <v>Chase McLaughlin</v>
      </c>
      <c r="E151" s="4">
        <f>INDEX('Draft Engine'!$E$3:$E$232,$M151)</f>
        <v>76.400000000000006</v>
      </c>
      <c r="F151" t="str">
        <f t="shared" si="2"/>
        <v>TIER 4</v>
      </c>
      <c r="G151" s="4">
        <f>INDEX('Draft Engine'!$N$3:$N$232,$M151)</f>
        <v>43.662000000000006</v>
      </c>
      <c r="H151" s="4">
        <f>INDEX('Draft Engine'!$R$3:$R$232,$M151)</f>
        <v>195</v>
      </c>
      <c r="I151" s="4">
        <f>INDEX('Draft Engine'!$S$3:$S$232,$M151)</f>
        <v>46</v>
      </c>
      <c r="J151" s="5"/>
      <c r="K151">
        <f>INDEX('Draft Engine'!$Z$3:$Z$232,$M151)</f>
        <v>149</v>
      </c>
      <c r="L151" t="str">
        <f>INDEX('LIVE SOURCE'!$H$3:$H$232,$M151)</f>
        <v>Late-round kicker; treat as replaceable unless scoring strongly rewards distance.</v>
      </c>
      <c r="M151" s="6">
        <f>MATCH($A151,'Draft Engine'!$Q$3:$Q$232,0)</f>
        <v>195</v>
      </c>
      <c r="N151">
        <f>INDEX('LIVE SOURCE'!$L$3:$L$232,$M151)</f>
        <v>10</v>
      </c>
    </row>
    <row r="152" spans="1:14" x14ac:dyDescent="0.25">
      <c r="A152">
        <v>150</v>
      </c>
      <c r="B152" t="str">
        <f>INDEX('Draft Engine'!$A$3:$A$232,$M152)</f>
        <v>K</v>
      </c>
      <c r="C152">
        <f>INDEX('Draft Engine'!$F$3:$F$232,$M152)</f>
        <v>10</v>
      </c>
      <c r="D152" t="str">
        <f>INDEX('Draft Engine'!$B$3:$B$232,$M152)</f>
        <v>Cairo Santos</v>
      </c>
      <c r="E152" s="4">
        <f>INDEX('Draft Engine'!$E$3:$E$232,$M152)</f>
        <v>74.2</v>
      </c>
      <c r="F152" t="str">
        <f t="shared" si="2"/>
        <v>TIER 5</v>
      </c>
      <c r="G152" s="4">
        <f>INDEX('Draft Engine'!$N$3:$N$232,$M152)</f>
        <v>41.11</v>
      </c>
      <c r="H152" s="4">
        <f>INDEX('Draft Engine'!$R$3:$R$232,$M152)</f>
        <v>200</v>
      </c>
      <c r="I152" s="4">
        <f>INDEX('Draft Engine'!$S$3:$S$232,$M152)</f>
        <v>50</v>
      </c>
      <c r="J152" s="5"/>
      <c r="K152">
        <f>INDEX('Draft Engine'!$Z$3:$Z$232,$M152)</f>
        <v>150</v>
      </c>
      <c r="L152" t="str">
        <f>INDEX('LIVE SOURCE'!$H$3:$H$232,$M152)</f>
        <v>Late-round kicker; treat as replaceable unless scoring strongly rewards distance.</v>
      </c>
      <c r="M152" s="6">
        <f>MATCH($A152,'Draft Engine'!$Q$3:$Q$232,0)</f>
        <v>196</v>
      </c>
      <c r="N152">
        <f>INDEX('LIVE SOURCE'!$L$3:$L$232,$M152)</f>
        <v>10</v>
      </c>
    </row>
    <row r="153" spans="1:14" x14ac:dyDescent="0.25">
      <c r="A153">
        <v>151</v>
      </c>
      <c r="B153" t="str">
        <f>INDEX('Draft Engine'!$A$3:$A$232,$M153)</f>
        <v>RB</v>
      </c>
      <c r="C153">
        <f>INDEX('Draft Engine'!$F$3:$F$232,$M153)</f>
        <v>42</v>
      </c>
      <c r="D153" t="str">
        <f>INDEX('Draft Engine'!$B$3:$B$232,$M153)</f>
        <v>Chris Rodriguez Jr.</v>
      </c>
      <c r="E153" s="4">
        <f>INDEX('Draft Engine'!$E$3:$E$232,$M153)</f>
        <v>66.537000000000006</v>
      </c>
      <c r="F153" t="str">
        <f t="shared" si="2"/>
        <v>TIER 6</v>
      </c>
      <c r="G153" s="4">
        <f>INDEX('Draft Engine'!$N$3:$N$232,$M153)</f>
        <v>48.800975000000001</v>
      </c>
      <c r="H153" s="4">
        <f>INDEX('Draft Engine'!$R$3:$R$232,$M153)</f>
        <v>163.6</v>
      </c>
      <c r="I153" s="4">
        <f>INDEX('Draft Engine'!$S$3:$S$232,$M153)</f>
        <v>12.599999999999994</v>
      </c>
      <c r="J153" s="5"/>
      <c r="K153">
        <f>INDEX('Draft Engine'!$Z$3:$Z$232,$M153)</f>
        <v>151</v>
      </c>
      <c r="L153" t="str">
        <f>INDEX('LIVE SOURCE'!$H$3:$H$232,$M153)</f>
        <v>Bench stash/handcuff profile; value is tied to role change or injury ahead.</v>
      </c>
      <c r="M153" s="6">
        <f>MATCH($A153,'Draft Engine'!$Q$3:$Q$232,0)</f>
        <v>74</v>
      </c>
      <c r="N153">
        <f>INDEX('LIVE SOURCE'!$L$3:$L$232,$M153)</f>
        <v>7</v>
      </c>
    </row>
    <row r="154" spans="1:14" x14ac:dyDescent="0.25">
      <c r="A154">
        <v>152</v>
      </c>
      <c r="B154" t="str">
        <f>INDEX('Draft Engine'!$A$3:$A$232,$M154)</f>
        <v>WR</v>
      </c>
      <c r="C154">
        <f>INDEX('Draft Engine'!$F$3:$F$232,$M154)</f>
        <v>47</v>
      </c>
      <c r="D154" t="str">
        <f>INDEX('Draft Engine'!$B$3:$B$232,$M154)</f>
        <v>Matthew Golden</v>
      </c>
      <c r="E154" s="4">
        <f>INDEX('Draft Engine'!$E$3:$E$232,$M154)</f>
        <v>67.510000000000005</v>
      </c>
      <c r="F154" t="str">
        <f t="shared" si="2"/>
        <v>TIER 6</v>
      </c>
      <c r="G154" s="4">
        <f>INDEX('Draft Engine'!$N$3:$N$232,$M154)</f>
        <v>48.653166666666671</v>
      </c>
      <c r="H154" s="4">
        <f>INDEX('Draft Engine'!$R$3:$R$232,$M154)</f>
        <v>122.6</v>
      </c>
      <c r="I154" s="4">
        <f>INDEX('Draft Engine'!$S$3:$S$232,$M154)</f>
        <v>-29.400000000000006</v>
      </c>
      <c r="J154" s="5"/>
      <c r="K154">
        <f>INDEX('Draft Engine'!$Z$3:$Z$232,$M154)</f>
        <v>152</v>
      </c>
      <c r="L154" t="str">
        <f>INDEX('LIVE SOURCE'!$H$3:$H$232,$M154)</f>
        <v>FLEX/bench receiver; needs target growth or efficiency spikes.</v>
      </c>
      <c r="M154" s="6">
        <f>MATCH($A154,'Draft Engine'!$Q$3:$Q$232,0)</f>
        <v>132</v>
      </c>
      <c r="N154">
        <f>INDEX('LIVE SOURCE'!$L$3:$L$232,$M154)</f>
        <v>11</v>
      </c>
    </row>
    <row r="155" spans="1:14" x14ac:dyDescent="0.25">
      <c r="A155">
        <v>153</v>
      </c>
      <c r="B155" t="str">
        <f>INDEX('Draft Engine'!$A$3:$A$232,$M155)</f>
        <v>RB</v>
      </c>
      <c r="C155">
        <f>INDEX('Draft Engine'!$F$3:$F$232,$M155)</f>
        <v>43</v>
      </c>
      <c r="D155" t="str">
        <f>INDEX('Draft Engine'!$B$3:$B$232,$M155)</f>
        <v>Tyrone Tracy Jr.</v>
      </c>
      <c r="E155" s="4">
        <f>INDEX('Draft Engine'!$E$3:$E$232,$M155)</f>
        <v>66.531000000000006</v>
      </c>
      <c r="F155" t="str">
        <f t="shared" si="2"/>
        <v>TIER 6</v>
      </c>
      <c r="G155" s="4">
        <f>INDEX('Draft Engine'!$N$3:$N$232,$M155)</f>
        <v>48.420300000000005</v>
      </c>
      <c r="H155" s="4">
        <f>INDEX('Draft Engine'!$R$3:$R$232,$M155)</f>
        <v>155.80000000000001</v>
      </c>
      <c r="I155" s="4">
        <f>INDEX('Draft Engine'!$S$3:$S$232,$M155)</f>
        <v>2.8000000000000114</v>
      </c>
      <c r="J155" s="5"/>
      <c r="K155">
        <f>INDEX('Draft Engine'!$Z$3:$Z$232,$M155)</f>
        <v>153</v>
      </c>
      <c r="L155" t="str">
        <f>INDEX('LIVE SOURCE'!$H$3:$H$232,$M155)</f>
        <v>Bench stash/handcuff profile; value is tied to role change or injury ahead.</v>
      </c>
      <c r="M155" s="6">
        <f>MATCH($A155,'Draft Engine'!$Q$3:$Q$232,0)</f>
        <v>75</v>
      </c>
      <c r="N155">
        <f>INDEX('LIVE SOURCE'!$L$3:$L$232,$M155)</f>
        <v>8</v>
      </c>
    </row>
    <row r="156" spans="1:14" x14ac:dyDescent="0.25">
      <c r="A156">
        <v>154</v>
      </c>
      <c r="B156" t="str">
        <f>INDEX('Draft Engine'!$A$3:$A$232,$M156)</f>
        <v>WR</v>
      </c>
      <c r="C156">
        <f>INDEX('Draft Engine'!$F$3:$F$232,$M156)</f>
        <v>48</v>
      </c>
      <c r="D156" t="str">
        <f>INDEX('Draft Engine'!$B$3:$B$232,$M156)</f>
        <v>Brian Thomas Jr.</v>
      </c>
      <c r="E156" s="4">
        <f>INDEX('Draft Engine'!$E$3:$E$232,$M156)</f>
        <v>66.967500000000001</v>
      </c>
      <c r="F156" t="str">
        <f t="shared" si="2"/>
        <v>TIER 6</v>
      </c>
      <c r="G156" s="4">
        <f>INDEX('Draft Engine'!$N$3:$N$232,$M156)</f>
        <v>47.625458333333341</v>
      </c>
      <c r="H156" s="4">
        <f>INDEX('Draft Engine'!$R$3:$R$232,$M156)</f>
        <v>81.099999999999994</v>
      </c>
      <c r="I156" s="4">
        <f>INDEX('Draft Engine'!$S$3:$S$232,$M156)</f>
        <v>-72.900000000000006</v>
      </c>
      <c r="J156" s="5"/>
      <c r="K156">
        <f>INDEX('Draft Engine'!$Z$3:$Z$232,$M156)</f>
        <v>154</v>
      </c>
      <c r="L156" t="str">
        <f>INDEX('LIVE SOURCE'!$H$3:$H$232,$M156)</f>
        <v>FLEX/bench receiver; needs target growth or efficiency spikes.</v>
      </c>
      <c r="M156" s="6">
        <f>MATCH($A156,'Draft Engine'!$Q$3:$Q$232,0)</f>
        <v>124</v>
      </c>
      <c r="N156">
        <f>INDEX('LIVE SOURCE'!$L$3:$L$232,$M156)</f>
        <v>7</v>
      </c>
    </row>
    <row r="157" spans="1:14" x14ac:dyDescent="0.25">
      <c r="A157">
        <v>155</v>
      </c>
      <c r="B157" t="str">
        <f>INDEX('Draft Engine'!$A$3:$A$232,$M157)</f>
        <v>TE</v>
      </c>
      <c r="C157">
        <f>INDEX('Draft Engine'!$F$3:$F$232,$M157)</f>
        <v>24</v>
      </c>
      <c r="D157" t="str">
        <f>INDEX('Draft Engine'!$B$3:$B$232,$M157)</f>
        <v>AJ Barner</v>
      </c>
      <c r="E157" s="4">
        <f>INDEX('Draft Engine'!$E$3:$E$232,$M157)</f>
        <v>70.124499999999998</v>
      </c>
      <c r="F157" t="str">
        <f t="shared" si="2"/>
        <v>TIER 5</v>
      </c>
      <c r="G157" s="4">
        <f>INDEX('Draft Engine'!$N$3:$N$232,$M157)</f>
        <v>47.394475</v>
      </c>
      <c r="H157" s="4">
        <f>INDEX('Draft Engine'!$R$3:$R$232,$M157)</f>
        <v>165.8</v>
      </c>
      <c r="I157" s="4">
        <f>INDEX('Draft Engine'!$S$3:$S$232,$M157)</f>
        <v>10.800000000000011</v>
      </c>
      <c r="J157" s="5"/>
      <c r="K157">
        <f>INDEX('Draft Engine'!$Z$3:$Z$232,$M157)</f>
        <v>155</v>
      </c>
      <c r="L157" t="str">
        <f>INDEX('LIVE SOURCE'!$H$3:$H$232,$M157)</f>
        <v>Deep TE stash; needs a larger route/target role to matter in 10-team leagues.</v>
      </c>
      <c r="M157" s="6">
        <f>MATCH($A157,'Draft Engine'!$Q$3:$Q$232,0)</f>
        <v>182</v>
      </c>
      <c r="N157">
        <f>INDEX('LIVE SOURCE'!$L$3:$L$232,$M157)</f>
        <v>11</v>
      </c>
    </row>
    <row r="158" spans="1:14" x14ac:dyDescent="0.25">
      <c r="A158">
        <v>156</v>
      </c>
      <c r="B158" t="str">
        <f>INDEX('Draft Engine'!$A$3:$A$232,$M158)</f>
        <v>WR</v>
      </c>
      <c r="C158">
        <f>INDEX('Draft Engine'!$F$3:$F$232,$M158)</f>
        <v>49</v>
      </c>
      <c r="D158" t="str">
        <f>INDEX('Draft Engine'!$B$3:$B$232,$M158)</f>
        <v>Josh Downs</v>
      </c>
      <c r="E158" s="4">
        <f>INDEX('Draft Engine'!$E$3:$E$232,$M158)</f>
        <v>66.84</v>
      </c>
      <c r="F158" t="str">
        <f t="shared" si="2"/>
        <v>TIER 6</v>
      </c>
      <c r="G158" s="4">
        <f>INDEX('Draft Engine'!$N$3:$N$232,$M158)</f>
        <v>47.114000000000004</v>
      </c>
      <c r="H158" s="4">
        <f>INDEX('Draft Engine'!$R$3:$R$232,$M158)</f>
        <v>92.1</v>
      </c>
      <c r="I158" s="4">
        <f>INDEX('Draft Engine'!$S$3:$S$232,$M158)</f>
        <v>-63.900000000000006</v>
      </c>
      <c r="J158" s="5"/>
      <c r="K158">
        <f>INDEX('Draft Engine'!$Z$3:$Z$232,$M158)</f>
        <v>156</v>
      </c>
      <c r="L158" t="str">
        <f>INDEX('LIVE SOURCE'!$H$3:$H$232,$M158)</f>
        <v>FLEX/bench receiver; needs target growth or efficiency spikes.</v>
      </c>
      <c r="M158" s="6">
        <f>MATCH($A158,'Draft Engine'!$Q$3:$Q$232,0)</f>
        <v>133</v>
      </c>
      <c r="N158">
        <f>INDEX('LIVE SOURCE'!$L$3:$L$232,$M158)</f>
        <v>13</v>
      </c>
    </row>
    <row r="159" spans="1:14" x14ac:dyDescent="0.25">
      <c r="A159">
        <v>157</v>
      </c>
      <c r="B159" t="str">
        <f>INDEX('Draft Engine'!$A$3:$A$232,$M159)</f>
        <v>TE</v>
      </c>
      <c r="C159">
        <f>INDEX('Draft Engine'!$F$3:$F$232,$M159)</f>
        <v>25</v>
      </c>
      <c r="D159" t="str">
        <f>INDEX('Draft Engine'!$B$3:$B$232,$M159)</f>
        <v>Pat Freiermuth</v>
      </c>
      <c r="E159" s="4">
        <f>INDEX('Draft Engine'!$E$3:$E$232,$M159)</f>
        <v>69.599999999999994</v>
      </c>
      <c r="F159" t="str">
        <f t="shared" si="2"/>
        <v>TIER 6</v>
      </c>
      <c r="G159" s="4">
        <f>INDEX('Draft Engine'!$N$3:$N$232,$M159)</f>
        <v>46.781999999999996</v>
      </c>
      <c r="H159" s="4">
        <f>INDEX('Draft Engine'!$R$3:$R$232,$M159)</f>
        <v>228</v>
      </c>
      <c r="I159" s="4">
        <f>INDEX('Draft Engine'!$S$3:$S$232,$M159)</f>
        <v>71</v>
      </c>
      <c r="J159" s="5"/>
      <c r="K159">
        <f>INDEX('Draft Engine'!$Z$3:$Z$232,$M159)</f>
        <v>157</v>
      </c>
      <c r="L159" t="str">
        <f>INDEX('LIVE SOURCE'!$H$3:$H$232,$M159)</f>
        <v>Added 2026-08-12 from ESPN consensus (TE24).</v>
      </c>
      <c r="M159" s="6">
        <f>MATCH($A159,'Draft Engine'!$Q$3:$Q$232,0)</f>
        <v>186</v>
      </c>
      <c r="N159">
        <f>INDEX('LIVE SOURCE'!$L$3:$L$232,$M159)</f>
        <v>9</v>
      </c>
    </row>
    <row r="160" spans="1:14" x14ac:dyDescent="0.25">
      <c r="A160">
        <v>158</v>
      </c>
      <c r="B160" t="str">
        <f>INDEX('Draft Engine'!$A$3:$A$232,$M160)</f>
        <v>QB</v>
      </c>
      <c r="C160">
        <f>INDEX('Draft Engine'!$F$3:$F$232,$M160)</f>
        <v>21</v>
      </c>
      <c r="D160" t="str">
        <f>INDEX('Draft Engine'!$B$3:$B$232,$M160)</f>
        <v>C.J. Stroud</v>
      </c>
      <c r="E160" s="4">
        <f>INDEX('Draft Engine'!$E$3:$E$232,$M160)</f>
        <v>75.762100000000004</v>
      </c>
      <c r="F160" t="str">
        <f t="shared" si="2"/>
        <v>TIER 4</v>
      </c>
      <c r="G160" s="4">
        <f>INDEX('Draft Engine'!$N$3:$N$232,$M160)</f>
        <v>46.433154999999999</v>
      </c>
      <c r="H160" s="4">
        <f>INDEX('Draft Engine'!$R$3:$R$232,$M160)</f>
        <v>162.5</v>
      </c>
      <c r="I160" s="4">
        <f>INDEX('Draft Engine'!$S$3:$S$232,$M160)</f>
        <v>4.5</v>
      </c>
      <c r="J160" s="5"/>
      <c r="K160">
        <f>INDEX('Draft Engine'!$Z$3:$Z$232,$M160)</f>
        <v>158</v>
      </c>
      <c r="L160" t="str">
        <f>INDEX('LIVE SOURCE'!$H$3:$H$232,$M160)</f>
        <v>Bench/streaming option; needs matchup, rushing or TD spike weeks.</v>
      </c>
      <c r="M160" s="6">
        <f>MATCH($A160,'Draft Engine'!$Q$3:$Q$232,0)</f>
        <v>21</v>
      </c>
      <c r="N160">
        <f>INDEX('LIVE SOURCE'!$L$3:$L$232,$M160)</f>
        <v>8</v>
      </c>
    </row>
    <row r="161" spans="1:14" x14ac:dyDescent="0.25">
      <c r="A161">
        <v>159</v>
      </c>
      <c r="B161" t="str">
        <f>INDEX('Draft Engine'!$A$3:$A$232,$M161)</f>
        <v>QB</v>
      </c>
      <c r="C161">
        <f>INDEX('Draft Engine'!$F$3:$F$232,$M161)</f>
        <v>22</v>
      </c>
      <c r="D161" t="str">
        <f>INDEX('Draft Engine'!$B$3:$B$232,$M161)</f>
        <v>Sam Darnold</v>
      </c>
      <c r="E161" s="4">
        <f>INDEX('Draft Engine'!$E$3:$E$232,$M161)</f>
        <v>75.554199999999994</v>
      </c>
      <c r="F161" t="str">
        <f t="shared" si="2"/>
        <v>TIER 4</v>
      </c>
      <c r="G161" s="4">
        <f>INDEX('Draft Engine'!$N$3:$N$232,$M161)</f>
        <v>46.15681</v>
      </c>
      <c r="H161" s="4">
        <f>INDEX('Draft Engine'!$R$3:$R$232,$M161)</f>
        <v>142.4</v>
      </c>
      <c r="I161" s="4">
        <f>INDEX('Draft Engine'!$S$3:$S$232,$M161)</f>
        <v>-16.599999999999994</v>
      </c>
      <c r="J161" s="5"/>
      <c r="K161">
        <f>INDEX('Draft Engine'!$Z$3:$Z$232,$M161)</f>
        <v>159</v>
      </c>
      <c r="L161" t="str">
        <f>INDEX('LIVE SOURCE'!$H$3:$H$232,$M161)</f>
        <v>Bench/streaming option; needs matchup, rushing or TD spike weeks.</v>
      </c>
      <c r="M161" s="6">
        <f>MATCH($A161,'Draft Engine'!$Q$3:$Q$232,0)</f>
        <v>22</v>
      </c>
      <c r="N161">
        <f>INDEX('LIVE SOURCE'!$L$3:$L$232,$M161)</f>
        <v>11</v>
      </c>
    </row>
    <row r="162" spans="1:14" x14ac:dyDescent="0.25">
      <c r="A162">
        <v>160</v>
      </c>
      <c r="B162" t="str">
        <f>INDEX('Draft Engine'!$A$3:$A$232,$M162)</f>
        <v>WR</v>
      </c>
      <c r="C162">
        <f>INDEX('Draft Engine'!$F$3:$F$232,$M162)</f>
        <v>50</v>
      </c>
      <c r="D162" t="str">
        <f>INDEX('Draft Engine'!$B$3:$B$232,$M162)</f>
        <v>Jayden Reed</v>
      </c>
      <c r="E162" s="4">
        <f>INDEX('Draft Engine'!$E$3:$E$232,$M162)</f>
        <v>66.17</v>
      </c>
      <c r="F162" t="str">
        <f t="shared" si="2"/>
        <v>TIER 6</v>
      </c>
      <c r="G162" s="4">
        <f>INDEX('Draft Engine'!$N$3:$N$232,$M162)</f>
        <v>45.908166666666666</v>
      </c>
      <c r="H162" s="4">
        <f>INDEX('Draft Engine'!$R$3:$R$232,$M162)</f>
        <v>97.2</v>
      </c>
      <c r="I162" s="4">
        <f>INDEX('Draft Engine'!$S$3:$S$232,$M162)</f>
        <v>-62.8</v>
      </c>
      <c r="J162" s="5"/>
      <c r="K162">
        <f>INDEX('Draft Engine'!$Z$3:$Z$232,$M162)</f>
        <v>160</v>
      </c>
      <c r="L162" t="str">
        <f>INDEX('LIVE SOURCE'!$H$3:$H$232,$M162)</f>
        <v>FLEX/bench receiver; needs target growth or efficiency spikes.</v>
      </c>
      <c r="M162" s="6">
        <f>MATCH($A162,'Draft Engine'!$Q$3:$Q$232,0)</f>
        <v>134</v>
      </c>
      <c r="N162">
        <f>INDEX('LIVE SOURCE'!$L$3:$L$232,$M162)</f>
        <v>11</v>
      </c>
    </row>
    <row r="163" spans="1:14" x14ac:dyDescent="0.25">
      <c r="A163">
        <v>161</v>
      </c>
      <c r="B163" t="str">
        <f>INDEX('Draft Engine'!$A$3:$A$232,$M163)</f>
        <v>QB</v>
      </c>
      <c r="C163">
        <f>INDEX('Draft Engine'!$F$3:$F$232,$M163)</f>
        <v>23</v>
      </c>
      <c r="D163" t="str">
        <f>INDEX('Draft Engine'!$B$3:$B$232,$M163)</f>
        <v>Daniel Jones</v>
      </c>
      <c r="E163" s="4">
        <f>INDEX('Draft Engine'!$E$3:$E$232,$M163)</f>
        <v>74.790400000000005</v>
      </c>
      <c r="F163" t="str">
        <f t="shared" si="2"/>
        <v>TIER 5</v>
      </c>
      <c r="G163" s="4">
        <f>INDEX('Draft Engine'!$N$3:$N$232,$M163)</f>
        <v>45.124720000000011</v>
      </c>
      <c r="H163" s="4">
        <f>INDEX('Draft Engine'!$R$3:$R$232,$M163)</f>
        <v>143.9</v>
      </c>
      <c r="I163" s="4">
        <f>INDEX('Draft Engine'!$S$3:$S$232,$M163)</f>
        <v>-17.099999999999994</v>
      </c>
      <c r="J163" s="5"/>
      <c r="K163">
        <f>INDEX('Draft Engine'!$Z$3:$Z$232,$M163)</f>
        <v>161</v>
      </c>
      <c r="L163" t="str">
        <f>INDEX('LIVE SOURCE'!$H$3:$H$232,$M163)</f>
        <v>Bench/streaming option; needs matchup, rushing or TD spike weeks.</v>
      </c>
      <c r="M163" s="6">
        <f>MATCH($A163,'Draft Engine'!$Q$3:$Q$232,0)</f>
        <v>23</v>
      </c>
      <c r="N163">
        <f>INDEX('LIVE SOURCE'!$L$3:$L$232,$M163)</f>
        <v>13</v>
      </c>
    </row>
    <row r="164" spans="1:14" x14ac:dyDescent="0.25">
      <c r="A164">
        <v>162</v>
      </c>
      <c r="B164" t="str">
        <f>INDEX('Draft Engine'!$A$3:$A$232,$M164)</f>
        <v>WR</v>
      </c>
      <c r="C164">
        <f>INDEX('Draft Engine'!$F$3:$F$232,$M164)</f>
        <v>51</v>
      </c>
      <c r="D164" t="str">
        <f>INDEX('Draft Engine'!$B$3:$B$232,$M164)</f>
        <v>Khalil Shakir</v>
      </c>
      <c r="E164" s="4">
        <f>INDEX('Draft Engine'!$E$3:$E$232,$M164)</f>
        <v>65.5</v>
      </c>
      <c r="F164" t="str">
        <f t="shared" si="2"/>
        <v>TIER 6</v>
      </c>
      <c r="G164" s="4">
        <f>INDEX('Draft Engine'!$N$3:$N$232,$M164)</f>
        <v>44.869000000000007</v>
      </c>
      <c r="H164" s="4">
        <f>INDEX('Draft Engine'!$R$3:$R$232,$M164)</f>
        <v>102</v>
      </c>
      <c r="I164" s="4">
        <f>INDEX('Draft Engine'!$S$3:$S$232,$M164)</f>
        <v>-60</v>
      </c>
      <c r="J164" s="5"/>
      <c r="K164">
        <f>INDEX('Draft Engine'!$Z$3:$Z$232,$M164)</f>
        <v>162</v>
      </c>
      <c r="L164" t="str">
        <f>INDEX('LIVE SOURCE'!$H$3:$H$232,$M164)</f>
        <v>Late-round bench upside; role growth is required for weekly relevance.</v>
      </c>
      <c r="M164" s="6">
        <f>MATCH($A164,'Draft Engine'!$Q$3:$Q$232,0)</f>
        <v>135</v>
      </c>
      <c r="N164">
        <f>INDEX('LIVE SOURCE'!$L$3:$L$232,$M164)</f>
        <v>7</v>
      </c>
    </row>
    <row r="165" spans="1:14" x14ac:dyDescent="0.25">
      <c r="A165">
        <v>163</v>
      </c>
      <c r="B165" t="str">
        <f>INDEX('Draft Engine'!$A$3:$A$232,$M165)</f>
        <v>QB</v>
      </c>
      <c r="C165">
        <f>INDEX('Draft Engine'!$F$3:$F$232,$M165)</f>
        <v>24</v>
      </c>
      <c r="D165" t="str">
        <f>INDEX('Draft Engine'!$B$3:$B$232,$M165)</f>
        <v>Malik Willis</v>
      </c>
      <c r="E165" s="4">
        <f>INDEX('Draft Engine'!$E$3:$E$232,$M165)</f>
        <v>74.240300000000005</v>
      </c>
      <c r="F165" t="str">
        <f t="shared" si="2"/>
        <v>TIER 5</v>
      </c>
      <c r="G165" s="4">
        <f>INDEX('Draft Engine'!$N$3:$N$232,$M165)</f>
        <v>44.372165000000003</v>
      </c>
      <c r="H165" s="4">
        <f>INDEX('Draft Engine'!$R$3:$R$232,$M165)</f>
        <v>160.4</v>
      </c>
      <c r="I165" s="4">
        <f>INDEX('Draft Engine'!$S$3:$S$232,$M165)</f>
        <v>-2.5999999999999943</v>
      </c>
      <c r="J165" s="5"/>
      <c r="K165">
        <f>INDEX('Draft Engine'!$Z$3:$Z$232,$M165)</f>
        <v>163</v>
      </c>
      <c r="L165" t="str">
        <f>INDEX('LIVE SOURCE'!$H$3:$H$232,$M165)</f>
        <v>Bench/streaming option; needs matchup, rushing or TD spike weeks.</v>
      </c>
      <c r="M165" s="6">
        <f>MATCH($A165,'Draft Engine'!$Q$3:$Q$232,0)</f>
        <v>24</v>
      </c>
      <c r="N165">
        <f>INDEX('LIVE SOURCE'!$L$3:$L$232,$M165)</f>
        <v>6</v>
      </c>
    </row>
    <row r="166" spans="1:14" x14ac:dyDescent="0.25">
      <c r="A166">
        <v>164</v>
      </c>
      <c r="B166" t="str">
        <f>INDEX('Draft Engine'!$A$3:$A$232,$M166)</f>
        <v>WR</v>
      </c>
      <c r="C166">
        <f>INDEX('Draft Engine'!$F$3:$F$232,$M166)</f>
        <v>52</v>
      </c>
      <c r="D166" t="str">
        <f>INDEX('Draft Engine'!$B$3:$B$232,$M166)</f>
        <v>Jalin Hyatt</v>
      </c>
      <c r="E166" s="4">
        <f>INDEX('Draft Engine'!$E$3:$E$232,$M166)</f>
        <v>64.83</v>
      </c>
      <c r="F166" t="str">
        <f t="shared" si="2"/>
        <v>TIER 7</v>
      </c>
      <c r="G166" s="4">
        <f>INDEX('Draft Engine'!$N$3:$N$232,$M166)</f>
        <v>43.996499999999997</v>
      </c>
      <c r="H166" s="4">
        <f>INDEX('Draft Engine'!$R$3:$R$232,$M166)</f>
        <v>201.9</v>
      </c>
      <c r="I166" s="4">
        <f>INDEX('Draft Engine'!$S$3:$S$232,$M166)</f>
        <v>37.900000000000006</v>
      </c>
      <c r="J166" s="5"/>
      <c r="K166">
        <f>INDEX('Draft Engine'!$Z$3:$Z$232,$M166)</f>
        <v>164</v>
      </c>
      <c r="L166" t="str">
        <f>INDEX('LIVE SOURCE'!$H$3:$H$232,$M166)</f>
        <v>Late-round bench upside; role growth is required for weekly relevance.</v>
      </c>
      <c r="M166" s="6">
        <f>MATCH($A166,'Draft Engine'!$Q$3:$Q$232,0)</f>
        <v>136</v>
      </c>
      <c r="N166">
        <f>INDEX('LIVE SOURCE'!$L$3:$L$232,$M166)</f>
        <v>8</v>
      </c>
    </row>
    <row r="167" spans="1:14" x14ac:dyDescent="0.25">
      <c r="A167">
        <v>165</v>
      </c>
      <c r="B167" t="str">
        <f>INDEX('Draft Engine'!$A$3:$A$232,$M167)</f>
        <v>RB</v>
      </c>
      <c r="C167">
        <f>INDEX('Draft Engine'!$F$3:$F$232,$M167)</f>
        <v>44</v>
      </c>
      <c r="D167" t="str">
        <f>INDEX('Draft Engine'!$B$3:$B$232,$M167)</f>
        <v>Tyjae Spears</v>
      </c>
      <c r="E167" s="4">
        <f>INDEX('Draft Engine'!$E$3:$E$232,$M167)</f>
        <v>63.4</v>
      </c>
      <c r="F167" t="str">
        <f t="shared" si="2"/>
        <v>TIER 7</v>
      </c>
      <c r="G167" s="4">
        <f>INDEX('Draft Engine'!$N$3:$N$232,$M167)</f>
        <v>43.980875000000005</v>
      </c>
      <c r="H167" s="4">
        <f>INDEX('Draft Engine'!$R$3:$R$232,$M167)</f>
        <v>129.6</v>
      </c>
      <c r="I167" s="4">
        <f>INDEX('Draft Engine'!$S$3:$S$232,$M167)</f>
        <v>-35.400000000000006</v>
      </c>
      <c r="J167" s="5"/>
      <c r="K167">
        <f>INDEX('Draft Engine'!$Z$3:$Z$232,$M167)</f>
        <v>165</v>
      </c>
      <c r="L167" t="str">
        <f>INDEX('LIVE SOURCE'!$H$3:$H$232,$M167)</f>
        <v>Added 2026-08-12 from ESPN consensus (RB44).</v>
      </c>
      <c r="M167" s="6">
        <f>MATCH($A167,'Draft Engine'!$Q$3:$Q$232,0)</f>
        <v>83</v>
      </c>
      <c r="N167">
        <f>INDEX('LIVE SOURCE'!$L$3:$L$232,$M167)</f>
        <v>9</v>
      </c>
    </row>
    <row r="168" spans="1:14" x14ac:dyDescent="0.25">
      <c r="A168">
        <v>166</v>
      </c>
      <c r="B168" t="str">
        <f>INDEX('Draft Engine'!$A$3:$A$232,$M168)</f>
        <v>TE</v>
      </c>
      <c r="C168">
        <f>INDEX('Draft Engine'!$F$3:$F$232,$M168)</f>
        <v>26</v>
      </c>
      <c r="D168" t="str">
        <f>INDEX('Draft Engine'!$B$3:$B$232,$M168)</f>
        <v>Cade Otton</v>
      </c>
      <c r="E168" s="4">
        <f>INDEX('Draft Engine'!$E$3:$E$232,$M168)</f>
        <v>66.649000000000001</v>
      </c>
      <c r="F168" t="str">
        <f t="shared" si="2"/>
        <v>TIER 6</v>
      </c>
      <c r="G168" s="4">
        <f>INDEX('Draft Engine'!$N$3:$N$232,$M168)</f>
        <v>43.304950000000005</v>
      </c>
      <c r="H168" s="4">
        <f>INDEX('Draft Engine'!$R$3:$R$232,$M168)</f>
        <v>142.6</v>
      </c>
      <c r="I168" s="4">
        <f>INDEX('Draft Engine'!$S$3:$S$232,$M168)</f>
        <v>-23.400000000000006</v>
      </c>
      <c r="J168" s="5"/>
      <c r="K168">
        <f>INDEX('Draft Engine'!$Z$3:$Z$232,$M168)</f>
        <v>166</v>
      </c>
      <c r="L168" t="str">
        <f>INDEX('LIVE SOURCE'!$H$3:$H$232,$M168)</f>
        <v>Deep TE stash; needs a larger route/target role to matter in 10-team leagues.</v>
      </c>
      <c r="M168" s="6">
        <f>MATCH($A168,'Draft Engine'!$Q$3:$Q$232,0)</f>
        <v>183</v>
      </c>
      <c r="N168">
        <f>INDEX('LIVE SOURCE'!$L$3:$L$232,$M168)</f>
        <v>10</v>
      </c>
    </row>
    <row r="169" spans="1:14" x14ac:dyDescent="0.25">
      <c r="A169">
        <v>167</v>
      </c>
      <c r="B169" t="str">
        <f>INDEX('Draft Engine'!$A$3:$A$232,$M169)</f>
        <v>TE</v>
      </c>
      <c r="C169">
        <f>INDEX('Draft Engine'!$F$3:$F$232,$M169)</f>
        <v>27</v>
      </c>
      <c r="D169" t="str">
        <f>INDEX('Draft Engine'!$B$3:$B$232,$M169)</f>
        <v>Gunnar Helm</v>
      </c>
      <c r="E169" s="4">
        <f>INDEX('Draft Engine'!$E$3:$E$232,$M169)</f>
        <v>66.622299999999996</v>
      </c>
      <c r="F169" t="str">
        <f t="shared" si="2"/>
        <v>TIER 6</v>
      </c>
      <c r="G169" s="4">
        <f>INDEX('Draft Engine'!$N$3:$N$232,$M169)</f>
        <v>43.272265000000004</v>
      </c>
      <c r="H169" s="4">
        <f>INDEX('Draft Engine'!$R$3:$R$232,$M169)</f>
        <v>242</v>
      </c>
      <c r="I169" s="4">
        <f>INDEX('Draft Engine'!$S$3:$S$232,$M169)</f>
        <v>75</v>
      </c>
      <c r="J169" s="5"/>
      <c r="K169">
        <f>INDEX('Draft Engine'!$Z$3:$Z$232,$M169)</f>
        <v>167</v>
      </c>
      <c r="L169" t="str">
        <f>INDEX('LIVE SOURCE'!$H$3:$H$232,$M169)</f>
        <v>Deep TE stash; needs a larger route/target role to matter in 10-team leagues.</v>
      </c>
      <c r="M169" s="6">
        <f>MATCH($A169,'Draft Engine'!$Q$3:$Q$232,0)</f>
        <v>184</v>
      </c>
      <c r="N169">
        <f>INDEX('LIVE SOURCE'!$L$3:$L$232,$M169)</f>
        <v>9</v>
      </c>
    </row>
    <row r="170" spans="1:14" x14ac:dyDescent="0.25">
      <c r="A170">
        <v>168</v>
      </c>
      <c r="B170" t="str">
        <f>INDEX('Draft Engine'!$A$3:$A$232,$M170)</f>
        <v>RB</v>
      </c>
      <c r="C170">
        <f>INDEX('Draft Engine'!$F$3:$F$232,$M170)</f>
        <v>45</v>
      </c>
      <c r="D170" t="str">
        <f>INDEX('Draft Engine'!$B$3:$B$232,$M170)</f>
        <v>Tyler Allgeier</v>
      </c>
      <c r="E170" s="4">
        <f>INDEX('Draft Engine'!$E$3:$E$232,$M170)</f>
        <v>63.032200000000003</v>
      </c>
      <c r="F170" t="str">
        <f t="shared" si="2"/>
        <v>TIER 7</v>
      </c>
      <c r="G170" s="4">
        <f>INDEX('Draft Engine'!$N$3:$N$232,$M170)</f>
        <v>43.13121000000001</v>
      </c>
      <c r="H170" s="4">
        <f>INDEX('Draft Engine'!$R$3:$R$232,$M170)</f>
        <v>164.3</v>
      </c>
      <c r="I170" s="4">
        <f>INDEX('Draft Engine'!$S$3:$S$232,$M170)</f>
        <v>-3.6999999999999886</v>
      </c>
      <c r="J170" s="5"/>
      <c r="K170">
        <f>INDEX('Draft Engine'!$Z$3:$Z$232,$M170)</f>
        <v>168</v>
      </c>
      <c r="L170" t="str">
        <f>INDEX('LIVE SOURCE'!$H$3:$H$232,$M170)</f>
        <v>Bench stash/handcuff profile; value is tied to role change or injury ahead.</v>
      </c>
      <c r="M170" s="6">
        <f>MATCH($A170,'Draft Engine'!$Q$3:$Q$232,0)</f>
        <v>76</v>
      </c>
      <c r="N170">
        <f>INDEX('LIVE SOURCE'!$L$3:$L$232,$M170)</f>
        <v>14</v>
      </c>
    </row>
    <row r="171" spans="1:14" x14ac:dyDescent="0.25">
      <c r="A171">
        <v>169</v>
      </c>
      <c r="B171" t="str">
        <f>INDEX('Draft Engine'!$A$3:$A$232,$M171)</f>
        <v>WR</v>
      </c>
      <c r="C171">
        <f>INDEX('Draft Engine'!$F$3:$F$232,$M171)</f>
        <v>53</v>
      </c>
      <c r="D171" t="str">
        <f>INDEX('Draft Engine'!$B$3:$B$232,$M171)</f>
        <v>Romeo Doubs</v>
      </c>
      <c r="E171" s="4">
        <f>INDEX('Draft Engine'!$E$3:$E$232,$M171)</f>
        <v>64.16</v>
      </c>
      <c r="F171" t="str">
        <f t="shared" si="2"/>
        <v>TIER 7</v>
      </c>
      <c r="G171" s="4">
        <f>INDEX('Draft Engine'!$N$3:$N$232,$M171)</f>
        <v>43.124000000000002</v>
      </c>
      <c r="H171" s="4">
        <f>INDEX('Draft Engine'!$R$3:$R$232,$M171)</f>
        <v>116</v>
      </c>
      <c r="I171" s="4">
        <f>INDEX('Draft Engine'!$S$3:$S$232,$M171)</f>
        <v>-53</v>
      </c>
      <c r="J171" s="5"/>
      <c r="K171">
        <f>INDEX('Draft Engine'!$Z$3:$Z$232,$M171)</f>
        <v>169</v>
      </c>
      <c r="L171" t="str">
        <f>INDEX('LIVE SOURCE'!$H$3:$H$232,$M171)</f>
        <v>Late-round bench upside; role growth is required for weekly relevance.</v>
      </c>
      <c r="M171" s="6">
        <f>MATCH($A171,'Draft Engine'!$Q$3:$Q$232,0)</f>
        <v>137</v>
      </c>
      <c r="N171">
        <f>INDEX('LIVE SOURCE'!$L$3:$L$232,$M171)</f>
        <v>11</v>
      </c>
    </row>
    <row r="172" spans="1:14" x14ac:dyDescent="0.25">
      <c r="A172">
        <v>170</v>
      </c>
      <c r="B172" t="str">
        <f>INDEX('Draft Engine'!$A$3:$A$232,$M172)</f>
        <v>QB</v>
      </c>
      <c r="C172">
        <f>INDEX('Draft Engine'!$F$3:$F$232,$M172)</f>
        <v>25</v>
      </c>
      <c r="D172" t="str">
        <f>INDEX('Draft Engine'!$B$3:$B$232,$M172)</f>
        <v>Bryce Young</v>
      </c>
      <c r="E172" s="4">
        <f>INDEX('Draft Engine'!$E$3:$E$232,$M172)</f>
        <v>72.797600000000003</v>
      </c>
      <c r="F172" t="str">
        <f t="shared" si="2"/>
        <v>TIER 5</v>
      </c>
      <c r="G172" s="4">
        <f>INDEX('Draft Engine'!$N$3:$N$232,$M172)</f>
        <v>42.408680000000004</v>
      </c>
      <c r="H172" s="4">
        <f>INDEX('Draft Engine'!$R$3:$R$232,$M172)</f>
        <v>174.2</v>
      </c>
      <c r="I172" s="4">
        <f>INDEX('Draft Engine'!$S$3:$S$232,$M172)</f>
        <v>4.1999999999999886</v>
      </c>
      <c r="J172" s="5"/>
      <c r="K172">
        <f>INDEX('Draft Engine'!$Z$3:$Z$232,$M172)</f>
        <v>170</v>
      </c>
      <c r="L172" t="str">
        <f>INDEX('LIVE SOURCE'!$H$3:$H$232,$M172)</f>
        <v>Deep QB2; waiver-level in a normal 10-team format.</v>
      </c>
      <c r="M172" s="6">
        <f>MATCH($A172,'Draft Engine'!$Q$3:$Q$232,0)</f>
        <v>25</v>
      </c>
      <c r="N172">
        <f>INDEX('LIVE SOURCE'!$L$3:$L$232,$M172)</f>
        <v>5</v>
      </c>
    </row>
    <row r="173" spans="1:14" x14ac:dyDescent="0.25">
      <c r="A173">
        <v>171</v>
      </c>
      <c r="B173" t="str">
        <f>INDEX('Draft Engine'!$A$3:$A$232,$M173)</f>
        <v>WR</v>
      </c>
      <c r="C173">
        <f>INDEX('Draft Engine'!$F$3:$F$232,$M173)</f>
        <v>54</v>
      </c>
      <c r="D173" t="str">
        <f>INDEX('Draft Engine'!$B$3:$B$232,$M173)</f>
        <v>Jalen Coker</v>
      </c>
      <c r="E173" s="4">
        <f>INDEX('Draft Engine'!$E$3:$E$232,$M173)</f>
        <v>63.49</v>
      </c>
      <c r="F173" t="str">
        <f t="shared" si="2"/>
        <v>TIER 7</v>
      </c>
      <c r="G173" s="4">
        <f>INDEX('Draft Engine'!$N$3:$N$232,$M173)</f>
        <v>42.251500000000007</v>
      </c>
      <c r="H173" s="4">
        <f>INDEX('Draft Engine'!$R$3:$R$232,$M173)</f>
        <v>127.3</v>
      </c>
      <c r="I173" s="4">
        <f>INDEX('Draft Engine'!$S$3:$S$232,$M173)</f>
        <v>-43.7</v>
      </c>
      <c r="J173" s="5"/>
      <c r="K173">
        <f>INDEX('Draft Engine'!$Z$3:$Z$232,$M173)</f>
        <v>171</v>
      </c>
      <c r="L173" t="str">
        <f>INDEX('LIVE SOURCE'!$H$3:$H$232,$M173)</f>
        <v>Late-round bench upside; role growth is required for weekly relevance.</v>
      </c>
      <c r="M173" s="6">
        <f>MATCH($A173,'Draft Engine'!$Q$3:$Q$232,0)</f>
        <v>138</v>
      </c>
      <c r="N173">
        <f>INDEX('LIVE SOURCE'!$L$3:$L$232,$M173)</f>
        <v>5</v>
      </c>
    </row>
    <row r="174" spans="1:14" x14ac:dyDescent="0.25">
      <c r="A174">
        <v>172</v>
      </c>
      <c r="B174" t="str">
        <f>INDEX('Draft Engine'!$A$3:$A$232,$M174)</f>
        <v>QB</v>
      </c>
      <c r="C174">
        <f>INDEX('Draft Engine'!$F$3:$F$232,$M174)</f>
        <v>26</v>
      </c>
      <c r="D174" t="str">
        <f>INDEX('Draft Engine'!$B$3:$B$232,$M174)</f>
        <v>Cam Ward</v>
      </c>
      <c r="E174" s="4">
        <f>INDEX('Draft Engine'!$E$3:$E$232,$M174)</f>
        <v>72.664599999999993</v>
      </c>
      <c r="F174" t="str">
        <f t="shared" si="2"/>
        <v>TIER 5</v>
      </c>
      <c r="G174" s="4">
        <f>INDEX('Draft Engine'!$N$3:$N$232,$M174)</f>
        <v>42.227530000000002</v>
      </c>
      <c r="H174" s="4">
        <f>INDEX('Draft Engine'!$R$3:$R$232,$M174)</f>
        <v>175.6</v>
      </c>
      <c r="I174" s="4">
        <f>INDEX('Draft Engine'!$S$3:$S$232,$M174)</f>
        <v>3.5999999999999943</v>
      </c>
      <c r="J174" s="5"/>
      <c r="K174">
        <f>INDEX('Draft Engine'!$Z$3:$Z$232,$M174)</f>
        <v>172</v>
      </c>
      <c r="L174" t="str">
        <f>INDEX('LIVE SOURCE'!$H$3:$H$232,$M174)</f>
        <v>Deep QB2; waiver-level in a normal 10-team format.</v>
      </c>
      <c r="M174" s="6">
        <f>MATCH($A174,'Draft Engine'!$Q$3:$Q$232,0)</f>
        <v>26</v>
      </c>
      <c r="N174">
        <f>INDEX('LIVE SOURCE'!$L$3:$L$232,$M174)</f>
        <v>9</v>
      </c>
    </row>
    <row r="175" spans="1:14" x14ac:dyDescent="0.25">
      <c r="A175">
        <v>173</v>
      </c>
      <c r="B175" t="str">
        <f>INDEX('Draft Engine'!$A$3:$A$232,$M175)</f>
        <v>WR</v>
      </c>
      <c r="C175">
        <f>INDEX('Draft Engine'!$F$3:$F$232,$M175)</f>
        <v>55</v>
      </c>
      <c r="D175" t="str">
        <f>INDEX('Draft Engine'!$B$3:$B$232,$M175)</f>
        <v>Deebo Samuel</v>
      </c>
      <c r="E175" s="4">
        <f>INDEX('Draft Engine'!$E$3:$E$232,$M175)</f>
        <v>63.2</v>
      </c>
      <c r="F175" t="str">
        <f t="shared" si="2"/>
        <v>TIER 7</v>
      </c>
      <c r="G175" s="4">
        <f>INDEX('Draft Engine'!$N$3:$N$232,$M175)</f>
        <v>41.858000000000004</v>
      </c>
      <c r="H175" s="4">
        <f>INDEX('Draft Engine'!$R$3:$R$232,$M175)</f>
        <v>96.2</v>
      </c>
      <c r="I175" s="4">
        <f>INDEX('Draft Engine'!$S$3:$S$232,$M175)</f>
        <v>-76.8</v>
      </c>
      <c r="J175" s="5"/>
      <c r="K175">
        <f>INDEX('Draft Engine'!$Z$3:$Z$232,$M175)</f>
        <v>173</v>
      </c>
      <c r="L175" t="str">
        <f>INDEX('LIVE SOURCE'!$H$3:$H$232,$M175)</f>
        <v>Added 2026-08-12 from ESPN consensus (WR54).</v>
      </c>
      <c r="M175" s="6">
        <f>MATCH($A175,'Draft Engine'!$Q$3:$Q$232,0)</f>
        <v>156</v>
      </c>
      <c r="N175">
        <f>INDEX('LIVE SOURCE'!$L$3:$L$232,$M175)</f>
        <v>8</v>
      </c>
    </row>
    <row r="176" spans="1:14" x14ac:dyDescent="0.25">
      <c r="A176">
        <v>174</v>
      </c>
      <c r="B176" t="str">
        <f>INDEX('Draft Engine'!$A$3:$A$232,$M176)</f>
        <v>RB</v>
      </c>
      <c r="C176">
        <f>INDEX('Draft Engine'!$F$3:$F$232,$M176)</f>
        <v>46</v>
      </c>
      <c r="D176" t="str">
        <f>INDEX('Draft Engine'!$B$3:$B$232,$M176)</f>
        <v>Jonathon Brooks</v>
      </c>
      <c r="E176" s="4">
        <f>INDEX('Draft Engine'!$E$3:$E$232,$M176)</f>
        <v>62.2</v>
      </c>
      <c r="F176" t="str">
        <f t="shared" si="2"/>
        <v>TIER 7</v>
      </c>
      <c r="G176" s="4">
        <f>INDEX('Draft Engine'!$N$3:$N$232,$M176)</f>
        <v>41.684125000000002</v>
      </c>
      <c r="H176" s="4">
        <f>INDEX('Draft Engine'!$R$3:$R$232,$M176)</f>
        <v>109.4</v>
      </c>
      <c r="I176" s="4">
        <f>INDEX('Draft Engine'!$S$3:$S$232,$M176)</f>
        <v>-64.599999999999994</v>
      </c>
      <c r="J176" s="5"/>
      <c r="K176">
        <f>INDEX('Draft Engine'!$Z$3:$Z$232,$M176)</f>
        <v>174</v>
      </c>
      <c r="L176" t="str">
        <f>INDEX('LIVE SOURCE'!$H$3:$H$232,$M176)</f>
        <v>Bench stash/handcuff profile; value is tied to role change or injury ahead.</v>
      </c>
      <c r="M176" s="6">
        <f>MATCH($A176,'Draft Engine'!$Q$3:$Q$232,0)</f>
        <v>78</v>
      </c>
      <c r="N176">
        <f>INDEX('LIVE SOURCE'!$L$3:$L$232,$M176)</f>
        <v>5</v>
      </c>
    </row>
    <row r="177" spans="1:14" x14ac:dyDescent="0.25">
      <c r="A177">
        <v>175</v>
      </c>
      <c r="B177" t="str">
        <f>INDEX('Draft Engine'!$A$3:$A$232,$M177)</f>
        <v>WR</v>
      </c>
      <c r="C177">
        <f>INDEX('Draft Engine'!$F$3:$F$232,$M177)</f>
        <v>56</v>
      </c>
      <c r="D177" t="str">
        <f>INDEX('Draft Engine'!$B$3:$B$232,$M177)</f>
        <v>KC Concepcion</v>
      </c>
      <c r="E177" s="4">
        <f>INDEX('Draft Engine'!$E$3:$E$232,$M177)</f>
        <v>62.82</v>
      </c>
      <c r="F177" t="str">
        <f t="shared" si="2"/>
        <v>TIER 7</v>
      </c>
      <c r="G177" s="4">
        <f>INDEX('Draft Engine'!$N$3:$N$232,$M177)</f>
        <v>41.361000000000004</v>
      </c>
      <c r="H177" s="4">
        <f>INDEX('Draft Engine'!$R$3:$R$232,$M177)</f>
        <v>130.69999999999999</v>
      </c>
      <c r="I177" s="4">
        <f>INDEX('Draft Engine'!$S$3:$S$232,$M177)</f>
        <v>-44.300000000000011</v>
      </c>
      <c r="J177" s="5"/>
      <c r="K177">
        <f>INDEX('Draft Engine'!$Z$3:$Z$232,$M177)</f>
        <v>175</v>
      </c>
      <c r="L177" t="str">
        <f>INDEX('LIVE SOURCE'!$H$3:$H$232,$M177)</f>
        <v>Late-round bench upside; role growth is required for weekly relevance.</v>
      </c>
      <c r="M177" s="6">
        <f>MATCH($A177,'Draft Engine'!$Q$3:$Q$232,0)</f>
        <v>139</v>
      </c>
      <c r="N177">
        <f>INDEX('LIVE SOURCE'!$L$3:$L$232,$M177)</f>
        <v>11</v>
      </c>
    </row>
    <row r="178" spans="1:14" x14ac:dyDescent="0.25">
      <c r="A178">
        <v>176</v>
      </c>
      <c r="B178" t="str">
        <f>INDEX('Draft Engine'!$A$3:$A$232,$M178)</f>
        <v>RB</v>
      </c>
      <c r="C178">
        <f>INDEX('Draft Engine'!$F$3:$F$232,$M178)</f>
        <v>47</v>
      </c>
      <c r="D178" t="str">
        <f>INDEX('Draft Engine'!$B$3:$B$232,$M178)</f>
        <v>Emanuel Wilson</v>
      </c>
      <c r="E178" s="4">
        <f>INDEX('Draft Engine'!$E$3:$E$232,$M178)</f>
        <v>61.982100000000003</v>
      </c>
      <c r="F178" t="str">
        <f t="shared" si="2"/>
        <v>TIER 7</v>
      </c>
      <c r="G178" s="4">
        <f>INDEX('Draft Engine'!$N$3:$N$232,$M178)</f>
        <v>41.042905000000005</v>
      </c>
      <c r="H178" s="4">
        <f>INDEX('Draft Engine'!$R$3:$R$232,$M178)</f>
        <v>195.2</v>
      </c>
      <c r="I178" s="4">
        <f>INDEX('Draft Engine'!$S$3:$S$232,$M178)</f>
        <v>19.199999999999989</v>
      </c>
      <c r="J178" s="5"/>
      <c r="K178">
        <f>INDEX('Draft Engine'!$Z$3:$Z$232,$M178)</f>
        <v>176</v>
      </c>
      <c r="L178" t="str">
        <f>INDEX('LIVE SOURCE'!$H$3:$H$232,$M178)</f>
        <v>Bench stash/handcuff profile; value is tied to role change or injury ahead.</v>
      </c>
      <c r="M178" s="6">
        <f>MATCH($A178,'Draft Engine'!$Q$3:$Q$232,0)</f>
        <v>79</v>
      </c>
      <c r="N178">
        <f>INDEX('LIVE SOURCE'!$L$3:$L$232,$M178)</f>
        <v>11</v>
      </c>
    </row>
    <row r="179" spans="1:14" x14ac:dyDescent="0.25">
      <c r="A179">
        <v>177</v>
      </c>
      <c r="B179" t="str">
        <f>INDEX('Draft Engine'!$A$3:$A$232,$M179)</f>
        <v>TE</v>
      </c>
      <c r="C179">
        <f>INDEX('Draft Engine'!$F$3:$F$232,$M179)</f>
        <v>28</v>
      </c>
      <c r="D179" t="str">
        <f>INDEX('Draft Engine'!$B$3:$B$232,$M179)</f>
        <v>Terrance Ferguson</v>
      </c>
      <c r="E179" s="4">
        <f>INDEX('Draft Engine'!$E$3:$E$232,$M179)</f>
        <v>64.362099999999998</v>
      </c>
      <c r="F179" t="str">
        <f t="shared" si="2"/>
        <v>TIER 7</v>
      </c>
      <c r="G179" s="4">
        <f>INDEX('Draft Engine'!$N$3:$N$232,$M179)</f>
        <v>40.607154999999999</v>
      </c>
      <c r="H179" s="4">
        <f>INDEX('Draft Engine'!$R$3:$R$232,$M179)</f>
        <v>251</v>
      </c>
      <c r="I179" s="4">
        <f>INDEX('Draft Engine'!$S$3:$S$232,$M179)</f>
        <v>74</v>
      </c>
      <c r="J179" s="5"/>
      <c r="K179">
        <f>INDEX('Draft Engine'!$Z$3:$Z$232,$M179)</f>
        <v>177</v>
      </c>
      <c r="L179" t="str">
        <f>INDEX('LIVE SOURCE'!$H$3:$H$232,$M179)</f>
        <v>Deep TE stash; needs a larger route/target role to matter in 10-team leagues.</v>
      </c>
      <c r="M179" s="6">
        <f>MATCH($A179,'Draft Engine'!$Q$3:$Q$232,0)</f>
        <v>185</v>
      </c>
      <c r="N179">
        <f>INDEX('LIVE SOURCE'!$L$3:$L$232,$M179)</f>
        <v>11</v>
      </c>
    </row>
    <row r="180" spans="1:14" x14ac:dyDescent="0.25">
      <c r="A180">
        <v>178</v>
      </c>
      <c r="B180" t="str">
        <f>INDEX('Draft Engine'!$A$3:$A$232,$M180)</f>
        <v>WR</v>
      </c>
      <c r="C180">
        <f>INDEX('Draft Engine'!$F$3:$F$232,$M180)</f>
        <v>57</v>
      </c>
      <c r="D180" t="str">
        <f>INDEX('Draft Engine'!$B$3:$B$232,$M180)</f>
        <v>Rashid Shaheed</v>
      </c>
      <c r="E180" s="4">
        <f>INDEX('Draft Engine'!$E$3:$E$232,$M180)</f>
        <v>62.15</v>
      </c>
      <c r="F180" t="str">
        <f t="shared" si="2"/>
        <v>TIER 7</v>
      </c>
      <c r="G180" s="4">
        <f>INDEX('Draft Engine'!$N$3:$N$232,$M180)</f>
        <v>40.488500000000002</v>
      </c>
      <c r="H180" s="4">
        <f>INDEX('Draft Engine'!$R$3:$R$232,$M180)</f>
        <v>121.9</v>
      </c>
      <c r="I180" s="4">
        <f>INDEX('Draft Engine'!$S$3:$S$232,$M180)</f>
        <v>-56.099999999999994</v>
      </c>
      <c r="J180" s="5"/>
      <c r="K180">
        <f>INDEX('Draft Engine'!$Z$3:$Z$232,$M180)</f>
        <v>178</v>
      </c>
      <c r="L180" t="str">
        <f>INDEX('LIVE SOURCE'!$H$3:$H$232,$M180)</f>
        <v>Late-round bench upside; role growth is required for weekly relevance.</v>
      </c>
      <c r="M180" s="6">
        <f>MATCH($A180,'Draft Engine'!$Q$3:$Q$232,0)</f>
        <v>140</v>
      </c>
      <c r="N180">
        <f>INDEX('LIVE SOURCE'!$L$3:$L$232,$M180)</f>
        <v>11</v>
      </c>
    </row>
    <row r="181" spans="1:14" x14ac:dyDescent="0.25">
      <c r="A181">
        <v>179</v>
      </c>
      <c r="B181" t="str">
        <f>INDEX('Draft Engine'!$A$3:$A$232,$M181)</f>
        <v>WR</v>
      </c>
      <c r="C181">
        <f>INDEX('Draft Engine'!$F$3:$F$232,$M181)</f>
        <v>58</v>
      </c>
      <c r="D181" t="str">
        <f>INDEX('Draft Engine'!$B$3:$B$232,$M181)</f>
        <v>Jayden Higgins</v>
      </c>
      <c r="E181" s="4">
        <f>INDEX('Draft Engine'!$E$3:$E$232,$M181)</f>
        <v>62.1</v>
      </c>
      <c r="F181" t="str">
        <f t="shared" si="2"/>
        <v>TIER 7</v>
      </c>
      <c r="G181" s="4">
        <f>INDEX('Draft Engine'!$N$3:$N$232,$M181)</f>
        <v>40.425000000000004</v>
      </c>
      <c r="H181" s="4">
        <f>INDEX('Draft Engine'!$R$3:$R$232,$M181)</f>
        <v>137.1</v>
      </c>
      <c r="I181" s="4">
        <f>INDEX('Draft Engine'!$S$3:$S$232,$M181)</f>
        <v>-41.900000000000006</v>
      </c>
      <c r="J181" s="5"/>
      <c r="K181">
        <f>INDEX('Draft Engine'!$Z$3:$Z$232,$M181)</f>
        <v>179</v>
      </c>
      <c r="L181" t="str">
        <f>INDEX('LIVE SOURCE'!$H$3:$H$232,$M181)</f>
        <v>Added 2026-08-12 from ESPN consensus (WR56).</v>
      </c>
      <c r="M181" s="6">
        <f>MATCH($A181,'Draft Engine'!$Q$3:$Q$232,0)</f>
        <v>157</v>
      </c>
      <c r="N181">
        <f>INDEX('LIVE SOURCE'!$L$3:$L$232,$M181)</f>
        <v>8</v>
      </c>
    </row>
    <row r="182" spans="1:14" x14ac:dyDescent="0.25">
      <c r="A182">
        <v>180</v>
      </c>
      <c r="B182" t="str">
        <f>INDEX('Draft Engine'!$A$3:$A$232,$M182)</f>
        <v>QB</v>
      </c>
      <c r="C182">
        <f>INDEX('Draft Engine'!$F$3:$F$232,$M182)</f>
        <v>27</v>
      </c>
      <c r="D182" t="str">
        <f>INDEX('Draft Engine'!$B$3:$B$232,$M182)</f>
        <v>Jacoby Brissett</v>
      </c>
      <c r="E182" s="4">
        <f>INDEX('Draft Engine'!$E$3:$E$232,$M182)</f>
        <v>71.333399999999997</v>
      </c>
      <c r="F182" t="str">
        <f t="shared" si="2"/>
        <v>TIER 5</v>
      </c>
      <c r="G182" s="4">
        <f>INDEX('Draft Engine'!$N$3:$N$232,$M182)</f>
        <v>40.415370000000003</v>
      </c>
      <c r="H182" s="4">
        <f>INDEX('Draft Engine'!$R$3:$R$232,$M182)</f>
        <v>167.4</v>
      </c>
      <c r="I182" s="4">
        <f>INDEX('Draft Engine'!$S$3:$S$232,$M182)</f>
        <v>-12.599999999999994</v>
      </c>
      <c r="J182" s="5"/>
      <c r="K182">
        <f>INDEX('Draft Engine'!$Z$3:$Z$232,$M182)</f>
        <v>180</v>
      </c>
      <c r="L182" t="str">
        <f>INDEX('LIVE SOURCE'!$H$3:$H$232,$M182)</f>
        <v>Deep QB2; waiver-level in a normal 10-team format.</v>
      </c>
      <c r="M182" s="6">
        <f>MATCH($A182,'Draft Engine'!$Q$3:$Q$232,0)</f>
        <v>27</v>
      </c>
      <c r="N182">
        <f>INDEX('LIVE SOURCE'!$L$3:$L$232,$M182)</f>
        <v>14</v>
      </c>
    </row>
    <row r="183" spans="1:14" x14ac:dyDescent="0.25">
      <c r="A183">
        <v>181</v>
      </c>
      <c r="B183" t="str">
        <f>INDEX('Draft Engine'!$A$3:$A$232,$M183)</f>
        <v>QB</v>
      </c>
      <c r="C183">
        <f>INDEX('Draft Engine'!$F$3:$F$232,$M183)</f>
        <v>28</v>
      </c>
      <c r="D183" t="str">
        <f>INDEX('Draft Engine'!$B$3:$B$232,$M183)</f>
        <v>Geno Smith</v>
      </c>
      <c r="E183" s="4">
        <f>INDEX('Draft Engine'!$E$3:$E$232,$M183)</f>
        <v>71.098600000000005</v>
      </c>
      <c r="F183" t="str">
        <f t="shared" si="2"/>
        <v>TIER 5</v>
      </c>
      <c r="G183" s="4">
        <f>INDEX('Draft Engine'!$N$3:$N$232,$M183)</f>
        <v>40.08823000000001</v>
      </c>
      <c r="H183" s="4">
        <f>INDEX('Draft Engine'!$R$3:$R$232,$M183)</f>
        <v>238</v>
      </c>
      <c r="I183" s="4">
        <f>INDEX('Draft Engine'!$S$3:$S$232,$M183)</f>
        <v>57</v>
      </c>
      <c r="J183" s="5"/>
      <c r="K183">
        <f>INDEX('Draft Engine'!$Z$3:$Z$232,$M183)</f>
        <v>181</v>
      </c>
      <c r="L183" t="str">
        <f>INDEX('LIVE SOURCE'!$H$3:$H$232,$M183)</f>
        <v>Deep QB2; waiver-level in a normal 10-team format.</v>
      </c>
      <c r="M183" s="6">
        <f>MATCH($A183,'Draft Engine'!$Q$3:$Q$232,0)</f>
        <v>28</v>
      </c>
      <c r="N183">
        <f>INDEX('LIVE SOURCE'!$L$3:$L$232,$M183)</f>
        <v>13</v>
      </c>
    </row>
    <row r="184" spans="1:14" x14ac:dyDescent="0.25">
      <c r="A184">
        <v>182</v>
      </c>
      <c r="B184" t="str">
        <f>INDEX('Draft Engine'!$A$3:$A$232,$M184)</f>
        <v>QB</v>
      </c>
      <c r="C184">
        <f>INDEX('Draft Engine'!$F$3:$F$232,$M184)</f>
        <v>29</v>
      </c>
      <c r="D184" t="str">
        <f>INDEX('Draft Engine'!$B$3:$B$232,$M184)</f>
        <v>Aaron Rodgers</v>
      </c>
      <c r="E184" s="4">
        <f>INDEX('Draft Engine'!$E$3:$E$232,$M184)</f>
        <v>70.884799999999998</v>
      </c>
      <c r="F184" t="str">
        <f t="shared" si="2"/>
        <v>TIER 5</v>
      </c>
      <c r="G184" s="4">
        <f>INDEX('Draft Engine'!$N$3:$N$232,$M184)</f>
        <v>39.808640000000004</v>
      </c>
      <c r="H184" s="4">
        <f>INDEX('Draft Engine'!$R$3:$R$232,$M184)</f>
        <v>168.1</v>
      </c>
      <c r="I184" s="4">
        <f>INDEX('Draft Engine'!$S$3:$S$232,$M184)</f>
        <v>-13.900000000000006</v>
      </c>
      <c r="J184" s="5"/>
      <c r="K184">
        <f>INDEX('Draft Engine'!$Z$3:$Z$232,$M184)</f>
        <v>182</v>
      </c>
      <c r="L184" t="str">
        <f>INDEX('LIVE SOURCE'!$H$3:$H$232,$M184)</f>
        <v>Deep QB2; waiver-level in a normal 10-team format.</v>
      </c>
      <c r="M184" s="6">
        <f>MATCH($A184,'Draft Engine'!$Q$3:$Q$232,0)</f>
        <v>29</v>
      </c>
      <c r="N184">
        <f>INDEX('LIVE SOURCE'!$L$3:$L$232,$M184)</f>
        <v>9</v>
      </c>
    </row>
    <row r="185" spans="1:14" x14ac:dyDescent="0.25">
      <c r="A185">
        <v>183</v>
      </c>
      <c r="B185" t="str">
        <f>INDEX('Draft Engine'!$A$3:$A$232,$M185)</f>
        <v>WR</v>
      </c>
      <c r="C185">
        <f>INDEX('Draft Engine'!$F$3:$F$232,$M185)</f>
        <v>59</v>
      </c>
      <c r="D185" t="str">
        <f>INDEX('Draft Engine'!$B$3:$B$232,$M185)</f>
        <v>Calvin Ridley</v>
      </c>
      <c r="E185" s="4">
        <f>INDEX('Draft Engine'!$E$3:$E$232,$M185)</f>
        <v>61.48</v>
      </c>
      <c r="F185" t="str">
        <f t="shared" si="2"/>
        <v>TIER 7</v>
      </c>
      <c r="G185" s="4">
        <f>INDEX('Draft Engine'!$N$3:$N$232,$M185)</f>
        <v>39.616</v>
      </c>
      <c r="H185" s="4">
        <f>INDEX('Draft Engine'!$R$3:$R$232,$M185)</f>
        <v>132.80000000000001</v>
      </c>
      <c r="I185" s="4">
        <f>INDEX('Draft Engine'!$S$3:$S$232,$M185)</f>
        <v>-50.199999999999989</v>
      </c>
      <c r="J185" s="5"/>
      <c r="K185">
        <f>INDEX('Draft Engine'!$Z$3:$Z$232,$M185)</f>
        <v>183</v>
      </c>
      <c r="L185" t="str">
        <f>INDEX('LIVE SOURCE'!$H$3:$H$232,$M185)</f>
        <v>Late-round bench upside; role growth is required for weekly relevance.</v>
      </c>
      <c r="M185" s="6">
        <f>MATCH($A185,'Draft Engine'!$Q$3:$Q$232,0)</f>
        <v>141</v>
      </c>
      <c r="N185">
        <f>INDEX('LIVE SOURCE'!$L$3:$L$232,$M185)</f>
        <v>9</v>
      </c>
    </row>
    <row r="186" spans="1:14" x14ac:dyDescent="0.25">
      <c r="A186">
        <v>184</v>
      </c>
      <c r="B186" t="str">
        <f>INDEX('Draft Engine'!$A$3:$A$232,$M186)</f>
        <v>WR</v>
      </c>
      <c r="C186">
        <f>INDEX('Draft Engine'!$F$3:$F$232,$M186)</f>
        <v>60</v>
      </c>
      <c r="D186" t="str">
        <f>INDEX('Draft Engine'!$B$3:$B$232,$M186)</f>
        <v>Omar Cooper Jr.</v>
      </c>
      <c r="E186" s="4">
        <f>INDEX('Draft Engine'!$E$3:$E$232,$M186)</f>
        <v>60.81</v>
      </c>
      <c r="F186" t="str">
        <f t="shared" si="2"/>
        <v>TIER 7</v>
      </c>
      <c r="G186" s="4">
        <f>INDEX('Draft Engine'!$N$3:$N$232,$M186)</f>
        <v>38.743500000000004</v>
      </c>
      <c r="H186" s="4">
        <f>INDEX('Draft Engine'!$R$3:$R$232,$M186)</f>
        <v>165.4</v>
      </c>
      <c r="I186" s="4">
        <f>INDEX('Draft Engine'!$S$3:$S$232,$M186)</f>
        <v>-18.599999999999994</v>
      </c>
      <c r="J186" s="5"/>
      <c r="K186">
        <f>INDEX('Draft Engine'!$Z$3:$Z$232,$M186)</f>
        <v>184</v>
      </c>
      <c r="L186" t="str">
        <f>INDEX('LIVE SOURCE'!$H$3:$H$232,$M186)</f>
        <v>Late-round bench upside; role growth is required for weekly relevance.</v>
      </c>
      <c r="M186" s="6">
        <f>MATCH($A186,'Draft Engine'!$Q$3:$Q$232,0)</f>
        <v>142</v>
      </c>
      <c r="N186">
        <f>INDEX('LIVE SOURCE'!$L$3:$L$232,$M186)</f>
        <v>13</v>
      </c>
    </row>
    <row r="187" spans="1:14" x14ac:dyDescent="0.25">
      <c r="A187">
        <v>185</v>
      </c>
      <c r="B187" t="str">
        <f>INDEX('Draft Engine'!$A$3:$A$232,$M187)</f>
        <v>RB</v>
      </c>
      <c r="C187">
        <f>INDEX('Draft Engine'!$F$3:$F$232,$M187)</f>
        <v>48</v>
      </c>
      <c r="D187" t="str">
        <f>INDEX('Draft Engine'!$B$3:$B$232,$M187)</f>
        <v>Isiah Pacheco</v>
      </c>
      <c r="E187" s="4">
        <f>INDEX('Draft Engine'!$E$3:$E$232,$M187)</f>
        <v>60.0092</v>
      </c>
      <c r="F187" t="str">
        <f t="shared" si="2"/>
        <v>TIER 7</v>
      </c>
      <c r="G187" s="4">
        <f>INDEX('Draft Engine'!$N$3:$N$232,$M187)</f>
        <v>38.104435000000002</v>
      </c>
      <c r="H187" s="4">
        <f>INDEX('Draft Engine'!$R$3:$R$232,$M187)</f>
        <v>147.69999999999999</v>
      </c>
      <c r="I187" s="4">
        <f>INDEX('Draft Engine'!$S$3:$S$232,$M187)</f>
        <v>-37.300000000000011</v>
      </c>
      <c r="J187" s="5"/>
      <c r="K187">
        <f>INDEX('Draft Engine'!$Z$3:$Z$232,$M187)</f>
        <v>185</v>
      </c>
      <c r="L187" t="str">
        <f>INDEX('LIVE SOURCE'!$H$3:$H$232,$M187)</f>
        <v>Bench stash/handcuff profile; value is tied to role change or injury ahead.</v>
      </c>
      <c r="M187" s="6">
        <f>MATCH($A187,'Draft Engine'!$Q$3:$Q$232,0)</f>
        <v>80</v>
      </c>
      <c r="N187">
        <f>INDEX('LIVE SOURCE'!$L$3:$L$232,$M187)</f>
        <v>6</v>
      </c>
    </row>
    <row r="188" spans="1:14" x14ac:dyDescent="0.25">
      <c r="A188">
        <v>186</v>
      </c>
      <c r="B188" t="str">
        <f>INDEX('Draft Engine'!$A$3:$A$232,$M188)</f>
        <v>WR</v>
      </c>
      <c r="C188">
        <f>INDEX('Draft Engine'!$F$3:$F$232,$M188)</f>
        <v>61</v>
      </c>
      <c r="D188" t="str">
        <f>INDEX('Draft Engine'!$B$3:$B$232,$M188)</f>
        <v>Jerry Jeudy</v>
      </c>
      <c r="E188" s="4">
        <f>INDEX('Draft Engine'!$E$3:$E$232,$M188)</f>
        <v>60.14</v>
      </c>
      <c r="F188" t="str">
        <f t="shared" si="2"/>
        <v>TIER 7</v>
      </c>
      <c r="G188" s="4">
        <f>INDEX('Draft Engine'!$N$3:$N$232,$M188)</f>
        <v>37.871000000000002</v>
      </c>
      <c r="H188" s="4">
        <f>INDEX('Draft Engine'!$R$3:$R$232,$M188)</f>
        <v>134.69999999999999</v>
      </c>
      <c r="I188" s="4">
        <f>INDEX('Draft Engine'!$S$3:$S$232,$M188)</f>
        <v>-51.300000000000011</v>
      </c>
      <c r="J188" s="5"/>
      <c r="K188">
        <f>INDEX('Draft Engine'!$Z$3:$Z$232,$M188)</f>
        <v>186</v>
      </c>
      <c r="L188" t="str">
        <f>INDEX('LIVE SOURCE'!$H$3:$H$232,$M188)</f>
        <v>Late-round bench upside; role growth is required for weekly relevance.</v>
      </c>
      <c r="M188" s="6">
        <f>MATCH($A188,'Draft Engine'!$Q$3:$Q$232,0)</f>
        <v>143</v>
      </c>
      <c r="N188">
        <f>INDEX('LIVE SOURCE'!$L$3:$L$232,$M188)</f>
        <v>11</v>
      </c>
    </row>
    <row r="189" spans="1:14" x14ac:dyDescent="0.25">
      <c r="A189">
        <v>187</v>
      </c>
      <c r="B189" t="str">
        <f>INDEX('Draft Engine'!$A$3:$A$232,$M189)</f>
        <v>WR</v>
      </c>
      <c r="C189">
        <f>INDEX('Draft Engine'!$F$3:$F$232,$M189)</f>
        <v>62</v>
      </c>
      <c r="D189" t="str">
        <f>INDEX('Draft Engine'!$B$3:$B$232,$M189)</f>
        <v>Tank Dell</v>
      </c>
      <c r="E189" s="4">
        <f>INDEX('Draft Engine'!$E$3:$E$232,$M189)</f>
        <v>60.1</v>
      </c>
      <c r="F189" t="str">
        <f t="shared" si="2"/>
        <v>TIER 7</v>
      </c>
      <c r="G189" s="4">
        <f>INDEX('Draft Engine'!$N$3:$N$232,$M189)</f>
        <v>37.813000000000009</v>
      </c>
      <c r="H189" s="4">
        <f>INDEX('Draft Engine'!$R$3:$R$232,$M189)</f>
        <v>146.6</v>
      </c>
      <c r="I189" s="4">
        <f>INDEX('Draft Engine'!$S$3:$S$232,$M189)</f>
        <v>-40.400000000000006</v>
      </c>
      <c r="J189" s="5"/>
      <c r="K189">
        <f>INDEX('Draft Engine'!$Z$3:$Z$232,$M189)</f>
        <v>187</v>
      </c>
      <c r="L189" t="str">
        <f>INDEX('LIVE SOURCE'!$H$3:$H$232,$M189)</f>
        <v>Added 2026-08-12 from ESPN consensus (WR56).</v>
      </c>
      <c r="M189" s="6">
        <f>MATCH($A189,'Draft Engine'!$Q$3:$Q$232,0)</f>
        <v>158</v>
      </c>
      <c r="N189">
        <f>INDEX('LIVE SOURCE'!$L$3:$L$232,$M189)</f>
        <v>8</v>
      </c>
    </row>
    <row r="190" spans="1:14" x14ac:dyDescent="0.25">
      <c r="A190">
        <v>188</v>
      </c>
      <c r="B190" t="str">
        <f>INDEX('Draft Engine'!$A$3:$A$232,$M190)</f>
        <v>WR</v>
      </c>
      <c r="C190">
        <f>INDEX('Draft Engine'!$F$3:$F$232,$M190)</f>
        <v>63</v>
      </c>
      <c r="D190" t="str">
        <f>INDEX('Draft Engine'!$B$3:$B$232,$M190)</f>
        <v>Jalen Nailor</v>
      </c>
      <c r="E190" s="4">
        <f>INDEX('Draft Engine'!$E$3:$E$232,$M190)</f>
        <v>59.47</v>
      </c>
      <c r="F190" t="str">
        <f t="shared" si="2"/>
        <v>TIER 7</v>
      </c>
      <c r="G190" s="4">
        <f>INDEX('Draft Engine'!$N$3:$N$232,$M190)</f>
        <v>36.9985</v>
      </c>
      <c r="H190" s="4">
        <f>INDEX('Draft Engine'!$R$3:$R$232,$M190)</f>
        <v>160.6</v>
      </c>
      <c r="I190" s="4">
        <f>INDEX('Draft Engine'!$S$3:$S$232,$M190)</f>
        <v>-27.400000000000006</v>
      </c>
      <c r="J190" s="5"/>
      <c r="K190">
        <f>INDEX('Draft Engine'!$Z$3:$Z$232,$M190)</f>
        <v>188</v>
      </c>
      <c r="L190" t="str">
        <f>INDEX('LIVE SOURCE'!$H$3:$H$232,$M190)</f>
        <v>Late-round bench upside; role growth is required for weekly relevance.</v>
      </c>
      <c r="M190" s="6">
        <f>MATCH($A190,'Draft Engine'!$Q$3:$Q$232,0)</f>
        <v>144</v>
      </c>
      <c r="N190">
        <f>INDEX('LIVE SOURCE'!$L$3:$L$232,$M190)</f>
        <v>13</v>
      </c>
    </row>
    <row r="191" spans="1:14" x14ac:dyDescent="0.25">
      <c r="A191">
        <v>189</v>
      </c>
      <c r="B191" t="str">
        <f>INDEX('Draft Engine'!$A$3:$A$232,$M191)</f>
        <v>RB</v>
      </c>
      <c r="C191">
        <f>INDEX('Draft Engine'!$F$3:$F$232,$M191)</f>
        <v>49</v>
      </c>
      <c r="D191" t="str">
        <f>INDEX('Draft Engine'!$B$3:$B$232,$M191)</f>
        <v>Alvin Kamara</v>
      </c>
      <c r="E191" s="4">
        <f>INDEX('Draft Engine'!$E$3:$E$232,$M191)</f>
        <v>59.15</v>
      </c>
      <c r="F191" t="str">
        <f t="shared" si="2"/>
        <v>TIER 7</v>
      </c>
      <c r="G191" s="4">
        <f>INDEX('Draft Engine'!$N$3:$N$232,$M191)</f>
        <v>36.624499999999998</v>
      </c>
      <c r="H191" s="4">
        <f>INDEX('Draft Engine'!$R$3:$R$232,$M191)</f>
        <v>134.1</v>
      </c>
      <c r="I191" s="4">
        <f>INDEX('Draft Engine'!$S$3:$S$232,$M191)</f>
        <v>-54.900000000000006</v>
      </c>
      <c r="J191" s="5"/>
      <c r="K191">
        <f>INDEX('Draft Engine'!$Z$3:$Z$232,$M191)</f>
        <v>189</v>
      </c>
      <c r="L191" t="str">
        <f>INDEX('LIVE SOURCE'!$H$3:$H$232,$M191)</f>
        <v>Bench stash/handcuff profile; value is tied to role change or injury ahead.</v>
      </c>
      <c r="M191" s="6">
        <f>MATCH($A191,'Draft Engine'!$Q$3:$Q$232,0)</f>
        <v>81</v>
      </c>
      <c r="N191">
        <f>INDEX('LIVE SOURCE'!$L$3:$L$232,$M191)</f>
        <v>8</v>
      </c>
    </row>
    <row r="192" spans="1:14" x14ac:dyDescent="0.25">
      <c r="A192">
        <v>190</v>
      </c>
      <c r="B192" t="str">
        <f>INDEX('Draft Engine'!$A$3:$A$232,$M192)</f>
        <v>RB</v>
      </c>
      <c r="C192">
        <f>INDEX('Draft Engine'!$F$3:$F$232,$M192)</f>
        <v>50</v>
      </c>
      <c r="D192" t="str">
        <f>INDEX('Draft Engine'!$B$3:$B$232,$M192)</f>
        <v>Keaton Mitchell</v>
      </c>
      <c r="E192" s="4">
        <f>INDEX('Draft Engine'!$E$3:$E$232,$M192)</f>
        <v>59</v>
      </c>
      <c r="F192" t="str">
        <f t="shared" si="2"/>
        <v>TIER 7</v>
      </c>
      <c r="G192" s="4">
        <f>INDEX('Draft Engine'!$N$3:$N$232,$M192)</f>
        <v>36.434000000000005</v>
      </c>
      <c r="H192" s="4">
        <f>INDEX('Draft Engine'!$R$3:$R$232,$M192)</f>
        <v>160.19999999999999</v>
      </c>
      <c r="I192" s="4">
        <f>INDEX('Draft Engine'!$S$3:$S$232,$M192)</f>
        <v>-29.800000000000011</v>
      </c>
      <c r="J192" s="5"/>
      <c r="K192">
        <f>INDEX('Draft Engine'!$Z$3:$Z$232,$M192)</f>
        <v>190</v>
      </c>
      <c r="L192" t="str">
        <f>INDEX('LIVE SOURCE'!$H$3:$H$232,$M192)</f>
        <v>Added 2026-08-12 from ESPN consensus (RB46).</v>
      </c>
      <c r="M192" s="6">
        <f>MATCH($A192,'Draft Engine'!$Q$3:$Q$232,0)</f>
        <v>84</v>
      </c>
      <c r="N192">
        <f>INDEX('LIVE SOURCE'!$L$3:$L$232,$M192)</f>
        <v>7</v>
      </c>
    </row>
    <row r="193" spans="1:14" x14ac:dyDescent="0.25">
      <c r="A193">
        <v>191</v>
      </c>
      <c r="B193" t="str">
        <f>INDEX('Draft Engine'!$A$3:$A$232,$M193)</f>
        <v>WR</v>
      </c>
      <c r="C193">
        <f>INDEX('Draft Engine'!$F$3:$F$232,$M193)</f>
        <v>64</v>
      </c>
      <c r="D193" t="str">
        <f>INDEX('Draft Engine'!$B$3:$B$232,$M193)</f>
        <v>Jalen McMillan</v>
      </c>
      <c r="E193" s="4">
        <f>INDEX('Draft Engine'!$E$3:$E$232,$M193)</f>
        <v>58.8</v>
      </c>
      <c r="F193" t="str">
        <f t="shared" si="2"/>
        <v>TIER 7</v>
      </c>
      <c r="G193" s="4">
        <f>INDEX('Draft Engine'!$N$3:$N$232,$M193)</f>
        <v>36.126000000000005</v>
      </c>
      <c r="H193" s="4">
        <f>INDEX('Draft Engine'!$R$3:$R$232,$M193)</f>
        <v>152.80000000000001</v>
      </c>
      <c r="I193" s="4">
        <f>INDEX('Draft Engine'!$S$3:$S$232,$M193)</f>
        <v>-38.199999999999989</v>
      </c>
      <c r="J193" s="5"/>
      <c r="K193">
        <f>INDEX('Draft Engine'!$Z$3:$Z$232,$M193)</f>
        <v>191</v>
      </c>
      <c r="L193" t="str">
        <f>INDEX('LIVE SOURCE'!$H$3:$H$232,$M193)</f>
        <v>Late-round bench upside; role growth is required for weekly relevance.</v>
      </c>
      <c r="M193" s="6">
        <f>MATCH($A193,'Draft Engine'!$Q$3:$Q$232,0)</f>
        <v>145</v>
      </c>
      <c r="N193">
        <f>INDEX('LIVE SOURCE'!$L$3:$L$232,$M193)</f>
        <v>10</v>
      </c>
    </row>
    <row r="194" spans="1:14" x14ac:dyDescent="0.25">
      <c r="A194">
        <v>192</v>
      </c>
      <c r="B194" t="str">
        <f>INDEX('Draft Engine'!$A$3:$A$232,$M194)</f>
        <v>QB</v>
      </c>
      <c r="C194">
        <f>INDEX('Draft Engine'!$F$3:$F$232,$M194)</f>
        <v>30</v>
      </c>
      <c r="D194" t="str">
        <f>INDEX('Draft Engine'!$B$3:$B$232,$M194)</f>
        <v>Tua Tagovailoa</v>
      </c>
      <c r="E194" s="4">
        <f>INDEX('Draft Engine'!$E$3:$E$232,$M194)</f>
        <v>67.851200000000006</v>
      </c>
      <c r="F194" t="str">
        <f t="shared" si="2"/>
        <v>TIER 6</v>
      </c>
      <c r="G194" s="4">
        <f>INDEX('Draft Engine'!$N$3:$N$232,$M194)</f>
        <v>35.674160000000008</v>
      </c>
      <c r="H194" s="4">
        <f>INDEX('Draft Engine'!$R$3:$R$232,$M194)</f>
        <v>254</v>
      </c>
      <c r="I194" s="4">
        <f>INDEX('Draft Engine'!$S$3:$S$232,$M194)</f>
        <v>62</v>
      </c>
      <c r="J194" s="5"/>
      <c r="K194">
        <f>INDEX('Draft Engine'!$Z$3:$Z$232,$M194)</f>
        <v>192</v>
      </c>
      <c r="L194" t="str">
        <f>INDEX('LIVE SOURCE'!$H$3:$H$232,$M194)</f>
        <v>Deep QB2; waiver-level in a normal 10-team format.</v>
      </c>
      <c r="M194" s="6">
        <f>MATCH($A194,'Draft Engine'!$Q$3:$Q$232,0)</f>
        <v>30</v>
      </c>
      <c r="N194">
        <f>INDEX('LIVE SOURCE'!$L$3:$L$232,$M194)</f>
        <v>11</v>
      </c>
    </row>
    <row r="195" spans="1:14" x14ac:dyDescent="0.25">
      <c r="A195">
        <v>193</v>
      </c>
      <c r="B195" t="str">
        <f>INDEX('Draft Engine'!$A$3:$A$232,$M195)</f>
        <v>WR</v>
      </c>
      <c r="C195">
        <f>INDEX('Draft Engine'!$F$3:$F$232,$M195)</f>
        <v>65</v>
      </c>
      <c r="D195" t="str">
        <f>INDEX('Draft Engine'!$B$3:$B$232,$M195)</f>
        <v>Adonai Mitchell</v>
      </c>
      <c r="E195" s="4">
        <f>INDEX('Draft Engine'!$E$3:$E$232,$M195)</f>
        <v>58.13</v>
      </c>
      <c r="F195" t="str">
        <f t="shared" ref="F195:F232" si="3">IF($E195&gt;=95,"ELITE",IF($E195&gt;=90,"TIER 1",IF($E195&gt;=85,"TIER 2",IF($E195&gt;=80,"TIER 3",IF($E195&gt;=75,"TIER 4",IF($E195&gt;=70,"TIER 5",IF($E195&gt;=65,"TIER 6","TIER 7")))))))</f>
        <v>TIER 7</v>
      </c>
      <c r="G195" s="4">
        <f>INDEX('Draft Engine'!$N$3:$N$232,$M195)</f>
        <v>35.235500000000002</v>
      </c>
      <c r="H195" s="4">
        <f>INDEX('Draft Engine'!$R$3:$R$232,$M195)</f>
        <v>163.1</v>
      </c>
      <c r="I195" s="4">
        <f>INDEX('Draft Engine'!$S$3:$S$232,$M195)</f>
        <v>-29.900000000000006</v>
      </c>
      <c r="J195" s="5"/>
      <c r="K195">
        <f>INDEX('Draft Engine'!$Z$3:$Z$232,$M195)</f>
        <v>193</v>
      </c>
      <c r="L195" t="str">
        <f>INDEX('LIVE SOURCE'!$H$3:$H$232,$M195)</f>
        <v>Late-round bench upside; role growth is required for weekly relevance.</v>
      </c>
      <c r="M195" s="6">
        <f>MATCH($A195,'Draft Engine'!$Q$3:$Q$232,0)</f>
        <v>146</v>
      </c>
      <c r="N195">
        <f>INDEX('LIVE SOURCE'!$L$3:$L$232,$M195)</f>
        <v>13</v>
      </c>
    </row>
    <row r="196" spans="1:14" x14ac:dyDescent="0.25">
      <c r="A196">
        <v>194</v>
      </c>
      <c r="B196" t="str">
        <f>INDEX('Draft Engine'!$A$3:$A$232,$M196)</f>
        <v>WR</v>
      </c>
      <c r="C196">
        <f>INDEX('Draft Engine'!$F$3:$F$232,$M196)</f>
        <v>66</v>
      </c>
      <c r="D196" t="str">
        <f>INDEX('Draft Engine'!$B$3:$B$232,$M196)</f>
        <v>Isaac TeSlaa</v>
      </c>
      <c r="E196" s="4">
        <f>INDEX('Draft Engine'!$E$3:$E$232,$M196)</f>
        <v>57.46</v>
      </c>
      <c r="F196" t="str">
        <f t="shared" si="3"/>
        <v>TIER 7</v>
      </c>
      <c r="G196" s="4">
        <f>INDEX('Draft Engine'!$N$3:$N$232,$M196)</f>
        <v>34.363</v>
      </c>
      <c r="H196" s="4">
        <f>INDEX('Draft Engine'!$R$3:$R$232,$M196)</f>
        <v>176.3</v>
      </c>
      <c r="I196" s="4">
        <f>INDEX('Draft Engine'!$S$3:$S$232,$M196)</f>
        <v>-17.699999999999989</v>
      </c>
      <c r="J196" s="5"/>
      <c r="K196">
        <f>INDEX('Draft Engine'!$Z$3:$Z$232,$M196)</f>
        <v>194</v>
      </c>
      <c r="L196" t="str">
        <f>INDEX('LIVE SOURCE'!$H$3:$H$232,$M196)</f>
        <v>Late-round bench upside; role growth is required for weekly relevance.</v>
      </c>
      <c r="M196" s="6">
        <f>MATCH($A196,'Draft Engine'!$Q$3:$Q$232,0)</f>
        <v>147</v>
      </c>
      <c r="N196">
        <f>INDEX('LIVE SOURCE'!$L$3:$L$232,$M196)</f>
        <v>6</v>
      </c>
    </row>
    <row r="197" spans="1:14" x14ac:dyDescent="0.25">
      <c r="A197">
        <v>195</v>
      </c>
      <c r="B197" t="str">
        <f>INDEX('Draft Engine'!$A$3:$A$232,$M197)</f>
        <v>WR</v>
      </c>
      <c r="C197">
        <f>INDEX('Draft Engine'!$F$3:$F$232,$M197)</f>
        <v>67</v>
      </c>
      <c r="D197" t="str">
        <f>INDEX('Draft Engine'!$B$3:$B$232,$M197)</f>
        <v>Denzel Boston</v>
      </c>
      <c r="E197" s="4">
        <f>INDEX('Draft Engine'!$E$3:$E$232,$M197)</f>
        <v>56.79</v>
      </c>
      <c r="F197" t="str">
        <f t="shared" si="3"/>
        <v>TIER 7</v>
      </c>
      <c r="G197" s="4">
        <f>INDEX('Draft Engine'!$N$3:$N$232,$M197)</f>
        <v>33.490500000000004</v>
      </c>
      <c r="H197" s="4">
        <f>INDEX('Draft Engine'!$R$3:$R$232,$M197)</f>
        <v>155.69999999999999</v>
      </c>
      <c r="I197" s="4">
        <f>INDEX('Draft Engine'!$S$3:$S$232,$M197)</f>
        <v>-39.300000000000011</v>
      </c>
      <c r="J197" s="5"/>
      <c r="K197">
        <f>INDEX('Draft Engine'!$Z$3:$Z$232,$M197)</f>
        <v>195</v>
      </c>
      <c r="L197" t="str">
        <f>INDEX('LIVE SOURCE'!$H$3:$H$232,$M197)</f>
        <v>Late-round bench upside; role growth is required for weekly relevance.</v>
      </c>
      <c r="M197" s="6">
        <f>MATCH($A197,'Draft Engine'!$Q$3:$Q$232,0)</f>
        <v>148</v>
      </c>
      <c r="N197">
        <f>INDEX('LIVE SOURCE'!$L$3:$L$232,$M197)</f>
        <v>11</v>
      </c>
    </row>
    <row r="198" spans="1:14" x14ac:dyDescent="0.25">
      <c r="A198">
        <v>196</v>
      </c>
      <c r="B198" t="str">
        <f>INDEX('Draft Engine'!$A$3:$A$232,$M198)</f>
        <v>QB</v>
      </c>
      <c r="C198">
        <f>INDEX('Draft Engine'!$F$3:$F$232,$M198)</f>
        <v>31</v>
      </c>
      <c r="D198" t="str">
        <f>INDEX('Draft Engine'!$B$3:$B$232,$M198)</f>
        <v>Kirk Cousins</v>
      </c>
      <c r="E198" s="4">
        <f>INDEX('Draft Engine'!$E$3:$E$232,$M198)</f>
        <v>65.792900000000003</v>
      </c>
      <c r="F198" t="str">
        <f t="shared" si="3"/>
        <v>TIER 6</v>
      </c>
      <c r="G198" s="4">
        <f>INDEX('Draft Engine'!$N$3:$N$232,$M198)</f>
        <v>33.186095000000002</v>
      </c>
      <c r="H198" s="4">
        <f>INDEX('Draft Engine'!$R$3:$R$232,$M198)</f>
        <v>262</v>
      </c>
      <c r="I198" s="4">
        <f>INDEX('Draft Engine'!$S$3:$S$232,$M198)</f>
        <v>66</v>
      </c>
      <c r="J198" s="5"/>
      <c r="K198">
        <f>INDEX('Draft Engine'!$Z$3:$Z$232,$M198)</f>
        <v>196</v>
      </c>
      <c r="L198" t="str">
        <f>INDEX('LIVE SOURCE'!$H$3:$H$232,$M198)</f>
        <v>Deep QB2; waiver-level in a normal 10-team format.</v>
      </c>
      <c r="M198" s="6">
        <f>MATCH($A198,'Draft Engine'!$Q$3:$Q$232,0)</f>
        <v>31</v>
      </c>
      <c r="N198">
        <f>INDEX('LIVE SOURCE'!$L$3:$L$232,$M198)</f>
        <v>13</v>
      </c>
    </row>
    <row r="199" spans="1:14" x14ac:dyDescent="0.25">
      <c r="A199">
        <v>197</v>
      </c>
      <c r="B199" t="str">
        <f>INDEX('Draft Engine'!$A$3:$A$232,$M199)</f>
        <v>WR</v>
      </c>
      <c r="C199">
        <f>INDEX('Draft Engine'!$F$3:$F$232,$M199)</f>
        <v>68</v>
      </c>
      <c r="D199" t="str">
        <f>INDEX('Draft Engine'!$B$3:$B$232,$M199)</f>
        <v>Tre Tucker</v>
      </c>
      <c r="E199" s="4">
        <f>INDEX('Draft Engine'!$E$3:$E$232,$M199)</f>
        <v>56.12</v>
      </c>
      <c r="F199" t="str">
        <f t="shared" si="3"/>
        <v>TIER 7</v>
      </c>
      <c r="G199" s="4">
        <f>INDEX('Draft Engine'!$N$3:$N$232,$M199)</f>
        <v>32.618000000000002</v>
      </c>
      <c r="H199" s="4">
        <f>INDEX('Draft Engine'!$R$3:$R$232,$M199)</f>
        <v>135.5</v>
      </c>
      <c r="I199" s="4">
        <f>INDEX('Draft Engine'!$S$3:$S$232,$M199)</f>
        <v>-61.5</v>
      </c>
      <c r="J199" s="5"/>
      <c r="K199">
        <f>INDEX('Draft Engine'!$Z$3:$Z$232,$M199)</f>
        <v>197</v>
      </c>
      <c r="L199" t="str">
        <f>INDEX('LIVE SOURCE'!$H$3:$H$232,$M199)</f>
        <v>Late-round bench upside; role growth is required for weekly relevance.</v>
      </c>
      <c r="M199" s="6">
        <f>MATCH($A199,'Draft Engine'!$Q$3:$Q$232,0)</f>
        <v>149</v>
      </c>
      <c r="N199">
        <f>INDEX('LIVE SOURCE'!$L$3:$L$232,$M199)</f>
        <v>13</v>
      </c>
    </row>
    <row r="200" spans="1:14" x14ac:dyDescent="0.25">
      <c r="A200">
        <v>198</v>
      </c>
      <c r="B200" t="str">
        <f>INDEX('Draft Engine'!$A$3:$A$232,$M200)</f>
        <v>WR</v>
      </c>
      <c r="C200">
        <f>INDEX('Draft Engine'!$F$3:$F$232,$M200)</f>
        <v>69</v>
      </c>
      <c r="D200" t="str">
        <f>INDEX('Draft Engine'!$B$3:$B$232,$M200)</f>
        <v>Antonio Williams</v>
      </c>
      <c r="E200" s="4">
        <f>INDEX('Draft Engine'!$E$3:$E$232,$M200)</f>
        <v>55.45</v>
      </c>
      <c r="F200" t="str">
        <f t="shared" si="3"/>
        <v>TIER 7</v>
      </c>
      <c r="G200" s="4">
        <f>INDEX('Draft Engine'!$N$3:$N$232,$M200)</f>
        <v>31.7455</v>
      </c>
      <c r="H200" s="4">
        <f>INDEX('Draft Engine'!$R$3:$R$232,$M200)</f>
        <v>159.6</v>
      </c>
      <c r="I200" s="4">
        <f>INDEX('Draft Engine'!$S$3:$S$232,$M200)</f>
        <v>-38.400000000000006</v>
      </c>
      <c r="J200" s="5"/>
      <c r="K200">
        <f>INDEX('Draft Engine'!$Z$3:$Z$232,$M200)</f>
        <v>198</v>
      </c>
      <c r="L200" t="str">
        <f>INDEX('LIVE SOURCE'!$H$3:$H$232,$M200)</f>
        <v>Late-round bench upside; role growth is required for weekly relevance.</v>
      </c>
      <c r="M200" s="6">
        <f>MATCH($A200,'Draft Engine'!$Q$3:$Q$232,0)</f>
        <v>150</v>
      </c>
      <c r="N200">
        <f>INDEX('LIVE SOURCE'!$L$3:$L$232,$M200)</f>
        <v>7</v>
      </c>
    </row>
    <row r="201" spans="1:14" x14ac:dyDescent="0.25">
      <c r="A201">
        <v>199</v>
      </c>
      <c r="B201" t="str">
        <f>INDEX('Draft Engine'!$A$3:$A$232,$M201)</f>
        <v>RB</v>
      </c>
      <c r="C201">
        <f>INDEX('Draft Engine'!$F$3:$F$232,$M201)</f>
        <v>51</v>
      </c>
      <c r="D201" t="str">
        <f>INDEX('Draft Engine'!$B$3:$B$232,$M201)</f>
        <v>Justice Hill</v>
      </c>
      <c r="E201" s="4">
        <f>INDEX('Draft Engine'!$E$3:$E$232,$M201)</f>
        <v>54.88</v>
      </c>
      <c r="F201" t="str">
        <f t="shared" si="3"/>
        <v>TIER 7</v>
      </c>
      <c r="G201" s="4">
        <f>INDEX('Draft Engine'!$N$3:$N$232,$M201)</f>
        <v>31.054000000000006</v>
      </c>
      <c r="H201" s="4">
        <f>INDEX('Draft Engine'!$R$3:$R$232,$M201)</f>
        <v>165.6</v>
      </c>
      <c r="I201" s="4">
        <f>INDEX('Draft Engine'!$S$3:$S$232,$M201)</f>
        <v>-33.400000000000006</v>
      </c>
      <c r="J201" s="5"/>
      <c r="K201">
        <f>INDEX('Draft Engine'!$Z$3:$Z$232,$M201)</f>
        <v>199</v>
      </c>
      <c r="L201" t="str">
        <f>INDEX('LIVE SOURCE'!$H$3:$H$232,$M201)</f>
        <v>Bench stash/handcuff profile; value is tied to role change or injury ahead.</v>
      </c>
      <c r="M201" s="6">
        <f>MATCH($A201,'Draft Engine'!$Q$3:$Q$232,0)</f>
        <v>82</v>
      </c>
      <c r="N201">
        <f>INDEX('LIVE SOURCE'!$L$3:$L$232,$M201)</f>
        <v>13</v>
      </c>
    </row>
    <row r="202" spans="1:14" x14ac:dyDescent="0.25">
      <c r="A202">
        <v>200</v>
      </c>
      <c r="B202" t="str">
        <f>INDEX('Draft Engine'!$A$3:$A$232,$M202)</f>
        <v>WR</v>
      </c>
      <c r="C202">
        <f>INDEX('Draft Engine'!$F$3:$F$232,$M202)</f>
        <v>70</v>
      </c>
      <c r="D202" t="str">
        <f>INDEX('Draft Engine'!$B$3:$B$232,$M202)</f>
        <v>Travis Hunter</v>
      </c>
      <c r="E202" s="4">
        <f>INDEX('Draft Engine'!$E$3:$E$232,$M202)</f>
        <v>54.78</v>
      </c>
      <c r="F202" t="str">
        <f t="shared" si="3"/>
        <v>TIER 7</v>
      </c>
      <c r="G202" s="4">
        <f>INDEX('Draft Engine'!$N$3:$N$232,$M202)</f>
        <v>30.873000000000001</v>
      </c>
      <c r="H202" s="4">
        <f>INDEX('Draft Engine'!$R$3:$R$232,$M202)</f>
        <v>164.4</v>
      </c>
      <c r="I202" s="4">
        <f>INDEX('Draft Engine'!$S$3:$S$232,$M202)</f>
        <v>-35.599999999999994</v>
      </c>
      <c r="J202" s="5"/>
      <c r="K202">
        <f>INDEX('Draft Engine'!$Z$3:$Z$232,$M202)</f>
        <v>200</v>
      </c>
      <c r="L202" t="str">
        <f>INDEX('LIVE SOURCE'!$H$3:$H$232,$M202)</f>
        <v>Late-round bench upside; role growth is required for weekly relevance.</v>
      </c>
      <c r="M202" s="6">
        <f>MATCH($A202,'Draft Engine'!$Q$3:$Q$232,0)</f>
        <v>151</v>
      </c>
      <c r="N202">
        <f>INDEX('LIVE SOURCE'!$L$3:$L$232,$M202)</f>
        <v>7</v>
      </c>
    </row>
    <row r="203" spans="1:14" x14ac:dyDescent="0.25">
      <c r="A203">
        <v>201</v>
      </c>
      <c r="B203" t="str">
        <f>INDEX('Draft Engine'!$A$3:$A$232,$M203)</f>
        <v>QB</v>
      </c>
      <c r="C203">
        <f>INDEX('Draft Engine'!$F$3:$F$232,$M203)</f>
        <v>32</v>
      </c>
      <c r="D203" t="str">
        <f>INDEX('Draft Engine'!$B$3:$B$232,$M203)</f>
        <v>Deshaun Watson</v>
      </c>
      <c r="E203" s="4">
        <f>INDEX('Draft Engine'!$E$3:$E$232,$M203)</f>
        <v>60.25</v>
      </c>
      <c r="F203" t="str">
        <f t="shared" si="3"/>
        <v>TIER 7</v>
      </c>
      <c r="G203" s="4">
        <f>INDEX('Draft Engine'!$N$3:$N$232,$M203)</f>
        <v>30.137500000000003</v>
      </c>
      <c r="H203" s="4">
        <f>INDEX('Draft Engine'!$R$3:$R$232,$M203)</f>
        <v>270</v>
      </c>
      <c r="I203" s="4">
        <f>INDEX('Draft Engine'!$S$3:$S$232,$M203)</f>
        <v>69</v>
      </c>
      <c r="J203" s="5"/>
      <c r="K203">
        <f>INDEX('Draft Engine'!$Z$3:$Z$232,$M203)</f>
        <v>201</v>
      </c>
      <c r="L203" t="str">
        <f>INDEX('LIVE SOURCE'!$H$3:$H$232,$M203)</f>
        <v>Deep QB2; waiver-level in a normal 10-team format.</v>
      </c>
      <c r="M203" s="6">
        <f>MATCH($A203,'Draft Engine'!$Q$3:$Q$232,0)</f>
        <v>32</v>
      </c>
      <c r="N203">
        <f>INDEX('LIVE SOURCE'!$L$3:$L$232,$M203)</f>
        <v>11</v>
      </c>
    </row>
    <row r="204" spans="1:14" x14ac:dyDescent="0.25">
      <c r="A204">
        <v>202</v>
      </c>
      <c r="B204" t="str">
        <f>INDEX('Draft Engine'!$A$3:$A$232,$M204)</f>
        <v>WR</v>
      </c>
      <c r="C204">
        <f>INDEX('Draft Engine'!$F$3:$F$232,$M204)</f>
        <v>71</v>
      </c>
      <c r="D204" t="str">
        <f>INDEX('Draft Engine'!$B$3:$B$232,$M204)</f>
        <v>Ryan Flournoy</v>
      </c>
      <c r="E204" s="4">
        <f>INDEX('Draft Engine'!$E$3:$E$232,$M204)</f>
        <v>54.11</v>
      </c>
      <c r="F204" t="str">
        <f t="shared" si="3"/>
        <v>TIER 7</v>
      </c>
      <c r="G204" s="4">
        <f>INDEX('Draft Engine'!$N$3:$N$232,$M204)</f>
        <v>30.000500000000002</v>
      </c>
      <c r="H204" s="4">
        <f>INDEX('Draft Engine'!$R$3:$R$232,$M204)</f>
        <v>176.7</v>
      </c>
      <c r="I204" s="4">
        <f>INDEX('Draft Engine'!$S$3:$S$232,$M204)</f>
        <v>-25.300000000000011</v>
      </c>
      <c r="J204" s="5"/>
      <c r="K204">
        <f>INDEX('Draft Engine'!$Z$3:$Z$232,$M204)</f>
        <v>202</v>
      </c>
      <c r="L204" t="str">
        <f>INDEX('LIVE SOURCE'!$H$3:$H$232,$M204)</f>
        <v>Late-round bench upside; role growth is required for weekly relevance.</v>
      </c>
      <c r="M204" s="6">
        <f>MATCH($A204,'Draft Engine'!$Q$3:$Q$232,0)</f>
        <v>152</v>
      </c>
      <c r="N204">
        <f>INDEX('LIVE SOURCE'!$L$3:$L$232,$M204)</f>
        <v>14</v>
      </c>
    </row>
    <row r="205" spans="1:14" x14ac:dyDescent="0.25">
      <c r="A205">
        <v>203</v>
      </c>
      <c r="B205" t="str">
        <f>INDEX('Draft Engine'!$A$3:$A$232,$M205)</f>
        <v>WR</v>
      </c>
      <c r="C205">
        <f>INDEX('Draft Engine'!$F$3:$F$232,$M205)</f>
        <v>72</v>
      </c>
      <c r="D205" t="str">
        <f>INDEX('Draft Engine'!$B$3:$B$232,$M205)</f>
        <v>Jauan Jennings</v>
      </c>
      <c r="E205" s="4">
        <f>INDEX('Draft Engine'!$E$3:$E$232,$M205)</f>
        <v>53.44</v>
      </c>
      <c r="F205" t="str">
        <f t="shared" si="3"/>
        <v>TIER 7</v>
      </c>
      <c r="G205" s="4">
        <f>INDEX('Draft Engine'!$N$3:$N$232,$M205)</f>
        <v>29.391999999999999</v>
      </c>
      <c r="H205" s="4">
        <f>INDEX('Draft Engine'!$R$3:$R$232,$M205)</f>
        <v>147.69999999999999</v>
      </c>
      <c r="I205" s="4">
        <f>INDEX('Draft Engine'!$S$3:$S$232,$M205)</f>
        <v>-55.300000000000011</v>
      </c>
      <c r="J205" s="5"/>
      <c r="K205">
        <f>INDEX('Draft Engine'!$Z$3:$Z$232,$M205)</f>
        <v>203</v>
      </c>
      <c r="L205" t="str">
        <f>INDEX('LIVE SOURCE'!$H$3:$H$232,$M205)</f>
        <v>Late-round bench upside; role growth is required for weekly relevance.</v>
      </c>
      <c r="M205" s="6">
        <f>MATCH($A205,'Draft Engine'!$Q$3:$Q$232,0)</f>
        <v>153</v>
      </c>
      <c r="N205">
        <f>INDEX('LIVE SOURCE'!$L$3:$L$232,$M205)</f>
        <v>6</v>
      </c>
    </row>
    <row r="206" spans="1:14" x14ac:dyDescent="0.25">
      <c r="A206">
        <v>204</v>
      </c>
      <c r="B206" t="str">
        <f>INDEX('Draft Engine'!$A$3:$A$232,$M206)</f>
        <v>WR</v>
      </c>
      <c r="C206">
        <f>INDEX('Draft Engine'!$F$3:$F$232,$M206)</f>
        <v>73</v>
      </c>
      <c r="D206" t="str">
        <f>INDEX('Draft Engine'!$B$3:$B$232,$M206)</f>
        <v>Darnell Mooney</v>
      </c>
      <c r="E206" s="4">
        <f>INDEX('Draft Engine'!$E$3:$E$232,$M206)</f>
        <v>52.77</v>
      </c>
      <c r="F206" t="str">
        <f t="shared" si="3"/>
        <v>TIER 7</v>
      </c>
      <c r="G206" s="4">
        <f>INDEX('Draft Engine'!$N$3:$N$232,$M206)</f>
        <v>29.023500000000006</v>
      </c>
      <c r="H206" s="4">
        <f>INDEX('Draft Engine'!$R$3:$R$232,$M206)</f>
        <v>185.2</v>
      </c>
      <c r="I206" s="4">
        <f>INDEX('Draft Engine'!$S$3:$S$232,$M206)</f>
        <v>-18.800000000000011</v>
      </c>
      <c r="J206" s="5"/>
      <c r="K206">
        <f>INDEX('Draft Engine'!$Z$3:$Z$232,$M206)</f>
        <v>204</v>
      </c>
      <c r="L206" t="str">
        <f>INDEX('LIVE SOURCE'!$H$3:$H$232,$M206)</f>
        <v>Late-round bench upside; role growth is required for weekly relevance.</v>
      </c>
      <c r="M206" s="6">
        <f>MATCH($A206,'Draft Engine'!$Q$3:$Q$232,0)</f>
        <v>154</v>
      </c>
      <c r="N206">
        <f>INDEX('LIVE SOURCE'!$L$3:$L$232,$M206)</f>
        <v>8</v>
      </c>
    </row>
    <row r="207" spans="1:14" x14ac:dyDescent="0.25">
      <c r="A207">
        <v>205</v>
      </c>
      <c r="B207" t="str">
        <f>INDEX('Draft Engine'!$A$3:$A$232,$M207)</f>
        <v>RB</v>
      </c>
      <c r="C207">
        <f>INDEX('Draft Engine'!$F$3:$F$232,$M207)</f>
        <v>52</v>
      </c>
      <c r="D207" t="str">
        <f>INDEX('Draft Engine'!$B$3:$B$232,$M207)</f>
        <v>Zach Charbonnet</v>
      </c>
      <c r="E207" s="4">
        <f>INDEX('Draft Engine'!$E$3:$E$232,$M207)</f>
        <v>40</v>
      </c>
      <c r="F207" t="str">
        <f t="shared" si="3"/>
        <v>TIER 7</v>
      </c>
      <c r="G207" s="4">
        <f>INDEX('Draft Engine'!$N$3:$N$232,$M207)</f>
        <v>22</v>
      </c>
      <c r="H207" s="4">
        <f>INDEX('Draft Engine'!$R$3:$R$232,$M207)</f>
        <v>139.80000000000001</v>
      </c>
      <c r="I207" s="4">
        <f>INDEX('Draft Engine'!$S$3:$S$232,$M207)</f>
        <v>-65.199999999999989</v>
      </c>
      <c r="J207" s="5"/>
      <c r="K207">
        <f>INDEX('Draft Engine'!$Z$3:$Z$232,$M207)</f>
        <v>205</v>
      </c>
      <c r="L207" t="str">
        <f>INDEX('LIVE SOURCE'!$H$3:$H$232,$M207)</f>
        <v>Bench stash/handcuff profile; value is tied to role change or injury ahead.</v>
      </c>
      <c r="M207" s="6">
        <f>MATCH($A207,'Draft Engine'!$Q$3:$Q$232,0)</f>
        <v>77</v>
      </c>
      <c r="N207">
        <f>INDEX('LIVE SOURCE'!$L$3:$L$232,$M207)</f>
        <v>11</v>
      </c>
    </row>
    <row r="208" spans="1:14" x14ac:dyDescent="0.25">
      <c r="A208">
        <v>206</v>
      </c>
      <c r="B208" t="str">
        <f>INDEX('Draft Engine'!$A$3:$A$232,$M208)</f>
        <v>WR</v>
      </c>
      <c r="C208">
        <f>INDEX('Draft Engine'!$F$3:$F$232,$M208)</f>
        <v>74</v>
      </c>
      <c r="D208" t="str">
        <f>INDEX('Draft Engine'!$B$3:$B$232,$M208)</f>
        <v>Ricky Pearsall</v>
      </c>
      <c r="E208" s="4">
        <f>INDEX('Draft Engine'!$E$3:$E$232,$M208)</f>
        <v>40</v>
      </c>
      <c r="F208" t="str">
        <f t="shared" si="3"/>
        <v>TIER 7</v>
      </c>
      <c r="G208" s="4">
        <f>INDEX('Draft Engine'!$N$3:$N$232,$M208)</f>
        <v>22</v>
      </c>
      <c r="H208" s="4">
        <f>INDEX('Draft Engine'!$R$3:$R$232,$M208)</f>
        <v>112.3</v>
      </c>
      <c r="I208" s="4">
        <f>INDEX('Draft Engine'!$S$3:$S$232,$M208)</f>
        <v>-93.7</v>
      </c>
      <c r="J208" s="5"/>
      <c r="K208">
        <f>INDEX('Draft Engine'!$Z$3:$Z$232,$M208)</f>
        <v>206</v>
      </c>
      <c r="L208" t="str">
        <f>INDEX('LIVE SOURCE'!$H$3:$H$232,$M208)</f>
        <v>FLEX/bench receiver; needs target growth or efficiency spikes.</v>
      </c>
      <c r="M208" s="6">
        <f>MATCH($A208,'Draft Engine'!$Q$3:$Q$232,0)</f>
        <v>129</v>
      </c>
      <c r="N208">
        <f>INDEX('LIVE SOURCE'!$L$3:$L$232,$M208)</f>
        <v>8</v>
      </c>
    </row>
    <row r="209" spans="1:14" x14ac:dyDescent="0.25">
      <c r="A209">
        <v>207</v>
      </c>
      <c r="B209" t="str">
        <f>INDEX('Draft Engine'!$A$3:$A$232,$M209)</f>
        <v>DST</v>
      </c>
      <c r="C209">
        <f>INDEX('Draft Engine'!$F$3:$F$232,$M209)</f>
        <v>11</v>
      </c>
      <c r="D209" t="str">
        <f>INDEX('Draft Engine'!$B$3:$B$232,$M209)</f>
        <v>Baltimore Ravens</v>
      </c>
      <c r="E209" s="4">
        <f>INDEX('Draft Engine'!$E$3:$E$232,$M209)</f>
        <v>82</v>
      </c>
      <c r="F209" t="str">
        <f t="shared" si="3"/>
        <v>TIER 3</v>
      </c>
      <c r="G209" s="4">
        <f>INDEX('Draft Engine'!$N$3:$N$232,$M209)</f>
        <v>42.24</v>
      </c>
      <c r="H209" s="4">
        <f>INDEX('Draft Engine'!$R$3:$R$232,$M209)</f>
        <v>200</v>
      </c>
      <c r="I209" s="4">
        <f>INDEX('Draft Engine'!$S$3:$S$232,$M209)</f>
        <v>-7</v>
      </c>
      <c r="J209" s="5"/>
      <c r="K209">
        <f>INDEX('Draft Engine'!$Z$3:$Z$232,$M209)</f>
        <v>207</v>
      </c>
      <c r="L209" t="str">
        <f>INDEX('LIVE SOURCE'!$H$3:$H$232,$M209)</f>
        <v>Streaming/late-round defense; matchup matters more than preseason rank.</v>
      </c>
      <c r="M209" s="6">
        <f>MATCH($A209,'Draft Engine'!$Q$3:$Q$232,0)</f>
        <v>209</v>
      </c>
      <c r="N209">
        <f>INDEX('LIVE SOURCE'!$L$3:$L$232,$M209)</f>
        <v>13</v>
      </c>
    </row>
    <row r="210" spans="1:14" x14ac:dyDescent="0.25">
      <c r="A210">
        <v>208</v>
      </c>
      <c r="B210" t="str">
        <f>INDEX('Draft Engine'!$A$3:$A$232,$M210)</f>
        <v>DST</v>
      </c>
      <c r="C210">
        <f>INDEX('Draft Engine'!$F$3:$F$232,$M210)</f>
        <v>12</v>
      </c>
      <c r="D210" t="str">
        <f>INDEX('Draft Engine'!$B$3:$B$232,$M210)</f>
        <v>Green Bay Packers</v>
      </c>
      <c r="E210" s="4">
        <f>INDEX('Draft Engine'!$E$3:$E$232,$M210)</f>
        <v>80.900000000000006</v>
      </c>
      <c r="F210" t="str">
        <f t="shared" si="3"/>
        <v>TIER 3</v>
      </c>
      <c r="G210" s="4">
        <f>INDEX('Draft Engine'!$N$3:$N$232,$M210)</f>
        <v>40.775000000000006</v>
      </c>
      <c r="H210" s="4">
        <f>INDEX('Draft Engine'!$R$3:$R$232,$M210)</f>
        <v>204</v>
      </c>
      <c r="I210" s="4">
        <f>INDEX('Draft Engine'!$S$3:$S$232,$M210)</f>
        <v>-4</v>
      </c>
      <c r="J210" s="5"/>
      <c r="K210">
        <f>INDEX('Draft Engine'!$Z$3:$Z$232,$M210)</f>
        <v>208</v>
      </c>
      <c r="L210" t="str">
        <f>INDEX('LIVE SOURCE'!$H$3:$H$232,$M210)</f>
        <v>Streaming/late-round defense; matchup matters more than preseason rank.</v>
      </c>
      <c r="M210" s="6">
        <f>MATCH($A210,'Draft Engine'!$Q$3:$Q$232,0)</f>
        <v>210</v>
      </c>
      <c r="N210">
        <f>INDEX('LIVE SOURCE'!$L$3:$L$232,$M210)</f>
        <v>11</v>
      </c>
    </row>
    <row r="211" spans="1:14" x14ac:dyDescent="0.25">
      <c r="A211">
        <v>209</v>
      </c>
      <c r="B211" t="str">
        <f>INDEX('Draft Engine'!$A$3:$A$232,$M211)</f>
        <v>DST</v>
      </c>
      <c r="C211">
        <f>INDEX('Draft Engine'!$F$3:$F$232,$M211)</f>
        <v>13</v>
      </c>
      <c r="D211" t="str">
        <f>INDEX('Draft Engine'!$B$3:$B$232,$M211)</f>
        <v>Detroit Lions</v>
      </c>
      <c r="E211" s="4">
        <f>INDEX('Draft Engine'!$E$3:$E$232,$M211)</f>
        <v>79.8</v>
      </c>
      <c r="F211" t="str">
        <f t="shared" si="3"/>
        <v>TIER 4</v>
      </c>
      <c r="G211" s="4">
        <f>INDEX('Draft Engine'!$N$3:$N$232,$M211)</f>
        <v>39.31</v>
      </c>
      <c r="H211" s="4">
        <f>INDEX('Draft Engine'!$R$3:$R$232,$M211)</f>
        <v>208</v>
      </c>
      <c r="I211" s="4">
        <f>INDEX('Draft Engine'!$S$3:$S$232,$M211)</f>
        <v>-1</v>
      </c>
      <c r="J211" s="5"/>
      <c r="K211">
        <f>INDEX('Draft Engine'!$Z$3:$Z$232,$M211)</f>
        <v>209</v>
      </c>
      <c r="L211" t="str">
        <f>INDEX('LIVE SOURCE'!$H$3:$H$232,$M211)</f>
        <v>Streaming/late-round defense; matchup matters more than preseason rank.</v>
      </c>
      <c r="M211" s="6">
        <f>MATCH($A211,'Draft Engine'!$Q$3:$Q$232,0)</f>
        <v>211</v>
      </c>
      <c r="N211">
        <f>INDEX('LIVE SOURCE'!$L$3:$L$232,$M211)</f>
        <v>6</v>
      </c>
    </row>
    <row r="212" spans="1:14" x14ac:dyDescent="0.25">
      <c r="A212">
        <v>210</v>
      </c>
      <c r="B212" t="str">
        <f>INDEX('Draft Engine'!$A$3:$A$232,$M212)</f>
        <v>DST</v>
      </c>
      <c r="C212">
        <f>INDEX('Draft Engine'!$F$3:$F$232,$M212)</f>
        <v>14</v>
      </c>
      <c r="D212" t="str">
        <f>INDEX('Draft Engine'!$B$3:$B$232,$M212)</f>
        <v>Buffalo Bills</v>
      </c>
      <c r="E212" s="4">
        <f>INDEX('Draft Engine'!$E$3:$E$232,$M212)</f>
        <v>78.7</v>
      </c>
      <c r="F212" t="str">
        <f t="shared" si="3"/>
        <v>TIER 4</v>
      </c>
      <c r="G212" s="4">
        <f>INDEX('Draft Engine'!$N$3:$N$232,$M212)</f>
        <v>37.863</v>
      </c>
      <c r="H212" s="4">
        <f>INDEX('Draft Engine'!$R$3:$R$232,$M212)</f>
        <v>212</v>
      </c>
      <c r="I212" s="4">
        <f>INDEX('Draft Engine'!$S$3:$S$232,$M212)</f>
        <v>2</v>
      </c>
      <c r="J212" s="5"/>
      <c r="K212">
        <f>INDEX('Draft Engine'!$Z$3:$Z$232,$M212)</f>
        <v>210</v>
      </c>
      <c r="L212" t="str">
        <f>INDEX('LIVE SOURCE'!$H$3:$H$232,$M212)</f>
        <v>Streaming/late-round defense; matchup matters more than preseason rank.</v>
      </c>
      <c r="M212" s="6">
        <f>MATCH($A212,'Draft Engine'!$Q$3:$Q$232,0)</f>
        <v>212</v>
      </c>
      <c r="N212">
        <f>INDEX('LIVE SOURCE'!$L$3:$L$232,$M212)</f>
        <v>7</v>
      </c>
    </row>
    <row r="213" spans="1:14" x14ac:dyDescent="0.25">
      <c r="A213">
        <v>211</v>
      </c>
      <c r="B213" t="str">
        <f>INDEX('Draft Engine'!$A$3:$A$232,$M213)</f>
        <v>DST</v>
      </c>
      <c r="C213">
        <f>INDEX('Draft Engine'!$F$3:$F$232,$M213)</f>
        <v>15</v>
      </c>
      <c r="D213" t="str">
        <f>INDEX('Draft Engine'!$B$3:$B$232,$M213)</f>
        <v>Kansas City Chiefs</v>
      </c>
      <c r="E213" s="4">
        <f>INDEX('Draft Engine'!$E$3:$E$232,$M213)</f>
        <v>77.599999999999994</v>
      </c>
      <c r="F213" t="str">
        <f t="shared" si="3"/>
        <v>TIER 4</v>
      </c>
      <c r="G213" s="4">
        <f>INDEX('Draft Engine'!$N$3:$N$232,$M213)</f>
        <v>36.397999999999996</v>
      </c>
      <c r="H213" s="4">
        <f>INDEX('Draft Engine'!$R$3:$R$232,$M213)</f>
        <v>216</v>
      </c>
      <c r="I213" s="4">
        <f>INDEX('Draft Engine'!$S$3:$S$232,$M213)</f>
        <v>5</v>
      </c>
      <c r="J213" s="5"/>
      <c r="K213">
        <f>INDEX('Draft Engine'!$Z$3:$Z$232,$M213)</f>
        <v>211</v>
      </c>
      <c r="L213" t="str">
        <f>INDEX('LIVE SOURCE'!$H$3:$H$232,$M213)</f>
        <v>Streaming/late-round defense; matchup matters more than preseason rank.</v>
      </c>
      <c r="M213" s="6">
        <f>MATCH($A213,'Draft Engine'!$Q$3:$Q$232,0)</f>
        <v>213</v>
      </c>
      <c r="N213">
        <f>INDEX('LIVE SOURCE'!$L$3:$L$232,$M213)</f>
        <v>5</v>
      </c>
    </row>
    <row r="214" spans="1:14" x14ac:dyDescent="0.25">
      <c r="A214">
        <v>212</v>
      </c>
      <c r="B214" t="str">
        <f>INDEX('Draft Engine'!$A$3:$A$232,$M214)</f>
        <v>DST</v>
      </c>
      <c r="C214">
        <f>INDEX('Draft Engine'!$F$3:$F$232,$M214)</f>
        <v>16</v>
      </c>
      <c r="D214" t="str">
        <f>INDEX('Draft Engine'!$B$3:$B$232,$M214)</f>
        <v>Cleveland Browns</v>
      </c>
      <c r="E214" s="4">
        <f>INDEX('Draft Engine'!$E$3:$E$232,$M214)</f>
        <v>76.5</v>
      </c>
      <c r="F214" t="str">
        <f t="shared" si="3"/>
        <v>TIER 4</v>
      </c>
      <c r="G214" s="4">
        <f>INDEX('Draft Engine'!$N$3:$N$232,$M214)</f>
        <v>34.933</v>
      </c>
      <c r="H214" s="4">
        <f>INDEX('Draft Engine'!$R$3:$R$232,$M214)</f>
        <v>220</v>
      </c>
      <c r="I214" s="4">
        <f>INDEX('Draft Engine'!$S$3:$S$232,$M214)</f>
        <v>8</v>
      </c>
      <c r="J214" s="5"/>
      <c r="K214">
        <f>INDEX('Draft Engine'!$Z$3:$Z$232,$M214)</f>
        <v>212</v>
      </c>
      <c r="L214" t="str">
        <f>INDEX('LIVE SOURCE'!$H$3:$H$232,$M214)</f>
        <v>Streaming/late-round defense; matchup matters more than preseason rank.</v>
      </c>
      <c r="M214" s="6">
        <f>MATCH($A214,'Draft Engine'!$Q$3:$Q$232,0)</f>
        <v>214</v>
      </c>
      <c r="N214">
        <f>INDEX('LIVE SOURCE'!$L$3:$L$232,$M214)</f>
        <v>11</v>
      </c>
    </row>
    <row r="215" spans="1:14" x14ac:dyDescent="0.25">
      <c r="A215">
        <v>213</v>
      </c>
      <c r="B215" t="str">
        <f>INDEX('Draft Engine'!$A$3:$A$232,$M215)</f>
        <v>DST</v>
      </c>
      <c r="C215">
        <f>INDEX('Draft Engine'!$F$3:$F$232,$M215)</f>
        <v>17</v>
      </c>
      <c r="D215" t="str">
        <f>INDEX('Draft Engine'!$B$3:$B$232,$M215)</f>
        <v>San Francisco 49ers</v>
      </c>
      <c r="E215" s="4">
        <f>INDEX('Draft Engine'!$E$3:$E$232,$M215)</f>
        <v>75.400000000000006</v>
      </c>
      <c r="F215" t="str">
        <f t="shared" si="3"/>
        <v>TIER 4</v>
      </c>
      <c r="G215" s="4">
        <f>INDEX('Draft Engine'!$N$3:$N$232,$M215)</f>
        <v>33.968000000000004</v>
      </c>
      <c r="H215" s="4">
        <f>INDEX('Draft Engine'!$R$3:$R$232,$M215)</f>
        <v>224</v>
      </c>
      <c r="I215" s="4">
        <f>INDEX('Draft Engine'!$S$3:$S$232,$M215)</f>
        <v>11</v>
      </c>
      <c r="J215" s="5"/>
      <c r="K215">
        <f>INDEX('Draft Engine'!$Z$3:$Z$232,$M215)</f>
        <v>213</v>
      </c>
      <c r="L215" t="str">
        <f>INDEX('LIVE SOURCE'!$H$3:$H$232,$M215)</f>
        <v>Streaming/late-round defense; matchup matters more than preseason rank.</v>
      </c>
      <c r="M215" s="6">
        <f>MATCH($A215,'Draft Engine'!$Q$3:$Q$232,0)</f>
        <v>215</v>
      </c>
      <c r="N215">
        <f>INDEX('LIVE SOURCE'!$L$3:$L$232,$M215)</f>
        <v>8</v>
      </c>
    </row>
    <row r="216" spans="1:14" x14ac:dyDescent="0.25">
      <c r="A216">
        <v>214</v>
      </c>
      <c r="B216" t="str">
        <f>INDEX('Draft Engine'!$A$3:$A$232,$M216)</f>
        <v>DST</v>
      </c>
      <c r="C216">
        <f>INDEX('Draft Engine'!$F$3:$F$232,$M216)</f>
        <v>18</v>
      </c>
      <c r="D216" t="str">
        <f>INDEX('Draft Engine'!$B$3:$B$232,$M216)</f>
        <v>New Orleans Saints</v>
      </c>
      <c r="E216" s="4">
        <f>INDEX('Draft Engine'!$E$3:$E$232,$M216)</f>
        <v>74.3</v>
      </c>
      <c r="F216" t="str">
        <f t="shared" si="3"/>
        <v>TIER 5</v>
      </c>
      <c r="G216" s="4">
        <f>INDEX('Draft Engine'!$N$3:$N$232,$M216)</f>
        <v>33.003</v>
      </c>
      <c r="H216" s="4">
        <f>INDEX('Draft Engine'!$R$3:$R$232,$M216)</f>
        <v>228</v>
      </c>
      <c r="I216" s="4">
        <f>INDEX('Draft Engine'!$S$3:$S$232,$M216)</f>
        <v>14</v>
      </c>
      <c r="J216" s="5"/>
      <c r="K216">
        <f>INDEX('Draft Engine'!$Z$3:$Z$232,$M216)</f>
        <v>214</v>
      </c>
      <c r="L216" t="str">
        <f>INDEX('LIVE SOURCE'!$H$3:$H$232,$M216)</f>
        <v>Streaming/late-round defense; matchup matters more than preseason rank.</v>
      </c>
      <c r="M216" s="6">
        <f>MATCH($A216,'Draft Engine'!$Q$3:$Q$232,0)</f>
        <v>216</v>
      </c>
      <c r="N216">
        <f>INDEX('LIVE SOURCE'!$L$3:$L$232,$M216)</f>
        <v>8</v>
      </c>
    </row>
    <row r="217" spans="1:14" x14ac:dyDescent="0.25">
      <c r="A217">
        <v>215</v>
      </c>
      <c r="B217" t="str">
        <f>INDEX('Draft Engine'!$A$3:$A$232,$M217)</f>
        <v>DST</v>
      </c>
      <c r="C217">
        <f>INDEX('Draft Engine'!$F$3:$F$232,$M217)</f>
        <v>19</v>
      </c>
      <c r="D217" t="str">
        <f>INDEX('Draft Engine'!$B$3:$B$232,$M217)</f>
        <v>Atlanta Falcons</v>
      </c>
      <c r="E217" s="4">
        <f>INDEX('Draft Engine'!$E$3:$E$232,$M217)</f>
        <v>73.2</v>
      </c>
      <c r="F217" t="str">
        <f t="shared" si="3"/>
        <v>TIER 5</v>
      </c>
      <c r="G217" s="4">
        <f>INDEX('Draft Engine'!$N$3:$N$232,$M217)</f>
        <v>32.056000000000004</v>
      </c>
      <c r="H217" s="4">
        <f>INDEX('Draft Engine'!$R$3:$R$232,$M217)</f>
        <v>232</v>
      </c>
      <c r="I217" s="4">
        <f>INDEX('Draft Engine'!$S$3:$S$232,$M217)</f>
        <v>17</v>
      </c>
      <c r="J217" s="5"/>
      <c r="K217">
        <f>INDEX('Draft Engine'!$Z$3:$Z$232,$M217)</f>
        <v>215</v>
      </c>
      <c r="L217" t="str">
        <f>INDEX('LIVE SOURCE'!$H$3:$H$232,$M217)</f>
        <v>Streaming/late-round defense; matchup matters more than preseason rank.</v>
      </c>
      <c r="M217" s="6">
        <f>MATCH($A217,'Draft Engine'!$Q$3:$Q$232,0)</f>
        <v>217</v>
      </c>
      <c r="N217">
        <f>INDEX('LIVE SOURCE'!$L$3:$L$232,$M217)</f>
        <v>11</v>
      </c>
    </row>
    <row r="218" spans="1:14" x14ac:dyDescent="0.25">
      <c r="A218">
        <v>216</v>
      </c>
      <c r="B218" t="str">
        <f>INDEX('Draft Engine'!$A$3:$A$232,$M218)</f>
        <v>DST</v>
      </c>
      <c r="C218">
        <f>INDEX('Draft Engine'!$F$3:$F$232,$M218)</f>
        <v>20</v>
      </c>
      <c r="D218" t="str">
        <f>INDEX('Draft Engine'!$B$3:$B$232,$M218)</f>
        <v>Chicago Bears</v>
      </c>
      <c r="E218" s="4">
        <f>INDEX('Draft Engine'!$E$3:$E$232,$M218)</f>
        <v>72.099999999999994</v>
      </c>
      <c r="F218" t="str">
        <f t="shared" si="3"/>
        <v>TIER 5</v>
      </c>
      <c r="G218" s="4">
        <f>INDEX('Draft Engine'!$N$3:$N$232,$M218)</f>
        <v>31.091000000000001</v>
      </c>
      <c r="H218" s="4">
        <f>INDEX('Draft Engine'!$R$3:$R$232,$M218)</f>
        <v>236</v>
      </c>
      <c r="I218" s="4">
        <f>INDEX('Draft Engine'!$S$3:$S$232,$M218)</f>
        <v>20</v>
      </c>
      <c r="J218" s="5"/>
      <c r="K218">
        <f>INDEX('Draft Engine'!$Z$3:$Z$232,$M218)</f>
        <v>216</v>
      </c>
      <c r="L218" t="str">
        <f>INDEX('LIVE SOURCE'!$H$3:$H$232,$M218)</f>
        <v>Streaming/late-round defense; matchup matters more than preseason rank.</v>
      </c>
      <c r="M218" s="6">
        <f>MATCH($A218,'Draft Engine'!$Q$3:$Q$232,0)</f>
        <v>218</v>
      </c>
      <c r="N218">
        <f>INDEX('LIVE SOURCE'!$L$3:$L$232,$M218)</f>
        <v>10</v>
      </c>
    </row>
    <row r="219" spans="1:14" x14ac:dyDescent="0.25">
      <c r="A219">
        <v>217</v>
      </c>
      <c r="B219" t="str">
        <f>INDEX('Draft Engine'!$A$3:$A$232,$M219)</f>
        <v>DST</v>
      </c>
      <c r="C219">
        <f>INDEX('Draft Engine'!$F$3:$F$232,$M219)</f>
        <v>21</v>
      </c>
      <c r="D219" t="str">
        <f>INDEX('Draft Engine'!$B$3:$B$232,$M219)</f>
        <v>Indianapolis Colts</v>
      </c>
      <c r="E219" s="4">
        <f>INDEX('Draft Engine'!$E$3:$E$232,$M219)</f>
        <v>71</v>
      </c>
      <c r="F219" t="str">
        <f t="shared" si="3"/>
        <v>TIER 5</v>
      </c>
      <c r="G219" s="4">
        <f>INDEX('Draft Engine'!$N$3:$N$232,$M219)</f>
        <v>30.126000000000005</v>
      </c>
      <c r="H219" s="4">
        <f>INDEX('Draft Engine'!$R$3:$R$232,$M219)</f>
        <v>240</v>
      </c>
      <c r="I219" s="4">
        <f>INDEX('Draft Engine'!$S$3:$S$232,$M219)</f>
        <v>23</v>
      </c>
      <c r="J219" s="5"/>
      <c r="K219">
        <f>INDEX('Draft Engine'!$Z$3:$Z$232,$M219)</f>
        <v>217</v>
      </c>
      <c r="L219" t="str">
        <f>INDEX('LIVE SOURCE'!$H$3:$H$232,$M219)</f>
        <v>Streaming/late-round defense; matchup matters more than preseason rank.</v>
      </c>
      <c r="M219" s="6">
        <f>MATCH($A219,'Draft Engine'!$Q$3:$Q$232,0)</f>
        <v>219</v>
      </c>
      <c r="N219">
        <f>INDEX('LIVE SOURCE'!$L$3:$L$232,$M219)</f>
        <v>13</v>
      </c>
    </row>
    <row r="220" spans="1:14" x14ac:dyDescent="0.25">
      <c r="A220">
        <v>218</v>
      </c>
      <c r="B220" t="str">
        <f>INDEX('Draft Engine'!$A$3:$A$232,$M220)</f>
        <v>DST</v>
      </c>
      <c r="C220">
        <f>INDEX('Draft Engine'!$F$3:$F$232,$M220)</f>
        <v>22</v>
      </c>
      <c r="D220" t="str">
        <f>INDEX('Draft Engine'!$B$3:$B$232,$M220)</f>
        <v>New York Giants</v>
      </c>
      <c r="E220" s="4">
        <f>INDEX('Draft Engine'!$E$3:$E$232,$M220)</f>
        <v>69.900000000000006</v>
      </c>
      <c r="F220" t="str">
        <f t="shared" si="3"/>
        <v>TIER 6</v>
      </c>
      <c r="G220" s="4">
        <f>INDEX('Draft Engine'!$N$3:$N$232,$M220)</f>
        <v>29.161000000000008</v>
      </c>
      <c r="H220" s="4">
        <f>INDEX('Draft Engine'!$R$3:$R$232,$M220)</f>
        <v>166.7</v>
      </c>
      <c r="I220" s="4">
        <f>INDEX('Draft Engine'!$S$3:$S$232,$M220)</f>
        <v>-51.300000000000011</v>
      </c>
      <c r="J220" s="5"/>
      <c r="K220">
        <f>INDEX('Draft Engine'!$Z$3:$Z$232,$M220)</f>
        <v>218</v>
      </c>
      <c r="L220" t="str">
        <f>INDEX('LIVE SOURCE'!$H$3:$H$232,$M220)</f>
        <v>Streaming/late-round defense; matchup matters more than preseason rank.</v>
      </c>
      <c r="M220" s="6">
        <f>MATCH($A220,'Draft Engine'!$Q$3:$Q$232,0)</f>
        <v>220</v>
      </c>
      <c r="N220">
        <f>INDEX('LIVE SOURCE'!$L$3:$L$232,$M220)</f>
        <v>8</v>
      </c>
    </row>
    <row r="221" spans="1:14" x14ac:dyDescent="0.25">
      <c r="A221">
        <v>219</v>
      </c>
      <c r="B221" t="str">
        <f>INDEX('Draft Engine'!$A$3:$A$232,$M221)</f>
        <v>DST</v>
      </c>
      <c r="C221">
        <f>INDEX('Draft Engine'!$F$3:$F$232,$M221)</f>
        <v>23</v>
      </c>
      <c r="D221" t="str">
        <f>INDEX('Draft Engine'!$B$3:$B$232,$M221)</f>
        <v>Tampa Bay Buccaneers</v>
      </c>
      <c r="E221" s="4">
        <f>INDEX('Draft Engine'!$E$3:$E$232,$M221)</f>
        <v>68.8</v>
      </c>
      <c r="F221" t="str">
        <f t="shared" si="3"/>
        <v>TIER 6</v>
      </c>
      <c r="G221" s="4">
        <f>INDEX('Draft Engine'!$N$3:$N$232,$M221)</f>
        <v>28.195999999999998</v>
      </c>
      <c r="H221" s="4">
        <f>INDEX('Draft Engine'!$R$3:$R$232,$M221)</f>
        <v>248</v>
      </c>
      <c r="I221" s="4">
        <f>INDEX('Draft Engine'!$S$3:$S$232,$M221)</f>
        <v>29</v>
      </c>
      <c r="J221" s="5"/>
      <c r="K221">
        <f>INDEX('Draft Engine'!$Z$3:$Z$232,$M221)</f>
        <v>219</v>
      </c>
      <c r="L221" t="str">
        <f>INDEX('LIVE SOURCE'!$H$3:$H$232,$M221)</f>
        <v>Streaming/late-round defense; matchup matters more than preseason rank.</v>
      </c>
      <c r="M221" s="6">
        <f>MATCH($A221,'Draft Engine'!$Q$3:$Q$232,0)</f>
        <v>221</v>
      </c>
      <c r="N221">
        <f>INDEX('LIVE SOURCE'!$L$3:$L$232,$M221)</f>
        <v>10</v>
      </c>
    </row>
    <row r="222" spans="1:14" x14ac:dyDescent="0.25">
      <c r="A222">
        <v>220</v>
      </c>
      <c r="B222" t="str">
        <f>INDEX('Draft Engine'!$A$3:$A$232,$M222)</f>
        <v>DST</v>
      </c>
      <c r="C222">
        <f>INDEX('Draft Engine'!$F$3:$F$232,$M222)</f>
        <v>24</v>
      </c>
      <c r="D222" t="str">
        <f>INDEX('Draft Engine'!$B$3:$B$232,$M222)</f>
        <v>Dallas Cowboys</v>
      </c>
      <c r="E222" s="4">
        <f>INDEX('Draft Engine'!$E$3:$E$232,$M222)</f>
        <v>67.7</v>
      </c>
      <c r="F222" t="str">
        <f t="shared" si="3"/>
        <v>TIER 6</v>
      </c>
      <c r="G222" s="4">
        <f>INDEX('Draft Engine'!$N$3:$N$232,$M222)</f>
        <v>27.249000000000009</v>
      </c>
      <c r="H222" s="4">
        <f>INDEX('Draft Engine'!$R$3:$R$232,$M222)</f>
        <v>252</v>
      </c>
      <c r="I222" s="4">
        <f>INDEX('Draft Engine'!$S$3:$S$232,$M222)</f>
        <v>32</v>
      </c>
      <c r="J222" s="5"/>
      <c r="K222">
        <f>INDEX('Draft Engine'!$Z$3:$Z$232,$M222)</f>
        <v>220</v>
      </c>
      <c r="L222" t="str">
        <f>INDEX('LIVE SOURCE'!$H$3:$H$232,$M222)</f>
        <v>Streaming/late-round defense; matchup matters more than preseason rank.</v>
      </c>
      <c r="M222" s="6">
        <f>MATCH($A222,'Draft Engine'!$Q$3:$Q$232,0)</f>
        <v>222</v>
      </c>
      <c r="N222">
        <f>INDEX('LIVE SOURCE'!$L$3:$L$232,$M222)</f>
        <v>14</v>
      </c>
    </row>
    <row r="223" spans="1:14" x14ac:dyDescent="0.25">
      <c r="A223">
        <v>221</v>
      </c>
      <c r="B223" t="str">
        <f>INDEX('Draft Engine'!$A$3:$A$232,$M223)</f>
        <v>DST</v>
      </c>
      <c r="C223">
        <f>INDEX('Draft Engine'!$F$3:$F$232,$M223)</f>
        <v>25</v>
      </c>
      <c r="D223" t="str">
        <f>INDEX('Draft Engine'!$B$3:$B$232,$M223)</f>
        <v>Carolina Panthers</v>
      </c>
      <c r="E223" s="4">
        <f>INDEX('Draft Engine'!$E$3:$E$232,$M223)</f>
        <v>66.599999999999994</v>
      </c>
      <c r="F223" t="str">
        <f t="shared" si="3"/>
        <v>TIER 6</v>
      </c>
      <c r="G223" s="4">
        <f>INDEX('Draft Engine'!$N$3:$N$232,$M223)</f>
        <v>26.284000000000006</v>
      </c>
      <c r="H223" s="4">
        <f>INDEX('Draft Engine'!$R$3:$R$232,$M223)</f>
        <v>256</v>
      </c>
      <c r="I223" s="4">
        <f>INDEX('Draft Engine'!$S$3:$S$232,$M223)</f>
        <v>35</v>
      </c>
      <c r="J223" s="5"/>
      <c r="K223">
        <f>INDEX('Draft Engine'!$Z$3:$Z$232,$M223)</f>
        <v>221</v>
      </c>
      <c r="L223" t="str">
        <f>INDEX('LIVE SOURCE'!$H$3:$H$232,$M223)</f>
        <v>Streaming/late-round defense; matchup matters more than preseason rank.</v>
      </c>
      <c r="M223" s="6">
        <f>MATCH($A223,'Draft Engine'!$Q$3:$Q$232,0)</f>
        <v>223</v>
      </c>
      <c r="N223">
        <f>INDEX('LIVE SOURCE'!$L$3:$L$232,$M223)</f>
        <v>5</v>
      </c>
    </row>
    <row r="224" spans="1:14" x14ac:dyDescent="0.25">
      <c r="A224">
        <v>222</v>
      </c>
      <c r="B224" t="str">
        <f>INDEX('Draft Engine'!$A$3:$A$232,$M224)</f>
        <v>DST</v>
      </c>
      <c r="C224">
        <f>INDEX('Draft Engine'!$F$3:$F$232,$M224)</f>
        <v>26</v>
      </c>
      <c r="D224" t="str">
        <f>INDEX('Draft Engine'!$B$3:$B$232,$M224)</f>
        <v>Tennessee Titans</v>
      </c>
      <c r="E224" s="4">
        <f>INDEX('Draft Engine'!$E$3:$E$232,$M224)</f>
        <v>65.5</v>
      </c>
      <c r="F224" t="str">
        <f t="shared" si="3"/>
        <v>TIER 6</v>
      </c>
      <c r="G224" s="4">
        <f>INDEX('Draft Engine'!$N$3:$N$232,$M224)</f>
        <v>25.319000000000003</v>
      </c>
      <c r="H224" s="4">
        <f>INDEX('Draft Engine'!$R$3:$R$232,$M224)</f>
        <v>260</v>
      </c>
      <c r="I224" s="4">
        <f>INDEX('Draft Engine'!$S$3:$S$232,$M224)</f>
        <v>38</v>
      </c>
      <c r="J224" s="5"/>
      <c r="K224">
        <f>INDEX('Draft Engine'!$Z$3:$Z$232,$M224)</f>
        <v>222</v>
      </c>
      <c r="L224" t="str">
        <f>INDEX('LIVE SOURCE'!$H$3:$H$232,$M224)</f>
        <v>Streaming/late-round defense; matchup matters more than preseason rank.</v>
      </c>
      <c r="M224" s="6">
        <f>MATCH($A224,'Draft Engine'!$Q$3:$Q$232,0)</f>
        <v>224</v>
      </c>
      <c r="N224">
        <f>INDEX('LIVE SOURCE'!$L$3:$L$232,$M224)</f>
        <v>9</v>
      </c>
    </row>
    <row r="225" spans="1:14" x14ac:dyDescent="0.25">
      <c r="A225">
        <v>223</v>
      </c>
      <c r="B225" t="str">
        <f>INDEX('Draft Engine'!$A$3:$A$232,$M225)</f>
        <v>DST</v>
      </c>
      <c r="C225">
        <f>INDEX('Draft Engine'!$F$3:$F$232,$M225)</f>
        <v>27</v>
      </c>
      <c r="D225" t="str">
        <f>INDEX('Draft Engine'!$B$3:$B$232,$M225)</f>
        <v>Miami Dolphins</v>
      </c>
      <c r="E225" s="4">
        <f>INDEX('Draft Engine'!$E$3:$E$232,$M225)</f>
        <v>64.400000000000006</v>
      </c>
      <c r="F225" t="str">
        <f t="shared" si="3"/>
        <v>TIER 7</v>
      </c>
      <c r="G225" s="4">
        <f>INDEX('Draft Engine'!$N$3:$N$232,$M225)</f>
        <v>24.354000000000006</v>
      </c>
      <c r="H225" s="4">
        <f>INDEX('Draft Engine'!$R$3:$R$232,$M225)</f>
        <v>264</v>
      </c>
      <c r="I225" s="4">
        <f>INDEX('Draft Engine'!$S$3:$S$232,$M225)</f>
        <v>41</v>
      </c>
      <c r="J225" s="5"/>
      <c r="K225">
        <f>INDEX('Draft Engine'!$Z$3:$Z$232,$M225)</f>
        <v>223</v>
      </c>
      <c r="L225" t="str">
        <f>INDEX('LIVE SOURCE'!$H$3:$H$232,$M225)</f>
        <v>Streaming/late-round defense; matchup matters more than preseason rank.</v>
      </c>
      <c r="M225" s="6">
        <f>MATCH($A225,'Draft Engine'!$Q$3:$Q$232,0)</f>
        <v>225</v>
      </c>
      <c r="N225">
        <f>INDEX('LIVE SOURCE'!$L$3:$L$232,$M225)</f>
        <v>6</v>
      </c>
    </row>
    <row r="226" spans="1:14" x14ac:dyDescent="0.25">
      <c r="A226">
        <v>224</v>
      </c>
      <c r="B226" t="str">
        <f>INDEX('Draft Engine'!$A$3:$A$232,$M226)</f>
        <v>DST</v>
      </c>
      <c r="C226">
        <f>INDEX('Draft Engine'!$F$3:$F$232,$M226)</f>
        <v>28</v>
      </c>
      <c r="D226" t="str">
        <f>INDEX('Draft Engine'!$B$3:$B$232,$M226)</f>
        <v>Washington Commanders</v>
      </c>
      <c r="E226" s="4">
        <f>INDEX('Draft Engine'!$E$3:$E$232,$M226)</f>
        <v>63.3</v>
      </c>
      <c r="F226" t="str">
        <f t="shared" si="3"/>
        <v>TIER 7</v>
      </c>
      <c r="G226" s="4">
        <f>INDEX('Draft Engine'!$N$3:$N$232,$M226)</f>
        <v>23.388999999999996</v>
      </c>
      <c r="H226" s="4">
        <f>INDEX('Draft Engine'!$R$3:$R$232,$M226)</f>
        <v>268</v>
      </c>
      <c r="I226" s="4">
        <f>INDEX('Draft Engine'!$S$3:$S$232,$M226)</f>
        <v>44</v>
      </c>
      <c r="J226" s="5"/>
      <c r="K226">
        <f>INDEX('Draft Engine'!$Z$3:$Z$232,$M226)</f>
        <v>224</v>
      </c>
      <c r="L226" t="str">
        <f>INDEX('LIVE SOURCE'!$H$3:$H$232,$M226)</f>
        <v>Streaming/late-round defense; matchup matters more than preseason rank.</v>
      </c>
      <c r="M226" s="6">
        <f>MATCH($A226,'Draft Engine'!$Q$3:$Q$232,0)</f>
        <v>226</v>
      </c>
      <c r="N226">
        <f>INDEX('LIVE SOURCE'!$L$3:$L$232,$M226)</f>
        <v>7</v>
      </c>
    </row>
    <row r="227" spans="1:14" x14ac:dyDescent="0.25">
      <c r="A227">
        <v>225</v>
      </c>
      <c r="B227" t="str">
        <f>INDEX('Draft Engine'!$A$3:$A$232,$M227)</f>
        <v>DST</v>
      </c>
      <c r="C227">
        <f>INDEX('Draft Engine'!$F$3:$F$232,$M227)</f>
        <v>29</v>
      </c>
      <c r="D227" t="str">
        <f>INDEX('Draft Engine'!$B$3:$B$232,$M227)</f>
        <v>New York Jets</v>
      </c>
      <c r="E227" s="4">
        <f>INDEX('Draft Engine'!$E$3:$E$232,$M227)</f>
        <v>62.2</v>
      </c>
      <c r="F227" t="str">
        <f t="shared" si="3"/>
        <v>TIER 7</v>
      </c>
      <c r="G227" s="4">
        <f>INDEX('Draft Engine'!$N$3:$N$232,$M227)</f>
        <v>22.442</v>
      </c>
      <c r="H227" s="4">
        <f>INDEX('Draft Engine'!$R$3:$R$232,$M227)</f>
        <v>149.9</v>
      </c>
      <c r="I227" s="4">
        <f>INDEX('Draft Engine'!$S$3:$S$232,$M227)</f>
        <v>-75.099999999999994</v>
      </c>
      <c r="J227" s="5"/>
      <c r="K227">
        <f>INDEX('Draft Engine'!$Z$3:$Z$232,$M227)</f>
        <v>225</v>
      </c>
      <c r="L227" t="str">
        <f>INDEX('LIVE SOURCE'!$H$3:$H$232,$M227)</f>
        <v>Streaming/late-round defense; matchup matters more than preseason rank.</v>
      </c>
      <c r="M227" s="6">
        <f>MATCH($A227,'Draft Engine'!$Q$3:$Q$232,0)</f>
        <v>227</v>
      </c>
      <c r="N227">
        <f>INDEX('LIVE SOURCE'!$L$3:$L$232,$M227)</f>
        <v>13</v>
      </c>
    </row>
    <row r="228" spans="1:14" x14ac:dyDescent="0.25">
      <c r="A228">
        <v>226</v>
      </c>
      <c r="B228" t="str">
        <f>INDEX('Draft Engine'!$A$3:$A$232,$M228)</f>
        <v>DST</v>
      </c>
      <c r="C228">
        <f>INDEX('Draft Engine'!$F$3:$F$232,$M228)</f>
        <v>30</v>
      </c>
      <c r="D228" t="str">
        <f>INDEX('Draft Engine'!$B$3:$B$232,$M228)</f>
        <v>Arizona Cardinals</v>
      </c>
      <c r="E228" s="4">
        <f>INDEX('Draft Engine'!$E$3:$E$232,$M228)</f>
        <v>61.1</v>
      </c>
      <c r="F228" t="str">
        <f t="shared" si="3"/>
        <v>TIER 7</v>
      </c>
      <c r="G228" s="4">
        <f>INDEX('Draft Engine'!$N$3:$N$232,$M228)</f>
        <v>21.477000000000004</v>
      </c>
      <c r="H228" s="4">
        <f>INDEX('Draft Engine'!$R$3:$R$232,$M228)</f>
        <v>276</v>
      </c>
      <c r="I228" s="4">
        <f>INDEX('Draft Engine'!$S$3:$S$232,$M228)</f>
        <v>50</v>
      </c>
      <c r="J228" s="5"/>
      <c r="K228">
        <f>INDEX('Draft Engine'!$Z$3:$Z$232,$M228)</f>
        <v>226</v>
      </c>
      <c r="L228" t="str">
        <f>INDEX('LIVE SOURCE'!$H$3:$H$232,$M228)</f>
        <v>Streaming/late-round defense; matchup matters more than preseason rank.</v>
      </c>
      <c r="M228" s="6">
        <f>MATCH($A228,'Draft Engine'!$Q$3:$Q$232,0)</f>
        <v>228</v>
      </c>
      <c r="N228">
        <f>INDEX('LIVE SOURCE'!$L$3:$L$232,$M228)</f>
        <v>14</v>
      </c>
    </row>
    <row r="229" spans="1:14" x14ac:dyDescent="0.25">
      <c r="A229">
        <v>227</v>
      </c>
      <c r="B229" t="str">
        <f>INDEX('Draft Engine'!$A$3:$A$232,$M229)</f>
        <v>DST</v>
      </c>
      <c r="C229">
        <f>INDEX('Draft Engine'!$F$3:$F$232,$M229)</f>
        <v>31</v>
      </c>
      <c r="D229" t="str">
        <f>INDEX('Draft Engine'!$B$3:$B$232,$M229)</f>
        <v>Cincinnati Bengals</v>
      </c>
      <c r="E229" s="4">
        <f>INDEX('Draft Engine'!$E$3:$E$232,$M229)</f>
        <v>60</v>
      </c>
      <c r="F229" t="str">
        <f t="shared" si="3"/>
        <v>TIER 7</v>
      </c>
      <c r="G229" s="4">
        <f>INDEX('Draft Engine'!$N$3:$N$232,$M229)</f>
        <v>20.512</v>
      </c>
      <c r="H229" s="4">
        <f>INDEX('Draft Engine'!$R$3:$R$232,$M229)</f>
        <v>280</v>
      </c>
      <c r="I229" s="4">
        <f>INDEX('Draft Engine'!$S$3:$S$232,$M229)</f>
        <v>53</v>
      </c>
      <c r="J229" s="5"/>
      <c r="K229">
        <f>INDEX('Draft Engine'!$Z$3:$Z$232,$M229)</f>
        <v>227</v>
      </c>
      <c r="L229" t="str">
        <f>INDEX('LIVE SOURCE'!$H$3:$H$232,$M229)</f>
        <v>Streaming/late-round defense; matchup matters more than preseason rank.</v>
      </c>
      <c r="M229" s="6">
        <f>MATCH($A229,'Draft Engine'!$Q$3:$Q$232,0)</f>
        <v>229</v>
      </c>
      <c r="N229">
        <f>INDEX('LIVE SOURCE'!$L$3:$L$232,$M229)</f>
        <v>6</v>
      </c>
    </row>
    <row r="230" spans="1:14" x14ac:dyDescent="0.25">
      <c r="A230">
        <v>228</v>
      </c>
      <c r="B230" t="str">
        <f>INDEX('Draft Engine'!$A$3:$A$232,$M230)</f>
        <v>DST</v>
      </c>
      <c r="C230">
        <f>INDEX('Draft Engine'!$F$3:$F$232,$M230)</f>
        <v>32</v>
      </c>
      <c r="D230" t="str">
        <f>INDEX('Draft Engine'!$B$3:$B$232,$M230)</f>
        <v>Las Vegas Raiders</v>
      </c>
      <c r="E230" s="4">
        <f>INDEX('Draft Engine'!$E$3:$E$232,$M230)</f>
        <v>58.9</v>
      </c>
      <c r="F230" t="str">
        <f t="shared" si="3"/>
        <v>TIER 7</v>
      </c>
      <c r="G230" s="4">
        <f>INDEX('Draft Engine'!$N$3:$N$232,$M230)</f>
        <v>19.547000000000004</v>
      </c>
      <c r="H230" s="4">
        <f>INDEX('Draft Engine'!$R$3:$R$232,$M230)</f>
        <v>284</v>
      </c>
      <c r="I230" s="4">
        <f>INDEX('Draft Engine'!$S$3:$S$232,$M230)</f>
        <v>56</v>
      </c>
      <c r="J230" s="5"/>
      <c r="K230">
        <f>INDEX('Draft Engine'!$Z$3:$Z$232,$M230)</f>
        <v>228</v>
      </c>
      <c r="L230" t="str">
        <f>INDEX('LIVE SOURCE'!$H$3:$H$232,$M230)</f>
        <v>Streaming/late-round defense; matchup matters more than preseason rank.</v>
      </c>
      <c r="M230" s="6">
        <f>MATCH($A230,'Draft Engine'!$Q$3:$Q$232,0)</f>
        <v>230</v>
      </c>
      <c r="N230">
        <f>INDEX('LIVE SOURCE'!$L$3:$L$232,$M230)</f>
        <v>13</v>
      </c>
    </row>
    <row r="231" spans="1:14" x14ac:dyDescent="0.25">
      <c r="A231">
        <v>229</v>
      </c>
      <c r="B231" t="str">
        <f>INDEX('Draft Engine'!$A$3:$A$232,$M231)</f>
        <v>K</v>
      </c>
      <c r="C231">
        <f>INDEX('Draft Engine'!$F$3:$F$232,$M231)</f>
        <v>11</v>
      </c>
      <c r="D231" t="str">
        <f>INDEX('Draft Engine'!$B$3:$B$232,$M231)</f>
        <v>Andy Borregales</v>
      </c>
      <c r="E231" s="4">
        <f>INDEX('Draft Engine'!$E$3:$E$232,$M231)</f>
        <v>72</v>
      </c>
      <c r="F231" t="str">
        <f t="shared" si="3"/>
        <v>TIER 5</v>
      </c>
      <c r="G231" s="4">
        <f>INDEX('Draft Engine'!$N$3:$N$232,$M231)</f>
        <v>38.558</v>
      </c>
      <c r="H231" s="4">
        <f>INDEX('Draft Engine'!$R$3:$R$232,$M231)</f>
        <v>205</v>
      </c>
      <c r="I231" s="4">
        <f>INDEX('Draft Engine'!$S$3:$S$232,$M231)</f>
        <v>-24</v>
      </c>
      <c r="J231" s="5"/>
      <c r="K231">
        <f>INDEX('Draft Engine'!$Z$3:$Z$232,$M231)</f>
        <v>229</v>
      </c>
      <c r="L231" t="str">
        <f>INDEX('LIVE SOURCE'!$H$3:$H$232,$M231)</f>
        <v>Late-round kicker; treat as replaceable unless scoring strongly rewards distance.</v>
      </c>
      <c r="M231" s="6">
        <f>MATCH($A231,'Draft Engine'!$Q$3:$Q$232,0)</f>
        <v>197</v>
      </c>
      <c r="N231">
        <f>INDEX('LIVE SOURCE'!$L$3:$L$232,$M231)</f>
        <v>11</v>
      </c>
    </row>
    <row r="232" spans="1:14" x14ac:dyDescent="0.25">
      <c r="A232">
        <v>230</v>
      </c>
      <c r="B232" t="str">
        <f>INDEX('Draft Engine'!$A$3:$A$232,$M232)</f>
        <v>K</v>
      </c>
      <c r="C232">
        <f>INDEX('Draft Engine'!$F$3:$F$232,$M232)</f>
        <v>12</v>
      </c>
      <c r="D232" t="str">
        <f>INDEX('Draft Engine'!$B$3:$B$232,$M232)</f>
        <v>Evan McPherson</v>
      </c>
      <c r="E232" s="4">
        <f>INDEX('Draft Engine'!$E$3:$E$232,$M232)</f>
        <v>69.8</v>
      </c>
      <c r="F232" t="str">
        <f t="shared" si="3"/>
        <v>TIER 6</v>
      </c>
      <c r="G232" s="4">
        <f>INDEX('Draft Engine'!$N$3:$N$232,$M232)</f>
        <v>36.006</v>
      </c>
      <c r="H232" s="4">
        <f>INDEX('Draft Engine'!$R$3:$R$232,$M232)</f>
        <v>210</v>
      </c>
      <c r="I232" s="4">
        <f>INDEX('Draft Engine'!$S$3:$S$232,$M232)</f>
        <v>-20</v>
      </c>
      <c r="J232" s="5"/>
      <c r="K232">
        <f>INDEX('Draft Engine'!$Z$3:$Z$232,$M232)</f>
        <v>230</v>
      </c>
      <c r="L232" t="str">
        <f>INDEX('LIVE SOURCE'!$H$3:$H$232,$M232)</f>
        <v>Late-round kicker; treat as replaceable unless scoring strongly rewards distance.</v>
      </c>
      <c r="M232" s="6">
        <f>MATCH($A232,'Draft Engine'!$Q$3:$Q$232,0)</f>
        <v>198</v>
      </c>
      <c r="N232">
        <f>INDEX('LIVE SOURCE'!$L$3:$L$232,$M232)</f>
        <v>6</v>
      </c>
    </row>
  </sheetData>
  <conditionalFormatting sqref="A3:N232">
    <cfRule type="expression" dxfId="6" priority="1" stopIfTrue="1">
      <formula>$J3="My Pick"</formula>
    </cfRule>
    <cfRule type="expression" dxfId="5" priority="2">
      <formula>$J3&lt;&gt;""</formula>
    </cfRule>
  </conditionalFormatting>
  <dataValidations count="1">
    <dataValidation type="list" allowBlank="1" sqref="J3:J232" xr:uid="{00000000-0002-0000-0000-000000000000}">
      <formula1>"Drafted,My Pick"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L22"/>
  <sheetViews>
    <sheetView workbookViewId="0"/>
  </sheetViews>
  <sheetFormatPr defaultRowHeight="15" x14ac:dyDescent="0.25"/>
  <cols>
    <col min="1" max="1" width="18" customWidth="1"/>
    <col min="2" max="2" width="10" customWidth="1"/>
    <col min="3" max="3" width="44" customWidth="1"/>
    <col min="4" max="4" width="2" customWidth="1"/>
    <col min="5" max="5" width="9" customWidth="1"/>
    <col min="6" max="6" width="12" customWidth="1"/>
    <col min="7" max="7" width="9" customWidth="1"/>
    <col min="8" max="8" width="11" customWidth="1"/>
    <col min="9" max="9" width="13" customWidth="1"/>
    <col min="10" max="10" width="11" customWidth="1"/>
    <col min="11" max="11" width="9" customWidth="1"/>
    <col min="12" max="12" width="11" customWidth="1"/>
  </cols>
  <sheetData>
    <row r="1" spans="1:12" ht="18.75" x14ac:dyDescent="0.3">
      <c r="A1" s="1" t="s">
        <v>16</v>
      </c>
    </row>
    <row r="2" spans="1:12" x14ac:dyDescent="0.25">
      <c r="A2" s="2" t="s">
        <v>17</v>
      </c>
    </row>
    <row r="3" spans="1:12" ht="26.25" x14ac:dyDescent="0.25">
      <c r="A3" s="7" t="s">
        <v>18</v>
      </c>
      <c r="B3" s="7" t="s">
        <v>19</v>
      </c>
      <c r="C3" s="7" t="s">
        <v>20</v>
      </c>
      <c r="E3" s="3" t="s">
        <v>21</v>
      </c>
      <c r="F3" s="3" t="s">
        <v>22</v>
      </c>
      <c r="G3" s="3" t="s">
        <v>23</v>
      </c>
      <c r="H3" s="3" t="s">
        <v>24</v>
      </c>
      <c r="I3" s="3" t="s">
        <v>25</v>
      </c>
      <c r="J3" s="3" t="s">
        <v>26</v>
      </c>
      <c r="K3" s="3" t="s">
        <v>27</v>
      </c>
      <c r="L3" s="3" t="s">
        <v>28</v>
      </c>
    </row>
    <row r="4" spans="1:12" x14ac:dyDescent="0.25">
      <c r="A4" t="s">
        <v>29</v>
      </c>
      <c r="B4" s="5">
        <v>10</v>
      </c>
      <c r="C4" t="s">
        <v>30</v>
      </c>
      <c r="E4" t="s">
        <v>31</v>
      </c>
      <c r="F4">
        <f>ROUND($B$4*$B$6+$B$4*0.3,0)</f>
        <v>13</v>
      </c>
      <c r="G4" s="5"/>
      <c r="H4">
        <f t="shared" ref="H4:H9" si="0">IF($G4="",$F4,$G4)</f>
        <v>13</v>
      </c>
      <c r="I4">
        <f>ROUND(_xlfn.AGGREGATE(14,6,'Draft Engine'!$G$3:$G$232/('Draft Engine'!$A$3:$A$232=$E4),MIN($H4,COUNTIF('Draft Engine'!$A$3:$A$232,$E4))),1)</f>
        <v>351.1</v>
      </c>
      <c r="J4" s="5">
        <v>1</v>
      </c>
      <c r="K4" s="5">
        <v>4.5</v>
      </c>
      <c r="L4" s="5">
        <v>-30</v>
      </c>
    </row>
    <row r="5" spans="1:12" x14ac:dyDescent="0.25">
      <c r="A5" t="s">
        <v>32</v>
      </c>
      <c r="B5" s="5" t="s">
        <v>33</v>
      </c>
      <c r="C5" t="s">
        <v>34</v>
      </c>
      <c r="E5" t="s">
        <v>35</v>
      </c>
      <c r="F5">
        <f>ROUND($B$4*$B$7+$B$4*$B$10*0.55+$B$4*0.6,0)</f>
        <v>32</v>
      </c>
      <c r="G5" s="5"/>
      <c r="H5">
        <f t="shared" si="0"/>
        <v>32</v>
      </c>
      <c r="I5">
        <f>ROUND(_xlfn.AGGREGATE(14,6,'Draft Engine'!$G$3:$G$232/('Draft Engine'!$A$3:$A$232=$E5),MIN($H5,COUNTIF('Draft Engine'!$A$3:$A$232,$E5))),1)</f>
        <v>239</v>
      </c>
      <c r="J5" s="5">
        <v>1.1499999999999999</v>
      </c>
      <c r="K5" s="5">
        <v>4.2</v>
      </c>
      <c r="L5" s="5">
        <v>-70</v>
      </c>
    </row>
    <row r="6" spans="1:12" x14ac:dyDescent="0.25">
      <c r="A6" t="s">
        <v>36</v>
      </c>
      <c r="B6" s="5">
        <v>1</v>
      </c>
      <c r="C6" t="s">
        <v>37</v>
      </c>
      <c r="E6" t="s">
        <v>38</v>
      </c>
      <c r="F6">
        <f>ROUND($B$4*$B$8+$B$4*$B$10*0.45+$B$4*0.8,0)</f>
        <v>33</v>
      </c>
      <c r="G6" s="5"/>
      <c r="H6">
        <f t="shared" si="0"/>
        <v>33</v>
      </c>
      <c r="I6">
        <f>ROUND(_xlfn.AGGREGATE(14,6,'Draft Engine'!$G$3:$G$232/('Draft Engine'!$A$3:$A$232=$E6),MIN($H6,COUNTIF('Draft Engine'!$A$3:$A$232,$E6))),1)</f>
        <v>239.3</v>
      </c>
      <c r="J6" s="5">
        <v>1.1000000000000001</v>
      </c>
      <c r="K6" s="5">
        <v>4.2</v>
      </c>
      <c r="L6" s="5">
        <v>-70</v>
      </c>
    </row>
    <row r="7" spans="1:12" x14ac:dyDescent="0.25">
      <c r="A7" t="s">
        <v>39</v>
      </c>
      <c r="B7" s="5">
        <v>2</v>
      </c>
      <c r="C7" t="s">
        <v>37</v>
      </c>
      <c r="E7" t="s">
        <v>40</v>
      </c>
      <c r="F7">
        <f>ROUND($B$4*$B$9+$B$4*0.3,0)</f>
        <v>13</v>
      </c>
      <c r="G7" s="5"/>
      <c r="H7">
        <f t="shared" si="0"/>
        <v>13</v>
      </c>
      <c r="I7">
        <f>ROUND(_xlfn.AGGREGATE(14,6,'Draft Engine'!$G$3:$G$232/('Draft Engine'!$A$3:$A$232=$E7),MIN($H7,COUNTIF('Draft Engine'!$A$3:$A$232,$E7))),1)</f>
        <v>179.7</v>
      </c>
      <c r="J7" s="5">
        <v>0.9</v>
      </c>
      <c r="K7" s="5">
        <v>3.5</v>
      </c>
      <c r="L7" s="5">
        <v>-100</v>
      </c>
    </row>
    <row r="8" spans="1:12" x14ac:dyDescent="0.25">
      <c r="A8" t="s">
        <v>41</v>
      </c>
      <c r="B8" s="5">
        <v>2</v>
      </c>
      <c r="C8" t="s">
        <v>37</v>
      </c>
      <c r="E8" t="s">
        <v>42</v>
      </c>
      <c r="F8">
        <f>ROUND($B$4*$B$11,0)</f>
        <v>10</v>
      </c>
      <c r="G8" s="5"/>
      <c r="H8">
        <f t="shared" si="0"/>
        <v>10</v>
      </c>
      <c r="I8">
        <f>ROUND(_xlfn.AGGREGATE(14,6,'Draft Engine'!$G$3:$G$232/('Draft Engine'!$A$3:$A$232=$E8),MIN($H8,COUNTIF('Draft Engine'!$A$3:$A$232,$E8))),1)</f>
        <v>108.4</v>
      </c>
      <c r="J8" s="5">
        <v>0.55000000000000004</v>
      </c>
      <c r="K8" s="5">
        <v>2</v>
      </c>
      <c r="L8" s="5">
        <v>-40</v>
      </c>
    </row>
    <row r="9" spans="1:12" x14ac:dyDescent="0.25">
      <c r="A9" t="s">
        <v>43</v>
      </c>
      <c r="B9" s="5">
        <v>1</v>
      </c>
      <c r="C9" t="s">
        <v>37</v>
      </c>
      <c r="E9" t="s">
        <v>44</v>
      </c>
      <c r="F9">
        <f>ROUND($B$4*$B$12,0)</f>
        <v>10</v>
      </c>
      <c r="G9" s="5"/>
      <c r="H9">
        <f t="shared" si="0"/>
        <v>10</v>
      </c>
      <c r="I9">
        <f>ROUND(_xlfn.AGGREGATE(14,6,'Draft Engine'!$G$3:$G$232/('Draft Engine'!$A$3:$A$232=$E9),MIN($H9,COUNTIF('Draft Engine'!$A$3:$A$232,$E9))),1)</f>
        <v>99.6</v>
      </c>
      <c r="J9" s="5">
        <v>0.5</v>
      </c>
      <c r="K9" s="5">
        <v>1.8</v>
      </c>
      <c r="L9" s="5">
        <v>-50</v>
      </c>
    </row>
    <row r="10" spans="1:12" x14ac:dyDescent="0.25">
      <c r="A10" t="s">
        <v>45</v>
      </c>
      <c r="B10" s="5">
        <v>1</v>
      </c>
      <c r="C10" t="s">
        <v>46</v>
      </c>
    </row>
    <row r="11" spans="1:12" x14ac:dyDescent="0.25">
      <c r="A11" t="s">
        <v>47</v>
      </c>
      <c r="B11" s="5">
        <v>1</v>
      </c>
      <c r="C11" t="s">
        <v>37</v>
      </c>
      <c r="E11" s="2" t="s">
        <v>48</v>
      </c>
    </row>
    <row r="12" spans="1:12" x14ac:dyDescent="0.25">
      <c r="A12" t="s">
        <v>49</v>
      </c>
      <c r="B12" s="5">
        <v>1</v>
      </c>
      <c r="C12" t="s">
        <v>37</v>
      </c>
    </row>
    <row r="13" spans="1:12" x14ac:dyDescent="0.25">
      <c r="A13" t="s">
        <v>50</v>
      </c>
      <c r="B13" s="5">
        <v>6</v>
      </c>
      <c r="C13" t="s">
        <v>37</v>
      </c>
    </row>
    <row r="14" spans="1:12" x14ac:dyDescent="0.25">
      <c r="A14" t="s">
        <v>51</v>
      </c>
      <c r="B14" s="5">
        <v>18</v>
      </c>
      <c r="C14" t="s">
        <v>52</v>
      </c>
    </row>
    <row r="15" spans="1:12" x14ac:dyDescent="0.25">
      <c r="A15" t="s">
        <v>53</v>
      </c>
      <c r="B15" s="5">
        <v>20</v>
      </c>
      <c r="C15" t="s">
        <v>52</v>
      </c>
    </row>
    <row r="16" spans="1:12" x14ac:dyDescent="0.25">
      <c r="A16" t="s">
        <v>54</v>
      </c>
      <c r="B16" s="5">
        <v>3</v>
      </c>
      <c r="C16" t="s">
        <v>55</v>
      </c>
    </row>
    <row r="17" spans="1:3" x14ac:dyDescent="0.25">
      <c r="A17" t="s">
        <v>56</v>
      </c>
      <c r="B17" s="5">
        <v>131</v>
      </c>
      <c r="C17" t="s">
        <v>57</v>
      </c>
    </row>
    <row r="18" spans="1:3" x14ac:dyDescent="0.25">
      <c r="A18" t="s">
        <v>58</v>
      </c>
      <c r="B18" s="5">
        <v>141</v>
      </c>
      <c r="C18" t="s">
        <v>59</v>
      </c>
    </row>
    <row r="19" spans="1:3" x14ac:dyDescent="0.25">
      <c r="A19" t="s">
        <v>60</v>
      </c>
      <c r="B19" s="5">
        <v>10</v>
      </c>
      <c r="C19" t="s">
        <v>61</v>
      </c>
    </row>
    <row r="21" spans="1:3" x14ac:dyDescent="0.25">
      <c r="A21" t="s">
        <v>62</v>
      </c>
      <c r="B21">
        <f>COUNTIF('LIVE SOURCE'!$A$3:$A$232,"QB")+COUNTIF('LIVE SOURCE'!$A$3:$A$232,"RB")+COUNTIF('LIVE SOURCE'!$A$3:$A$232,"WR")+COUNTIF('LIVE SOURCE'!$A$3:$A$232,"TE")</f>
        <v>186</v>
      </c>
    </row>
    <row r="22" spans="1:3" x14ac:dyDescent="0.25">
      <c r="A22" t="s">
        <v>63</v>
      </c>
      <c r="B22">
        <f>COUNTIF('LIVE SOURCE'!$A$3:$A$232,"DST")</f>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232"/>
  <sheetViews>
    <sheetView workbookViewId="0">
      <pane ySplit="2" topLeftCell="A3" activePane="bottomLeft" state="frozen"/>
      <selection pane="bottomLeft"/>
    </sheetView>
  </sheetViews>
  <sheetFormatPr defaultRowHeight="15" x14ac:dyDescent="0.25"/>
  <cols>
    <col min="1" max="1" width="6" customWidth="1"/>
    <col min="2" max="2" width="22" customWidth="1"/>
    <col min="3" max="3" width="11" customWidth="1"/>
    <col min="4" max="7" width="9" customWidth="1"/>
    <col min="8" max="8" width="55" customWidth="1"/>
    <col min="9" max="9" width="12" customWidth="1"/>
    <col min="10" max="10" width="30" customWidth="1"/>
  </cols>
  <sheetData>
    <row r="1" spans="1:10" ht="18.75" x14ac:dyDescent="0.3">
      <c r="A1" s="1" t="s">
        <v>64</v>
      </c>
    </row>
    <row r="2" spans="1:10" ht="27.95" customHeight="1" x14ac:dyDescent="0.25">
      <c r="A2" s="3" t="s">
        <v>3</v>
      </c>
      <c r="B2" s="3" t="s">
        <v>65</v>
      </c>
      <c r="C2" s="3" t="s">
        <v>66</v>
      </c>
      <c r="D2" s="3" t="s">
        <v>67</v>
      </c>
      <c r="E2" s="3" t="s">
        <v>68</v>
      </c>
      <c r="F2" s="3" t="s">
        <v>69</v>
      </c>
      <c r="G2" s="3" t="s">
        <v>70</v>
      </c>
      <c r="H2" s="3" t="s">
        <v>71</v>
      </c>
      <c r="I2" s="3" t="s">
        <v>72</v>
      </c>
      <c r="J2" s="3" t="s">
        <v>73</v>
      </c>
    </row>
    <row r="3" spans="1:10" x14ac:dyDescent="0.25">
      <c r="A3" t="str">
        <f>'LIVE SOURCE'!A3</f>
        <v>QB</v>
      </c>
      <c r="B3" t="str">
        <f>'LIVE SOURCE'!B3</f>
        <v>Josh Allen</v>
      </c>
      <c r="C3" s="4">
        <f>'LIVE SOURCE'!D3</f>
        <v>97.309899999999999</v>
      </c>
      <c r="D3" s="5"/>
      <c r="E3" s="5"/>
      <c r="F3" s="5"/>
      <c r="G3">
        <f t="shared" ref="G3:G66" si="0">SUM(D3:F3)</f>
        <v>0</v>
      </c>
      <c r="H3" s="5"/>
      <c r="I3" s="5" t="s">
        <v>74</v>
      </c>
      <c r="J3" s="5"/>
    </row>
    <row r="4" spans="1:10" x14ac:dyDescent="0.25">
      <c r="A4" t="str">
        <f>'LIVE SOURCE'!A4</f>
        <v>QB</v>
      </c>
      <c r="B4" t="str">
        <f>'LIVE SOURCE'!B4</f>
        <v>Caleb Williams</v>
      </c>
      <c r="C4" s="4">
        <f>'LIVE SOURCE'!D4</f>
        <v>92.192700000000002</v>
      </c>
      <c r="D4" s="5"/>
      <c r="E4" s="5"/>
      <c r="F4" s="5"/>
      <c r="G4">
        <f t="shared" si="0"/>
        <v>0</v>
      </c>
      <c r="H4" s="5"/>
      <c r="I4" s="5" t="s">
        <v>74</v>
      </c>
      <c r="J4" s="5"/>
    </row>
    <row r="5" spans="1:10" x14ac:dyDescent="0.25">
      <c r="A5" t="str">
        <f>'LIVE SOURCE'!A5</f>
        <v>QB</v>
      </c>
      <c r="B5" t="str">
        <f>'LIVE SOURCE'!B5</f>
        <v>Drake Maye</v>
      </c>
      <c r="C5" s="4">
        <f>'LIVE SOURCE'!D5</f>
        <v>91.043000000000006</v>
      </c>
      <c r="D5" s="5"/>
      <c r="E5" s="5"/>
      <c r="F5" s="5"/>
      <c r="G5">
        <f t="shared" si="0"/>
        <v>0</v>
      </c>
      <c r="H5" s="5"/>
      <c r="I5" s="5" t="s">
        <v>74</v>
      </c>
      <c r="J5" s="5"/>
    </row>
    <row r="6" spans="1:10" x14ac:dyDescent="0.25">
      <c r="A6" t="str">
        <f>'LIVE SOURCE'!A6</f>
        <v>QB</v>
      </c>
      <c r="B6" t="str">
        <f>'LIVE SOURCE'!B6</f>
        <v>Justin Herbert</v>
      </c>
      <c r="C6" s="4">
        <f>'LIVE SOURCE'!D6</f>
        <v>90.116900000000001</v>
      </c>
      <c r="D6" s="5"/>
      <c r="E6" s="5"/>
      <c r="F6" s="5"/>
      <c r="G6">
        <f t="shared" si="0"/>
        <v>0</v>
      </c>
      <c r="H6" s="5"/>
      <c r="I6" s="5" t="s">
        <v>74</v>
      </c>
      <c r="J6" s="5"/>
    </row>
    <row r="7" spans="1:10" x14ac:dyDescent="0.25">
      <c r="A7" t="str">
        <f>'LIVE SOURCE'!A7</f>
        <v>QB</v>
      </c>
      <c r="B7" t="str">
        <f>'LIVE SOURCE'!B7</f>
        <v>Lamar Jackson</v>
      </c>
      <c r="C7" s="4">
        <f>'LIVE SOURCE'!D7</f>
        <v>88.711200000000005</v>
      </c>
      <c r="D7" s="5"/>
      <c r="E7" s="5"/>
      <c r="F7" s="5"/>
      <c r="G7">
        <f t="shared" si="0"/>
        <v>0</v>
      </c>
      <c r="H7" s="5"/>
      <c r="I7" s="5" t="s">
        <v>74</v>
      </c>
      <c r="J7" s="5"/>
    </row>
    <row r="8" spans="1:10" x14ac:dyDescent="0.25">
      <c r="A8" t="str">
        <f>'LIVE SOURCE'!A8</f>
        <v>QB</v>
      </c>
      <c r="B8" t="str">
        <f>'LIVE SOURCE'!B8</f>
        <v>Jalen Hurts</v>
      </c>
      <c r="C8" s="4">
        <f>'LIVE SOURCE'!D8</f>
        <v>88.4499</v>
      </c>
      <c r="D8" s="5"/>
      <c r="E8" s="5"/>
      <c r="F8" s="5"/>
      <c r="G8">
        <f t="shared" si="0"/>
        <v>0</v>
      </c>
      <c r="H8" s="5"/>
      <c r="I8" s="5" t="s">
        <v>74</v>
      </c>
      <c r="J8" s="5"/>
    </row>
    <row r="9" spans="1:10" x14ac:dyDescent="0.25">
      <c r="A9" t="str">
        <f>'LIVE SOURCE'!A9</f>
        <v>QB</v>
      </c>
      <c r="B9" t="str">
        <f>'LIVE SOURCE'!B9</f>
        <v>Patrick Mahomes II</v>
      </c>
      <c r="C9" s="4">
        <f>'LIVE SOURCE'!D9</f>
        <v>87.006299999999996</v>
      </c>
      <c r="D9" s="5"/>
      <c r="E9" s="5"/>
      <c r="F9" s="5"/>
      <c r="G9">
        <f t="shared" si="0"/>
        <v>0</v>
      </c>
      <c r="H9" s="5"/>
      <c r="I9" s="5" t="s">
        <v>74</v>
      </c>
      <c r="J9" s="5"/>
    </row>
    <row r="10" spans="1:10" x14ac:dyDescent="0.25">
      <c r="A10" t="str">
        <f>'LIVE SOURCE'!A10</f>
        <v>QB</v>
      </c>
      <c r="B10" t="str">
        <f>'LIVE SOURCE'!B10</f>
        <v>Jayden Daniels</v>
      </c>
      <c r="C10" s="4">
        <f>'LIVE SOURCE'!D10</f>
        <v>86.700299999999999</v>
      </c>
      <c r="D10" s="5"/>
      <c r="E10" s="5"/>
      <c r="F10" s="5"/>
      <c r="G10">
        <f t="shared" si="0"/>
        <v>0</v>
      </c>
      <c r="H10" s="5"/>
      <c r="I10" s="5" t="s">
        <v>74</v>
      </c>
      <c r="J10" s="5"/>
    </row>
    <row r="11" spans="1:10" x14ac:dyDescent="0.25">
      <c r="A11" t="str">
        <f>'LIVE SOURCE'!A11</f>
        <v>QB</v>
      </c>
      <c r="B11" t="str">
        <f>'LIVE SOURCE'!B11</f>
        <v>Joe Burrow</v>
      </c>
      <c r="C11" s="4">
        <f>'LIVE SOURCE'!D11</f>
        <v>85.591300000000004</v>
      </c>
      <c r="D11" s="5"/>
      <c r="E11" s="5"/>
      <c r="F11" s="5"/>
      <c r="G11">
        <f t="shared" si="0"/>
        <v>0</v>
      </c>
      <c r="H11" s="5"/>
      <c r="I11" s="5" t="s">
        <v>74</v>
      </c>
      <c r="J11" s="5"/>
    </row>
    <row r="12" spans="1:10" x14ac:dyDescent="0.25">
      <c r="A12" t="str">
        <f>'LIVE SOURCE'!A12</f>
        <v>QB</v>
      </c>
      <c r="B12" t="str">
        <f>'LIVE SOURCE'!B12</f>
        <v>Matthew Stafford</v>
      </c>
      <c r="C12" s="4">
        <f>'LIVE SOURCE'!D12</f>
        <v>85.419700000000006</v>
      </c>
      <c r="D12" s="5"/>
      <c r="E12" s="5"/>
      <c r="F12" s="5"/>
      <c r="G12">
        <f t="shared" si="0"/>
        <v>0</v>
      </c>
      <c r="H12" s="5"/>
      <c r="I12" s="5" t="s">
        <v>74</v>
      </c>
      <c r="J12" s="5"/>
    </row>
    <row r="13" spans="1:10" x14ac:dyDescent="0.25">
      <c r="A13" t="str">
        <f>'LIVE SOURCE'!A13</f>
        <v>QB</v>
      </c>
      <c r="B13" t="str">
        <f>'LIVE SOURCE'!B13</f>
        <v>Bo Nix</v>
      </c>
      <c r="C13" s="4">
        <f>'LIVE SOURCE'!D13</f>
        <v>85.248500000000007</v>
      </c>
      <c r="D13" s="5"/>
      <c r="E13" s="5"/>
      <c r="F13" s="5"/>
      <c r="G13">
        <f t="shared" si="0"/>
        <v>0</v>
      </c>
      <c r="H13" s="5"/>
      <c r="I13" s="5" t="s">
        <v>74</v>
      </c>
      <c r="J13" s="5"/>
    </row>
    <row r="14" spans="1:10" x14ac:dyDescent="0.25">
      <c r="A14" t="str">
        <f>'LIVE SOURCE'!A14</f>
        <v>QB</v>
      </c>
      <c r="B14" t="str">
        <f>'LIVE SOURCE'!B14</f>
        <v>Dak Prescott</v>
      </c>
      <c r="C14" s="4">
        <f>'LIVE SOURCE'!D14</f>
        <v>85.115600000000001</v>
      </c>
      <c r="D14" s="5"/>
      <c r="E14" s="5"/>
      <c r="F14" s="5"/>
      <c r="G14">
        <f t="shared" si="0"/>
        <v>0</v>
      </c>
      <c r="H14" s="5"/>
      <c r="I14" s="5" t="s">
        <v>74</v>
      </c>
      <c r="J14" s="5"/>
    </row>
    <row r="15" spans="1:10" x14ac:dyDescent="0.25">
      <c r="A15" t="str">
        <f>'LIVE SOURCE'!A15</f>
        <v>QB</v>
      </c>
      <c r="B15" t="str">
        <f>'LIVE SOURCE'!B15</f>
        <v>Trevor Lawrence</v>
      </c>
      <c r="C15" s="4">
        <f>'LIVE SOURCE'!D15</f>
        <v>84.692099999999996</v>
      </c>
      <c r="D15" s="5"/>
      <c r="E15" s="5"/>
      <c r="F15" s="5"/>
      <c r="G15">
        <f t="shared" si="0"/>
        <v>0</v>
      </c>
      <c r="H15" s="5"/>
      <c r="I15" s="5" t="s">
        <v>74</v>
      </c>
      <c r="J15" s="5"/>
    </row>
    <row r="16" spans="1:10" x14ac:dyDescent="0.25">
      <c r="A16" t="str">
        <f>'LIVE SOURCE'!A16</f>
        <v>QB</v>
      </c>
      <c r="B16" t="str">
        <f>'LIVE SOURCE'!B16</f>
        <v>Brock Purdy</v>
      </c>
      <c r="C16" s="4">
        <f>'LIVE SOURCE'!D16</f>
        <v>83.8386</v>
      </c>
      <c r="D16" s="5"/>
      <c r="E16" s="5"/>
      <c r="F16" s="5"/>
      <c r="G16">
        <f t="shared" si="0"/>
        <v>0</v>
      </c>
      <c r="H16" s="5"/>
      <c r="I16" s="5" t="s">
        <v>74</v>
      </c>
      <c r="J16" s="5"/>
    </row>
    <row r="17" spans="1:10" x14ac:dyDescent="0.25">
      <c r="A17" t="str">
        <f>'LIVE SOURCE'!A17</f>
        <v>QB</v>
      </c>
      <c r="B17" t="str">
        <f>'LIVE SOURCE'!B17</f>
        <v>Jaxson Dart</v>
      </c>
      <c r="C17" s="4">
        <f>'LIVE SOURCE'!D17</f>
        <v>83.060699999999997</v>
      </c>
      <c r="D17" s="5"/>
      <c r="E17" s="5"/>
      <c r="F17" s="5"/>
      <c r="G17">
        <f t="shared" si="0"/>
        <v>0</v>
      </c>
      <c r="H17" s="5"/>
      <c r="I17" s="5" t="s">
        <v>74</v>
      </c>
      <c r="J17" s="5"/>
    </row>
    <row r="18" spans="1:10" x14ac:dyDescent="0.25">
      <c r="A18" t="str">
        <f>'LIVE SOURCE'!A18</f>
        <v>QB</v>
      </c>
      <c r="B18" t="str">
        <f>'LIVE SOURCE'!B18</f>
        <v>Jared Goff</v>
      </c>
      <c r="C18" s="4">
        <f>'LIVE SOURCE'!D18</f>
        <v>82.642499999999998</v>
      </c>
      <c r="D18" s="5"/>
      <c r="E18" s="5"/>
      <c r="F18" s="5"/>
      <c r="G18">
        <f t="shared" si="0"/>
        <v>0</v>
      </c>
      <c r="H18" s="5"/>
      <c r="I18" s="5" t="s">
        <v>74</v>
      </c>
      <c r="J18" s="5"/>
    </row>
    <row r="19" spans="1:10" x14ac:dyDescent="0.25">
      <c r="A19" t="str">
        <f>'LIVE SOURCE'!A19</f>
        <v>QB</v>
      </c>
      <c r="B19" t="str">
        <f>'LIVE SOURCE'!B19</f>
        <v>Kyler Murray</v>
      </c>
      <c r="C19" s="4">
        <f>'LIVE SOURCE'!D19</f>
        <v>80.710099999999997</v>
      </c>
      <c r="D19" s="5"/>
      <c r="E19" s="5"/>
      <c r="F19" s="5"/>
      <c r="G19">
        <f t="shared" si="0"/>
        <v>0</v>
      </c>
      <c r="H19" s="5"/>
      <c r="I19" s="5" t="s">
        <v>74</v>
      </c>
      <c r="J19" s="5"/>
    </row>
    <row r="20" spans="1:10" x14ac:dyDescent="0.25">
      <c r="A20" t="str">
        <f>'LIVE SOURCE'!A20</f>
        <v>QB</v>
      </c>
      <c r="B20" t="str">
        <f>'LIVE SOURCE'!B20</f>
        <v>Jordan Love</v>
      </c>
      <c r="C20" s="4">
        <f>'LIVE SOURCE'!D20</f>
        <v>80.040800000000004</v>
      </c>
      <c r="D20" s="5"/>
      <c r="E20" s="5"/>
      <c r="F20" s="5"/>
      <c r="G20">
        <f t="shared" si="0"/>
        <v>0</v>
      </c>
      <c r="H20" s="5"/>
      <c r="I20" s="5" t="s">
        <v>74</v>
      </c>
      <c r="J20" s="5"/>
    </row>
    <row r="21" spans="1:10" x14ac:dyDescent="0.25">
      <c r="A21" t="str">
        <f>'LIVE SOURCE'!A21</f>
        <v>QB</v>
      </c>
      <c r="B21" t="str">
        <f>'LIVE SOURCE'!B21</f>
        <v>Baker Mayfield</v>
      </c>
      <c r="C21" s="4">
        <f>'LIVE SOURCE'!D21</f>
        <v>79.825999999999993</v>
      </c>
      <c r="D21" s="5"/>
      <c r="E21" s="5"/>
      <c r="F21" s="5"/>
      <c r="G21">
        <f t="shared" si="0"/>
        <v>0</v>
      </c>
      <c r="H21" s="5"/>
      <c r="I21" s="5" t="s">
        <v>74</v>
      </c>
      <c r="J21" s="5"/>
    </row>
    <row r="22" spans="1:10" x14ac:dyDescent="0.25">
      <c r="A22" t="str">
        <f>'LIVE SOURCE'!A22</f>
        <v>QB</v>
      </c>
      <c r="B22" t="str">
        <f>'LIVE SOURCE'!B22</f>
        <v>Tyler Shough</v>
      </c>
      <c r="C22" s="4">
        <f>'LIVE SOURCE'!D22</f>
        <v>77.365600000000001</v>
      </c>
      <c r="D22" s="5"/>
      <c r="E22" s="5"/>
      <c r="F22" s="5"/>
      <c r="G22">
        <f t="shared" si="0"/>
        <v>0</v>
      </c>
      <c r="H22" s="5"/>
      <c r="I22" s="5" t="s">
        <v>74</v>
      </c>
      <c r="J22" s="5"/>
    </row>
    <row r="23" spans="1:10" x14ac:dyDescent="0.25">
      <c r="A23" t="str">
        <f>'LIVE SOURCE'!A23</f>
        <v>QB</v>
      </c>
      <c r="B23" t="str">
        <f>'LIVE SOURCE'!B23</f>
        <v>C.J. Stroud</v>
      </c>
      <c r="C23" s="4">
        <f>'LIVE SOURCE'!D23</f>
        <v>75.762100000000004</v>
      </c>
      <c r="D23" s="5"/>
      <c r="E23" s="5"/>
      <c r="F23" s="5"/>
      <c r="G23">
        <f t="shared" si="0"/>
        <v>0</v>
      </c>
      <c r="H23" s="5"/>
      <c r="I23" s="5" t="s">
        <v>74</v>
      </c>
      <c r="J23" s="5"/>
    </row>
    <row r="24" spans="1:10" x14ac:dyDescent="0.25">
      <c r="A24" t="str">
        <f>'LIVE SOURCE'!A24</f>
        <v>QB</v>
      </c>
      <c r="B24" t="str">
        <f>'LIVE SOURCE'!B24</f>
        <v>Sam Darnold</v>
      </c>
      <c r="C24" s="4">
        <f>'LIVE SOURCE'!D24</f>
        <v>75.554199999999994</v>
      </c>
      <c r="D24" s="5"/>
      <c r="E24" s="5"/>
      <c r="F24" s="5"/>
      <c r="G24">
        <f t="shared" si="0"/>
        <v>0</v>
      </c>
      <c r="H24" s="5"/>
      <c r="I24" s="5" t="s">
        <v>74</v>
      </c>
      <c r="J24" s="5"/>
    </row>
    <row r="25" spans="1:10" x14ac:dyDescent="0.25">
      <c r="A25" t="str">
        <f>'LIVE SOURCE'!A25</f>
        <v>QB</v>
      </c>
      <c r="B25" t="str">
        <f>'LIVE SOURCE'!B25</f>
        <v>Daniel Jones</v>
      </c>
      <c r="C25" s="4">
        <f>'LIVE SOURCE'!D25</f>
        <v>74.790400000000005</v>
      </c>
      <c r="D25" s="5"/>
      <c r="E25" s="5"/>
      <c r="F25" s="5"/>
      <c r="G25">
        <f t="shared" si="0"/>
        <v>0</v>
      </c>
      <c r="H25" s="5"/>
      <c r="I25" s="5" t="s">
        <v>74</v>
      </c>
      <c r="J25" s="5"/>
    </row>
    <row r="26" spans="1:10" x14ac:dyDescent="0.25">
      <c r="A26" t="str">
        <f>'LIVE SOURCE'!A26</f>
        <v>QB</v>
      </c>
      <c r="B26" t="str">
        <f>'LIVE SOURCE'!B26</f>
        <v>Malik Willis</v>
      </c>
      <c r="C26" s="4">
        <f>'LIVE SOURCE'!D26</f>
        <v>74.240300000000005</v>
      </c>
      <c r="D26" s="5"/>
      <c r="E26" s="5"/>
      <c r="F26" s="5"/>
      <c r="G26">
        <f t="shared" si="0"/>
        <v>0</v>
      </c>
      <c r="H26" s="5"/>
      <c r="I26" s="5" t="s">
        <v>74</v>
      </c>
      <c r="J26" s="5"/>
    </row>
    <row r="27" spans="1:10" x14ac:dyDescent="0.25">
      <c r="A27" t="str">
        <f>'LIVE SOURCE'!A27</f>
        <v>QB</v>
      </c>
      <c r="B27" t="str">
        <f>'LIVE SOURCE'!B27</f>
        <v>Bryce Young</v>
      </c>
      <c r="C27" s="4">
        <f>'LIVE SOURCE'!D27</f>
        <v>72.797600000000003</v>
      </c>
      <c r="D27" s="5"/>
      <c r="E27" s="5"/>
      <c r="F27" s="5"/>
      <c r="G27">
        <f t="shared" si="0"/>
        <v>0</v>
      </c>
      <c r="H27" s="5"/>
      <c r="I27" s="5" t="s">
        <v>74</v>
      </c>
      <c r="J27" s="5"/>
    </row>
    <row r="28" spans="1:10" x14ac:dyDescent="0.25">
      <c r="A28" t="str">
        <f>'LIVE SOURCE'!A28</f>
        <v>QB</v>
      </c>
      <c r="B28" t="str">
        <f>'LIVE SOURCE'!B28</f>
        <v>Cam Ward</v>
      </c>
      <c r="C28" s="4">
        <f>'LIVE SOURCE'!D28</f>
        <v>72.664599999999993</v>
      </c>
      <c r="D28" s="5"/>
      <c r="E28" s="5"/>
      <c r="F28" s="5"/>
      <c r="G28">
        <f t="shared" si="0"/>
        <v>0</v>
      </c>
      <c r="H28" s="5"/>
      <c r="I28" s="5" t="s">
        <v>74</v>
      </c>
      <c r="J28" s="5"/>
    </row>
    <row r="29" spans="1:10" x14ac:dyDescent="0.25">
      <c r="A29" t="str">
        <f>'LIVE SOURCE'!A29</f>
        <v>QB</v>
      </c>
      <c r="B29" t="str">
        <f>'LIVE SOURCE'!B29</f>
        <v>Jacoby Brissett</v>
      </c>
      <c r="C29" s="4">
        <f>'LIVE SOURCE'!D29</f>
        <v>71.333399999999997</v>
      </c>
      <c r="D29" s="5"/>
      <c r="E29" s="5"/>
      <c r="F29" s="5"/>
      <c r="G29">
        <f t="shared" si="0"/>
        <v>0</v>
      </c>
      <c r="H29" s="5"/>
      <c r="I29" s="5" t="s">
        <v>74</v>
      </c>
      <c r="J29" s="5"/>
    </row>
    <row r="30" spans="1:10" x14ac:dyDescent="0.25">
      <c r="A30" t="str">
        <f>'LIVE SOURCE'!A30</f>
        <v>QB</v>
      </c>
      <c r="B30" t="str">
        <f>'LIVE SOURCE'!B30</f>
        <v>Geno Smith</v>
      </c>
      <c r="C30" s="4">
        <f>'LIVE SOURCE'!D30</f>
        <v>71.098600000000005</v>
      </c>
      <c r="D30" s="5"/>
      <c r="E30" s="5"/>
      <c r="F30" s="5"/>
      <c r="G30">
        <f t="shared" si="0"/>
        <v>0</v>
      </c>
      <c r="H30" s="5"/>
      <c r="I30" s="5" t="s">
        <v>74</v>
      </c>
      <c r="J30" s="5"/>
    </row>
    <row r="31" spans="1:10" x14ac:dyDescent="0.25">
      <c r="A31" t="str">
        <f>'LIVE SOURCE'!A31</f>
        <v>QB</v>
      </c>
      <c r="B31" t="str">
        <f>'LIVE SOURCE'!B31</f>
        <v>Aaron Rodgers</v>
      </c>
      <c r="C31" s="4">
        <f>'LIVE SOURCE'!D31</f>
        <v>70.884799999999998</v>
      </c>
      <c r="D31" s="5"/>
      <c r="E31" s="5"/>
      <c r="F31" s="5"/>
      <c r="G31">
        <f t="shared" si="0"/>
        <v>0</v>
      </c>
      <c r="H31" s="5"/>
      <c r="I31" s="5" t="s">
        <v>74</v>
      </c>
      <c r="J31" s="5"/>
    </row>
    <row r="32" spans="1:10" x14ac:dyDescent="0.25">
      <c r="A32" t="str">
        <f>'LIVE SOURCE'!A32</f>
        <v>QB</v>
      </c>
      <c r="B32" t="str">
        <f>'LIVE SOURCE'!B32</f>
        <v>Tua Tagovailoa</v>
      </c>
      <c r="C32" s="4">
        <f>'LIVE SOURCE'!D32</f>
        <v>67.851200000000006</v>
      </c>
      <c r="D32" s="5"/>
      <c r="E32" s="5"/>
      <c r="F32" s="5"/>
      <c r="G32">
        <f t="shared" si="0"/>
        <v>0</v>
      </c>
      <c r="H32" s="5"/>
      <c r="I32" s="5" t="s">
        <v>74</v>
      </c>
      <c r="J32" s="5"/>
    </row>
    <row r="33" spans="1:10" x14ac:dyDescent="0.25">
      <c r="A33" t="str">
        <f>'LIVE SOURCE'!A33</f>
        <v>QB</v>
      </c>
      <c r="B33" t="str">
        <f>'LIVE SOURCE'!B33</f>
        <v>Kirk Cousins</v>
      </c>
      <c r="C33" s="4">
        <f>'LIVE SOURCE'!D33</f>
        <v>65.792900000000003</v>
      </c>
      <c r="D33" s="5"/>
      <c r="E33" s="5"/>
      <c r="F33" s="5"/>
      <c r="G33">
        <f t="shared" si="0"/>
        <v>0</v>
      </c>
      <c r="H33" s="5"/>
      <c r="I33" s="5" t="s">
        <v>74</v>
      </c>
      <c r="J33" s="5"/>
    </row>
    <row r="34" spans="1:10" x14ac:dyDescent="0.25">
      <c r="A34" t="str">
        <f>'LIVE SOURCE'!A34</f>
        <v>QB</v>
      </c>
      <c r="B34" t="str">
        <f>'LIVE SOURCE'!B34</f>
        <v>Deshaun Watson</v>
      </c>
      <c r="C34" s="4">
        <f>'LIVE SOURCE'!D34</f>
        <v>60.25</v>
      </c>
      <c r="D34" s="5"/>
      <c r="E34" s="5"/>
      <c r="F34" s="5"/>
      <c r="G34">
        <f t="shared" si="0"/>
        <v>0</v>
      </c>
      <c r="H34" s="5"/>
      <c r="I34" s="5" t="s">
        <v>74</v>
      </c>
      <c r="J34" s="5"/>
    </row>
    <row r="35" spans="1:10" x14ac:dyDescent="0.25">
      <c r="A35" t="str">
        <f>'LIVE SOURCE'!A35</f>
        <v>RB</v>
      </c>
      <c r="B35" t="str">
        <f>'LIVE SOURCE'!B35</f>
        <v>Bijan Robinson</v>
      </c>
      <c r="C35" s="4">
        <f>'LIVE SOURCE'!D35</f>
        <v>97.3673</v>
      </c>
      <c r="D35" s="5"/>
      <c r="E35" s="5"/>
      <c r="F35" s="5"/>
      <c r="G35">
        <f t="shared" si="0"/>
        <v>0</v>
      </c>
      <c r="H35" s="5"/>
      <c r="I35" s="5" t="s">
        <v>74</v>
      </c>
      <c r="J35" s="5"/>
    </row>
    <row r="36" spans="1:10" x14ac:dyDescent="0.25">
      <c r="A36" t="str">
        <f>'LIVE SOURCE'!A36</f>
        <v>RB</v>
      </c>
      <c r="B36" t="str">
        <f>'LIVE SOURCE'!B36</f>
        <v>Jahmyr Gibbs</v>
      </c>
      <c r="C36" s="4">
        <f>'LIVE SOURCE'!D36</f>
        <v>96.332300000000004</v>
      </c>
      <c r="D36" s="5"/>
      <c r="E36" s="5"/>
      <c r="F36" s="5"/>
      <c r="G36">
        <f t="shared" si="0"/>
        <v>0</v>
      </c>
      <c r="H36" s="5"/>
      <c r="I36" s="5" t="s">
        <v>74</v>
      </c>
      <c r="J36" s="5"/>
    </row>
    <row r="37" spans="1:10" x14ac:dyDescent="0.25">
      <c r="A37" t="str">
        <f>'LIVE SOURCE'!A37</f>
        <v>RB</v>
      </c>
      <c r="B37" t="str">
        <f>'LIVE SOURCE'!B37</f>
        <v>Christian McCaffrey</v>
      </c>
      <c r="C37" s="4">
        <f>'LIVE SOURCE'!D37</f>
        <v>94.244699999999995</v>
      </c>
      <c r="D37" s="5"/>
      <c r="E37" s="5"/>
      <c r="F37" s="5"/>
      <c r="G37">
        <f t="shared" si="0"/>
        <v>0</v>
      </c>
      <c r="H37" s="5"/>
      <c r="I37" s="5" t="s">
        <v>74</v>
      </c>
      <c r="J37" s="5"/>
    </row>
    <row r="38" spans="1:10" x14ac:dyDescent="0.25">
      <c r="A38" t="str">
        <f>'LIVE SOURCE'!A38</f>
        <v>RB</v>
      </c>
      <c r="B38" t="str">
        <f>'LIVE SOURCE'!B38</f>
        <v>Jonathan Taylor</v>
      </c>
      <c r="C38" s="4">
        <f>'LIVE SOURCE'!D38</f>
        <v>92.147000000000006</v>
      </c>
      <c r="D38" s="5"/>
      <c r="E38" s="5"/>
      <c r="F38" s="5"/>
      <c r="G38">
        <f t="shared" si="0"/>
        <v>0</v>
      </c>
      <c r="H38" s="5"/>
      <c r="I38" s="5" t="s">
        <v>74</v>
      </c>
      <c r="J38" s="5"/>
    </row>
    <row r="39" spans="1:10" x14ac:dyDescent="0.25">
      <c r="A39" t="str">
        <f>'LIVE SOURCE'!A39</f>
        <v>RB</v>
      </c>
      <c r="B39" t="str">
        <f>'LIVE SOURCE'!B39</f>
        <v>Jeremiyah Love</v>
      </c>
      <c r="C39" s="4">
        <f>'LIVE SOURCE'!D39</f>
        <v>90.865899999999996</v>
      </c>
      <c r="D39" s="5"/>
      <c r="E39" s="5"/>
      <c r="F39" s="5"/>
      <c r="G39">
        <f t="shared" si="0"/>
        <v>0</v>
      </c>
      <c r="H39" s="5"/>
      <c r="I39" s="5" t="s">
        <v>74</v>
      </c>
      <c r="J39" s="5"/>
    </row>
    <row r="40" spans="1:10" x14ac:dyDescent="0.25">
      <c r="A40" t="str">
        <f>'LIVE SOURCE'!A40</f>
        <v>RB</v>
      </c>
      <c r="B40" t="str">
        <f>'LIVE SOURCE'!B40</f>
        <v>Omarion Hampton</v>
      </c>
      <c r="C40" s="4">
        <f>'LIVE SOURCE'!D40</f>
        <v>88.642099999999999</v>
      </c>
      <c r="D40" s="5"/>
      <c r="E40" s="5"/>
      <c r="F40" s="5"/>
      <c r="G40">
        <f t="shared" si="0"/>
        <v>0</v>
      </c>
      <c r="H40" s="5"/>
      <c r="I40" s="5" t="s">
        <v>74</v>
      </c>
      <c r="J40" s="5"/>
    </row>
    <row r="41" spans="1:10" x14ac:dyDescent="0.25">
      <c r="A41" t="str">
        <f>'LIVE SOURCE'!A41</f>
        <v>RB</v>
      </c>
      <c r="B41" t="str">
        <f>'LIVE SOURCE'!B41</f>
        <v>De'Von Achane</v>
      </c>
      <c r="C41" s="4">
        <f>'LIVE SOURCE'!D41</f>
        <v>87.944000000000003</v>
      </c>
      <c r="D41" s="5"/>
      <c r="E41" s="5"/>
      <c r="F41" s="5"/>
      <c r="G41">
        <f t="shared" si="0"/>
        <v>0</v>
      </c>
      <c r="H41" s="5"/>
      <c r="I41" s="5" t="s">
        <v>74</v>
      </c>
      <c r="J41" s="5"/>
    </row>
    <row r="42" spans="1:10" x14ac:dyDescent="0.25">
      <c r="A42" t="str">
        <f>'LIVE SOURCE'!A42</f>
        <v>RB</v>
      </c>
      <c r="B42" t="str">
        <f>'LIVE SOURCE'!B42</f>
        <v>Kenneth Walker III</v>
      </c>
      <c r="C42" s="4">
        <f>'LIVE SOURCE'!D42</f>
        <v>87.292599999999993</v>
      </c>
      <c r="D42" s="5"/>
      <c r="E42" s="5"/>
      <c r="F42" s="5"/>
      <c r="G42">
        <f t="shared" si="0"/>
        <v>0</v>
      </c>
      <c r="H42" s="5"/>
      <c r="I42" s="5" t="s">
        <v>74</v>
      </c>
      <c r="J42" s="5"/>
    </row>
    <row r="43" spans="1:10" x14ac:dyDescent="0.25">
      <c r="A43" t="str">
        <f>'LIVE SOURCE'!A43</f>
        <v>RB</v>
      </c>
      <c r="B43" t="str">
        <f>'LIVE SOURCE'!B43</f>
        <v>James Cook III</v>
      </c>
      <c r="C43" s="4">
        <f>'LIVE SOURCE'!D43</f>
        <v>87.058000000000007</v>
      </c>
      <c r="D43" s="5"/>
      <c r="E43" s="5"/>
      <c r="F43" s="5"/>
      <c r="G43">
        <f t="shared" si="0"/>
        <v>0</v>
      </c>
      <c r="H43" s="5"/>
      <c r="I43" s="5" t="s">
        <v>74</v>
      </c>
      <c r="J43" s="5"/>
    </row>
    <row r="44" spans="1:10" x14ac:dyDescent="0.25">
      <c r="A44" t="str">
        <f>'LIVE SOURCE'!A44</f>
        <v>RB</v>
      </c>
      <c r="B44" t="str">
        <f>'LIVE SOURCE'!B44</f>
        <v>Kyren Williams</v>
      </c>
      <c r="C44" s="4">
        <f>'LIVE SOURCE'!D44</f>
        <v>85.948599999999999</v>
      </c>
      <c r="D44" s="5"/>
      <c r="E44" s="5"/>
      <c r="F44" s="5"/>
      <c r="G44">
        <f t="shared" si="0"/>
        <v>0</v>
      </c>
      <c r="H44" s="5"/>
      <c r="I44" s="5" t="s">
        <v>74</v>
      </c>
      <c r="J44" s="5"/>
    </row>
    <row r="45" spans="1:10" x14ac:dyDescent="0.25">
      <c r="A45" t="str">
        <f>'LIVE SOURCE'!A45</f>
        <v>RB</v>
      </c>
      <c r="B45" t="str">
        <f>'LIVE SOURCE'!B45</f>
        <v>Breece Hall</v>
      </c>
      <c r="C45" s="4">
        <f>'LIVE SOURCE'!D45</f>
        <v>85.895200000000003</v>
      </c>
      <c r="D45" s="5"/>
      <c r="E45" s="5"/>
      <c r="F45" s="5"/>
      <c r="G45">
        <f t="shared" si="0"/>
        <v>0</v>
      </c>
      <c r="H45" s="5"/>
      <c r="I45" s="5" t="s">
        <v>74</v>
      </c>
      <c r="J45" s="5"/>
    </row>
    <row r="46" spans="1:10" x14ac:dyDescent="0.25">
      <c r="A46" t="str">
        <f>'LIVE SOURCE'!A46</f>
        <v>RB</v>
      </c>
      <c r="B46" t="str">
        <f>'LIVE SOURCE'!B46</f>
        <v>Ashton Jeanty</v>
      </c>
      <c r="C46" s="4">
        <f>'LIVE SOURCE'!D46</f>
        <v>85.843299999999999</v>
      </c>
      <c r="D46" s="5"/>
      <c r="E46" s="5"/>
      <c r="F46" s="5"/>
      <c r="G46">
        <f t="shared" si="0"/>
        <v>0</v>
      </c>
      <c r="H46" s="5"/>
      <c r="I46" s="5" t="s">
        <v>74</v>
      </c>
      <c r="J46" s="5"/>
    </row>
    <row r="47" spans="1:10" x14ac:dyDescent="0.25">
      <c r="A47" t="str">
        <f>'LIVE SOURCE'!A47</f>
        <v>RB</v>
      </c>
      <c r="B47" t="str">
        <f>'LIVE SOURCE'!B47</f>
        <v>Derrick Henry</v>
      </c>
      <c r="C47" s="4">
        <f>'LIVE SOURCE'!D47</f>
        <v>85.667400000000001</v>
      </c>
      <c r="D47" s="5"/>
      <c r="E47" s="5"/>
      <c r="F47" s="5"/>
      <c r="G47">
        <f t="shared" si="0"/>
        <v>0</v>
      </c>
      <c r="H47" s="5"/>
      <c r="I47" s="5" t="s">
        <v>74</v>
      </c>
      <c r="J47" s="5"/>
    </row>
    <row r="48" spans="1:10" x14ac:dyDescent="0.25">
      <c r="A48" t="str">
        <f>'LIVE SOURCE'!A48</f>
        <v>RB</v>
      </c>
      <c r="B48" t="str">
        <f>'LIVE SOURCE'!B48</f>
        <v>Chase Brown</v>
      </c>
      <c r="C48" s="4">
        <f>'LIVE SOURCE'!D48</f>
        <v>85.664400000000001</v>
      </c>
      <c r="D48" s="5"/>
      <c r="E48" s="5"/>
      <c r="F48" s="5"/>
      <c r="G48">
        <f t="shared" si="0"/>
        <v>0</v>
      </c>
      <c r="H48" s="5"/>
      <c r="I48" s="5" t="s">
        <v>74</v>
      </c>
      <c r="J48" s="5"/>
    </row>
    <row r="49" spans="1:10" x14ac:dyDescent="0.25">
      <c r="A49" t="str">
        <f>'LIVE SOURCE'!A49</f>
        <v>RB</v>
      </c>
      <c r="B49" t="str">
        <f>'LIVE SOURCE'!B49</f>
        <v>Josh Jacobs</v>
      </c>
      <c r="C49" s="4">
        <f>'LIVE SOURCE'!D49</f>
        <v>84.426400000000001</v>
      </c>
      <c r="D49" s="5"/>
      <c r="E49" s="5"/>
      <c r="F49" s="5"/>
      <c r="G49">
        <f t="shared" si="0"/>
        <v>0</v>
      </c>
      <c r="H49" s="5"/>
      <c r="I49" s="5" t="s">
        <v>74</v>
      </c>
      <c r="J49" s="5"/>
    </row>
    <row r="50" spans="1:10" x14ac:dyDescent="0.25">
      <c r="A50" t="str">
        <f>'LIVE SOURCE'!A50</f>
        <v>RB</v>
      </c>
      <c r="B50" t="str">
        <f>'LIVE SOURCE'!B50</f>
        <v>Saquon Barkley</v>
      </c>
      <c r="C50" s="4">
        <f>'LIVE SOURCE'!D50</f>
        <v>84.034000000000006</v>
      </c>
      <c r="D50" s="5"/>
      <c r="E50" s="5"/>
      <c r="F50" s="5"/>
      <c r="G50">
        <f t="shared" si="0"/>
        <v>0</v>
      </c>
      <c r="H50" s="5"/>
      <c r="I50" s="5" t="s">
        <v>74</v>
      </c>
      <c r="J50" s="5"/>
    </row>
    <row r="51" spans="1:10" x14ac:dyDescent="0.25">
      <c r="A51" t="str">
        <f>'LIVE SOURCE'!A51</f>
        <v>RB</v>
      </c>
      <c r="B51" t="str">
        <f>'LIVE SOURCE'!B51</f>
        <v>Javonte Williams</v>
      </c>
      <c r="C51" s="4">
        <f>'LIVE SOURCE'!D51</f>
        <v>83.803200000000004</v>
      </c>
      <c r="D51" s="5"/>
      <c r="E51" s="5"/>
      <c r="F51" s="5"/>
      <c r="G51">
        <f t="shared" si="0"/>
        <v>0</v>
      </c>
      <c r="H51" s="5"/>
      <c r="I51" s="5" t="s">
        <v>74</v>
      </c>
      <c r="J51" s="5"/>
    </row>
    <row r="52" spans="1:10" x14ac:dyDescent="0.25">
      <c r="A52" t="str">
        <f>'LIVE SOURCE'!A52</f>
        <v>RB</v>
      </c>
      <c r="B52" t="str">
        <f>'LIVE SOURCE'!B52</f>
        <v>Travis Etienne Jr.</v>
      </c>
      <c r="C52" s="4">
        <f>'LIVE SOURCE'!D52</f>
        <v>83.043599999999998</v>
      </c>
      <c r="D52" s="5"/>
      <c r="E52" s="5"/>
      <c r="F52" s="5"/>
      <c r="G52">
        <f t="shared" si="0"/>
        <v>0</v>
      </c>
      <c r="H52" s="5"/>
      <c r="I52" s="5" t="s">
        <v>74</v>
      </c>
      <c r="J52" s="5"/>
    </row>
    <row r="53" spans="1:10" x14ac:dyDescent="0.25">
      <c r="A53" t="str">
        <f>'LIVE SOURCE'!A53</f>
        <v>RB</v>
      </c>
      <c r="B53" t="str">
        <f>'LIVE SOURCE'!B53</f>
        <v>Cam Skattebo</v>
      </c>
      <c r="C53" s="4">
        <f>'LIVE SOURCE'!D53</f>
        <v>81.888400000000004</v>
      </c>
      <c r="D53" s="5"/>
      <c r="E53" s="5"/>
      <c r="F53" s="5"/>
      <c r="G53">
        <f t="shared" si="0"/>
        <v>0</v>
      </c>
      <c r="H53" s="5"/>
      <c r="I53" s="5" t="s">
        <v>74</v>
      </c>
      <c r="J53" s="5"/>
    </row>
    <row r="54" spans="1:10" x14ac:dyDescent="0.25">
      <c r="A54" t="str">
        <f>'LIVE SOURCE'!A54</f>
        <v>RB</v>
      </c>
      <c r="B54" t="str">
        <f>'LIVE SOURCE'!B54</f>
        <v>D'Andre Swift</v>
      </c>
      <c r="C54" s="4">
        <f>'LIVE SOURCE'!D54</f>
        <v>79.985600000000005</v>
      </c>
      <c r="D54" s="5"/>
      <c r="E54" s="5"/>
      <c r="F54" s="5"/>
      <c r="G54">
        <f t="shared" si="0"/>
        <v>0</v>
      </c>
      <c r="H54" s="5"/>
      <c r="I54" s="5" t="s">
        <v>74</v>
      </c>
      <c r="J54" s="5"/>
    </row>
    <row r="55" spans="1:10" x14ac:dyDescent="0.25">
      <c r="A55" t="str">
        <f>'LIVE SOURCE'!A55</f>
        <v>RB</v>
      </c>
      <c r="B55" t="str">
        <f>'LIVE SOURCE'!B55</f>
        <v>Bucky Irving</v>
      </c>
      <c r="C55" s="4">
        <f>'LIVE SOURCE'!D55</f>
        <v>79.935500000000005</v>
      </c>
      <c r="D55" s="5"/>
      <c r="E55" s="5"/>
      <c r="F55" s="5"/>
      <c r="G55">
        <f t="shared" si="0"/>
        <v>0</v>
      </c>
      <c r="H55" s="5"/>
      <c r="I55" s="5" t="s">
        <v>74</v>
      </c>
      <c r="J55" s="5"/>
    </row>
    <row r="56" spans="1:10" x14ac:dyDescent="0.25">
      <c r="A56" t="str">
        <f>'LIVE SOURCE'!A56</f>
        <v>RB</v>
      </c>
      <c r="B56" t="str">
        <f>'LIVE SOURCE'!B56</f>
        <v>Quinshon Judkins</v>
      </c>
      <c r="C56" s="4">
        <f>'LIVE SOURCE'!D56</f>
        <v>79.930300000000003</v>
      </c>
      <c r="D56" s="5"/>
      <c r="E56" s="5"/>
      <c r="F56" s="5"/>
      <c r="G56">
        <f t="shared" si="0"/>
        <v>0</v>
      </c>
      <c r="H56" s="5"/>
      <c r="I56" s="5" t="s">
        <v>74</v>
      </c>
      <c r="J56" s="5"/>
    </row>
    <row r="57" spans="1:10" x14ac:dyDescent="0.25">
      <c r="A57" t="str">
        <f>'LIVE SOURCE'!A57</f>
        <v>RB</v>
      </c>
      <c r="B57" t="str">
        <f>'LIVE SOURCE'!B57</f>
        <v>David Montgomery</v>
      </c>
      <c r="C57" s="4">
        <f>'LIVE SOURCE'!D57</f>
        <v>77.910200000000003</v>
      </c>
      <c r="D57" s="5"/>
      <c r="E57" s="5"/>
      <c r="F57" s="5"/>
      <c r="G57">
        <f t="shared" si="0"/>
        <v>0</v>
      </c>
      <c r="H57" s="5"/>
      <c r="I57" s="5" t="s">
        <v>74</v>
      </c>
      <c r="J57" s="5"/>
    </row>
    <row r="58" spans="1:10" x14ac:dyDescent="0.25">
      <c r="A58" t="str">
        <f>'LIVE SOURCE'!A58</f>
        <v>RB</v>
      </c>
      <c r="B58" t="str">
        <f>'LIVE SOURCE'!B58</f>
        <v>TreVeyon Henderson</v>
      </c>
      <c r="C58" s="4">
        <f>'LIVE SOURCE'!D58</f>
        <v>77.832499999999996</v>
      </c>
      <c r="D58" s="5"/>
      <c r="E58" s="5"/>
      <c r="F58" s="5"/>
      <c r="G58">
        <f t="shared" si="0"/>
        <v>0</v>
      </c>
      <c r="H58" s="5"/>
      <c r="I58" s="5" t="s">
        <v>74</v>
      </c>
      <c r="J58" s="5"/>
    </row>
    <row r="59" spans="1:10" x14ac:dyDescent="0.25">
      <c r="A59" t="str">
        <f>'LIVE SOURCE'!A59</f>
        <v>RB</v>
      </c>
      <c r="B59" t="str">
        <f>'LIVE SOURCE'!B59</f>
        <v>Jadarian Price</v>
      </c>
      <c r="C59" s="4">
        <f>'LIVE SOURCE'!D59</f>
        <v>76.662199999999999</v>
      </c>
      <c r="D59" s="5"/>
      <c r="E59" s="5"/>
      <c r="F59" s="5"/>
      <c r="G59">
        <f t="shared" si="0"/>
        <v>0</v>
      </c>
      <c r="H59" s="5"/>
      <c r="I59" s="5" t="s">
        <v>74</v>
      </c>
      <c r="J59" s="5"/>
    </row>
    <row r="60" spans="1:10" x14ac:dyDescent="0.25">
      <c r="A60" t="str">
        <f>'LIVE SOURCE'!A60</f>
        <v>RB</v>
      </c>
      <c r="B60" t="str">
        <f>'LIVE SOURCE'!B60</f>
        <v>Jaylen Warren</v>
      </c>
      <c r="C60" s="4">
        <f>'LIVE SOURCE'!D60</f>
        <v>76.091800000000006</v>
      </c>
      <c r="D60" s="5"/>
      <c r="E60" s="5"/>
      <c r="F60" s="5"/>
      <c r="G60">
        <f t="shared" si="0"/>
        <v>0</v>
      </c>
      <c r="H60" s="5"/>
      <c r="I60" s="5" t="s">
        <v>74</v>
      </c>
      <c r="J60" s="5"/>
    </row>
    <row r="61" spans="1:10" x14ac:dyDescent="0.25">
      <c r="A61" t="str">
        <f>'LIVE SOURCE'!A61</f>
        <v>RB</v>
      </c>
      <c r="B61" t="str">
        <f>'LIVE SOURCE'!B61</f>
        <v>Rico Dowdle</v>
      </c>
      <c r="C61" s="4">
        <f>'LIVE SOURCE'!D61</f>
        <v>75.785799999999995</v>
      </c>
      <c r="D61" s="5"/>
      <c r="E61" s="5"/>
      <c r="F61" s="5"/>
      <c r="G61">
        <f t="shared" si="0"/>
        <v>0</v>
      </c>
      <c r="H61" s="5"/>
      <c r="I61" s="5" t="s">
        <v>74</v>
      </c>
      <c r="J61" s="5"/>
    </row>
    <row r="62" spans="1:10" x14ac:dyDescent="0.25">
      <c r="A62" t="str">
        <f>'LIVE SOURCE'!A62</f>
        <v>RB</v>
      </c>
      <c r="B62" t="str">
        <f>'LIVE SOURCE'!B62</f>
        <v>Tony Pollard</v>
      </c>
      <c r="C62" s="4">
        <f>'LIVE SOURCE'!D62</f>
        <v>75.098600000000005</v>
      </c>
      <c r="D62" s="5"/>
      <c r="E62" s="5"/>
      <c r="F62" s="5"/>
      <c r="G62">
        <f t="shared" si="0"/>
        <v>0</v>
      </c>
      <c r="H62" s="5"/>
      <c r="I62" s="5" t="s">
        <v>74</v>
      </c>
      <c r="J62" s="5"/>
    </row>
    <row r="63" spans="1:10" x14ac:dyDescent="0.25">
      <c r="A63" t="str">
        <f>'LIVE SOURCE'!A63</f>
        <v>RB</v>
      </c>
      <c r="B63" t="str">
        <f>'LIVE SOURCE'!B63</f>
        <v>Rhamondre Stevenson</v>
      </c>
      <c r="C63" s="4">
        <f>'LIVE SOURCE'!D63</f>
        <v>74.588099999999997</v>
      </c>
      <c r="D63" s="5"/>
      <c r="E63" s="5"/>
      <c r="F63" s="5"/>
      <c r="G63">
        <f t="shared" si="0"/>
        <v>0</v>
      </c>
      <c r="H63" s="5"/>
      <c r="I63" s="5" t="s">
        <v>74</v>
      </c>
      <c r="J63" s="5"/>
    </row>
    <row r="64" spans="1:10" x14ac:dyDescent="0.25">
      <c r="A64" t="str">
        <f>'LIVE SOURCE'!A64</f>
        <v>RB</v>
      </c>
      <c r="B64" t="str">
        <f>'LIVE SOURCE'!B64</f>
        <v>Kenneth Gainwell</v>
      </c>
      <c r="C64" s="4">
        <f>'LIVE SOURCE'!D64</f>
        <v>74.504900000000006</v>
      </c>
      <c r="D64" s="5"/>
      <c r="E64" s="5"/>
      <c r="F64" s="5"/>
      <c r="G64">
        <f t="shared" si="0"/>
        <v>0</v>
      </c>
      <c r="H64" s="5"/>
      <c r="I64" s="5" t="s">
        <v>74</v>
      </c>
      <c r="J64" s="5"/>
    </row>
    <row r="65" spans="1:10" x14ac:dyDescent="0.25">
      <c r="A65" t="str">
        <f>'LIVE SOURCE'!A65</f>
        <v>RB</v>
      </c>
      <c r="B65" t="str">
        <f>'LIVE SOURCE'!B65</f>
        <v>Bhayshul Tuten</v>
      </c>
      <c r="C65" s="4">
        <f>'LIVE SOURCE'!D65</f>
        <v>74.467699999999994</v>
      </c>
      <c r="D65" s="5"/>
      <c r="E65" s="5"/>
      <c r="F65" s="5"/>
      <c r="G65">
        <f t="shared" si="0"/>
        <v>0</v>
      </c>
      <c r="H65" s="5"/>
      <c r="I65" s="5" t="s">
        <v>74</v>
      </c>
      <c r="J65" s="5"/>
    </row>
    <row r="66" spans="1:10" x14ac:dyDescent="0.25">
      <c r="A66" t="str">
        <f>'LIVE SOURCE'!A66</f>
        <v>RB</v>
      </c>
      <c r="B66" t="str">
        <f>'LIVE SOURCE'!B66</f>
        <v>RJ Harvey</v>
      </c>
      <c r="C66" s="4">
        <f>'LIVE SOURCE'!D66</f>
        <v>73.567800000000005</v>
      </c>
      <c r="D66" s="5"/>
      <c r="E66" s="5"/>
      <c r="F66" s="5"/>
      <c r="G66">
        <f t="shared" si="0"/>
        <v>0</v>
      </c>
      <c r="H66" s="5"/>
      <c r="I66" s="5" t="s">
        <v>74</v>
      </c>
      <c r="J66" s="5"/>
    </row>
    <row r="67" spans="1:10" x14ac:dyDescent="0.25">
      <c r="A67" t="str">
        <f>'LIVE SOURCE'!A67</f>
        <v>RB</v>
      </c>
      <c r="B67" t="str">
        <f>'LIVE SOURCE'!B67</f>
        <v>Kyle Monangai</v>
      </c>
      <c r="C67" s="4">
        <f>'LIVE SOURCE'!D67</f>
        <v>72.610200000000006</v>
      </c>
      <c r="D67" s="5"/>
      <c r="E67" s="5"/>
      <c r="F67" s="5"/>
      <c r="G67">
        <f t="shared" ref="G67:G130" si="1">SUM(D67:F67)</f>
        <v>0</v>
      </c>
      <c r="H67" s="5"/>
      <c r="I67" s="5" t="s">
        <v>74</v>
      </c>
      <c r="J67" s="5"/>
    </row>
    <row r="68" spans="1:10" x14ac:dyDescent="0.25">
      <c r="A68" t="str">
        <f>'LIVE SOURCE'!A68</f>
        <v>RB</v>
      </c>
      <c r="B68" t="str">
        <f>'LIVE SOURCE'!B68</f>
        <v>Chuba Hubbard</v>
      </c>
      <c r="C68" s="4">
        <f>'LIVE SOURCE'!D68</f>
        <v>71.866699999999994</v>
      </c>
      <c r="D68" s="5"/>
      <c r="E68" s="5"/>
      <c r="F68" s="5"/>
      <c r="G68">
        <f t="shared" si="1"/>
        <v>0</v>
      </c>
      <c r="H68" s="5"/>
      <c r="I68" s="5" t="s">
        <v>74</v>
      </c>
      <c r="J68" s="5"/>
    </row>
    <row r="69" spans="1:10" x14ac:dyDescent="0.25">
      <c r="A69" t="str">
        <f>'LIVE SOURCE'!A69</f>
        <v>RB</v>
      </c>
      <c r="B69" t="str">
        <f>'LIVE SOURCE'!B69</f>
        <v>Aaron Jones Sr.</v>
      </c>
      <c r="C69" s="4">
        <f>'LIVE SOURCE'!D69</f>
        <v>71.697699999999998</v>
      </c>
      <c r="D69" s="5"/>
      <c r="E69" s="5"/>
      <c r="F69" s="5"/>
      <c r="G69">
        <f t="shared" si="1"/>
        <v>0</v>
      </c>
      <c r="H69" s="5"/>
      <c r="I69" s="5" t="s">
        <v>74</v>
      </c>
      <c r="J69" s="5"/>
    </row>
    <row r="70" spans="1:10" x14ac:dyDescent="0.25">
      <c r="A70" t="str">
        <f>'LIVE SOURCE'!A70</f>
        <v>RB</v>
      </c>
      <c r="B70" t="str">
        <f>'LIVE SOURCE'!B70</f>
        <v>J.K. Dobbins</v>
      </c>
      <c r="C70" s="4">
        <f>'LIVE SOURCE'!D70</f>
        <v>71.166600000000003</v>
      </c>
      <c r="D70" s="5"/>
      <c r="E70" s="5"/>
      <c r="F70" s="5"/>
      <c r="G70">
        <f t="shared" si="1"/>
        <v>0</v>
      </c>
      <c r="H70" s="5"/>
      <c r="I70" s="5" t="s">
        <v>74</v>
      </c>
      <c r="J70" s="5"/>
    </row>
    <row r="71" spans="1:10" x14ac:dyDescent="0.25">
      <c r="A71" t="str">
        <f>'LIVE SOURCE'!A71</f>
        <v>RB</v>
      </c>
      <c r="B71" t="str">
        <f>'LIVE SOURCE'!B71</f>
        <v>Blake Corum</v>
      </c>
      <c r="C71" s="4">
        <f>'LIVE SOURCE'!D71</f>
        <v>69.519599999999997</v>
      </c>
      <c r="D71" s="5"/>
      <c r="E71" s="5"/>
      <c r="F71" s="5"/>
      <c r="G71">
        <f t="shared" si="1"/>
        <v>0</v>
      </c>
      <c r="H71" s="5"/>
      <c r="I71" s="5" t="s">
        <v>74</v>
      </c>
      <c r="J71" s="5"/>
    </row>
    <row r="72" spans="1:10" x14ac:dyDescent="0.25">
      <c r="A72" t="str">
        <f>'LIVE SOURCE'!A72</f>
        <v>RB</v>
      </c>
      <c r="B72" t="str">
        <f>'LIVE SOURCE'!B72</f>
        <v>Rachaad White</v>
      </c>
      <c r="C72" s="4">
        <f>'LIVE SOURCE'!D72</f>
        <v>69.203699999999998</v>
      </c>
      <c r="D72" s="5"/>
      <c r="E72" s="5"/>
      <c r="F72" s="5"/>
      <c r="G72">
        <f t="shared" si="1"/>
        <v>0</v>
      </c>
      <c r="H72" s="5"/>
      <c r="I72" s="5" t="s">
        <v>74</v>
      </c>
      <c r="J72" s="5"/>
    </row>
    <row r="73" spans="1:10" x14ac:dyDescent="0.25">
      <c r="A73" t="str">
        <f>'LIVE SOURCE'!A73</f>
        <v>RB</v>
      </c>
      <c r="B73" t="str">
        <f>'LIVE SOURCE'!B73</f>
        <v>Jacory Croskey-Merritt</v>
      </c>
      <c r="C73" s="4">
        <f>'LIVE SOURCE'!D73</f>
        <v>68.992199999999997</v>
      </c>
      <c r="D73" s="5"/>
      <c r="E73" s="5"/>
      <c r="F73" s="5"/>
      <c r="G73">
        <f t="shared" si="1"/>
        <v>0</v>
      </c>
      <c r="H73" s="5"/>
      <c r="I73" s="5" t="s">
        <v>74</v>
      </c>
      <c r="J73" s="5"/>
    </row>
    <row r="74" spans="1:10" x14ac:dyDescent="0.25">
      <c r="A74" t="str">
        <f>'LIVE SOURCE'!A74</f>
        <v>RB</v>
      </c>
      <c r="B74" t="str">
        <f>'LIVE SOURCE'!B74</f>
        <v>Jordan Mason</v>
      </c>
      <c r="C74" s="4">
        <f>'LIVE SOURCE'!D74</f>
        <v>67.657399999999996</v>
      </c>
      <c r="D74" s="5"/>
      <c r="E74" s="5"/>
      <c r="F74" s="5"/>
      <c r="G74">
        <f t="shared" si="1"/>
        <v>0</v>
      </c>
      <c r="H74" s="5"/>
      <c r="I74" s="5" t="s">
        <v>74</v>
      </c>
      <c r="J74" s="5"/>
    </row>
    <row r="75" spans="1:10" x14ac:dyDescent="0.25">
      <c r="A75" t="str">
        <f>'LIVE SOURCE'!A75</f>
        <v>RB</v>
      </c>
      <c r="B75" t="str">
        <f>'LIVE SOURCE'!B75</f>
        <v>Woody Marks</v>
      </c>
      <c r="C75" s="4">
        <f>'LIVE SOURCE'!D75</f>
        <v>66.866200000000006</v>
      </c>
      <c r="D75" s="5"/>
      <c r="E75" s="5"/>
      <c r="F75" s="5"/>
      <c r="G75">
        <f t="shared" si="1"/>
        <v>0</v>
      </c>
      <c r="H75" s="5"/>
      <c r="I75" s="5" t="s">
        <v>74</v>
      </c>
      <c r="J75" s="5"/>
    </row>
    <row r="76" spans="1:10" x14ac:dyDescent="0.25">
      <c r="A76" t="str">
        <f>'LIVE SOURCE'!A76</f>
        <v>RB</v>
      </c>
      <c r="B76" t="str">
        <f>'LIVE SOURCE'!B76</f>
        <v>Chris Rodriguez Jr.</v>
      </c>
      <c r="C76" s="4">
        <f>'LIVE SOURCE'!D76</f>
        <v>66.537000000000006</v>
      </c>
      <c r="D76" s="5"/>
      <c r="E76" s="5"/>
      <c r="F76" s="5"/>
      <c r="G76">
        <f t="shared" si="1"/>
        <v>0</v>
      </c>
      <c r="H76" s="5"/>
      <c r="I76" s="5" t="s">
        <v>74</v>
      </c>
      <c r="J76" s="5"/>
    </row>
    <row r="77" spans="1:10" x14ac:dyDescent="0.25">
      <c r="A77" t="str">
        <f>'LIVE SOURCE'!A77</f>
        <v>RB</v>
      </c>
      <c r="B77" t="str">
        <f>'LIVE SOURCE'!B77</f>
        <v>Tyrone Tracy Jr.</v>
      </c>
      <c r="C77" s="4">
        <f>'LIVE SOURCE'!D77</f>
        <v>66.531000000000006</v>
      </c>
      <c r="D77" s="5"/>
      <c r="E77" s="5"/>
      <c r="F77" s="5"/>
      <c r="G77">
        <f t="shared" si="1"/>
        <v>0</v>
      </c>
      <c r="H77" s="5"/>
      <c r="I77" s="5" t="s">
        <v>74</v>
      </c>
      <c r="J77" s="5"/>
    </row>
    <row r="78" spans="1:10" x14ac:dyDescent="0.25">
      <c r="A78" t="str">
        <f>'LIVE SOURCE'!A78</f>
        <v>RB</v>
      </c>
      <c r="B78" t="str">
        <f>'LIVE SOURCE'!B78</f>
        <v>Tyler Allgeier</v>
      </c>
      <c r="C78" s="4">
        <f>'LIVE SOURCE'!D78</f>
        <v>63.032200000000003</v>
      </c>
      <c r="D78" s="5"/>
      <c r="E78" s="5"/>
      <c r="F78" s="5"/>
      <c r="G78">
        <f t="shared" si="1"/>
        <v>0</v>
      </c>
      <c r="H78" s="5"/>
      <c r="I78" s="5" t="s">
        <v>74</v>
      </c>
      <c r="J78" s="5"/>
    </row>
    <row r="79" spans="1:10" x14ac:dyDescent="0.25">
      <c r="A79" t="str">
        <f>'LIVE SOURCE'!A79</f>
        <v>RB</v>
      </c>
      <c r="B79" t="str">
        <f>'LIVE SOURCE'!B79</f>
        <v>Zach Charbonnet</v>
      </c>
      <c r="C79" s="4">
        <f>'LIVE SOURCE'!D79</f>
        <v>62.549799999999998</v>
      </c>
      <c r="D79" s="5">
        <v>-25</v>
      </c>
      <c r="E79" s="5"/>
      <c r="F79" s="5"/>
      <c r="G79">
        <f t="shared" si="1"/>
        <v>-25</v>
      </c>
      <c r="H79" s="5" t="s">
        <v>75</v>
      </c>
      <c r="I79" s="5" t="s">
        <v>74</v>
      </c>
      <c r="J79" s="5"/>
    </row>
    <row r="80" spans="1:10" x14ac:dyDescent="0.25">
      <c r="A80" t="str">
        <f>'LIVE SOURCE'!A80</f>
        <v>RB</v>
      </c>
      <c r="B80" t="str">
        <f>'LIVE SOURCE'!B80</f>
        <v>Jonathon Brooks</v>
      </c>
      <c r="C80" s="4">
        <f>'LIVE SOURCE'!D80</f>
        <v>62.2</v>
      </c>
      <c r="D80" s="5"/>
      <c r="E80" s="5"/>
      <c r="F80" s="5"/>
      <c r="G80">
        <f t="shared" si="1"/>
        <v>0</v>
      </c>
      <c r="H80" s="5"/>
      <c r="I80" s="5" t="s">
        <v>74</v>
      </c>
      <c r="J80" s="5"/>
    </row>
    <row r="81" spans="1:10" x14ac:dyDescent="0.25">
      <c r="A81" t="str">
        <f>'LIVE SOURCE'!A81</f>
        <v>RB</v>
      </c>
      <c r="B81" t="str">
        <f>'LIVE SOURCE'!B81</f>
        <v>Emanuel Wilson</v>
      </c>
      <c r="C81" s="4">
        <f>'LIVE SOURCE'!D81</f>
        <v>61.982100000000003</v>
      </c>
      <c r="D81" s="5"/>
      <c r="E81" s="5"/>
      <c r="F81" s="5"/>
      <c r="G81">
        <f t="shared" si="1"/>
        <v>0</v>
      </c>
      <c r="H81" s="5"/>
      <c r="I81" s="5" t="s">
        <v>74</v>
      </c>
      <c r="J81" s="5"/>
    </row>
    <row r="82" spans="1:10" x14ac:dyDescent="0.25">
      <c r="A82" t="str">
        <f>'LIVE SOURCE'!A82</f>
        <v>RB</v>
      </c>
      <c r="B82" t="str">
        <f>'LIVE SOURCE'!B82</f>
        <v>Isiah Pacheco</v>
      </c>
      <c r="C82" s="4">
        <f>'LIVE SOURCE'!D82</f>
        <v>60.0092</v>
      </c>
      <c r="D82" s="5"/>
      <c r="E82" s="5"/>
      <c r="F82" s="5"/>
      <c r="G82">
        <f t="shared" si="1"/>
        <v>0</v>
      </c>
      <c r="H82" s="5"/>
      <c r="I82" s="5" t="s">
        <v>74</v>
      </c>
      <c r="J82" s="5"/>
    </row>
    <row r="83" spans="1:10" x14ac:dyDescent="0.25">
      <c r="A83" t="str">
        <f>'LIVE SOURCE'!A83</f>
        <v>RB</v>
      </c>
      <c r="B83" t="str">
        <f>'LIVE SOURCE'!B83</f>
        <v>Alvin Kamara</v>
      </c>
      <c r="C83" s="4">
        <f>'LIVE SOURCE'!D83</f>
        <v>59.15</v>
      </c>
      <c r="D83" s="5"/>
      <c r="E83" s="5"/>
      <c r="F83" s="5"/>
      <c r="G83">
        <f t="shared" si="1"/>
        <v>0</v>
      </c>
      <c r="H83" s="5"/>
      <c r="I83" s="5" t="s">
        <v>74</v>
      </c>
      <c r="J83" s="5"/>
    </row>
    <row r="84" spans="1:10" x14ac:dyDescent="0.25">
      <c r="A84" t="str">
        <f>'LIVE SOURCE'!A84</f>
        <v>RB</v>
      </c>
      <c r="B84" t="str">
        <f>'LIVE SOURCE'!B84</f>
        <v>Justice Hill</v>
      </c>
      <c r="C84" s="4">
        <f>'LIVE SOURCE'!D84</f>
        <v>54.88</v>
      </c>
      <c r="D84" s="5"/>
      <c r="E84" s="5"/>
      <c r="F84" s="5"/>
      <c r="G84">
        <f t="shared" si="1"/>
        <v>0</v>
      </c>
      <c r="H84" s="5"/>
      <c r="I84" s="5" t="s">
        <v>74</v>
      </c>
      <c r="J84" s="5"/>
    </row>
    <row r="85" spans="1:10" x14ac:dyDescent="0.25">
      <c r="A85" t="str">
        <f>'LIVE SOURCE'!A85</f>
        <v>RB</v>
      </c>
      <c r="B85" t="str">
        <f>'LIVE SOURCE'!B85</f>
        <v>Tyjae Spears</v>
      </c>
      <c r="C85" s="4">
        <f>'LIVE SOURCE'!D85</f>
        <v>63.4</v>
      </c>
      <c r="D85" s="5"/>
      <c r="E85" s="5"/>
      <c r="F85" s="5"/>
      <c r="G85">
        <f t="shared" si="1"/>
        <v>0</v>
      </c>
      <c r="H85" s="5"/>
      <c r="I85" s="5" t="s">
        <v>74</v>
      </c>
      <c r="J85" s="5"/>
    </row>
    <row r="86" spans="1:10" x14ac:dyDescent="0.25">
      <c r="A86" t="str">
        <f>'LIVE SOURCE'!A86</f>
        <v>RB</v>
      </c>
      <c r="B86" t="str">
        <f>'LIVE SOURCE'!B86</f>
        <v>Keaton Mitchell</v>
      </c>
      <c r="C86" s="4">
        <f>'LIVE SOURCE'!D86</f>
        <v>59</v>
      </c>
      <c r="D86" s="5"/>
      <c r="E86" s="5"/>
      <c r="F86" s="5"/>
      <c r="G86">
        <f t="shared" si="1"/>
        <v>0</v>
      </c>
      <c r="H86" s="5"/>
      <c r="I86" s="5" t="s">
        <v>74</v>
      </c>
      <c r="J86" s="5"/>
    </row>
    <row r="87" spans="1:10" x14ac:dyDescent="0.25">
      <c r="A87" t="str">
        <f>'LIVE SOURCE'!A87</f>
        <v>WR</v>
      </c>
      <c r="B87" t="str">
        <f>'LIVE SOURCE'!B87</f>
        <v>Ja'Marr Chase</v>
      </c>
      <c r="C87" s="4">
        <f>'LIVE SOURCE'!D87</f>
        <v>96.732299999999995</v>
      </c>
      <c r="D87" s="5"/>
      <c r="E87" s="5"/>
      <c r="F87" s="5"/>
      <c r="G87">
        <f t="shared" si="1"/>
        <v>0</v>
      </c>
      <c r="H87" s="5"/>
      <c r="I87" s="5" t="s">
        <v>74</v>
      </c>
      <c r="J87" s="5"/>
    </row>
    <row r="88" spans="1:10" x14ac:dyDescent="0.25">
      <c r="A88" t="str">
        <f>'LIVE SOURCE'!A88</f>
        <v>WR</v>
      </c>
      <c r="B88" t="str">
        <f>'LIVE SOURCE'!B88</f>
        <v>Puka Nacua</v>
      </c>
      <c r="C88" s="4">
        <f>'LIVE SOURCE'!D88</f>
        <v>98.485900000000001</v>
      </c>
      <c r="D88" s="5"/>
      <c r="E88" s="5"/>
      <c r="F88" s="5"/>
      <c r="G88">
        <f t="shared" si="1"/>
        <v>0</v>
      </c>
      <c r="H88" s="5"/>
      <c r="I88" s="5" t="s">
        <v>74</v>
      </c>
      <c r="J88" s="5"/>
    </row>
    <row r="89" spans="1:10" x14ac:dyDescent="0.25">
      <c r="A89" t="str">
        <f>'LIVE SOURCE'!A89</f>
        <v>WR</v>
      </c>
      <c r="B89" t="str">
        <f>'LIVE SOURCE'!B89</f>
        <v>Jaxon Smith-Njigba</v>
      </c>
      <c r="C89" s="4">
        <f>'LIVE SOURCE'!D89</f>
        <v>94.079899999999995</v>
      </c>
      <c r="D89" s="5"/>
      <c r="E89" s="5"/>
      <c r="F89" s="5"/>
      <c r="G89">
        <f t="shared" si="1"/>
        <v>0</v>
      </c>
      <c r="H89" s="5"/>
      <c r="I89" s="5" t="s">
        <v>74</v>
      </c>
      <c r="J89" s="5"/>
    </row>
    <row r="90" spans="1:10" x14ac:dyDescent="0.25">
      <c r="A90" t="str">
        <f>'LIVE SOURCE'!A90</f>
        <v>WR</v>
      </c>
      <c r="B90" t="str">
        <f>'LIVE SOURCE'!B90</f>
        <v>Amon-Ra St. Brown</v>
      </c>
      <c r="C90" s="4">
        <f>'LIVE SOURCE'!D90</f>
        <v>93.263900000000007</v>
      </c>
      <c r="D90" s="5"/>
      <c r="E90" s="5"/>
      <c r="F90" s="5"/>
      <c r="G90">
        <f t="shared" si="1"/>
        <v>0</v>
      </c>
      <c r="H90" s="5"/>
      <c r="I90" s="5" t="s">
        <v>74</v>
      </c>
      <c r="J90" s="5"/>
    </row>
    <row r="91" spans="1:10" x14ac:dyDescent="0.25">
      <c r="A91" t="str">
        <f>'LIVE SOURCE'!A91</f>
        <v>WR</v>
      </c>
      <c r="B91" t="str">
        <f>'LIVE SOURCE'!B91</f>
        <v>A.J. Brown</v>
      </c>
      <c r="C91" s="4">
        <f>'LIVE SOURCE'!D91</f>
        <v>83.235699999999994</v>
      </c>
      <c r="D91" s="5"/>
      <c r="E91" s="5"/>
      <c r="F91" s="5"/>
      <c r="G91">
        <f t="shared" si="1"/>
        <v>0</v>
      </c>
      <c r="H91" s="5"/>
      <c r="I91" s="5" t="s">
        <v>74</v>
      </c>
      <c r="J91" s="5"/>
    </row>
    <row r="92" spans="1:10" x14ac:dyDescent="0.25">
      <c r="A92" t="str">
        <f>'LIVE SOURCE'!A92</f>
        <v>WR</v>
      </c>
      <c r="B92" t="str">
        <f>'LIVE SOURCE'!B92</f>
        <v>CeeDee Lamb</v>
      </c>
      <c r="C92" s="4">
        <f>'LIVE SOURCE'!D92</f>
        <v>85.742599999999996</v>
      </c>
      <c r="D92" s="5"/>
      <c r="E92" s="5"/>
      <c r="F92" s="5"/>
      <c r="G92">
        <f t="shared" si="1"/>
        <v>0</v>
      </c>
      <c r="H92" s="5"/>
      <c r="I92" s="5" t="s">
        <v>74</v>
      </c>
      <c r="J92" s="5"/>
    </row>
    <row r="93" spans="1:10" x14ac:dyDescent="0.25">
      <c r="A93" t="str">
        <f>'LIVE SOURCE'!A93</f>
        <v>WR</v>
      </c>
      <c r="B93" t="str">
        <f>'LIVE SOURCE'!B93</f>
        <v>Justin Jefferson</v>
      </c>
      <c r="C93" s="4">
        <f>'LIVE SOURCE'!D93</f>
        <v>84.793599999999998</v>
      </c>
      <c r="D93" s="5"/>
      <c r="E93" s="5"/>
      <c r="F93" s="5"/>
      <c r="G93">
        <f t="shared" si="1"/>
        <v>0</v>
      </c>
      <c r="H93" s="5"/>
      <c r="I93" s="5" t="s">
        <v>74</v>
      </c>
      <c r="J93" s="5"/>
    </row>
    <row r="94" spans="1:10" x14ac:dyDescent="0.25">
      <c r="A94" t="str">
        <f>'LIVE SOURCE'!A94</f>
        <v>WR</v>
      </c>
      <c r="B94" t="str">
        <f>'LIVE SOURCE'!B94</f>
        <v>George Pickens</v>
      </c>
      <c r="C94" s="4">
        <f>'LIVE SOURCE'!D94</f>
        <v>81.836600000000004</v>
      </c>
      <c r="D94" s="5"/>
      <c r="E94" s="5"/>
      <c r="F94" s="5"/>
      <c r="G94">
        <f t="shared" si="1"/>
        <v>0</v>
      </c>
      <c r="H94" s="5"/>
      <c r="I94" s="5" t="s">
        <v>74</v>
      </c>
      <c r="J94" s="5"/>
    </row>
    <row r="95" spans="1:10" x14ac:dyDescent="0.25">
      <c r="A95" t="str">
        <f>'LIVE SOURCE'!A95</f>
        <v>WR</v>
      </c>
      <c r="B95" t="str">
        <f>'LIVE SOURCE'!B95</f>
        <v>Drake London</v>
      </c>
      <c r="C95" s="4">
        <f>'LIVE SOURCE'!D95</f>
        <v>87.510599999999997</v>
      </c>
      <c r="D95" s="5"/>
      <c r="E95" s="5"/>
      <c r="F95" s="5"/>
      <c r="G95">
        <f t="shared" si="1"/>
        <v>0</v>
      </c>
      <c r="H95" s="5"/>
      <c r="I95" s="5" t="s">
        <v>74</v>
      </c>
      <c r="J95" s="5"/>
    </row>
    <row r="96" spans="1:10" x14ac:dyDescent="0.25">
      <c r="A96" t="str">
        <f>'LIVE SOURCE'!A96</f>
        <v>WR</v>
      </c>
      <c r="B96" t="str">
        <f>'LIVE SOURCE'!B96</f>
        <v>Nico Collins</v>
      </c>
      <c r="C96" s="4">
        <f>'LIVE SOURCE'!D96</f>
        <v>91.492500000000007</v>
      </c>
      <c r="D96" s="5"/>
      <c r="E96" s="5"/>
      <c r="F96" s="5"/>
      <c r="G96">
        <f t="shared" si="1"/>
        <v>0</v>
      </c>
      <c r="H96" s="5"/>
      <c r="I96" s="5" t="s">
        <v>74</v>
      </c>
      <c r="J96" s="5"/>
    </row>
    <row r="97" spans="1:10" x14ac:dyDescent="0.25">
      <c r="A97" t="str">
        <f>'LIVE SOURCE'!A97</f>
        <v>WR</v>
      </c>
      <c r="B97" t="str">
        <f>'LIVE SOURCE'!B97</f>
        <v>Rashee Rice</v>
      </c>
      <c r="C97" s="4">
        <f>'LIVE SOURCE'!D97</f>
        <v>84.094700000000003</v>
      </c>
      <c r="D97" s="5"/>
      <c r="E97" s="5"/>
      <c r="F97" s="5"/>
      <c r="G97">
        <f t="shared" si="1"/>
        <v>0</v>
      </c>
      <c r="H97" s="5"/>
      <c r="I97" s="5" t="s">
        <v>74</v>
      </c>
      <c r="J97" s="5"/>
    </row>
    <row r="98" spans="1:10" x14ac:dyDescent="0.25">
      <c r="A98" t="str">
        <f>'LIVE SOURCE'!A98</f>
        <v>WR</v>
      </c>
      <c r="B98" t="str">
        <f>'LIVE SOURCE'!B98</f>
        <v>Chris Olave</v>
      </c>
      <c r="C98" s="4">
        <f>'LIVE SOURCE'!D98</f>
        <v>88.907499999999999</v>
      </c>
      <c r="D98" s="5"/>
      <c r="E98" s="5"/>
      <c r="F98" s="5"/>
      <c r="G98">
        <f t="shared" si="1"/>
        <v>0</v>
      </c>
      <c r="H98" s="5"/>
      <c r="I98" s="5" t="s">
        <v>74</v>
      </c>
      <c r="J98" s="5"/>
    </row>
    <row r="99" spans="1:10" x14ac:dyDescent="0.25">
      <c r="A99" t="str">
        <f>'LIVE SOURCE'!A99</f>
        <v>WR</v>
      </c>
      <c r="B99" t="str">
        <f>'LIVE SOURCE'!B99</f>
        <v>Tetairoa McMillan</v>
      </c>
      <c r="C99" s="4">
        <f>'LIVE SOURCE'!D99</f>
        <v>85.74</v>
      </c>
      <c r="D99" s="5"/>
      <c r="E99" s="5"/>
      <c r="F99" s="5"/>
      <c r="G99">
        <f t="shared" si="1"/>
        <v>0</v>
      </c>
      <c r="H99" s="5"/>
      <c r="I99" s="5" t="s">
        <v>74</v>
      </c>
      <c r="J99" s="5"/>
    </row>
    <row r="100" spans="1:10" x14ac:dyDescent="0.25">
      <c r="A100" t="str">
        <f>'LIVE SOURCE'!A100</f>
        <v>WR</v>
      </c>
      <c r="B100" t="str">
        <f>'LIVE SOURCE'!B100</f>
        <v>Tee Higgins</v>
      </c>
      <c r="C100" s="4">
        <f>'LIVE SOURCE'!D100</f>
        <v>84.822500000000005</v>
      </c>
      <c r="D100" s="5"/>
      <c r="E100" s="5"/>
      <c r="F100" s="5"/>
      <c r="G100">
        <f t="shared" si="1"/>
        <v>0</v>
      </c>
      <c r="H100" s="5"/>
      <c r="I100" s="5" t="s">
        <v>74</v>
      </c>
      <c r="J100" s="5"/>
    </row>
    <row r="101" spans="1:10" x14ac:dyDescent="0.25">
      <c r="A101" t="str">
        <f>'LIVE SOURCE'!A101</f>
        <v>WR</v>
      </c>
      <c r="B101" t="str">
        <f>'LIVE SOURCE'!B101</f>
        <v>Garrett Wilson</v>
      </c>
      <c r="C101" s="4">
        <f>'LIVE SOURCE'!D101</f>
        <v>86.155000000000001</v>
      </c>
      <c r="D101" s="5"/>
      <c r="E101" s="5"/>
      <c r="F101" s="5"/>
      <c r="G101">
        <f t="shared" si="1"/>
        <v>0</v>
      </c>
      <c r="H101" s="5"/>
      <c r="I101" s="5" t="s">
        <v>74</v>
      </c>
      <c r="J101" s="5"/>
    </row>
    <row r="102" spans="1:10" x14ac:dyDescent="0.25">
      <c r="A102" t="str">
        <f>'LIVE SOURCE'!A102</f>
        <v>WR</v>
      </c>
      <c r="B102" t="str">
        <f>'LIVE SOURCE'!B102</f>
        <v>DeVonta Smith</v>
      </c>
      <c r="C102" s="4">
        <f>'LIVE SOURCE'!D102</f>
        <v>87.487499999999997</v>
      </c>
      <c r="D102" s="5"/>
      <c r="E102" s="5"/>
      <c r="F102" s="5"/>
      <c r="G102">
        <f t="shared" si="1"/>
        <v>0</v>
      </c>
      <c r="H102" s="5"/>
      <c r="I102" s="5" t="s">
        <v>74</v>
      </c>
      <c r="J102" s="5"/>
    </row>
    <row r="103" spans="1:10" x14ac:dyDescent="0.25">
      <c r="A103" t="str">
        <f>'LIVE SOURCE'!A103</f>
        <v>WR</v>
      </c>
      <c r="B103" t="str">
        <f>'LIVE SOURCE'!B103</f>
        <v>Zay Flowers</v>
      </c>
      <c r="C103" s="4">
        <f>'LIVE SOURCE'!D103</f>
        <v>86.57</v>
      </c>
      <c r="D103" s="5"/>
      <c r="E103" s="5"/>
      <c r="F103" s="5"/>
      <c r="G103">
        <f t="shared" si="1"/>
        <v>0</v>
      </c>
      <c r="H103" s="5"/>
      <c r="I103" s="5" t="s">
        <v>74</v>
      </c>
      <c r="J103" s="5"/>
    </row>
    <row r="104" spans="1:10" x14ac:dyDescent="0.25">
      <c r="A104" t="str">
        <f>'LIVE SOURCE'!A104</f>
        <v>WR</v>
      </c>
      <c r="B104" t="str">
        <f>'LIVE SOURCE'!B104</f>
        <v>Malik Nabers</v>
      </c>
      <c r="C104" s="4">
        <f>'LIVE SOURCE'!D104</f>
        <v>81.152500000000003</v>
      </c>
      <c r="D104" s="5"/>
      <c r="E104" s="5"/>
      <c r="F104" s="5"/>
      <c r="G104">
        <f t="shared" si="1"/>
        <v>0</v>
      </c>
      <c r="H104" s="5"/>
      <c r="I104" s="5" t="s">
        <v>74</v>
      </c>
      <c r="J104" s="5"/>
    </row>
    <row r="105" spans="1:10" x14ac:dyDescent="0.25">
      <c r="A105" t="str">
        <f>'LIVE SOURCE'!A105</f>
        <v>WR</v>
      </c>
      <c r="B105" t="str">
        <f>'LIVE SOURCE'!B105</f>
        <v>Emeka Egbuka</v>
      </c>
      <c r="C105" s="4">
        <f>'LIVE SOURCE'!D105</f>
        <v>81.734999999999999</v>
      </c>
      <c r="D105" s="5"/>
      <c r="E105" s="5"/>
      <c r="F105" s="5"/>
      <c r="G105">
        <f t="shared" si="1"/>
        <v>0</v>
      </c>
      <c r="H105" s="5"/>
      <c r="I105" s="5" t="s">
        <v>74</v>
      </c>
      <c r="J105" s="5"/>
    </row>
    <row r="106" spans="1:10" x14ac:dyDescent="0.25">
      <c r="A106" t="str">
        <f>'LIVE SOURCE'!A106</f>
        <v>WR</v>
      </c>
      <c r="B106" t="str">
        <f>'LIVE SOURCE'!B106</f>
        <v>Jaylen Waddle</v>
      </c>
      <c r="C106" s="4">
        <f>'LIVE SOURCE'!D106</f>
        <v>82.317499999999995</v>
      </c>
      <c r="D106" s="5"/>
      <c r="E106" s="5"/>
      <c r="F106" s="5"/>
      <c r="G106">
        <f t="shared" si="1"/>
        <v>0</v>
      </c>
      <c r="H106" s="5"/>
      <c r="I106" s="5" t="s">
        <v>74</v>
      </c>
      <c r="J106" s="5"/>
    </row>
    <row r="107" spans="1:10" x14ac:dyDescent="0.25">
      <c r="A107" t="str">
        <f>'LIVE SOURCE'!A107</f>
        <v>WR</v>
      </c>
      <c r="B107" t="str">
        <f>'LIVE SOURCE'!B107</f>
        <v>Terry McLaurin</v>
      </c>
      <c r="C107" s="4">
        <f>'LIVE SOURCE'!D107</f>
        <v>79.900000000000006</v>
      </c>
      <c r="D107" s="5"/>
      <c r="E107" s="5"/>
      <c r="F107" s="5"/>
      <c r="G107">
        <f t="shared" si="1"/>
        <v>0</v>
      </c>
      <c r="H107" s="5"/>
      <c r="I107" s="5" t="s">
        <v>74</v>
      </c>
      <c r="J107" s="5"/>
    </row>
    <row r="108" spans="1:10" x14ac:dyDescent="0.25">
      <c r="A108" t="str">
        <f>'LIVE SOURCE'!A108</f>
        <v>WR</v>
      </c>
      <c r="B108" t="str">
        <f>'LIVE SOURCE'!B108</f>
        <v>Ladd McConkey</v>
      </c>
      <c r="C108" s="4">
        <f>'LIVE SOURCE'!D108</f>
        <v>82.732500000000002</v>
      </c>
      <c r="D108" s="5"/>
      <c r="E108" s="5"/>
      <c r="F108" s="5"/>
      <c r="G108">
        <f t="shared" si="1"/>
        <v>0</v>
      </c>
      <c r="H108" s="5"/>
      <c r="I108" s="5" t="s">
        <v>74</v>
      </c>
      <c r="J108" s="5"/>
    </row>
    <row r="109" spans="1:10" x14ac:dyDescent="0.25">
      <c r="A109" t="str">
        <f>'LIVE SOURCE'!A109</f>
        <v>WR</v>
      </c>
      <c r="B109" t="str">
        <f>'LIVE SOURCE'!B109</f>
        <v>Davante Adams</v>
      </c>
      <c r="C109" s="4">
        <f>'LIVE SOURCE'!D109</f>
        <v>78.064999999999998</v>
      </c>
      <c r="D109" s="5"/>
      <c r="E109" s="5"/>
      <c r="F109" s="5"/>
      <c r="G109">
        <f t="shared" si="1"/>
        <v>0</v>
      </c>
      <c r="H109" s="5"/>
      <c r="I109" s="5" t="s">
        <v>74</v>
      </c>
      <c r="J109" s="5"/>
    </row>
    <row r="110" spans="1:10" x14ac:dyDescent="0.25">
      <c r="A110" t="str">
        <f>'LIVE SOURCE'!A110</f>
        <v>WR</v>
      </c>
      <c r="B110" t="str">
        <f>'LIVE SOURCE'!B110</f>
        <v>Luther Burden III</v>
      </c>
      <c r="C110" s="4">
        <f>'LIVE SOURCE'!D110</f>
        <v>78.647499999999994</v>
      </c>
      <c r="D110" s="5"/>
      <c r="E110" s="5"/>
      <c r="F110" s="5"/>
      <c r="G110">
        <f t="shared" si="1"/>
        <v>0</v>
      </c>
      <c r="H110" s="5"/>
      <c r="I110" s="5" t="s">
        <v>74</v>
      </c>
      <c r="J110" s="5"/>
    </row>
    <row r="111" spans="1:10" x14ac:dyDescent="0.25">
      <c r="A111" t="str">
        <f>'LIVE SOURCE'!A111</f>
        <v>WR</v>
      </c>
      <c r="B111" t="str">
        <f>'LIVE SOURCE'!B111</f>
        <v>DJ Moore</v>
      </c>
      <c r="C111" s="4">
        <f>'LIVE SOURCE'!D111</f>
        <v>75.48</v>
      </c>
      <c r="D111" s="5"/>
      <c r="E111" s="5"/>
      <c r="F111" s="5"/>
      <c r="G111">
        <f t="shared" si="1"/>
        <v>0</v>
      </c>
      <c r="H111" s="5"/>
      <c r="I111" s="5" t="s">
        <v>74</v>
      </c>
      <c r="J111" s="5"/>
    </row>
    <row r="112" spans="1:10" x14ac:dyDescent="0.25">
      <c r="A112" t="str">
        <f>'LIVE SOURCE'!A112</f>
        <v>WR</v>
      </c>
      <c r="B112" t="str">
        <f>'LIVE SOURCE'!B112</f>
        <v>Jameson Williams</v>
      </c>
      <c r="C112" s="4">
        <f>'LIVE SOURCE'!D112</f>
        <v>76.0625</v>
      </c>
      <c r="D112" s="5"/>
      <c r="E112" s="5"/>
      <c r="F112" s="5"/>
      <c r="G112">
        <f t="shared" si="1"/>
        <v>0</v>
      </c>
      <c r="H112" s="5"/>
      <c r="I112" s="5" t="s">
        <v>74</v>
      </c>
      <c r="J112" s="5"/>
    </row>
    <row r="113" spans="1:10" x14ac:dyDescent="0.25">
      <c r="A113" t="str">
        <f>'LIVE SOURCE'!A113</f>
        <v>WR</v>
      </c>
      <c r="B113" t="str">
        <f>'LIVE SOURCE'!B113</f>
        <v>Rome Odunze</v>
      </c>
      <c r="C113" s="4">
        <f>'LIVE SOURCE'!D113</f>
        <v>73.644999999999996</v>
      </c>
      <c r="D113" s="5"/>
      <c r="E113" s="5"/>
      <c r="F113" s="5"/>
      <c r="G113">
        <f t="shared" si="1"/>
        <v>0</v>
      </c>
      <c r="H113" s="5"/>
      <c r="I113" s="5" t="s">
        <v>74</v>
      </c>
      <c r="J113" s="5"/>
    </row>
    <row r="114" spans="1:10" x14ac:dyDescent="0.25">
      <c r="A114" t="str">
        <f>'LIVE SOURCE'!A114</f>
        <v>WR</v>
      </c>
      <c r="B114" t="str">
        <f>'LIVE SOURCE'!B114</f>
        <v>Mike Evans</v>
      </c>
      <c r="C114" s="4">
        <f>'LIVE SOURCE'!D114</f>
        <v>76.477500000000006</v>
      </c>
      <c r="D114" s="5"/>
      <c r="E114" s="5"/>
      <c r="F114" s="5"/>
      <c r="G114">
        <f t="shared" si="1"/>
        <v>0</v>
      </c>
      <c r="H114" s="5"/>
      <c r="I114" s="5" t="s">
        <v>74</v>
      </c>
      <c r="J114" s="5"/>
    </row>
    <row r="115" spans="1:10" x14ac:dyDescent="0.25">
      <c r="A115" t="str">
        <f>'LIVE SOURCE'!A115</f>
        <v>WR</v>
      </c>
      <c r="B115" t="str">
        <f>'LIVE SOURCE'!B115</f>
        <v>Marvin Harrison Jr.</v>
      </c>
      <c r="C115" s="4">
        <f>'LIVE SOURCE'!D115</f>
        <v>71.81</v>
      </c>
      <c r="D115" s="5"/>
      <c r="E115" s="5"/>
      <c r="F115" s="5"/>
      <c r="G115">
        <f t="shared" si="1"/>
        <v>0</v>
      </c>
      <c r="H115" s="5"/>
      <c r="I115" s="5" t="s">
        <v>74</v>
      </c>
      <c r="J115" s="5"/>
    </row>
    <row r="116" spans="1:10" x14ac:dyDescent="0.25">
      <c r="A116" t="str">
        <f>'LIVE SOURCE'!A116</f>
        <v>WR</v>
      </c>
      <c r="B116" t="str">
        <f>'LIVE SOURCE'!B116</f>
        <v>Christian Watson</v>
      </c>
      <c r="C116" s="4">
        <f>'LIVE SOURCE'!D116</f>
        <v>73.892499999999998</v>
      </c>
      <c r="D116" s="5"/>
      <c r="E116" s="5"/>
      <c r="F116" s="5"/>
      <c r="G116">
        <f t="shared" si="1"/>
        <v>0</v>
      </c>
      <c r="H116" s="5"/>
      <c r="I116" s="5" t="s">
        <v>74</v>
      </c>
      <c r="J116" s="5"/>
    </row>
    <row r="117" spans="1:10" x14ac:dyDescent="0.25">
      <c r="A117" t="str">
        <f>'LIVE SOURCE'!A117</f>
        <v>WR</v>
      </c>
      <c r="B117" t="str">
        <f>'LIVE SOURCE'!B117</f>
        <v>Alec Pierce</v>
      </c>
      <c r="C117" s="4">
        <f>'LIVE SOURCE'!D117</f>
        <v>70.724999999999994</v>
      </c>
      <c r="D117" s="5"/>
      <c r="E117" s="5"/>
      <c r="F117" s="5"/>
      <c r="G117">
        <f t="shared" si="1"/>
        <v>0</v>
      </c>
      <c r="H117" s="5"/>
      <c r="I117" s="5" t="s">
        <v>74</v>
      </c>
      <c r="J117" s="5"/>
    </row>
    <row r="118" spans="1:10" x14ac:dyDescent="0.25">
      <c r="A118" t="str">
        <f>'LIVE SOURCE'!A118</f>
        <v>WR</v>
      </c>
      <c r="B118" t="str">
        <f>'LIVE SOURCE'!B118</f>
        <v>DK Metcalf</v>
      </c>
      <c r="C118" s="4">
        <f>'LIVE SOURCE'!D118</f>
        <v>69.807500000000005</v>
      </c>
      <c r="D118" s="5"/>
      <c r="E118" s="5"/>
      <c r="F118" s="5"/>
      <c r="G118">
        <f t="shared" si="1"/>
        <v>0</v>
      </c>
      <c r="H118" s="5"/>
      <c r="I118" s="5" t="s">
        <v>74</v>
      </c>
      <c r="J118" s="5"/>
    </row>
    <row r="119" spans="1:10" x14ac:dyDescent="0.25">
      <c r="A119" t="str">
        <f>'LIVE SOURCE'!A119</f>
        <v>WR</v>
      </c>
      <c r="B119" t="str">
        <f>'LIVE SOURCE'!B119</f>
        <v>Carnell Tate</v>
      </c>
      <c r="C119" s="4">
        <f>'LIVE SOURCE'!D119</f>
        <v>71.89</v>
      </c>
      <c r="D119" s="5"/>
      <c r="E119" s="5"/>
      <c r="F119" s="5"/>
      <c r="G119">
        <f t="shared" si="1"/>
        <v>0</v>
      </c>
      <c r="H119" s="5"/>
      <c r="I119" s="5" t="s">
        <v>74</v>
      </c>
      <c r="J119" s="5"/>
    </row>
    <row r="120" spans="1:10" x14ac:dyDescent="0.25">
      <c r="A120" t="str">
        <f>'LIVE SOURCE'!A120</f>
        <v>WR</v>
      </c>
      <c r="B120" t="str">
        <f>'LIVE SOURCE'!B120</f>
        <v>Courtland Sutton</v>
      </c>
      <c r="C120" s="4">
        <f>'LIVE SOURCE'!D120</f>
        <v>68.722499999999997</v>
      </c>
      <c r="D120" s="5"/>
      <c r="E120" s="5"/>
      <c r="F120" s="5"/>
      <c r="G120">
        <f t="shared" si="1"/>
        <v>0</v>
      </c>
      <c r="H120" s="5"/>
      <c r="I120" s="5" t="s">
        <v>74</v>
      </c>
      <c r="J120" s="5"/>
    </row>
    <row r="121" spans="1:10" x14ac:dyDescent="0.25">
      <c r="A121" t="str">
        <f>'LIVE SOURCE'!A121</f>
        <v>WR</v>
      </c>
      <c r="B121" t="str">
        <f>'LIVE SOURCE'!B121</f>
        <v>Jordyn Tyson</v>
      </c>
      <c r="C121" s="4">
        <f>'LIVE SOURCE'!D121</f>
        <v>76.22</v>
      </c>
      <c r="D121" s="5"/>
      <c r="E121" s="5"/>
      <c r="F121" s="5"/>
      <c r="G121">
        <f t="shared" si="1"/>
        <v>0</v>
      </c>
      <c r="H121" s="5"/>
      <c r="I121" s="5" t="s">
        <v>74</v>
      </c>
      <c r="J121" s="5"/>
    </row>
    <row r="122" spans="1:10" x14ac:dyDescent="0.25">
      <c r="A122" t="str">
        <f>'LIVE SOURCE'!A122</f>
        <v>WR</v>
      </c>
      <c r="B122" t="str">
        <f>'LIVE SOURCE'!B122</f>
        <v>Michael Pittman Jr.</v>
      </c>
      <c r="C122" s="4">
        <f>'LIVE SOURCE'!D122</f>
        <v>75.55</v>
      </c>
      <c r="D122" s="5"/>
      <c r="E122" s="5"/>
      <c r="F122" s="5"/>
      <c r="G122">
        <f t="shared" si="1"/>
        <v>0</v>
      </c>
      <c r="H122" s="5"/>
      <c r="I122" s="5" t="s">
        <v>74</v>
      </c>
      <c r="J122" s="5"/>
    </row>
    <row r="123" spans="1:10" x14ac:dyDescent="0.25">
      <c r="A123" t="str">
        <f>'LIVE SOURCE'!A123</f>
        <v>WR</v>
      </c>
      <c r="B123" t="str">
        <f>'LIVE SOURCE'!B123</f>
        <v>Jakobi Meyers</v>
      </c>
      <c r="C123" s="4">
        <f>'LIVE SOURCE'!D123</f>
        <v>74.88</v>
      </c>
      <c r="D123" s="5"/>
      <c r="E123" s="5"/>
      <c r="F123" s="5"/>
      <c r="G123">
        <f t="shared" si="1"/>
        <v>0</v>
      </c>
      <c r="H123" s="5"/>
      <c r="I123" s="5" t="s">
        <v>74</v>
      </c>
      <c r="J123" s="5"/>
    </row>
    <row r="124" spans="1:10" x14ac:dyDescent="0.25">
      <c r="A124" t="str">
        <f>'LIVE SOURCE'!A124</f>
        <v>WR</v>
      </c>
      <c r="B124" t="str">
        <f>'LIVE SOURCE'!B124</f>
        <v>Jordan Addison</v>
      </c>
      <c r="C124" s="4">
        <f>'LIVE SOURCE'!D124</f>
        <v>74.209999999999994</v>
      </c>
      <c r="D124" s="5"/>
      <c r="E124" s="5"/>
      <c r="F124" s="5"/>
      <c r="G124">
        <f t="shared" si="1"/>
        <v>0</v>
      </c>
      <c r="H124" s="5"/>
      <c r="I124" s="5" t="s">
        <v>74</v>
      </c>
      <c r="J124" s="5"/>
    </row>
    <row r="125" spans="1:10" x14ac:dyDescent="0.25">
      <c r="A125" t="str">
        <f>'LIVE SOURCE'!A125</f>
        <v>WR</v>
      </c>
      <c r="B125" t="str">
        <f>'LIVE SOURCE'!B125</f>
        <v>Wan'Dale Robinson</v>
      </c>
      <c r="C125" s="4">
        <f>'LIVE SOURCE'!D125</f>
        <v>73.540000000000006</v>
      </c>
      <c r="D125" s="5"/>
      <c r="E125" s="5"/>
      <c r="F125" s="5"/>
      <c r="G125">
        <f t="shared" si="1"/>
        <v>0</v>
      </c>
      <c r="H125" s="5"/>
      <c r="I125" s="5" t="s">
        <v>74</v>
      </c>
      <c r="J125" s="5"/>
    </row>
    <row r="126" spans="1:10" x14ac:dyDescent="0.25">
      <c r="A126" t="str">
        <f>'LIVE SOURCE'!A126</f>
        <v>WR</v>
      </c>
      <c r="B126" t="str">
        <f>'LIVE SOURCE'!B126</f>
        <v>Brian Thomas Jr.</v>
      </c>
      <c r="C126" s="4">
        <f>'LIVE SOURCE'!D126</f>
        <v>66.967500000000001</v>
      </c>
      <c r="D126" s="5"/>
      <c r="E126" s="5"/>
      <c r="F126" s="5"/>
      <c r="G126">
        <f t="shared" si="1"/>
        <v>0</v>
      </c>
      <c r="H126" s="5"/>
      <c r="I126" s="5" t="s">
        <v>74</v>
      </c>
      <c r="J126" s="5"/>
    </row>
    <row r="127" spans="1:10" x14ac:dyDescent="0.25">
      <c r="A127" t="str">
        <f>'LIVE SOURCE'!A127</f>
        <v>WR</v>
      </c>
      <c r="B127" t="str">
        <f>'LIVE SOURCE'!B127</f>
        <v>Makai Lemon</v>
      </c>
      <c r="C127" s="4">
        <f>'LIVE SOURCE'!D127</f>
        <v>72.2</v>
      </c>
      <c r="D127" s="5">
        <v>-3</v>
      </c>
      <c r="E127" s="5"/>
      <c r="F127" s="5"/>
      <c r="G127">
        <f t="shared" si="1"/>
        <v>-3</v>
      </c>
      <c r="H127" s="5" t="s">
        <v>76</v>
      </c>
      <c r="I127" s="5" t="s">
        <v>74</v>
      </c>
      <c r="J127" s="5"/>
    </row>
    <row r="128" spans="1:10" x14ac:dyDescent="0.25">
      <c r="A128" t="str">
        <f>'LIVE SOURCE'!A128</f>
        <v>WR</v>
      </c>
      <c r="B128" t="str">
        <f>'LIVE SOURCE'!B128</f>
        <v>Parker Washington</v>
      </c>
      <c r="C128" s="4">
        <f>'LIVE SOURCE'!D128</f>
        <v>71.53</v>
      </c>
      <c r="D128" s="5"/>
      <c r="E128" s="5"/>
      <c r="F128" s="5"/>
      <c r="G128">
        <f t="shared" si="1"/>
        <v>0</v>
      </c>
      <c r="H128" s="5"/>
      <c r="I128" s="5" t="s">
        <v>74</v>
      </c>
      <c r="J128" s="5"/>
    </row>
    <row r="129" spans="1:10" x14ac:dyDescent="0.25">
      <c r="A129" t="str">
        <f>'LIVE SOURCE'!A129</f>
        <v>WR</v>
      </c>
      <c r="B129" t="str">
        <f>'LIVE SOURCE'!B129</f>
        <v>Chris Godwin Jr.</v>
      </c>
      <c r="C129" s="4">
        <f>'LIVE SOURCE'!D129</f>
        <v>70.86</v>
      </c>
      <c r="D129" s="5"/>
      <c r="E129" s="5"/>
      <c r="F129" s="5"/>
      <c r="G129">
        <f t="shared" si="1"/>
        <v>0</v>
      </c>
      <c r="H129" s="5"/>
      <c r="I129" s="5" t="s">
        <v>74</v>
      </c>
      <c r="J129" s="5"/>
    </row>
    <row r="130" spans="1:10" x14ac:dyDescent="0.25">
      <c r="A130" t="str">
        <f>'LIVE SOURCE'!A130</f>
        <v>WR</v>
      </c>
      <c r="B130" t="str">
        <f>'LIVE SOURCE'!B130</f>
        <v>Quentin Johnston</v>
      </c>
      <c r="C130" s="4">
        <f>'LIVE SOURCE'!D130</f>
        <v>70.19</v>
      </c>
      <c r="D130" s="5"/>
      <c r="E130" s="5"/>
      <c r="F130" s="5"/>
      <c r="G130">
        <f t="shared" si="1"/>
        <v>0</v>
      </c>
      <c r="H130" s="5"/>
      <c r="I130" s="5" t="s">
        <v>74</v>
      </c>
      <c r="J130" s="5"/>
    </row>
    <row r="131" spans="1:10" x14ac:dyDescent="0.25">
      <c r="A131" t="str">
        <f>'LIVE SOURCE'!A131</f>
        <v>WR</v>
      </c>
      <c r="B131" t="str">
        <f>'LIVE SOURCE'!B131</f>
        <v>Ricky Pearsall</v>
      </c>
      <c r="C131" s="4">
        <f>'LIVE SOURCE'!D131</f>
        <v>69.52</v>
      </c>
      <c r="D131" s="5">
        <v>-60</v>
      </c>
      <c r="E131" s="5"/>
      <c r="F131" s="5"/>
      <c r="G131">
        <f t="shared" ref="G131:G194" si="2">SUM(D131:F131)</f>
        <v>-60</v>
      </c>
      <c r="H131" s="5" t="s">
        <v>77</v>
      </c>
      <c r="I131" s="5" t="s">
        <v>74</v>
      </c>
      <c r="J131" s="5"/>
    </row>
    <row r="132" spans="1:10" x14ac:dyDescent="0.25">
      <c r="A132" t="str">
        <f>'LIVE SOURCE'!A132</f>
        <v>WR</v>
      </c>
      <c r="B132" t="str">
        <f>'LIVE SOURCE'!B132</f>
        <v>Michael Wilson</v>
      </c>
      <c r="C132" s="4">
        <f>'LIVE SOURCE'!D132</f>
        <v>68.849999999999994</v>
      </c>
      <c r="D132" s="5"/>
      <c r="E132" s="5"/>
      <c r="F132" s="5"/>
      <c r="G132">
        <f t="shared" si="2"/>
        <v>0</v>
      </c>
      <c r="H132" s="5"/>
      <c r="I132" s="5" t="s">
        <v>74</v>
      </c>
      <c r="J132" s="5"/>
    </row>
    <row r="133" spans="1:10" x14ac:dyDescent="0.25">
      <c r="A133" t="str">
        <f>'LIVE SOURCE'!A133</f>
        <v>WR</v>
      </c>
      <c r="B133" t="str">
        <f>'LIVE SOURCE'!B133</f>
        <v>Xavier Worthy</v>
      </c>
      <c r="C133" s="4">
        <f>'LIVE SOURCE'!D133</f>
        <v>68.180000000000007</v>
      </c>
      <c r="D133" s="5"/>
      <c r="E133" s="5"/>
      <c r="F133" s="5"/>
      <c r="G133">
        <f t="shared" si="2"/>
        <v>0</v>
      </c>
      <c r="H133" s="5"/>
      <c r="I133" s="5" t="s">
        <v>74</v>
      </c>
      <c r="J133" s="5"/>
    </row>
    <row r="134" spans="1:10" x14ac:dyDescent="0.25">
      <c r="A134" t="str">
        <f>'LIVE SOURCE'!A134</f>
        <v>WR</v>
      </c>
      <c r="B134" t="str">
        <f>'LIVE SOURCE'!B134</f>
        <v>Matthew Golden</v>
      </c>
      <c r="C134" s="4">
        <f>'LIVE SOURCE'!D134</f>
        <v>67.510000000000005</v>
      </c>
      <c r="D134" s="5"/>
      <c r="E134" s="5"/>
      <c r="F134" s="5"/>
      <c r="G134">
        <f t="shared" si="2"/>
        <v>0</v>
      </c>
      <c r="H134" s="5"/>
      <c r="I134" s="5" t="s">
        <v>74</v>
      </c>
      <c r="J134" s="5"/>
    </row>
    <row r="135" spans="1:10" x14ac:dyDescent="0.25">
      <c r="A135" t="str">
        <f>'LIVE SOURCE'!A135</f>
        <v>WR</v>
      </c>
      <c r="B135" t="str">
        <f>'LIVE SOURCE'!B135</f>
        <v>Josh Downs</v>
      </c>
      <c r="C135" s="4">
        <f>'LIVE SOURCE'!D135</f>
        <v>66.84</v>
      </c>
      <c r="D135" s="5"/>
      <c r="E135" s="5"/>
      <c r="F135" s="5"/>
      <c r="G135">
        <f t="shared" si="2"/>
        <v>0</v>
      </c>
      <c r="H135" s="5"/>
      <c r="I135" s="5" t="s">
        <v>74</v>
      </c>
      <c r="J135" s="5"/>
    </row>
    <row r="136" spans="1:10" x14ac:dyDescent="0.25">
      <c r="A136" t="str">
        <f>'LIVE SOURCE'!A136</f>
        <v>WR</v>
      </c>
      <c r="B136" t="str">
        <f>'LIVE SOURCE'!B136</f>
        <v>Jayden Reed</v>
      </c>
      <c r="C136" s="4">
        <f>'LIVE SOURCE'!D136</f>
        <v>66.17</v>
      </c>
      <c r="D136" s="5"/>
      <c r="E136" s="5"/>
      <c r="F136" s="5"/>
      <c r="G136">
        <f t="shared" si="2"/>
        <v>0</v>
      </c>
      <c r="H136" s="5"/>
      <c r="I136" s="5" t="s">
        <v>74</v>
      </c>
      <c r="J136" s="5"/>
    </row>
    <row r="137" spans="1:10" x14ac:dyDescent="0.25">
      <c r="A137" t="str">
        <f>'LIVE SOURCE'!A137</f>
        <v>WR</v>
      </c>
      <c r="B137" t="str">
        <f>'LIVE SOURCE'!B137</f>
        <v>Khalil Shakir</v>
      </c>
      <c r="C137" s="4">
        <f>'LIVE SOURCE'!D137</f>
        <v>65.5</v>
      </c>
      <c r="D137" s="5"/>
      <c r="E137" s="5"/>
      <c r="F137" s="5"/>
      <c r="G137">
        <f t="shared" si="2"/>
        <v>0</v>
      </c>
      <c r="H137" s="5"/>
      <c r="I137" s="5" t="s">
        <v>74</v>
      </c>
      <c r="J137" s="5"/>
    </row>
    <row r="138" spans="1:10" x14ac:dyDescent="0.25">
      <c r="A138" t="str">
        <f>'LIVE SOURCE'!A138</f>
        <v>WR</v>
      </c>
      <c r="B138" t="str">
        <f>'LIVE SOURCE'!B138</f>
        <v>Jalin Hyatt</v>
      </c>
      <c r="C138" s="4">
        <f>'LIVE SOURCE'!D138</f>
        <v>64.83</v>
      </c>
      <c r="D138" s="5"/>
      <c r="E138" s="5"/>
      <c r="F138" s="5"/>
      <c r="G138">
        <f t="shared" si="2"/>
        <v>0</v>
      </c>
      <c r="H138" s="5"/>
      <c r="I138" s="5" t="s">
        <v>74</v>
      </c>
      <c r="J138" s="5"/>
    </row>
    <row r="139" spans="1:10" x14ac:dyDescent="0.25">
      <c r="A139" t="str">
        <f>'LIVE SOURCE'!A139</f>
        <v>WR</v>
      </c>
      <c r="B139" t="str">
        <f>'LIVE SOURCE'!B139</f>
        <v>Romeo Doubs</v>
      </c>
      <c r="C139" s="4">
        <f>'LIVE SOURCE'!D139</f>
        <v>64.16</v>
      </c>
      <c r="D139" s="5"/>
      <c r="E139" s="5"/>
      <c r="F139" s="5"/>
      <c r="G139">
        <f t="shared" si="2"/>
        <v>0</v>
      </c>
      <c r="H139" s="5"/>
      <c r="I139" s="5" t="s">
        <v>74</v>
      </c>
      <c r="J139" s="5"/>
    </row>
    <row r="140" spans="1:10" x14ac:dyDescent="0.25">
      <c r="A140" t="str">
        <f>'LIVE SOURCE'!A140</f>
        <v>WR</v>
      </c>
      <c r="B140" t="str">
        <f>'LIVE SOURCE'!B140</f>
        <v>Jalen Coker</v>
      </c>
      <c r="C140" s="4">
        <f>'LIVE SOURCE'!D140</f>
        <v>63.49</v>
      </c>
      <c r="D140" s="5"/>
      <c r="E140" s="5"/>
      <c r="F140" s="5"/>
      <c r="G140">
        <f t="shared" si="2"/>
        <v>0</v>
      </c>
      <c r="H140" s="5"/>
      <c r="I140" s="5" t="s">
        <v>74</v>
      </c>
      <c r="J140" s="5"/>
    </row>
    <row r="141" spans="1:10" x14ac:dyDescent="0.25">
      <c r="A141" t="str">
        <f>'LIVE SOURCE'!A141</f>
        <v>WR</v>
      </c>
      <c r="B141" t="str">
        <f>'LIVE SOURCE'!B141</f>
        <v>KC Concepcion</v>
      </c>
      <c r="C141" s="4">
        <f>'LIVE SOURCE'!D141</f>
        <v>62.82</v>
      </c>
      <c r="D141" s="5"/>
      <c r="E141" s="5"/>
      <c r="F141" s="5"/>
      <c r="G141">
        <f t="shared" si="2"/>
        <v>0</v>
      </c>
      <c r="H141" s="5"/>
      <c r="I141" s="5" t="s">
        <v>74</v>
      </c>
      <c r="J141" s="5"/>
    </row>
    <row r="142" spans="1:10" x14ac:dyDescent="0.25">
      <c r="A142" t="str">
        <f>'LIVE SOURCE'!A142</f>
        <v>WR</v>
      </c>
      <c r="B142" t="str">
        <f>'LIVE SOURCE'!B142</f>
        <v>Rashid Shaheed</v>
      </c>
      <c r="C142" s="4">
        <f>'LIVE SOURCE'!D142</f>
        <v>62.15</v>
      </c>
      <c r="D142" s="5"/>
      <c r="E142" s="5"/>
      <c r="F142" s="5"/>
      <c r="G142">
        <f t="shared" si="2"/>
        <v>0</v>
      </c>
      <c r="H142" s="5"/>
      <c r="I142" s="5" t="s">
        <v>74</v>
      </c>
      <c r="J142" s="5"/>
    </row>
    <row r="143" spans="1:10" x14ac:dyDescent="0.25">
      <c r="A143" t="str">
        <f>'LIVE SOURCE'!A143</f>
        <v>WR</v>
      </c>
      <c r="B143" t="str">
        <f>'LIVE SOURCE'!B143</f>
        <v>Calvin Ridley</v>
      </c>
      <c r="C143" s="4">
        <f>'LIVE SOURCE'!D143</f>
        <v>61.48</v>
      </c>
      <c r="D143" s="5"/>
      <c r="E143" s="5"/>
      <c r="F143" s="5"/>
      <c r="G143">
        <f t="shared" si="2"/>
        <v>0</v>
      </c>
      <c r="H143" s="5"/>
      <c r="I143" s="5" t="s">
        <v>74</v>
      </c>
      <c r="J143" s="5"/>
    </row>
    <row r="144" spans="1:10" x14ac:dyDescent="0.25">
      <c r="A144" t="str">
        <f>'LIVE SOURCE'!A144</f>
        <v>WR</v>
      </c>
      <c r="B144" t="str">
        <f>'LIVE SOURCE'!B144</f>
        <v>Omar Cooper Jr.</v>
      </c>
      <c r="C144" s="4">
        <f>'LIVE SOURCE'!D144</f>
        <v>60.81</v>
      </c>
      <c r="D144" s="5"/>
      <c r="E144" s="5"/>
      <c r="F144" s="5"/>
      <c r="G144">
        <f t="shared" si="2"/>
        <v>0</v>
      </c>
      <c r="H144" s="5"/>
      <c r="I144" s="5" t="s">
        <v>74</v>
      </c>
      <c r="J144" s="5"/>
    </row>
    <row r="145" spans="1:10" x14ac:dyDescent="0.25">
      <c r="A145" t="str">
        <f>'LIVE SOURCE'!A145</f>
        <v>WR</v>
      </c>
      <c r="B145" t="str">
        <f>'LIVE SOURCE'!B145</f>
        <v>Jerry Jeudy</v>
      </c>
      <c r="C145" s="4">
        <f>'LIVE SOURCE'!D145</f>
        <v>60.14</v>
      </c>
      <c r="D145" s="5"/>
      <c r="E145" s="5"/>
      <c r="F145" s="5"/>
      <c r="G145">
        <f t="shared" si="2"/>
        <v>0</v>
      </c>
      <c r="H145" s="5"/>
      <c r="I145" s="5" t="s">
        <v>74</v>
      </c>
      <c r="J145" s="5"/>
    </row>
    <row r="146" spans="1:10" x14ac:dyDescent="0.25">
      <c r="A146" t="str">
        <f>'LIVE SOURCE'!A146</f>
        <v>WR</v>
      </c>
      <c r="B146" t="str">
        <f>'LIVE SOURCE'!B146</f>
        <v>Jalen Nailor</v>
      </c>
      <c r="C146" s="4">
        <f>'LIVE SOURCE'!D146</f>
        <v>59.47</v>
      </c>
      <c r="D146" s="5"/>
      <c r="E146" s="5"/>
      <c r="F146" s="5"/>
      <c r="G146">
        <f t="shared" si="2"/>
        <v>0</v>
      </c>
      <c r="H146" s="5"/>
      <c r="I146" s="5" t="s">
        <v>74</v>
      </c>
      <c r="J146" s="5"/>
    </row>
    <row r="147" spans="1:10" x14ac:dyDescent="0.25">
      <c r="A147" t="str">
        <f>'LIVE SOURCE'!A147</f>
        <v>WR</v>
      </c>
      <c r="B147" t="str">
        <f>'LIVE SOURCE'!B147</f>
        <v>Jalen McMillan</v>
      </c>
      <c r="C147" s="4">
        <f>'LIVE SOURCE'!D147</f>
        <v>58.8</v>
      </c>
      <c r="D147" s="5"/>
      <c r="E147" s="5"/>
      <c r="F147" s="5"/>
      <c r="G147">
        <f t="shared" si="2"/>
        <v>0</v>
      </c>
      <c r="H147" s="5"/>
      <c r="I147" s="5" t="s">
        <v>74</v>
      </c>
      <c r="J147" s="5"/>
    </row>
    <row r="148" spans="1:10" x14ac:dyDescent="0.25">
      <c r="A148" t="str">
        <f>'LIVE SOURCE'!A148</f>
        <v>WR</v>
      </c>
      <c r="B148" t="str">
        <f>'LIVE SOURCE'!B148</f>
        <v>Adonai Mitchell</v>
      </c>
      <c r="C148" s="4">
        <f>'LIVE SOURCE'!D148</f>
        <v>58.13</v>
      </c>
      <c r="D148" s="5"/>
      <c r="E148" s="5"/>
      <c r="F148" s="5"/>
      <c r="G148">
        <f t="shared" si="2"/>
        <v>0</v>
      </c>
      <c r="H148" s="5"/>
      <c r="I148" s="5" t="s">
        <v>74</v>
      </c>
      <c r="J148" s="5"/>
    </row>
    <row r="149" spans="1:10" x14ac:dyDescent="0.25">
      <c r="A149" t="str">
        <f>'LIVE SOURCE'!A149</f>
        <v>WR</v>
      </c>
      <c r="B149" t="str">
        <f>'LIVE SOURCE'!B149</f>
        <v>Isaac TeSlaa</v>
      </c>
      <c r="C149" s="4">
        <f>'LIVE SOURCE'!D149</f>
        <v>57.46</v>
      </c>
      <c r="D149" s="5"/>
      <c r="E149" s="5"/>
      <c r="F149" s="5"/>
      <c r="G149">
        <f t="shared" si="2"/>
        <v>0</v>
      </c>
      <c r="H149" s="5"/>
      <c r="I149" s="5" t="s">
        <v>74</v>
      </c>
      <c r="J149" s="5"/>
    </row>
    <row r="150" spans="1:10" x14ac:dyDescent="0.25">
      <c r="A150" t="str">
        <f>'LIVE SOURCE'!A150</f>
        <v>WR</v>
      </c>
      <c r="B150" t="str">
        <f>'LIVE SOURCE'!B150</f>
        <v>Denzel Boston</v>
      </c>
      <c r="C150" s="4">
        <f>'LIVE SOURCE'!D150</f>
        <v>56.79</v>
      </c>
      <c r="D150" s="5"/>
      <c r="E150" s="5"/>
      <c r="F150" s="5"/>
      <c r="G150">
        <f t="shared" si="2"/>
        <v>0</v>
      </c>
      <c r="H150" s="5"/>
      <c r="I150" s="5" t="s">
        <v>74</v>
      </c>
      <c r="J150" s="5"/>
    </row>
    <row r="151" spans="1:10" x14ac:dyDescent="0.25">
      <c r="A151" t="str">
        <f>'LIVE SOURCE'!A151</f>
        <v>WR</v>
      </c>
      <c r="B151" t="str">
        <f>'LIVE SOURCE'!B151</f>
        <v>Tre Tucker</v>
      </c>
      <c r="C151" s="4">
        <f>'LIVE SOURCE'!D151</f>
        <v>56.12</v>
      </c>
      <c r="D151" s="5"/>
      <c r="E151" s="5"/>
      <c r="F151" s="5"/>
      <c r="G151">
        <f t="shared" si="2"/>
        <v>0</v>
      </c>
      <c r="H151" s="5"/>
      <c r="I151" s="5" t="s">
        <v>74</v>
      </c>
      <c r="J151" s="5"/>
    </row>
    <row r="152" spans="1:10" x14ac:dyDescent="0.25">
      <c r="A152" t="str">
        <f>'LIVE SOURCE'!A152</f>
        <v>WR</v>
      </c>
      <c r="B152" t="str">
        <f>'LIVE SOURCE'!B152</f>
        <v>Antonio Williams</v>
      </c>
      <c r="C152" s="4">
        <f>'LIVE SOURCE'!D152</f>
        <v>55.45</v>
      </c>
      <c r="D152" s="5"/>
      <c r="E152" s="5"/>
      <c r="F152" s="5"/>
      <c r="G152">
        <f t="shared" si="2"/>
        <v>0</v>
      </c>
      <c r="H152" s="5"/>
      <c r="I152" s="5" t="s">
        <v>74</v>
      </c>
      <c r="J152" s="5"/>
    </row>
    <row r="153" spans="1:10" x14ac:dyDescent="0.25">
      <c r="A153" t="str">
        <f>'LIVE SOURCE'!A153</f>
        <v>WR</v>
      </c>
      <c r="B153" t="str">
        <f>'LIVE SOURCE'!B153</f>
        <v>Travis Hunter</v>
      </c>
      <c r="C153" s="4">
        <f>'LIVE SOURCE'!D153</f>
        <v>54.78</v>
      </c>
      <c r="D153" s="5"/>
      <c r="E153" s="5"/>
      <c r="F153" s="5"/>
      <c r="G153">
        <f t="shared" si="2"/>
        <v>0</v>
      </c>
      <c r="H153" s="5"/>
      <c r="I153" s="5" t="s">
        <v>74</v>
      </c>
      <c r="J153" s="5"/>
    </row>
    <row r="154" spans="1:10" x14ac:dyDescent="0.25">
      <c r="A154" t="str">
        <f>'LIVE SOURCE'!A154</f>
        <v>WR</v>
      </c>
      <c r="B154" t="str">
        <f>'LIVE SOURCE'!B154</f>
        <v>Ryan Flournoy</v>
      </c>
      <c r="C154" s="4">
        <f>'LIVE SOURCE'!D154</f>
        <v>54.11</v>
      </c>
      <c r="D154" s="5"/>
      <c r="E154" s="5"/>
      <c r="F154" s="5"/>
      <c r="G154">
        <f t="shared" si="2"/>
        <v>0</v>
      </c>
      <c r="H154" s="5"/>
      <c r="I154" s="5" t="s">
        <v>74</v>
      </c>
      <c r="J154" s="5"/>
    </row>
    <row r="155" spans="1:10" x14ac:dyDescent="0.25">
      <c r="A155" t="str">
        <f>'LIVE SOURCE'!A155</f>
        <v>WR</v>
      </c>
      <c r="B155" t="str">
        <f>'LIVE SOURCE'!B155</f>
        <v>Jauan Jennings</v>
      </c>
      <c r="C155" s="4">
        <f>'LIVE SOURCE'!D155</f>
        <v>53.44</v>
      </c>
      <c r="D155" s="5"/>
      <c r="E155" s="5"/>
      <c r="F155" s="5"/>
      <c r="G155">
        <f t="shared" si="2"/>
        <v>0</v>
      </c>
      <c r="H155" s="5"/>
      <c r="I155" s="5" t="s">
        <v>74</v>
      </c>
      <c r="J155" s="5"/>
    </row>
    <row r="156" spans="1:10" x14ac:dyDescent="0.25">
      <c r="A156" t="str">
        <f>'LIVE SOURCE'!A156</f>
        <v>WR</v>
      </c>
      <c r="B156" t="str">
        <f>'LIVE SOURCE'!B156</f>
        <v>Darnell Mooney</v>
      </c>
      <c r="C156" s="4">
        <f>'LIVE SOURCE'!D156</f>
        <v>52.77</v>
      </c>
      <c r="D156" s="5"/>
      <c r="E156" s="5"/>
      <c r="F156" s="5"/>
      <c r="G156">
        <f t="shared" si="2"/>
        <v>0</v>
      </c>
      <c r="H156" s="5"/>
      <c r="I156" s="5" t="s">
        <v>74</v>
      </c>
      <c r="J156" s="5"/>
    </row>
    <row r="157" spans="1:10" x14ac:dyDescent="0.25">
      <c r="A157" t="str">
        <f>'LIVE SOURCE'!A157</f>
        <v>WR</v>
      </c>
      <c r="B157" t="str">
        <f>'LIVE SOURCE'!B157</f>
        <v>Stefon Diggs</v>
      </c>
      <c r="C157" s="4">
        <f>'LIVE SOURCE'!D157</f>
        <v>71.2</v>
      </c>
      <c r="D157" s="5"/>
      <c r="E157" s="5"/>
      <c r="F157" s="5"/>
      <c r="G157">
        <f t="shared" si="2"/>
        <v>0</v>
      </c>
      <c r="H157" s="5"/>
      <c r="I157" s="5" t="s">
        <v>74</v>
      </c>
      <c r="J157" s="5"/>
    </row>
    <row r="158" spans="1:10" x14ac:dyDescent="0.25">
      <c r="A158" t="str">
        <f>'LIVE SOURCE'!A158</f>
        <v>WR</v>
      </c>
      <c r="B158" t="str">
        <f>'LIVE SOURCE'!B158</f>
        <v>Deebo Samuel</v>
      </c>
      <c r="C158" s="4">
        <f>'LIVE SOURCE'!D158</f>
        <v>63.2</v>
      </c>
      <c r="D158" s="5"/>
      <c r="E158" s="5"/>
      <c r="F158" s="5"/>
      <c r="G158">
        <f t="shared" si="2"/>
        <v>0</v>
      </c>
      <c r="H158" s="5"/>
      <c r="I158" s="5" t="s">
        <v>74</v>
      </c>
      <c r="J158" s="5"/>
    </row>
    <row r="159" spans="1:10" x14ac:dyDescent="0.25">
      <c r="A159" t="str">
        <f>'LIVE SOURCE'!A159</f>
        <v>WR</v>
      </c>
      <c r="B159" t="str">
        <f>'LIVE SOURCE'!B159</f>
        <v>Jayden Higgins</v>
      </c>
      <c r="C159" s="4">
        <f>'LIVE SOURCE'!D159</f>
        <v>62.1</v>
      </c>
      <c r="D159" s="5"/>
      <c r="E159" s="5"/>
      <c r="F159" s="5"/>
      <c r="G159">
        <f t="shared" si="2"/>
        <v>0</v>
      </c>
      <c r="H159" s="5"/>
      <c r="I159" s="5" t="s">
        <v>74</v>
      </c>
      <c r="J159" s="5"/>
    </row>
    <row r="160" spans="1:10" x14ac:dyDescent="0.25">
      <c r="A160" t="str">
        <f>'LIVE SOURCE'!A160</f>
        <v>WR</v>
      </c>
      <c r="B160" t="str">
        <f>'LIVE SOURCE'!B160</f>
        <v>Tank Dell</v>
      </c>
      <c r="C160" s="4">
        <f>'LIVE SOURCE'!D160</f>
        <v>60.1</v>
      </c>
      <c r="D160" s="5"/>
      <c r="E160" s="5"/>
      <c r="F160" s="5"/>
      <c r="G160">
        <f t="shared" si="2"/>
        <v>0</v>
      </c>
      <c r="H160" s="5"/>
      <c r="I160" s="5" t="s">
        <v>74</v>
      </c>
      <c r="J160" s="5"/>
    </row>
    <row r="161" spans="1:10" x14ac:dyDescent="0.25">
      <c r="A161" t="str">
        <f>'LIVE SOURCE'!A161</f>
        <v>TE</v>
      </c>
      <c r="B161" t="str">
        <f>'LIVE SOURCE'!B161</f>
        <v>Trey McBride</v>
      </c>
      <c r="C161" s="4">
        <f>'LIVE SOURCE'!D161</f>
        <v>97.737099999999998</v>
      </c>
      <c r="D161" s="5"/>
      <c r="E161" s="5"/>
      <c r="F161" s="5"/>
      <c r="G161">
        <f t="shared" si="2"/>
        <v>0</v>
      </c>
      <c r="H161" s="5"/>
      <c r="I161" s="5" t="s">
        <v>74</v>
      </c>
      <c r="J161" s="5"/>
    </row>
    <row r="162" spans="1:10" x14ac:dyDescent="0.25">
      <c r="A162" t="str">
        <f>'LIVE SOURCE'!A162</f>
        <v>TE</v>
      </c>
      <c r="B162" t="str">
        <f>'LIVE SOURCE'!B162</f>
        <v>Brock Bowers</v>
      </c>
      <c r="C162" s="4">
        <f>'LIVE SOURCE'!D162</f>
        <v>94.884600000000006</v>
      </c>
      <c r="D162" s="5"/>
      <c r="E162" s="5"/>
      <c r="F162" s="5"/>
      <c r="G162">
        <f t="shared" si="2"/>
        <v>0</v>
      </c>
      <c r="H162" s="5"/>
      <c r="I162" s="5" t="s">
        <v>74</v>
      </c>
      <c r="J162" s="5"/>
    </row>
    <row r="163" spans="1:10" x14ac:dyDescent="0.25">
      <c r="A163" t="str">
        <f>'LIVE SOURCE'!A163</f>
        <v>TE</v>
      </c>
      <c r="B163" t="str">
        <f>'LIVE SOURCE'!B163</f>
        <v>Colston Loveland</v>
      </c>
      <c r="C163" s="4">
        <f>'LIVE SOURCE'!D163</f>
        <v>88.753100000000003</v>
      </c>
      <c r="D163" s="5"/>
      <c r="E163" s="5"/>
      <c r="F163" s="5"/>
      <c r="G163">
        <f t="shared" si="2"/>
        <v>0</v>
      </c>
      <c r="H163" s="5"/>
      <c r="I163" s="5" t="s">
        <v>74</v>
      </c>
      <c r="J163" s="5"/>
    </row>
    <row r="164" spans="1:10" x14ac:dyDescent="0.25">
      <c r="A164" t="str">
        <f>'LIVE SOURCE'!A164</f>
        <v>TE</v>
      </c>
      <c r="B164" t="str">
        <f>'LIVE SOURCE'!B164</f>
        <v>Tyler Warren</v>
      </c>
      <c r="C164" s="4">
        <f>'LIVE SOURCE'!D164</f>
        <v>87.202399999999997</v>
      </c>
      <c r="D164" s="5"/>
      <c r="E164" s="5"/>
      <c r="F164" s="5"/>
      <c r="G164">
        <f t="shared" si="2"/>
        <v>0</v>
      </c>
      <c r="H164" s="5"/>
      <c r="I164" s="5" t="s">
        <v>74</v>
      </c>
      <c r="J164" s="5"/>
    </row>
    <row r="165" spans="1:10" x14ac:dyDescent="0.25">
      <c r="A165" t="str">
        <f>'LIVE SOURCE'!A165</f>
        <v>TE</v>
      </c>
      <c r="B165" t="str">
        <f>'LIVE SOURCE'!B165</f>
        <v>George Kittle</v>
      </c>
      <c r="C165" s="4">
        <f>'LIVE SOURCE'!D165</f>
        <v>86.266400000000004</v>
      </c>
      <c r="D165" s="5"/>
      <c r="E165" s="5"/>
      <c r="F165" s="5"/>
      <c r="G165">
        <f t="shared" si="2"/>
        <v>0</v>
      </c>
      <c r="H165" s="5"/>
      <c r="I165" s="5" t="s">
        <v>74</v>
      </c>
      <c r="J165" s="5"/>
    </row>
    <row r="166" spans="1:10" x14ac:dyDescent="0.25">
      <c r="A166" t="str">
        <f>'LIVE SOURCE'!A166</f>
        <v>TE</v>
      </c>
      <c r="B166" t="str">
        <f>'LIVE SOURCE'!B166</f>
        <v>Kyle Pitts Sr.</v>
      </c>
      <c r="C166" s="4">
        <f>'LIVE SOURCE'!D166</f>
        <v>85.304500000000004</v>
      </c>
      <c r="D166" s="5"/>
      <c r="E166" s="5"/>
      <c r="F166" s="5"/>
      <c r="G166">
        <f t="shared" si="2"/>
        <v>0</v>
      </c>
      <c r="H166" s="5"/>
      <c r="I166" s="5" t="s">
        <v>74</v>
      </c>
      <c r="J166" s="5"/>
    </row>
    <row r="167" spans="1:10" x14ac:dyDescent="0.25">
      <c r="A167" t="str">
        <f>'LIVE SOURCE'!A167</f>
        <v>TE</v>
      </c>
      <c r="B167" t="str">
        <f>'LIVE SOURCE'!B167</f>
        <v>Harold Fannin Jr.</v>
      </c>
      <c r="C167" s="4">
        <f>'LIVE SOURCE'!D167</f>
        <v>84.377700000000004</v>
      </c>
      <c r="D167" s="5"/>
      <c r="E167" s="5"/>
      <c r="F167" s="5"/>
      <c r="G167">
        <f t="shared" si="2"/>
        <v>0</v>
      </c>
      <c r="H167" s="5"/>
      <c r="I167" s="5" t="s">
        <v>74</v>
      </c>
      <c r="J167" s="5"/>
    </row>
    <row r="168" spans="1:10" x14ac:dyDescent="0.25">
      <c r="A168" t="str">
        <f>'LIVE SOURCE'!A168</f>
        <v>TE</v>
      </c>
      <c r="B168" t="str">
        <f>'LIVE SOURCE'!B168</f>
        <v>Jake Ferguson</v>
      </c>
      <c r="C168" s="4">
        <f>'LIVE SOURCE'!D168</f>
        <v>84.072999999999993</v>
      </c>
      <c r="D168" s="5"/>
      <c r="E168" s="5"/>
      <c r="F168" s="5"/>
      <c r="G168">
        <f t="shared" si="2"/>
        <v>0</v>
      </c>
      <c r="H168" s="5"/>
      <c r="I168" s="5" t="s">
        <v>74</v>
      </c>
      <c r="J168" s="5"/>
    </row>
    <row r="169" spans="1:10" x14ac:dyDescent="0.25">
      <c r="A169" t="str">
        <f>'LIVE SOURCE'!A169</f>
        <v>TE</v>
      </c>
      <c r="B169" t="str">
        <f>'LIVE SOURCE'!B169</f>
        <v>Tucker Kraft</v>
      </c>
      <c r="C169" s="4">
        <f>'LIVE SOURCE'!D169</f>
        <v>83.808599999999998</v>
      </c>
      <c r="D169" s="5"/>
      <c r="E169" s="5"/>
      <c r="F169" s="5"/>
      <c r="G169">
        <f t="shared" si="2"/>
        <v>0</v>
      </c>
      <c r="H169" s="5"/>
      <c r="I169" s="5" t="s">
        <v>74</v>
      </c>
      <c r="J169" s="5"/>
    </row>
    <row r="170" spans="1:10" x14ac:dyDescent="0.25">
      <c r="A170" t="str">
        <f>'LIVE SOURCE'!A170</f>
        <v>TE</v>
      </c>
      <c r="B170" t="str">
        <f>'LIVE SOURCE'!B170</f>
        <v>Sam LaPorta</v>
      </c>
      <c r="C170" s="4">
        <f>'LIVE SOURCE'!D170</f>
        <v>82.865300000000005</v>
      </c>
      <c r="D170" s="5"/>
      <c r="E170" s="5"/>
      <c r="F170" s="5"/>
      <c r="G170">
        <f t="shared" si="2"/>
        <v>0</v>
      </c>
      <c r="H170" s="5"/>
      <c r="I170" s="5" t="s">
        <v>74</v>
      </c>
      <c r="J170" s="5"/>
    </row>
    <row r="171" spans="1:10" x14ac:dyDescent="0.25">
      <c r="A171" t="str">
        <f>'LIVE SOURCE'!A171</f>
        <v>TE</v>
      </c>
      <c r="B171" t="str">
        <f>'LIVE SOURCE'!B171</f>
        <v>Dalton Kincaid</v>
      </c>
      <c r="C171" s="4">
        <f>'LIVE SOURCE'!D171</f>
        <v>81.914100000000005</v>
      </c>
      <c r="D171" s="5"/>
      <c r="E171" s="5"/>
      <c r="F171" s="5"/>
      <c r="G171">
        <f t="shared" si="2"/>
        <v>0</v>
      </c>
      <c r="H171" s="5"/>
      <c r="I171" s="5" t="s">
        <v>74</v>
      </c>
      <c r="J171" s="5"/>
    </row>
    <row r="172" spans="1:10" x14ac:dyDescent="0.25">
      <c r="A172" t="str">
        <f>'LIVE SOURCE'!A172</f>
        <v>TE</v>
      </c>
      <c r="B172" t="str">
        <f>'LIVE SOURCE'!B172</f>
        <v>Travis Kelce</v>
      </c>
      <c r="C172" s="4">
        <f>'LIVE SOURCE'!D172</f>
        <v>81.747799999999998</v>
      </c>
      <c r="D172" s="5"/>
      <c r="E172" s="5"/>
      <c r="F172" s="5"/>
      <c r="G172">
        <f t="shared" si="2"/>
        <v>0</v>
      </c>
      <c r="H172" s="5"/>
      <c r="I172" s="5" t="s">
        <v>74</v>
      </c>
      <c r="J172" s="5"/>
    </row>
    <row r="173" spans="1:10" x14ac:dyDescent="0.25">
      <c r="A173" t="str">
        <f>'LIVE SOURCE'!A173</f>
        <v>TE</v>
      </c>
      <c r="B173" t="str">
        <f>'LIVE SOURCE'!B173</f>
        <v>Dallas Goedert</v>
      </c>
      <c r="C173" s="4">
        <f>'LIVE SOURCE'!D173</f>
        <v>79.918099999999995</v>
      </c>
      <c r="D173" s="5"/>
      <c r="E173" s="5"/>
      <c r="F173" s="5"/>
      <c r="G173">
        <f t="shared" si="2"/>
        <v>0</v>
      </c>
      <c r="H173" s="5"/>
      <c r="I173" s="5" t="s">
        <v>74</v>
      </c>
      <c r="J173" s="5"/>
    </row>
    <row r="174" spans="1:10" x14ac:dyDescent="0.25">
      <c r="A174" t="str">
        <f>'LIVE SOURCE'!A174</f>
        <v>TE</v>
      </c>
      <c r="B174" t="str">
        <f>'LIVE SOURCE'!B174</f>
        <v>Mark Andrews</v>
      </c>
      <c r="C174" s="4">
        <f>'LIVE SOURCE'!D174</f>
        <v>79.065399999999997</v>
      </c>
      <c r="D174" s="5"/>
      <c r="E174" s="5"/>
      <c r="F174" s="5"/>
      <c r="G174">
        <f t="shared" si="2"/>
        <v>0</v>
      </c>
      <c r="H174" s="5"/>
      <c r="I174" s="5" t="s">
        <v>74</v>
      </c>
      <c r="J174" s="5"/>
    </row>
    <row r="175" spans="1:10" x14ac:dyDescent="0.25">
      <c r="A175" t="str">
        <f>'LIVE SOURCE'!A175</f>
        <v>TE</v>
      </c>
      <c r="B175" t="str">
        <f>'LIVE SOURCE'!B175</f>
        <v>Isaiah Likely</v>
      </c>
      <c r="C175" s="4">
        <f>'LIVE SOURCE'!D175</f>
        <v>78.579499999999996</v>
      </c>
      <c r="D175" s="5"/>
      <c r="E175" s="5"/>
      <c r="F175" s="5"/>
      <c r="G175">
        <f t="shared" si="2"/>
        <v>0</v>
      </c>
      <c r="H175" s="5"/>
      <c r="I175" s="5" t="s">
        <v>74</v>
      </c>
      <c r="J175" s="5"/>
    </row>
    <row r="176" spans="1:10" x14ac:dyDescent="0.25">
      <c r="A176" t="str">
        <f>'LIVE SOURCE'!A176</f>
        <v>TE</v>
      </c>
      <c r="B176" t="str">
        <f>'LIVE SOURCE'!B176</f>
        <v>Juwan Johnson</v>
      </c>
      <c r="C176" s="4">
        <f>'LIVE SOURCE'!D176</f>
        <v>78.320300000000003</v>
      </c>
      <c r="D176" s="5"/>
      <c r="E176" s="5"/>
      <c r="F176" s="5"/>
      <c r="G176">
        <f t="shared" si="2"/>
        <v>0</v>
      </c>
      <c r="H176" s="5"/>
      <c r="I176" s="5" t="s">
        <v>74</v>
      </c>
      <c r="J176" s="5"/>
    </row>
    <row r="177" spans="1:10" x14ac:dyDescent="0.25">
      <c r="A177" t="str">
        <f>'LIVE SOURCE'!A177</f>
        <v>TE</v>
      </c>
      <c r="B177" t="str">
        <f>'LIVE SOURCE'!B177</f>
        <v>Hunter Henry</v>
      </c>
      <c r="C177" s="4">
        <f>'LIVE SOURCE'!D177</f>
        <v>76.252600000000001</v>
      </c>
      <c r="D177" s="5"/>
      <c r="E177" s="5"/>
      <c r="F177" s="5"/>
      <c r="G177">
        <f t="shared" si="2"/>
        <v>0</v>
      </c>
      <c r="H177" s="5"/>
      <c r="I177" s="5" t="s">
        <v>74</v>
      </c>
      <c r="J177" s="5"/>
    </row>
    <row r="178" spans="1:10" x14ac:dyDescent="0.25">
      <c r="A178" t="str">
        <f>'LIVE SOURCE'!A178</f>
        <v>TE</v>
      </c>
      <c r="B178" t="str">
        <f>'LIVE SOURCE'!B178</f>
        <v>Brenton Strange</v>
      </c>
      <c r="C178" s="4">
        <f>'LIVE SOURCE'!D178</f>
        <v>76.0321</v>
      </c>
      <c r="D178" s="5"/>
      <c r="E178" s="5"/>
      <c r="F178" s="5"/>
      <c r="G178">
        <f t="shared" si="2"/>
        <v>0</v>
      </c>
      <c r="H178" s="5"/>
      <c r="I178" s="5" t="s">
        <v>74</v>
      </c>
      <c r="J178" s="5"/>
    </row>
    <row r="179" spans="1:10" x14ac:dyDescent="0.25">
      <c r="A179" t="str">
        <f>'LIVE SOURCE'!A179</f>
        <v>TE</v>
      </c>
      <c r="B179" t="str">
        <f>'LIVE SOURCE'!B179</f>
        <v>Chig Okonkwo</v>
      </c>
      <c r="C179" s="4">
        <f>'LIVE SOURCE'!D179</f>
        <v>75.513199999999998</v>
      </c>
      <c r="D179" s="5"/>
      <c r="E179" s="5"/>
      <c r="F179" s="5"/>
      <c r="G179">
        <f t="shared" si="2"/>
        <v>0</v>
      </c>
      <c r="H179" s="5"/>
      <c r="I179" s="5" t="s">
        <v>74</v>
      </c>
      <c r="J179" s="5"/>
    </row>
    <row r="180" spans="1:10" x14ac:dyDescent="0.25">
      <c r="A180" t="str">
        <f>'LIVE SOURCE'!A180</f>
        <v>TE</v>
      </c>
      <c r="B180" t="str">
        <f>'LIVE SOURCE'!B180</f>
        <v>Kenyon Sadiq</v>
      </c>
      <c r="C180" s="4">
        <f>'LIVE SOURCE'!D180</f>
        <v>74.093800000000002</v>
      </c>
      <c r="D180" s="5"/>
      <c r="E180" s="5"/>
      <c r="F180" s="5"/>
      <c r="G180">
        <f t="shared" si="2"/>
        <v>0</v>
      </c>
      <c r="H180" s="5"/>
      <c r="I180" s="5" t="s">
        <v>74</v>
      </c>
      <c r="J180" s="5"/>
    </row>
    <row r="181" spans="1:10" x14ac:dyDescent="0.25">
      <c r="A181" t="str">
        <f>'LIVE SOURCE'!A181</f>
        <v>TE</v>
      </c>
      <c r="B181" t="str">
        <f>'LIVE SOURCE'!B181</f>
        <v>T.J. Hockenson</v>
      </c>
      <c r="C181" s="4">
        <f>'LIVE SOURCE'!D181</f>
        <v>73.852699999999999</v>
      </c>
      <c r="D181" s="5"/>
      <c r="E181" s="5"/>
      <c r="F181" s="5"/>
      <c r="G181">
        <f t="shared" si="2"/>
        <v>0</v>
      </c>
      <c r="H181" s="5"/>
      <c r="I181" s="5" t="s">
        <v>74</v>
      </c>
      <c r="J181" s="5"/>
    </row>
    <row r="182" spans="1:10" x14ac:dyDescent="0.25">
      <c r="A182" t="str">
        <f>'LIVE SOURCE'!A182</f>
        <v>TE</v>
      </c>
      <c r="B182" t="str">
        <f>'LIVE SOURCE'!B182</f>
        <v>Dalton Schultz</v>
      </c>
      <c r="C182" s="4">
        <f>'LIVE SOURCE'!D182</f>
        <v>73.279499999999999</v>
      </c>
      <c r="D182" s="5"/>
      <c r="E182" s="5"/>
      <c r="F182" s="5"/>
      <c r="G182">
        <f t="shared" si="2"/>
        <v>0</v>
      </c>
      <c r="H182" s="5"/>
      <c r="I182" s="5" t="s">
        <v>74</v>
      </c>
      <c r="J182" s="5"/>
    </row>
    <row r="183" spans="1:10" x14ac:dyDescent="0.25">
      <c r="A183" t="str">
        <f>'LIVE SOURCE'!A183</f>
        <v>TE</v>
      </c>
      <c r="B183" t="str">
        <f>'LIVE SOURCE'!B183</f>
        <v>Oronde Gadsden II</v>
      </c>
      <c r="C183" s="4">
        <f>'LIVE SOURCE'!D183</f>
        <v>72.513800000000003</v>
      </c>
      <c r="D183" s="5"/>
      <c r="E183" s="5"/>
      <c r="F183" s="5"/>
      <c r="G183">
        <f t="shared" si="2"/>
        <v>0</v>
      </c>
      <c r="H183" s="5"/>
      <c r="I183" s="5" t="s">
        <v>74</v>
      </c>
      <c r="J183" s="5"/>
    </row>
    <row r="184" spans="1:10" x14ac:dyDescent="0.25">
      <c r="A184" t="str">
        <f>'LIVE SOURCE'!A184</f>
        <v>TE</v>
      </c>
      <c r="B184" t="str">
        <f>'LIVE SOURCE'!B184</f>
        <v>AJ Barner</v>
      </c>
      <c r="C184" s="4">
        <f>'LIVE SOURCE'!D184</f>
        <v>70.124499999999998</v>
      </c>
      <c r="D184" s="5"/>
      <c r="E184" s="5"/>
      <c r="F184" s="5"/>
      <c r="G184">
        <f t="shared" si="2"/>
        <v>0</v>
      </c>
      <c r="H184" s="5"/>
      <c r="I184" s="5" t="s">
        <v>74</v>
      </c>
      <c r="J184" s="5"/>
    </row>
    <row r="185" spans="1:10" x14ac:dyDescent="0.25">
      <c r="A185" t="str">
        <f>'LIVE SOURCE'!A185</f>
        <v>TE</v>
      </c>
      <c r="B185" t="str">
        <f>'LIVE SOURCE'!B185</f>
        <v>Cade Otton</v>
      </c>
      <c r="C185" s="4">
        <f>'LIVE SOURCE'!D185</f>
        <v>66.649000000000001</v>
      </c>
      <c r="D185" s="5"/>
      <c r="E185" s="5"/>
      <c r="F185" s="5"/>
      <c r="G185">
        <f t="shared" si="2"/>
        <v>0</v>
      </c>
      <c r="H185" s="5"/>
      <c r="I185" s="5" t="s">
        <v>74</v>
      </c>
      <c r="J185" s="5"/>
    </row>
    <row r="186" spans="1:10" x14ac:dyDescent="0.25">
      <c r="A186" t="str">
        <f>'LIVE SOURCE'!A186</f>
        <v>TE</v>
      </c>
      <c r="B186" t="str">
        <f>'LIVE SOURCE'!B186</f>
        <v>Gunnar Helm</v>
      </c>
      <c r="C186" s="4">
        <f>'LIVE SOURCE'!D186</f>
        <v>66.622299999999996</v>
      </c>
      <c r="D186" s="5"/>
      <c r="E186" s="5"/>
      <c r="F186" s="5"/>
      <c r="G186">
        <f t="shared" si="2"/>
        <v>0</v>
      </c>
      <c r="H186" s="5"/>
      <c r="I186" s="5" t="s">
        <v>74</v>
      </c>
      <c r="J186" s="5"/>
    </row>
    <row r="187" spans="1:10" x14ac:dyDescent="0.25">
      <c r="A187" t="str">
        <f>'LIVE SOURCE'!A187</f>
        <v>TE</v>
      </c>
      <c r="B187" t="str">
        <f>'LIVE SOURCE'!B187</f>
        <v>Terrance Ferguson</v>
      </c>
      <c r="C187" s="4">
        <f>'LIVE SOURCE'!D187</f>
        <v>64.362099999999998</v>
      </c>
      <c r="D187" s="5"/>
      <c r="E187" s="5"/>
      <c r="F187" s="5"/>
      <c r="G187">
        <f t="shared" si="2"/>
        <v>0</v>
      </c>
      <c r="H187" s="5"/>
      <c r="I187" s="5" t="s">
        <v>74</v>
      </c>
      <c r="J187" s="5"/>
    </row>
    <row r="188" spans="1:10" x14ac:dyDescent="0.25">
      <c r="A188" t="str">
        <f>'LIVE SOURCE'!A188</f>
        <v>TE</v>
      </c>
      <c r="B188" t="str">
        <f>'LIVE SOURCE'!B188</f>
        <v>Pat Freiermuth</v>
      </c>
      <c r="C188" s="4">
        <f>'LIVE SOURCE'!D188</f>
        <v>69.599999999999994</v>
      </c>
      <c r="D188" s="5"/>
      <c r="E188" s="5"/>
      <c r="F188" s="5"/>
      <c r="G188">
        <f t="shared" si="2"/>
        <v>0</v>
      </c>
      <c r="H188" s="5"/>
      <c r="I188" s="5" t="s">
        <v>74</v>
      </c>
      <c r="J188" s="5"/>
    </row>
    <row r="189" spans="1:10" x14ac:dyDescent="0.25">
      <c r="A189" t="str">
        <f>'LIVE SOURCE'!A189</f>
        <v>K</v>
      </c>
      <c r="B189" t="str">
        <f>'LIVE SOURCE'!B189</f>
        <v>Brandon Aubrey</v>
      </c>
      <c r="C189" s="4">
        <f>'LIVE SOURCE'!D189</f>
        <v>94</v>
      </c>
      <c r="D189" s="5"/>
      <c r="E189" s="5"/>
      <c r="F189" s="5"/>
      <c r="G189">
        <f t="shared" si="2"/>
        <v>0</v>
      </c>
      <c r="H189" s="5"/>
      <c r="I189" s="5" t="s">
        <v>74</v>
      </c>
      <c r="J189" s="5"/>
    </row>
    <row r="190" spans="1:10" x14ac:dyDescent="0.25">
      <c r="A190" t="str">
        <f>'LIVE SOURCE'!A190</f>
        <v>K</v>
      </c>
      <c r="B190" t="str">
        <f>'LIVE SOURCE'!B190</f>
        <v>Ka'imi Fairbairn</v>
      </c>
      <c r="C190" s="4">
        <f>'LIVE SOURCE'!D190</f>
        <v>91.8</v>
      </c>
      <c r="D190" s="5"/>
      <c r="E190" s="5"/>
      <c r="F190" s="5"/>
      <c r="G190">
        <f t="shared" si="2"/>
        <v>0</v>
      </c>
      <c r="H190" s="5"/>
      <c r="I190" s="5" t="s">
        <v>74</v>
      </c>
      <c r="J190" s="5"/>
    </row>
    <row r="191" spans="1:10" x14ac:dyDescent="0.25">
      <c r="A191" t="str">
        <f>'LIVE SOURCE'!A191</f>
        <v>K</v>
      </c>
      <c r="B191" t="str">
        <f>'LIVE SOURCE'!B191</f>
        <v>Cameron Dicker</v>
      </c>
      <c r="C191" s="4">
        <f>'LIVE SOURCE'!D191</f>
        <v>89.6</v>
      </c>
      <c r="D191" s="5"/>
      <c r="E191" s="5"/>
      <c r="F191" s="5"/>
      <c r="G191">
        <f t="shared" si="2"/>
        <v>0</v>
      </c>
      <c r="H191" s="5"/>
      <c r="I191" s="5" t="s">
        <v>74</v>
      </c>
      <c r="J191" s="5"/>
    </row>
    <row r="192" spans="1:10" x14ac:dyDescent="0.25">
      <c r="A192" t="str">
        <f>'LIVE SOURCE'!A192</f>
        <v>K</v>
      </c>
      <c r="B192" t="str">
        <f>'LIVE SOURCE'!B192</f>
        <v>Jason Myers</v>
      </c>
      <c r="C192" s="4">
        <f>'LIVE SOURCE'!D192</f>
        <v>87.4</v>
      </c>
      <c r="D192" s="5"/>
      <c r="E192" s="5"/>
      <c r="F192" s="5"/>
      <c r="G192">
        <f t="shared" si="2"/>
        <v>0</v>
      </c>
      <c r="H192" s="5"/>
      <c r="I192" s="5" t="s">
        <v>74</v>
      </c>
      <c r="J192" s="5"/>
    </row>
    <row r="193" spans="1:10" x14ac:dyDescent="0.25">
      <c r="A193" t="str">
        <f>'LIVE SOURCE'!A193</f>
        <v>K</v>
      </c>
      <c r="B193" t="str">
        <f>'LIVE SOURCE'!B193</f>
        <v>Cam Little</v>
      </c>
      <c r="C193" s="4">
        <f>'LIVE SOURCE'!D193</f>
        <v>85.2</v>
      </c>
      <c r="D193" s="5"/>
      <c r="E193" s="5"/>
      <c r="F193" s="5"/>
      <c r="G193">
        <f t="shared" si="2"/>
        <v>0</v>
      </c>
      <c r="H193" s="5"/>
      <c r="I193" s="5" t="s">
        <v>74</v>
      </c>
      <c r="J193" s="5"/>
    </row>
    <row r="194" spans="1:10" x14ac:dyDescent="0.25">
      <c r="A194" t="str">
        <f>'LIVE SOURCE'!A194</f>
        <v>K</v>
      </c>
      <c r="B194" t="str">
        <f>'LIVE SOURCE'!B194</f>
        <v>Eddy Pineiro</v>
      </c>
      <c r="C194" s="4">
        <f>'LIVE SOURCE'!D194</f>
        <v>83</v>
      </c>
      <c r="D194" s="5"/>
      <c r="E194" s="5"/>
      <c r="F194" s="5"/>
      <c r="G194">
        <f t="shared" si="2"/>
        <v>0</v>
      </c>
      <c r="H194" s="5"/>
      <c r="I194" s="5" t="s">
        <v>74</v>
      </c>
      <c r="J194" s="5"/>
    </row>
    <row r="195" spans="1:10" x14ac:dyDescent="0.25">
      <c r="A195" t="str">
        <f>'LIVE SOURCE'!A195</f>
        <v>K</v>
      </c>
      <c r="B195" t="str">
        <f>'LIVE SOURCE'!B195</f>
        <v>Tyler Loop</v>
      </c>
      <c r="C195" s="4">
        <f>'LIVE SOURCE'!D195</f>
        <v>80.8</v>
      </c>
      <c r="D195" s="5"/>
      <c r="E195" s="5"/>
      <c r="F195" s="5"/>
      <c r="G195">
        <f t="shared" ref="G195:G232" si="3">SUM(D195:F195)</f>
        <v>0</v>
      </c>
      <c r="H195" s="5"/>
      <c r="I195" s="5" t="s">
        <v>74</v>
      </c>
      <c r="J195" s="5"/>
    </row>
    <row r="196" spans="1:10" x14ac:dyDescent="0.25">
      <c r="A196" t="str">
        <f>'LIVE SOURCE'!A196</f>
        <v>K</v>
      </c>
      <c r="B196" t="str">
        <f>'LIVE SOURCE'!B196</f>
        <v>Harrison Mevis</v>
      </c>
      <c r="C196" s="4">
        <f>'LIVE SOURCE'!D196</f>
        <v>78.599999999999994</v>
      </c>
      <c r="D196" s="5"/>
      <c r="E196" s="5"/>
      <c r="F196" s="5"/>
      <c r="G196">
        <f t="shared" si="3"/>
        <v>0</v>
      </c>
      <c r="H196" s="5"/>
      <c r="I196" s="5" t="s">
        <v>74</v>
      </c>
      <c r="J196" s="5"/>
    </row>
    <row r="197" spans="1:10" x14ac:dyDescent="0.25">
      <c r="A197" t="str">
        <f>'LIVE SOURCE'!A197</f>
        <v>K</v>
      </c>
      <c r="B197" t="str">
        <f>'LIVE SOURCE'!B197</f>
        <v>Chase McLaughlin</v>
      </c>
      <c r="C197" s="4">
        <f>'LIVE SOURCE'!D197</f>
        <v>76.400000000000006</v>
      </c>
      <c r="D197" s="5"/>
      <c r="E197" s="5"/>
      <c r="F197" s="5"/>
      <c r="G197">
        <f t="shared" si="3"/>
        <v>0</v>
      </c>
      <c r="H197" s="5"/>
      <c r="I197" s="5" t="s">
        <v>74</v>
      </c>
      <c r="J197" s="5"/>
    </row>
    <row r="198" spans="1:10" x14ac:dyDescent="0.25">
      <c r="A198" t="str">
        <f>'LIVE SOURCE'!A198</f>
        <v>K</v>
      </c>
      <c r="B198" t="str">
        <f>'LIVE SOURCE'!B198</f>
        <v>Cairo Santos</v>
      </c>
      <c r="C198" s="4">
        <f>'LIVE SOURCE'!D198</f>
        <v>74.2</v>
      </c>
      <c r="D198" s="5"/>
      <c r="E198" s="5"/>
      <c r="F198" s="5"/>
      <c r="G198">
        <f t="shared" si="3"/>
        <v>0</v>
      </c>
      <c r="H198" s="5"/>
      <c r="I198" s="5" t="s">
        <v>74</v>
      </c>
      <c r="J198" s="5"/>
    </row>
    <row r="199" spans="1:10" x14ac:dyDescent="0.25">
      <c r="A199" t="str">
        <f>'LIVE SOURCE'!A199</f>
        <v>K</v>
      </c>
      <c r="B199" t="str">
        <f>'LIVE SOURCE'!B199</f>
        <v>Andy Borregales</v>
      </c>
      <c r="C199" s="4">
        <f>'LIVE SOURCE'!D199</f>
        <v>72</v>
      </c>
      <c r="D199" s="5"/>
      <c r="E199" s="5"/>
      <c r="F199" s="5"/>
      <c r="G199">
        <f t="shared" si="3"/>
        <v>0</v>
      </c>
      <c r="H199" s="5"/>
      <c r="I199" s="5" t="s">
        <v>74</v>
      </c>
      <c r="J199" s="5"/>
    </row>
    <row r="200" spans="1:10" x14ac:dyDescent="0.25">
      <c r="A200" t="str">
        <f>'LIVE SOURCE'!A200</f>
        <v>K</v>
      </c>
      <c r="B200" t="str">
        <f>'LIVE SOURCE'!B200</f>
        <v>Evan McPherson</v>
      </c>
      <c r="C200" s="4">
        <f>'LIVE SOURCE'!D200</f>
        <v>69.8</v>
      </c>
      <c r="D200" s="5"/>
      <c r="E200" s="5"/>
      <c r="F200" s="5"/>
      <c r="G200">
        <f t="shared" si="3"/>
        <v>0</v>
      </c>
      <c r="H200" s="5"/>
      <c r="I200" s="5" t="s">
        <v>74</v>
      </c>
      <c r="J200" s="5"/>
    </row>
    <row r="201" spans="1:10" x14ac:dyDescent="0.25">
      <c r="A201" t="str">
        <f>'LIVE SOURCE'!A201</f>
        <v>DST</v>
      </c>
      <c r="B201" t="str">
        <f>'LIVE SOURCE'!B201</f>
        <v>Houston Texans</v>
      </c>
      <c r="C201" s="4">
        <f>'LIVE SOURCE'!D201</f>
        <v>93</v>
      </c>
      <c r="D201" s="5"/>
      <c r="E201" s="5"/>
      <c r="F201" s="5"/>
      <c r="G201">
        <f t="shared" si="3"/>
        <v>0</v>
      </c>
      <c r="H201" s="5"/>
      <c r="I201" s="5" t="s">
        <v>74</v>
      </c>
      <c r="J201" s="5"/>
    </row>
    <row r="202" spans="1:10" x14ac:dyDescent="0.25">
      <c r="A202" t="str">
        <f>'LIVE SOURCE'!A202</f>
        <v>DST</v>
      </c>
      <c r="B202" t="str">
        <f>'LIVE SOURCE'!B202</f>
        <v>Denver Broncos</v>
      </c>
      <c r="C202" s="4">
        <f>'LIVE SOURCE'!D202</f>
        <v>91.9</v>
      </c>
      <c r="D202" s="5"/>
      <c r="E202" s="5"/>
      <c r="F202" s="5"/>
      <c r="G202">
        <f t="shared" si="3"/>
        <v>0</v>
      </c>
      <c r="H202" s="5"/>
      <c r="I202" s="5" t="s">
        <v>74</v>
      </c>
      <c r="J202" s="5"/>
    </row>
    <row r="203" spans="1:10" x14ac:dyDescent="0.25">
      <c r="A203" t="str">
        <f>'LIVE SOURCE'!A203</f>
        <v>DST</v>
      </c>
      <c r="B203" t="str">
        <f>'LIVE SOURCE'!B203</f>
        <v>Seattle Seahawks</v>
      </c>
      <c r="C203" s="4">
        <f>'LIVE SOURCE'!D203</f>
        <v>90.8</v>
      </c>
      <c r="D203" s="5"/>
      <c r="E203" s="5"/>
      <c r="F203" s="5"/>
      <c r="G203">
        <f t="shared" si="3"/>
        <v>0</v>
      </c>
      <c r="H203" s="5"/>
      <c r="I203" s="5" t="s">
        <v>74</v>
      </c>
      <c r="J203" s="5"/>
    </row>
    <row r="204" spans="1:10" x14ac:dyDescent="0.25">
      <c r="A204" t="str">
        <f>'LIVE SOURCE'!A204</f>
        <v>DST</v>
      </c>
      <c r="B204" t="str">
        <f>'LIVE SOURCE'!B204</f>
        <v>Los Angeles Rams</v>
      </c>
      <c r="C204" s="4">
        <f>'LIVE SOURCE'!D204</f>
        <v>89.7</v>
      </c>
      <c r="D204" s="5"/>
      <c r="E204" s="5"/>
      <c r="F204" s="5"/>
      <c r="G204">
        <f t="shared" si="3"/>
        <v>0</v>
      </c>
      <c r="H204" s="5"/>
      <c r="I204" s="5" t="s">
        <v>74</v>
      </c>
      <c r="J204" s="5"/>
    </row>
    <row r="205" spans="1:10" x14ac:dyDescent="0.25">
      <c r="A205" t="str">
        <f>'LIVE SOURCE'!A205</f>
        <v>DST</v>
      </c>
      <c r="B205" t="str">
        <f>'LIVE SOURCE'!B205</f>
        <v>Philadelphia Eagles</v>
      </c>
      <c r="C205" s="4">
        <f>'LIVE SOURCE'!D205</f>
        <v>88.6</v>
      </c>
      <c r="D205" s="5"/>
      <c r="E205" s="5"/>
      <c r="F205" s="5"/>
      <c r="G205">
        <f t="shared" si="3"/>
        <v>0</v>
      </c>
      <c r="H205" s="5"/>
      <c r="I205" s="5" t="s">
        <v>74</v>
      </c>
      <c r="J205" s="5"/>
    </row>
    <row r="206" spans="1:10" x14ac:dyDescent="0.25">
      <c r="A206" t="str">
        <f>'LIVE SOURCE'!A206</f>
        <v>DST</v>
      </c>
      <c r="B206" t="str">
        <f>'LIVE SOURCE'!B206</f>
        <v>Minnesota Vikings</v>
      </c>
      <c r="C206" s="4">
        <f>'LIVE SOURCE'!D206</f>
        <v>87.5</v>
      </c>
      <c r="D206" s="5"/>
      <c r="E206" s="5"/>
      <c r="F206" s="5"/>
      <c r="G206">
        <f t="shared" si="3"/>
        <v>0</v>
      </c>
      <c r="H206" s="5"/>
      <c r="I206" s="5" t="s">
        <v>74</v>
      </c>
      <c r="J206" s="5"/>
    </row>
    <row r="207" spans="1:10" x14ac:dyDescent="0.25">
      <c r="A207" t="str">
        <f>'LIVE SOURCE'!A207</f>
        <v>DST</v>
      </c>
      <c r="B207" t="str">
        <f>'LIVE SOURCE'!B207</f>
        <v>New England Patriots</v>
      </c>
      <c r="C207" s="4">
        <f>'LIVE SOURCE'!D207</f>
        <v>86.4</v>
      </c>
      <c r="D207" s="5"/>
      <c r="E207" s="5"/>
      <c r="F207" s="5"/>
      <c r="G207">
        <f t="shared" si="3"/>
        <v>0</v>
      </c>
      <c r="H207" s="5"/>
      <c r="I207" s="5" t="s">
        <v>74</v>
      </c>
      <c r="J207" s="5"/>
    </row>
    <row r="208" spans="1:10" x14ac:dyDescent="0.25">
      <c r="A208" t="str">
        <f>'LIVE SOURCE'!A208</f>
        <v>DST</v>
      </c>
      <c r="B208" t="str">
        <f>'LIVE SOURCE'!B208</f>
        <v>Jacksonville Jaguars</v>
      </c>
      <c r="C208" s="4">
        <f>'LIVE SOURCE'!D208</f>
        <v>85.3</v>
      </c>
      <c r="D208" s="5"/>
      <c r="E208" s="5"/>
      <c r="F208" s="5"/>
      <c r="G208">
        <f t="shared" si="3"/>
        <v>0</v>
      </c>
      <c r="H208" s="5"/>
      <c r="I208" s="5" t="s">
        <v>74</v>
      </c>
      <c r="J208" s="5"/>
    </row>
    <row r="209" spans="1:10" x14ac:dyDescent="0.25">
      <c r="A209" t="str">
        <f>'LIVE SOURCE'!A209</f>
        <v>DST</v>
      </c>
      <c r="B209" t="str">
        <f>'LIVE SOURCE'!B209</f>
        <v>Pittsburgh Steelers</v>
      </c>
      <c r="C209" s="4">
        <f>'LIVE SOURCE'!D209</f>
        <v>84.2</v>
      </c>
      <c r="D209" s="5"/>
      <c r="E209" s="5"/>
      <c r="F209" s="5"/>
      <c r="G209">
        <f t="shared" si="3"/>
        <v>0</v>
      </c>
      <c r="H209" s="5"/>
      <c r="I209" s="5" t="s">
        <v>74</v>
      </c>
      <c r="J209" s="5"/>
    </row>
    <row r="210" spans="1:10" x14ac:dyDescent="0.25">
      <c r="A210" t="str">
        <f>'LIVE SOURCE'!A210</f>
        <v>DST</v>
      </c>
      <c r="B210" t="str">
        <f>'LIVE SOURCE'!B210</f>
        <v>Los Angeles Chargers</v>
      </c>
      <c r="C210" s="4">
        <f>'LIVE SOURCE'!D210</f>
        <v>83.1</v>
      </c>
      <c r="D210" s="5"/>
      <c r="E210" s="5"/>
      <c r="F210" s="5"/>
      <c r="G210">
        <f t="shared" si="3"/>
        <v>0</v>
      </c>
      <c r="H210" s="5"/>
      <c r="I210" s="5" t="s">
        <v>74</v>
      </c>
      <c r="J210" s="5"/>
    </row>
    <row r="211" spans="1:10" x14ac:dyDescent="0.25">
      <c r="A211" t="str">
        <f>'LIVE SOURCE'!A211</f>
        <v>DST</v>
      </c>
      <c r="B211" t="str">
        <f>'LIVE SOURCE'!B211</f>
        <v>Baltimore Ravens</v>
      </c>
      <c r="C211" s="4">
        <f>'LIVE SOURCE'!D211</f>
        <v>82</v>
      </c>
      <c r="D211" s="5"/>
      <c r="E211" s="5"/>
      <c r="F211" s="5"/>
      <c r="G211">
        <f t="shared" si="3"/>
        <v>0</v>
      </c>
      <c r="H211" s="5"/>
      <c r="I211" s="5" t="s">
        <v>74</v>
      </c>
      <c r="J211" s="5"/>
    </row>
    <row r="212" spans="1:10" x14ac:dyDescent="0.25">
      <c r="A212" t="str">
        <f>'LIVE SOURCE'!A212</f>
        <v>DST</v>
      </c>
      <c r="B212" t="str">
        <f>'LIVE SOURCE'!B212</f>
        <v>Green Bay Packers</v>
      </c>
      <c r="C212" s="4">
        <f>'LIVE SOURCE'!D212</f>
        <v>80.900000000000006</v>
      </c>
      <c r="D212" s="5"/>
      <c r="E212" s="5"/>
      <c r="F212" s="5"/>
      <c r="G212">
        <f t="shared" si="3"/>
        <v>0</v>
      </c>
      <c r="H212" s="5"/>
      <c r="I212" s="5" t="s">
        <v>74</v>
      </c>
      <c r="J212" s="5"/>
    </row>
    <row r="213" spans="1:10" x14ac:dyDescent="0.25">
      <c r="A213" t="str">
        <f>'LIVE SOURCE'!A213</f>
        <v>DST</v>
      </c>
      <c r="B213" t="str">
        <f>'LIVE SOURCE'!B213</f>
        <v>Detroit Lions</v>
      </c>
      <c r="C213" s="4">
        <f>'LIVE SOURCE'!D213</f>
        <v>79.8</v>
      </c>
      <c r="D213" s="5"/>
      <c r="E213" s="5"/>
      <c r="F213" s="5"/>
      <c r="G213">
        <f t="shared" si="3"/>
        <v>0</v>
      </c>
      <c r="H213" s="5"/>
      <c r="I213" s="5" t="s">
        <v>74</v>
      </c>
      <c r="J213" s="5"/>
    </row>
    <row r="214" spans="1:10" x14ac:dyDescent="0.25">
      <c r="A214" t="str">
        <f>'LIVE SOURCE'!A214</f>
        <v>DST</v>
      </c>
      <c r="B214" t="str">
        <f>'LIVE SOURCE'!B214</f>
        <v>Buffalo Bills</v>
      </c>
      <c r="C214" s="4">
        <f>'LIVE SOURCE'!D214</f>
        <v>78.7</v>
      </c>
      <c r="D214" s="5"/>
      <c r="E214" s="5"/>
      <c r="F214" s="5"/>
      <c r="G214">
        <f t="shared" si="3"/>
        <v>0</v>
      </c>
      <c r="H214" s="5"/>
      <c r="I214" s="5" t="s">
        <v>74</v>
      </c>
      <c r="J214" s="5"/>
    </row>
    <row r="215" spans="1:10" x14ac:dyDescent="0.25">
      <c r="A215" t="str">
        <f>'LIVE SOURCE'!A215</f>
        <v>DST</v>
      </c>
      <c r="B215" t="str">
        <f>'LIVE SOURCE'!B215</f>
        <v>Kansas City Chiefs</v>
      </c>
      <c r="C215" s="4">
        <f>'LIVE SOURCE'!D215</f>
        <v>77.599999999999994</v>
      </c>
      <c r="D215" s="5"/>
      <c r="E215" s="5"/>
      <c r="F215" s="5"/>
      <c r="G215">
        <f t="shared" si="3"/>
        <v>0</v>
      </c>
      <c r="H215" s="5"/>
      <c r="I215" s="5" t="s">
        <v>74</v>
      </c>
      <c r="J215" s="5"/>
    </row>
    <row r="216" spans="1:10" x14ac:dyDescent="0.25">
      <c r="A216" t="str">
        <f>'LIVE SOURCE'!A216</f>
        <v>DST</v>
      </c>
      <c r="B216" t="str">
        <f>'LIVE SOURCE'!B216</f>
        <v>Cleveland Browns</v>
      </c>
      <c r="C216" s="4">
        <f>'LIVE SOURCE'!D216</f>
        <v>76.5</v>
      </c>
      <c r="D216" s="5"/>
      <c r="E216" s="5"/>
      <c r="F216" s="5"/>
      <c r="G216">
        <f t="shared" si="3"/>
        <v>0</v>
      </c>
      <c r="H216" s="5"/>
      <c r="I216" s="5" t="s">
        <v>74</v>
      </c>
      <c r="J216" s="5"/>
    </row>
    <row r="217" spans="1:10" x14ac:dyDescent="0.25">
      <c r="A217" t="str">
        <f>'LIVE SOURCE'!A217</f>
        <v>DST</v>
      </c>
      <c r="B217" t="str">
        <f>'LIVE SOURCE'!B217</f>
        <v>San Francisco 49ers</v>
      </c>
      <c r="C217" s="4">
        <f>'LIVE SOURCE'!D217</f>
        <v>75.400000000000006</v>
      </c>
      <c r="D217" s="5"/>
      <c r="E217" s="5"/>
      <c r="F217" s="5"/>
      <c r="G217">
        <f t="shared" si="3"/>
        <v>0</v>
      </c>
      <c r="H217" s="5"/>
      <c r="I217" s="5" t="s">
        <v>74</v>
      </c>
      <c r="J217" s="5"/>
    </row>
    <row r="218" spans="1:10" x14ac:dyDescent="0.25">
      <c r="A218" t="str">
        <f>'LIVE SOURCE'!A218</f>
        <v>DST</v>
      </c>
      <c r="B218" t="str">
        <f>'LIVE SOURCE'!B218</f>
        <v>New Orleans Saints</v>
      </c>
      <c r="C218" s="4">
        <f>'LIVE SOURCE'!D218</f>
        <v>74.3</v>
      </c>
      <c r="D218" s="5"/>
      <c r="E218" s="5"/>
      <c r="F218" s="5"/>
      <c r="G218">
        <f t="shared" si="3"/>
        <v>0</v>
      </c>
      <c r="H218" s="5"/>
      <c r="I218" s="5" t="s">
        <v>74</v>
      </c>
      <c r="J218" s="5"/>
    </row>
    <row r="219" spans="1:10" x14ac:dyDescent="0.25">
      <c r="A219" t="str">
        <f>'LIVE SOURCE'!A219</f>
        <v>DST</v>
      </c>
      <c r="B219" t="str">
        <f>'LIVE SOURCE'!B219</f>
        <v>Atlanta Falcons</v>
      </c>
      <c r="C219" s="4">
        <f>'LIVE SOURCE'!D219</f>
        <v>73.2</v>
      </c>
      <c r="D219" s="5"/>
      <c r="E219" s="5"/>
      <c r="F219" s="5"/>
      <c r="G219">
        <f t="shared" si="3"/>
        <v>0</v>
      </c>
      <c r="H219" s="5"/>
      <c r="I219" s="5" t="s">
        <v>74</v>
      </c>
      <c r="J219" s="5"/>
    </row>
    <row r="220" spans="1:10" x14ac:dyDescent="0.25">
      <c r="A220" t="str">
        <f>'LIVE SOURCE'!A220</f>
        <v>DST</v>
      </c>
      <c r="B220" t="str">
        <f>'LIVE SOURCE'!B220</f>
        <v>Chicago Bears</v>
      </c>
      <c r="C220" s="4">
        <f>'LIVE SOURCE'!D220</f>
        <v>72.099999999999994</v>
      </c>
      <c r="D220" s="5"/>
      <c r="E220" s="5"/>
      <c r="F220" s="5"/>
      <c r="G220">
        <f t="shared" si="3"/>
        <v>0</v>
      </c>
      <c r="H220" s="5"/>
      <c r="I220" s="5" t="s">
        <v>74</v>
      </c>
      <c r="J220" s="5"/>
    </row>
    <row r="221" spans="1:10" x14ac:dyDescent="0.25">
      <c r="A221" t="str">
        <f>'LIVE SOURCE'!A221</f>
        <v>DST</v>
      </c>
      <c r="B221" t="str">
        <f>'LIVE SOURCE'!B221</f>
        <v>Indianapolis Colts</v>
      </c>
      <c r="C221" s="4">
        <f>'LIVE SOURCE'!D221</f>
        <v>71</v>
      </c>
      <c r="D221" s="5"/>
      <c r="E221" s="5"/>
      <c r="F221" s="5"/>
      <c r="G221">
        <f t="shared" si="3"/>
        <v>0</v>
      </c>
      <c r="H221" s="5"/>
      <c r="I221" s="5" t="s">
        <v>74</v>
      </c>
      <c r="J221" s="5"/>
    </row>
    <row r="222" spans="1:10" x14ac:dyDescent="0.25">
      <c r="A222" t="str">
        <f>'LIVE SOURCE'!A222</f>
        <v>DST</v>
      </c>
      <c r="B222" t="str">
        <f>'LIVE SOURCE'!B222</f>
        <v>New York Giants</v>
      </c>
      <c r="C222" s="4">
        <f>'LIVE SOURCE'!D222</f>
        <v>69.900000000000006</v>
      </c>
      <c r="D222" s="5"/>
      <c r="E222" s="5"/>
      <c r="F222" s="5"/>
      <c r="G222">
        <f t="shared" si="3"/>
        <v>0</v>
      </c>
      <c r="H222" s="5"/>
      <c r="I222" s="5" t="s">
        <v>74</v>
      </c>
      <c r="J222" s="5"/>
    </row>
    <row r="223" spans="1:10" x14ac:dyDescent="0.25">
      <c r="A223" t="str">
        <f>'LIVE SOURCE'!A223</f>
        <v>DST</v>
      </c>
      <c r="B223" t="str">
        <f>'LIVE SOURCE'!B223</f>
        <v>Tampa Bay Buccaneers</v>
      </c>
      <c r="C223" s="4">
        <f>'LIVE SOURCE'!D223</f>
        <v>68.8</v>
      </c>
      <c r="D223" s="5"/>
      <c r="E223" s="5"/>
      <c r="F223" s="5"/>
      <c r="G223">
        <f t="shared" si="3"/>
        <v>0</v>
      </c>
      <c r="H223" s="5"/>
      <c r="I223" s="5" t="s">
        <v>74</v>
      </c>
      <c r="J223" s="5"/>
    </row>
    <row r="224" spans="1:10" x14ac:dyDescent="0.25">
      <c r="A224" t="str">
        <f>'LIVE SOURCE'!A224</f>
        <v>DST</v>
      </c>
      <c r="B224" t="str">
        <f>'LIVE SOURCE'!B224</f>
        <v>Dallas Cowboys</v>
      </c>
      <c r="C224" s="4">
        <f>'LIVE SOURCE'!D224</f>
        <v>67.7</v>
      </c>
      <c r="D224" s="5"/>
      <c r="E224" s="5"/>
      <c r="F224" s="5"/>
      <c r="G224">
        <f t="shared" si="3"/>
        <v>0</v>
      </c>
      <c r="H224" s="5"/>
      <c r="I224" s="5" t="s">
        <v>74</v>
      </c>
      <c r="J224" s="5"/>
    </row>
    <row r="225" spans="1:10" x14ac:dyDescent="0.25">
      <c r="A225" t="str">
        <f>'LIVE SOURCE'!A225</f>
        <v>DST</v>
      </c>
      <c r="B225" t="str">
        <f>'LIVE SOURCE'!B225</f>
        <v>Carolina Panthers</v>
      </c>
      <c r="C225" s="4">
        <f>'LIVE SOURCE'!D225</f>
        <v>66.599999999999994</v>
      </c>
      <c r="D225" s="5"/>
      <c r="E225" s="5"/>
      <c r="F225" s="5"/>
      <c r="G225">
        <f t="shared" si="3"/>
        <v>0</v>
      </c>
      <c r="H225" s="5"/>
      <c r="I225" s="5" t="s">
        <v>74</v>
      </c>
      <c r="J225" s="5"/>
    </row>
    <row r="226" spans="1:10" x14ac:dyDescent="0.25">
      <c r="A226" t="str">
        <f>'LIVE SOURCE'!A226</f>
        <v>DST</v>
      </c>
      <c r="B226" t="str">
        <f>'LIVE SOURCE'!B226</f>
        <v>Tennessee Titans</v>
      </c>
      <c r="C226" s="4">
        <f>'LIVE SOURCE'!D226</f>
        <v>65.5</v>
      </c>
      <c r="D226" s="5"/>
      <c r="E226" s="5"/>
      <c r="F226" s="5"/>
      <c r="G226">
        <f t="shared" si="3"/>
        <v>0</v>
      </c>
      <c r="H226" s="5"/>
      <c r="I226" s="5" t="s">
        <v>74</v>
      </c>
      <c r="J226" s="5"/>
    </row>
    <row r="227" spans="1:10" x14ac:dyDescent="0.25">
      <c r="A227" t="str">
        <f>'LIVE SOURCE'!A227</f>
        <v>DST</v>
      </c>
      <c r="B227" t="str">
        <f>'LIVE SOURCE'!B227</f>
        <v>Miami Dolphins</v>
      </c>
      <c r="C227" s="4">
        <f>'LIVE SOURCE'!D227</f>
        <v>64.400000000000006</v>
      </c>
      <c r="D227" s="5"/>
      <c r="E227" s="5"/>
      <c r="F227" s="5"/>
      <c r="G227">
        <f t="shared" si="3"/>
        <v>0</v>
      </c>
      <c r="H227" s="5"/>
      <c r="I227" s="5" t="s">
        <v>74</v>
      </c>
      <c r="J227" s="5"/>
    </row>
    <row r="228" spans="1:10" x14ac:dyDescent="0.25">
      <c r="A228" t="str">
        <f>'LIVE SOURCE'!A228</f>
        <v>DST</v>
      </c>
      <c r="B228" t="str">
        <f>'LIVE SOURCE'!B228</f>
        <v>Washington Commanders</v>
      </c>
      <c r="C228" s="4">
        <f>'LIVE SOURCE'!D228</f>
        <v>63.3</v>
      </c>
      <c r="D228" s="5"/>
      <c r="E228" s="5"/>
      <c r="F228" s="5"/>
      <c r="G228">
        <f t="shared" si="3"/>
        <v>0</v>
      </c>
      <c r="H228" s="5"/>
      <c r="I228" s="5" t="s">
        <v>74</v>
      </c>
      <c r="J228" s="5"/>
    </row>
    <row r="229" spans="1:10" x14ac:dyDescent="0.25">
      <c r="A229" t="str">
        <f>'LIVE SOURCE'!A229</f>
        <v>DST</v>
      </c>
      <c r="B229" t="str">
        <f>'LIVE SOURCE'!B229</f>
        <v>New York Jets</v>
      </c>
      <c r="C229" s="4">
        <f>'LIVE SOURCE'!D229</f>
        <v>62.2</v>
      </c>
      <c r="D229" s="5"/>
      <c r="E229" s="5"/>
      <c r="F229" s="5"/>
      <c r="G229">
        <f t="shared" si="3"/>
        <v>0</v>
      </c>
      <c r="H229" s="5"/>
      <c r="I229" s="5" t="s">
        <v>74</v>
      </c>
      <c r="J229" s="5"/>
    </row>
    <row r="230" spans="1:10" x14ac:dyDescent="0.25">
      <c r="A230" t="str">
        <f>'LIVE SOURCE'!A230</f>
        <v>DST</v>
      </c>
      <c r="B230" t="str">
        <f>'LIVE SOURCE'!B230</f>
        <v>Arizona Cardinals</v>
      </c>
      <c r="C230" s="4">
        <f>'LIVE SOURCE'!D230</f>
        <v>61.1</v>
      </c>
      <c r="D230" s="5"/>
      <c r="E230" s="5"/>
      <c r="F230" s="5"/>
      <c r="G230">
        <f t="shared" si="3"/>
        <v>0</v>
      </c>
      <c r="H230" s="5"/>
      <c r="I230" s="5" t="s">
        <v>74</v>
      </c>
      <c r="J230" s="5"/>
    </row>
    <row r="231" spans="1:10" x14ac:dyDescent="0.25">
      <c r="A231" t="str">
        <f>'LIVE SOURCE'!A231</f>
        <v>DST</v>
      </c>
      <c r="B231" t="str">
        <f>'LIVE SOURCE'!B231</f>
        <v>Cincinnati Bengals</v>
      </c>
      <c r="C231" s="4">
        <f>'LIVE SOURCE'!D231</f>
        <v>60</v>
      </c>
      <c r="D231" s="5"/>
      <c r="E231" s="5"/>
      <c r="F231" s="5"/>
      <c r="G231">
        <f t="shared" si="3"/>
        <v>0</v>
      </c>
      <c r="H231" s="5"/>
      <c r="I231" s="5" t="s">
        <v>74</v>
      </c>
      <c r="J231" s="5"/>
    </row>
    <row r="232" spans="1:10" x14ac:dyDescent="0.25">
      <c r="A232" t="str">
        <f>'LIVE SOURCE'!A232</f>
        <v>DST</v>
      </c>
      <c r="B232" t="str">
        <f>'LIVE SOURCE'!B232</f>
        <v>Las Vegas Raiders</v>
      </c>
      <c r="C232" s="4">
        <f>'LIVE SOURCE'!D232</f>
        <v>58.9</v>
      </c>
      <c r="D232" s="5"/>
      <c r="E232" s="5"/>
      <c r="F232" s="5"/>
      <c r="G232">
        <f t="shared" si="3"/>
        <v>0</v>
      </c>
      <c r="H232" s="5"/>
      <c r="I232" s="5" t="s">
        <v>74</v>
      </c>
      <c r="J23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D7D31"/>
  </sheetPr>
  <dimension ref="A1:L232"/>
  <sheetViews>
    <sheetView workbookViewId="0">
      <pane ySplit="2" topLeftCell="A3" activePane="bottomLeft" state="frozen"/>
      <selection pane="bottomLeft"/>
    </sheetView>
  </sheetViews>
  <sheetFormatPr defaultRowHeight="15" x14ac:dyDescent="0.25"/>
  <cols>
    <col min="1" max="1" width="6" customWidth="1"/>
    <col min="2" max="2" width="22" customWidth="1"/>
    <col min="3" max="3" width="6" customWidth="1"/>
    <col min="4" max="4" width="11" customWidth="1"/>
    <col min="5" max="6" width="10" customWidth="1"/>
    <col min="7" max="7" width="22" customWidth="1"/>
    <col min="8" max="8" width="50" customWidth="1"/>
    <col min="9" max="9" width="60" customWidth="1"/>
    <col min="10" max="10" width="50" customWidth="1"/>
    <col min="11" max="11" width="40" customWidth="1"/>
    <col min="12" max="12" width="6" customWidth="1"/>
  </cols>
  <sheetData>
    <row r="1" spans="1:12" ht="18.75" x14ac:dyDescent="0.3">
      <c r="A1" s="1" t="s">
        <v>78</v>
      </c>
    </row>
    <row r="2" spans="1:12" ht="27.95" customHeight="1" x14ac:dyDescent="0.25">
      <c r="A2" s="3" t="s">
        <v>3</v>
      </c>
      <c r="B2" s="3" t="s">
        <v>65</v>
      </c>
      <c r="C2" s="3" t="s">
        <v>79</v>
      </c>
      <c r="D2" s="3" t="s">
        <v>66</v>
      </c>
      <c r="E2" s="3" t="s">
        <v>9</v>
      </c>
      <c r="F2" s="3" t="s">
        <v>80</v>
      </c>
      <c r="G2" s="3" t="s">
        <v>81</v>
      </c>
      <c r="H2" s="3" t="s">
        <v>13</v>
      </c>
      <c r="I2" s="3" t="s">
        <v>82</v>
      </c>
      <c r="J2" s="3" t="s">
        <v>83</v>
      </c>
      <c r="K2" s="3" t="s">
        <v>73</v>
      </c>
      <c r="L2" s="3" t="s">
        <v>15</v>
      </c>
    </row>
    <row r="3" spans="1:12" x14ac:dyDescent="0.25">
      <c r="A3" t="s">
        <v>31</v>
      </c>
      <c r="B3" t="s">
        <v>84</v>
      </c>
      <c r="C3" t="s">
        <v>85</v>
      </c>
      <c r="D3" s="8">
        <v>97.309899999999999</v>
      </c>
      <c r="E3" s="8">
        <v>26.6</v>
      </c>
      <c r="F3" s="5" t="s">
        <v>86</v>
      </c>
      <c r="G3" t="s">
        <v>87</v>
      </c>
      <c r="H3" t="s">
        <v>88</v>
      </c>
      <c r="I3" t="s">
        <v>89</v>
      </c>
      <c r="J3" t="s">
        <v>90</v>
      </c>
      <c r="K3" t="s">
        <v>91</v>
      </c>
      <c r="L3">
        <v>7</v>
      </c>
    </row>
    <row r="4" spans="1:12" x14ac:dyDescent="0.25">
      <c r="A4" t="s">
        <v>31</v>
      </c>
      <c r="B4" t="s">
        <v>92</v>
      </c>
      <c r="C4" t="s">
        <v>93</v>
      </c>
      <c r="D4" s="8">
        <v>92.192700000000002</v>
      </c>
      <c r="E4" s="8">
        <v>107.5</v>
      </c>
      <c r="F4" s="5" t="s">
        <v>86</v>
      </c>
      <c r="G4" t="s">
        <v>87</v>
      </c>
      <c r="H4" t="s">
        <v>88</v>
      </c>
      <c r="I4" t="s">
        <v>94</v>
      </c>
      <c r="J4" t="s">
        <v>90</v>
      </c>
      <c r="K4" t="s">
        <v>95</v>
      </c>
      <c r="L4">
        <v>10</v>
      </c>
    </row>
    <row r="5" spans="1:12" x14ac:dyDescent="0.25">
      <c r="A5" t="s">
        <v>31</v>
      </c>
      <c r="B5" t="s">
        <v>96</v>
      </c>
      <c r="C5" t="s">
        <v>97</v>
      </c>
      <c r="D5" s="8">
        <v>91.043000000000006</v>
      </c>
      <c r="E5" s="8">
        <v>49.8</v>
      </c>
      <c r="F5" s="5" t="s">
        <v>86</v>
      </c>
      <c r="G5" t="s">
        <v>87</v>
      </c>
      <c r="H5" t="s">
        <v>88</v>
      </c>
      <c r="I5" t="s">
        <v>98</v>
      </c>
      <c r="J5" t="s">
        <v>90</v>
      </c>
      <c r="K5" t="s">
        <v>95</v>
      </c>
      <c r="L5">
        <v>11</v>
      </c>
    </row>
    <row r="6" spans="1:12" x14ac:dyDescent="0.25">
      <c r="A6" t="s">
        <v>31</v>
      </c>
      <c r="B6" t="s">
        <v>99</v>
      </c>
      <c r="C6" t="s">
        <v>100</v>
      </c>
      <c r="D6" s="8">
        <v>90.116900000000001</v>
      </c>
      <c r="E6" s="8">
        <v>104.2</v>
      </c>
      <c r="F6" s="5" t="s">
        <v>86</v>
      </c>
      <c r="G6" t="s">
        <v>87</v>
      </c>
      <c r="H6" t="s">
        <v>101</v>
      </c>
      <c r="I6" t="s">
        <v>102</v>
      </c>
      <c r="J6" t="s">
        <v>90</v>
      </c>
      <c r="K6" t="s">
        <v>95</v>
      </c>
      <c r="L6">
        <v>7</v>
      </c>
    </row>
    <row r="7" spans="1:12" x14ac:dyDescent="0.25">
      <c r="A7" t="s">
        <v>31</v>
      </c>
      <c r="B7" t="s">
        <v>103</v>
      </c>
      <c r="C7" t="s">
        <v>104</v>
      </c>
      <c r="D7" s="8">
        <v>88.711200000000005</v>
      </c>
      <c r="E7" s="8">
        <v>52.6</v>
      </c>
      <c r="F7" s="5" t="s">
        <v>86</v>
      </c>
      <c r="G7" t="s">
        <v>87</v>
      </c>
      <c r="H7" t="s">
        <v>101</v>
      </c>
      <c r="I7" t="s">
        <v>105</v>
      </c>
      <c r="J7" t="s">
        <v>90</v>
      </c>
      <c r="K7" t="s">
        <v>95</v>
      </c>
      <c r="L7">
        <v>13</v>
      </c>
    </row>
    <row r="8" spans="1:12" x14ac:dyDescent="0.25">
      <c r="A8" t="s">
        <v>31</v>
      </c>
      <c r="B8" t="s">
        <v>106</v>
      </c>
      <c r="C8" t="s">
        <v>107</v>
      </c>
      <c r="D8" s="8">
        <v>88.4499</v>
      </c>
      <c r="E8" s="8">
        <v>73.7</v>
      </c>
      <c r="F8" s="5" t="s">
        <v>86</v>
      </c>
      <c r="G8" t="s">
        <v>87</v>
      </c>
      <c r="H8" t="s">
        <v>101</v>
      </c>
      <c r="I8" t="s">
        <v>108</v>
      </c>
      <c r="J8" t="s">
        <v>90</v>
      </c>
      <c r="K8" t="s">
        <v>95</v>
      </c>
      <c r="L8">
        <v>10</v>
      </c>
    </row>
    <row r="9" spans="1:12" x14ac:dyDescent="0.25">
      <c r="A9" t="s">
        <v>31</v>
      </c>
      <c r="B9" t="s">
        <v>109</v>
      </c>
      <c r="C9" t="s">
        <v>110</v>
      </c>
      <c r="D9" s="8">
        <v>87.006299999999996</v>
      </c>
      <c r="E9" s="8">
        <v>97.4</v>
      </c>
      <c r="F9" s="5" t="s">
        <v>86</v>
      </c>
      <c r="G9" t="s">
        <v>87</v>
      </c>
      <c r="H9" t="s">
        <v>101</v>
      </c>
      <c r="I9" t="s">
        <v>111</v>
      </c>
      <c r="J9" t="s">
        <v>90</v>
      </c>
      <c r="K9" t="s">
        <v>95</v>
      </c>
      <c r="L9">
        <v>5</v>
      </c>
    </row>
    <row r="10" spans="1:12" x14ac:dyDescent="0.25">
      <c r="A10" t="s">
        <v>31</v>
      </c>
      <c r="B10" t="s">
        <v>112</v>
      </c>
      <c r="C10" t="s">
        <v>113</v>
      </c>
      <c r="D10" s="8">
        <v>86.700299999999999</v>
      </c>
      <c r="E10" s="8">
        <v>67</v>
      </c>
      <c r="F10" s="5" t="s">
        <v>114</v>
      </c>
      <c r="G10" t="s">
        <v>87</v>
      </c>
      <c r="H10" t="s">
        <v>101</v>
      </c>
      <c r="I10" t="s">
        <v>115</v>
      </c>
      <c r="J10" t="s">
        <v>116</v>
      </c>
      <c r="K10" t="s">
        <v>95</v>
      </c>
      <c r="L10">
        <v>7</v>
      </c>
    </row>
    <row r="11" spans="1:12" x14ac:dyDescent="0.25">
      <c r="A11" t="s">
        <v>31</v>
      </c>
      <c r="B11" t="s">
        <v>117</v>
      </c>
      <c r="C11" t="s">
        <v>118</v>
      </c>
      <c r="D11" s="8">
        <v>85.591300000000004</v>
      </c>
      <c r="E11" s="8">
        <v>57.3</v>
      </c>
      <c r="F11" s="5" t="s">
        <v>114</v>
      </c>
      <c r="G11" t="s">
        <v>87</v>
      </c>
      <c r="H11" t="s">
        <v>119</v>
      </c>
      <c r="I11" t="s">
        <v>120</v>
      </c>
      <c r="J11" t="s">
        <v>121</v>
      </c>
      <c r="K11" t="s">
        <v>95</v>
      </c>
      <c r="L11">
        <v>6</v>
      </c>
    </row>
    <row r="12" spans="1:12" x14ac:dyDescent="0.25">
      <c r="A12" t="s">
        <v>31</v>
      </c>
      <c r="B12" t="s">
        <v>122</v>
      </c>
      <c r="C12" t="s">
        <v>123</v>
      </c>
      <c r="D12" s="8">
        <v>85.419700000000006</v>
      </c>
      <c r="E12" s="8">
        <v>83.7</v>
      </c>
      <c r="F12" s="5" t="s">
        <v>86</v>
      </c>
      <c r="G12" t="s">
        <v>87</v>
      </c>
      <c r="H12" t="s">
        <v>119</v>
      </c>
      <c r="I12" t="s">
        <v>124</v>
      </c>
      <c r="J12" t="s">
        <v>90</v>
      </c>
      <c r="K12" t="s">
        <v>95</v>
      </c>
      <c r="L12">
        <v>11</v>
      </c>
    </row>
    <row r="13" spans="1:12" x14ac:dyDescent="0.25">
      <c r="A13" t="s">
        <v>31</v>
      </c>
      <c r="B13" t="s">
        <v>125</v>
      </c>
      <c r="C13" t="s">
        <v>126</v>
      </c>
      <c r="D13" s="8">
        <v>85.248500000000007</v>
      </c>
      <c r="E13" s="8">
        <v>121.5</v>
      </c>
      <c r="F13" s="5" t="s">
        <v>86</v>
      </c>
      <c r="G13" t="s">
        <v>87</v>
      </c>
      <c r="H13" t="s">
        <v>119</v>
      </c>
      <c r="I13" t="s">
        <v>127</v>
      </c>
      <c r="J13" t="s">
        <v>90</v>
      </c>
      <c r="K13" t="s">
        <v>95</v>
      </c>
      <c r="L13">
        <v>10</v>
      </c>
    </row>
    <row r="14" spans="1:12" x14ac:dyDescent="0.25">
      <c r="A14" t="s">
        <v>31</v>
      </c>
      <c r="B14" t="s">
        <v>128</v>
      </c>
      <c r="C14" t="s">
        <v>129</v>
      </c>
      <c r="D14" s="8">
        <v>85.115600000000001</v>
      </c>
      <c r="E14" s="8">
        <v>65.400000000000006</v>
      </c>
      <c r="F14" s="5" t="s">
        <v>86</v>
      </c>
      <c r="G14" t="s">
        <v>87</v>
      </c>
      <c r="H14" t="s">
        <v>119</v>
      </c>
      <c r="I14" t="s">
        <v>130</v>
      </c>
      <c r="J14" t="s">
        <v>90</v>
      </c>
      <c r="K14" t="s">
        <v>95</v>
      </c>
      <c r="L14">
        <v>14</v>
      </c>
    </row>
    <row r="15" spans="1:12" x14ac:dyDescent="0.25">
      <c r="A15" t="s">
        <v>31</v>
      </c>
      <c r="B15" t="s">
        <v>131</v>
      </c>
      <c r="C15" t="s">
        <v>132</v>
      </c>
      <c r="D15" s="8">
        <v>84.692099999999996</v>
      </c>
      <c r="E15" s="8">
        <v>89.6</v>
      </c>
      <c r="F15" s="5" t="s">
        <v>86</v>
      </c>
      <c r="G15" t="s">
        <v>87</v>
      </c>
      <c r="H15" t="s">
        <v>133</v>
      </c>
      <c r="I15" t="s">
        <v>134</v>
      </c>
      <c r="J15" t="s">
        <v>90</v>
      </c>
      <c r="K15" t="s">
        <v>95</v>
      </c>
      <c r="L15">
        <v>7</v>
      </c>
    </row>
    <row r="16" spans="1:12" x14ac:dyDescent="0.25">
      <c r="A16" t="s">
        <v>31</v>
      </c>
      <c r="B16" t="s">
        <v>135</v>
      </c>
      <c r="C16" t="s">
        <v>136</v>
      </c>
      <c r="D16" s="8">
        <v>83.8386</v>
      </c>
      <c r="E16" s="8">
        <v>75.7</v>
      </c>
      <c r="F16" s="5" t="s">
        <v>114</v>
      </c>
      <c r="G16" t="s">
        <v>87</v>
      </c>
      <c r="H16" t="s">
        <v>133</v>
      </c>
      <c r="I16" t="s">
        <v>137</v>
      </c>
      <c r="J16" t="s">
        <v>138</v>
      </c>
      <c r="K16" t="s">
        <v>95</v>
      </c>
      <c r="L16">
        <v>8</v>
      </c>
    </row>
    <row r="17" spans="1:12" x14ac:dyDescent="0.25">
      <c r="A17" t="s">
        <v>31</v>
      </c>
      <c r="B17" t="s">
        <v>139</v>
      </c>
      <c r="C17" t="s">
        <v>140</v>
      </c>
      <c r="D17" s="8">
        <v>83.060699999999997</v>
      </c>
      <c r="E17" s="8">
        <v>100.4</v>
      </c>
      <c r="F17" s="5" t="s">
        <v>86</v>
      </c>
      <c r="G17" t="s">
        <v>87</v>
      </c>
      <c r="H17" t="s">
        <v>133</v>
      </c>
      <c r="I17" t="s">
        <v>141</v>
      </c>
      <c r="J17" t="s">
        <v>90</v>
      </c>
      <c r="K17" t="s">
        <v>95</v>
      </c>
      <c r="L17">
        <v>8</v>
      </c>
    </row>
    <row r="18" spans="1:12" x14ac:dyDescent="0.25">
      <c r="A18" t="s">
        <v>31</v>
      </c>
      <c r="B18" t="s">
        <v>142</v>
      </c>
      <c r="C18" t="s">
        <v>143</v>
      </c>
      <c r="D18" s="8">
        <v>82.642499999999998</v>
      </c>
      <c r="E18" s="8">
        <v>107.9</v>
      </c>
      <c r="F18" s="5" t="s">
        <v>86</v>
      </c>
      <c r="G18" t="s">
        <v>87</v>
      </c>
      <c r="H18" t="s">
        <v>133</v>
      </c>
      <c r="I18" t="s">
        <v>144</v>
      </c>
      <c r="J18" t="s">
        <v>90</v>
      </c>
      <c r="K18" t="s">
        <v>95</v>
      </c>
      <c r="L18">
        <v>6</v>
      </c>
    </row>
    <row r="19" spans="1:12" x14ac:dyDescent="0.25">
      <c r="A19" t="s">
        <v>31</v>
      </c>
      <c r="B19" t="s">
        <v>145</v>
      </c>
      <c r="C19" t="s">
        <v>146</v>
      </c>
      <c r="D19" s="8">
        <v>80.710099999999997</v>
      </c>
      <c r="E19" s="8">
        <v>146.6</v>
      </c>
      <c r="F19" s="5" t="s">
        <v>114</v>
      </c>
      <c r="G19" t="s">
        <v>87</v>
      </c>
      <c r="H19" t="s">
        <v>133</v>
      </c>
      <c r="I19" t="s">
        <v>147</v>
      </c>
      <c r="J19" t="s">
        <v>148</v>
      </c>
      <c r="K19" t="s">
        <v>95</v>
      </c>
      <c r="L19">
        <v>6</v>
      </c>
    </row>
    <row r="20" spans="1:12" x14ac:dyDescent="0.25">
      <c r="A20" t="s">
        <v>31</v>
      </c>
      <c r="B20" t="s">
        <v>149</v>
      </c>
      <c r="C20" t="s">
        <v>150</v>
      </c>
      <c r="D20" s="8">
        <v>80.040800000000004</v>
      </c>
      <c r="E20" s="8">
        <v>150.5</v>
      </c>
      <c r="F20" s="5" t="s">
        <v>86</v>
      </c>
      <c r="G20" t="s">
        <v>87</v>
      </c>
      <c r="H20" t="s">
        <v>133</v>
      </c>
      <c r="I20" t="s">
        <v>151</v>
      </c>
      <c r="J20" t="s">
        <v>90</v>
      </c>
      <c r="K20" t="s">
        <v>95</v>
      </c>
      <c r="L20">
        <v>11</v>
      </c>
    </row>
    <row r="21" spans="1:12" x14ac:dyDescent="0.25">
      <c r="A21" t="s">
        <v>31</v>
      </c>
      <c r="B21" t="s">
        <v>152</v>
      </c>
      <c r="C21" t="s">
        <v>153</v>
      </c>
      <c r="D21" s="8">
        <v>79.825999999999993</v>
      </c>
      <c r="E21" s="8">
        <v>128.6</v>
      </c>
      <c r="F21" s="5" t="s">
        <v>86</v>
      </c>
      <c r="G21" t="s">
        <v>87</v>
      </c>
      <c r="H21" t="s">
        <v>154</v>
      </c>
      <c r="I21" t="s">
        <v>155</v>
      </c>
      <c r="J21" t="s">
        <v>90</v>
      </c>
      <c r="K21" t="s">
        <v>95</v>
      </c>
      <c r="L21">
        <v>10</v>
      </c>
    </row>
    <row r="22" spans="1:12" x14ac:dyDescent="0.25">
      <c r="A22" t="s">
        <v>31</v>
      </c>
      <c r="B22" t="s">
        <v>156</v>
      </c>
      <c r="C22" t="s">
        <v>157</v>
      </c>
      <c r="D22" s="8">
        <v>77.365600000000001</v>
      </c>
      <c r="E22" s="8">
        <v>137.69999999999999</v>
      </c>
      <c r="F22" s="5" t="s">
        <v>114</v>
      </c>
      <c r="G22" t="s">
        <v>87</v>
      </c>
      <c r="H22" t="s">
        <v>154</v>
      </c>
      <c r="I22" t="s">
        <v>158</v>
      </c>
      <c r="J22" t="s">
        <v>90</v>
      </c>
      <c r="K22" t="s">
        <v>95</v>
      </c>
      <c r="L22">
        <v>8</v>
      </c>
    </row>
    <row r="23" spans="1:12" x14ac:dyDescent="0.25">
      <c r="A23" t="s">
        <v>31</v>
      </c>
      <c r="B23" t="s">
        <v>159</v>
      </c>
      <c r="C23" t="s">
        <v>160</v>
      </c>
      <c r="D23" s="8">
        <v>75.762100000000004</v>
      </c>
      <c r="E23" s="8">
        <v>162.5</v>
      </c>
      <c r="F23" s="5" t="s">
        <v>86</v>
      </c>
      <c r="G23" t="s">
        <v>87</v>
      </c>
      <c r="H23" t="s">
        <v>154</v>
      </c>
      <c r="I23" t="s">
        <v>161</v>
      </c>
      <c r="J23" t="s">
        <v>90</v>
      </c>
      <c r="K23" t="s">
        <v>95</v>
      </c>
      <c r="L23">
        <v>8</v>
      </c>
    </row>
    <row r="24" spans="1:12" x14ac:dyDescent="0.25">
      <c r="A24" t="s">
        <v>31</v>
      </c>
      <c r="B24" t="s">
        <v>162</v>
      </c>
      <c r="C24" t="s">
        <v>163</v>
      </c>
      <c r="D24" s="8">
        <v>75.554199999999994</v>
      </c>
      <c r="E24" s="8">
        <v>142.4</v>
      </c>
      <c r="F24" s="5" t="s">
        <v>86</v>
      </c>
      <c r="G24" t="s">
        <v>87</v>
      </c>
      <c r="H24" t="s">
        <v>154</v>
      </c>
      <c r="I24" t="s">
        <v>164</v>
      </c>
      <c r="J24" t="s">
        <v>90</v>
      </c>
      <c r="K24" t="s">
        <v>95</v>
      </c>
      <c r="L24">
        <v>11</v>
      </c>
    </row>
    <row r="25" spans="1:12" x14ac:dyDescent="0.25">
      <c r="A25" t="s">
        <v>31</v>
      </c>
      <c r="B25" t="s">
        <v>165</v>
      </c>
      <c r="C25" t="s">
        <v>166</v>
      </c>
      <c r="D25" s="8">
        <v>74.790400000000005</v>
      </c>
      <c r="E25" s="8">
        <v>143.9</v>
      </c>
      <c r="F25" s="5" t="s">
        <v>86</v>
      </c>
      <c r="G25" t="s">
        <v>87</v>
      </c>
      <c r="H25" t="s">
        <v>154</v>
      </c>
      <c r="I25" t="s">
        <v>167</v>
      </c>
      <c r="J25" t="s">
        <v>90</v>
      </c>
      <c r="K25" t="s">
        <v>95</v>
      </c>
      <c r="L25">
        <v>13</v>
      </c>
    </row>
    <row r="26" spans="1:12" x14ac:dyDescent="0.25">
      <c r="A26" t="s">
        <v>31</v>
      </c>
      <c r="B26" t="s">
        <v>168</v>
      </c>
      <c r="C26" t="s">
        <v>169</v>
      </c>
      <c r="D26" s="8">
        <v>74.240300000000005</v>
      </c>
      <c r="E26" s="8">
        <v>160.4</v>
      </c>
      <c r="F26" s="5" t="s">
        <v>114</v>
      </c>
      <c r="G26" t="s">
        <v>87</v>
      </c>
      <c r="H26" t="s">
        <v>154</v>
      </c>
      <c r="I26" t="s">
        <v>170</v>
      </c>
      <c r="J26" t="s">
        <v>171</v>
      </c>
      <c r="K26" t="s">
        <v>95</v>
      </c>
      <c r="L26">
        <v>6</v>
      </c>
    </row>
    <row r="27" spans="1:12" x14ac:dyDescent="0.25">
      <c r="A27" t="s">
        <v>31</v>
      </c>
      <c r="B27" t="s">
        <v>172</v>
      </c>
      <c r="C27" t="s">
        <v>173</v>
      </c>
      <c r="D27" s="8">
        <v>72.797600000000003</v>
      </c>
      <c r="E27" s="8">
        <v>174.2</v>
      </c>
      <c r="F27" s="5" t="s">
        <v>86</v>
      </c>
      <c r="G27" t="s">
        <v>87</v>
      </c>
      <c r="H27" t="s">
        <v>174</v>
      </c>
      <c r="I27" t="s">
        <v>175</v>
      </c>
      <c r="J27" t="s">
        <v>90</v>
      </c>
      <c r="K27" t="s">
        <v>95</v>
      </c>
      <c r="L27">
        <v>5</v>
      </c>
    </row>
    <row r="28" spans="1:12" x14ac:dyDescent="0.25">
      <c r="A28" t="s">
        <v>31</v>
      </c>
      <c r="B28" t="s">
        <v>176</v>
      </c>
      <c r="C28" t="s">
        <v>177</v>
      </c>
      <c r="D28" s="8">
        <v>72.664599999999993</v>
      </c>
      <c r="E28" s="8">
        <v>175.6</v>
      </c>
      <c r="F28" s="5" t="s">
        <v>86</v>
      </c>
      <c r="G28" t="s">
        <v>87</v>
      </c>
      <c r="H28" t="s">
        <v>174</v>
      </c>
      <c r="I28" t="s">
        <v>178</v>
      </c>
      <c r="J28" t="s">
        <v>90</v>
      </c>
      <c r="K28" t="s">
        <v>95</v>
      </c>
      <c r="L28">
        <v>9</v>
      </c>
    </row>
    <row r="29" spans="1:12" x14ac:dyDescent="0.25">
      <c r="A29" t="s">
        <v>31</v>
      </c>
      <c r="B29" t="s">
        <v>179</v>
      </c>
      <c r="C29" t="s">
        <v>180</v>
      </c>
      <c r="D29" s="8">
        <v>71.333399999999997</v>
      </c>
      <c r="E29" s="8">
        <v>167.4</v>
      </c>
      <c r="F29" s="5" t="s">
        <v>86</v>
      </c>
      <c r="G29" t="s">
        <v>87</v>
      </c>
      <c r="H29" t="s">
        <v>174</v>
      </c>
      <c r="I29" t="s">
        <v>181</v>
      </c>
      <c r="J29" t="s">
        <v>90</v>
      </c>
      <c r="K29" t="s">
        <v>95</v>
      </c>
      <c r="L29">
        <v>14</v>
      </c>
    </row>
    <row r="30" spans="1:12" x14ac:dyDescent="0.25">
      <c r="A30" t="s">
        <v>31</v>
      </c>
      <c r="B30" t="s">
        <v>182</v>
      </c>
      <c r="C30" t="s">
        <v>183</v>
      </c>
      <c r="D30" s="8">
        <v>71.098600000000005</v>
      </c>
      <c r="E30" s="8">
        <v>238</v>
      </c>
      <c r="F30" s="5" t="s">
        <v>86</v>
      </c>
      <c r="G30" t="s">
        <v>87</v>
      </c>
      <c r="H30" t="s">
        <v>174</v>
      </c>
      <c r="I30" t="s">
        <v>184</v>
      </c>
      <c r="J30" t="s">
        <v>90</v>
      </c>
      <c r="K30" t="s">
        <v>95</v>
      </c>
      <c r="L30">
        <v>13</v>
      </c>
    </row>
    <row r="31" spans="1:12" x14ac:dyDescent="0.25">
      <c r="A31" t="s">
        <v>31</v>
      </c>
      <c r="B31" t="s">
        <v>185</v>
      </c>
      <c r="C31" t="s">
        <v>186</v>
      </c>
      <c r="D31" s="8">
        <v>70.884799999999998</v>
      </c>
      <c r="E31" s="8">
        <v>168.1</v>
      </c>
      <c r="F31" s="5" t="s">
        <v>86</v>
      </c>
      <c r="G31" t="s">
        <v>87</v>
      </c>
      <c r="H31" t="s">
        <v>174</v>
      </c>
      <c r="I31" t="s">
        <v>187</v>
      </c>
      <c r="J31" t="s">
        <v>90</v>
      </c>
      <c r="K31" t="s">
        <v>95</v>
      </c>
      <c r="L31">
        <v>9</v>
      </c>
    </row>
    <row r="32" spans="1:12" x14ac:dyDescent="0.25">
      <c r="A32" t="s">
        <v>31</v>
      </c>
      <c r="B32" t="s">
        <v>188</v>
      </c>
      <c r="C32" t="s">
        <v>189</v>
      </c>
      <c r="D32" s="8">
        <v>67.851200000000006</v>
      </c>
      <c r="E32" s="8">
        <v>254</v>
      </c>
      <c r="F32" s="5" t="s">
        <v>86</v>
      </c>
      <c r="G32" t="s">
        <v>87</v>
      </c>
      <c r="H32" t="s">
        <v>174</v>
      </c>
      <c r="I32" t="s">
        <v>190</v>
      </c>
      <c r="J32" t="s">
        <v>90</v>
      </c>
      <c r="K32" t="s">
        <v>95</v>
      </c>
      <c r="L32">
        <v>11</v>
      </c>
    </row>
    <row r="33" spans="1:12" x14ac:dyDescent="0.25">
      <c r="A33" t="s">
        <v>31</v>
      </c>
      <c r="B33" t="s">
        <v>191</v>
      </c>
      <c r="C33" t="s">
        <v>192</v>
      </c>
      <c r="D33" s="8">
        <v>65.792900000000003</v>
      </c>
      <c r="E33" s="8">
        <v>262</v>
      </c>
      <c r="F33" s="5" t="s">
        <v>114</v>
      </c>
      <c r="G33" t="s">
        <v>87</v>
      </c>
      <c r="H33" t="s">
        <v>174</v>
      </c>
      <c r="I33" t="s">
        <v>193</v>
      </c>
      <c r="J33" t="s">
        <v>90</v>
      </c>
      <c r="K33" t="s">
        <v>95</v>
      </c>
      <c r="L33">
        <v>13</v>
      </c>
    </row>
    <row r="34" spans="1:12" x14ac:dyDescent="0.25">
      <c r="A34" t="s">
        <v>31</v>
      </c>
      <c r="B34" t="s">
        <v>194</v>
      </c>
      <c r="C34" t="s">
        <v>195</v>
      </c>
      <c r="D34" s="8">
        <v>60.25</v>
      </c>
      <c r="E34" s="8">
        <v>270</v>
      </c>
      <c r="F34" s="5" t="s">
        <v>196</v>
      </c>
      <c r="G34" t="s">
        <v>197</v>
      </c>
      <c r="H34" t="s">
        <v>174</v>
      </c>
      <c r="I34" t="s">
        <v>198</v>
      </c>
      <c r="J34" t="s">
        <v>199</v>
      </c>
      <c r="K34" t="s">
        <v>95</v>
      </c>
      <c r="L34">
        <v>11</v>
      </c>
    </row>
    <row r="35" spans="1:12" x14ac:dyDescent="0.25">
      <c r="A35" t="s">
        <v>35</v>
      </c>
      <c r="B35" t="s">
        <v>200</v>
      </c>
      <c r="C35" t="s">
        <v>189</v>
      </c>
      <c r="D35" s="8">
        <v>97.3673</v>
      </c>
      <c r="E35" s="8">
        <v>1.8</v>
      </c>
      <c r="F35" s="5" t="s">
        <v>86</v>
      </c>
      <c r="G35" t="s">
        <v>87</v>
      </c>
      <c r="H35" t="s">
        <v>201</v>
      </c>
      <c r="I35" t="s">
        <v>202</v>
      </c>
      <c r="J35" t="s">
        <v>203</v>
      </c>
      <c r="K35" t="s">
        <v>91</v>
      </c>
      <c r="L35">
        <v>11</v>
      </c>
    </row>
    <row r="36" spans="1:12" x14ac:dyDescent="0.25">
      <c r="A36" t="s">
        <v>35</v>
      </c>
      <c r="B36" t="s">
        <v>204</v>
      </c>
      <c r="C36" t="s">
        <v>143</v>
      </c>
      <c r="D36" s="8">
        <v>96.332300000000004</v>
      </c>
      <c r="E36" s="8">
        <v>1.8</v>
      </c>
      <c r="F36" s="5" t="s">
        <v>86</v>
      </c>
      <c r="G36" t="s">
        <v>87</v>
      </c>
      <c r="H36" t="s">
        <v>201</v>
      </c>
      <c r="I36" t="s">
        <v>205</v>
      </c>
      <c r="J36" t="s">
        <v>203</v>
      </c>
      <c r="K36" t="s">
        <v>91</v>
      </c>
      <c r="L36">
        <v>6</v>
      </c>
    </row>
    <row r="37" spans="1:12" x14ac:dyDescent="0.25">
      <c r="A37" t="s">
        <v>35</v>
      </c>
      <c r="B37" t="s">
        <v>206</v>
      </c>
      <c r="C37" t="s">
        <v>136</v>
      </c>
      <c r="D37" s="8">
        <v>94.244699999999995</v>
      </c>
      <c r="E37" s="8">
        <v>5.8</v>
      </c>
      <c r="F37" s="5" t="s">
        <v>86</v>
      </c>
      <c r="G37" t="s">
        <v>87</v>
      </c>
      <c r="H37" t="s">
        <v>201</v>
      </c>
      <c r="I37" t="s">
        <v>207</v>
      </c>
      <c r="J37" t="s">
        <v>203</v>
      </c>
      <c r="K37" t="s">
        <v>91</v>
      </c>
      <c r="L37">
        <v>8</v>
      </c>
    </row>
    <row r="38" spans="1:12" x14ac:dyDescent="0.25">
      <c r="A38" t="s">
        <v>35</v>
      </c>
      <c r="B38" t="s">
        <v>208</v>
      </c>
      <c r="C38" t="s">
        <v>166</v>
      </c>
      <c r="D38" s="8">
        <v>92.147000000000006</v>
      </c>
      <c r="E38" s="8">
        <v>7.4</v>
      </c>
      <c r="F38" s="5" t="s">
        <v>86</v>
      </c>
      <c r="G38" t="s">
        <v>87</v>
      </c>
      <c r="H38" t="s">
        <v>201</v>
      </c>
      <c r="I38" t="s">
        <v>209</v>
      </c>
      <c r="J38" t="s">
        <v>203</v>
      </c>
      <c r="K38" t="s">
        <v>91</v>
      </c>
      <c r="L38">
        <v>13</v>
      </c>
    </row>
    <row r="39" spans="1:12" x14ac:dyDescent="0.25">
      <c r="A39" t="s">
        <v>35</v>
      </c>
      <c r="B39" t="s">
        <v>210</v>
      </c>
      <c r="C39" t="s">
        <v>180</v>
      </c>
      <c r="D39" s="8">
        <v>90.865899999999996</v>
      </c>
      <c r="E39" s="8">
        <v>26.2</v>
      </c>
      <c r="F39" s="5" t="s">
        <v>114</v>
      </c>
      <c r="G39" t="s">
        <v>211</v>
      </c>
      <c r="H39" t="s">
        <v>201</v>
      </c>
      <c r="I39" t="s">
        <v>212</v>
      </c>
      <c r="J39" t="s">
        <v>213</v>
      </c>
      <c r="K39" t="s">
        <v>95</v>
      </c>
      <c r="L39">
        <v>14</v>
      </c>
    </row>
    <row r="40" spans="1:12" x14ac:dyDescent="0.25">
      <c r="A40" t="s">
        <v>35</v>
      </c>
      <c r="B40" t="s">
        <v>214</v>
      </c>
      <c r="C40" t="s">
        <v>100</v>
      </c>
      <c r="D40" s="8">
        <v>88.642099999999999</v>
      </c>
      <c r="E40" s="8">
        <v>19.600000000000001</v>
      </c>
      <c r="F40" s="5" t="s">
        <v>114</v>
      </c>
      <c r="G40" t="s">
        <v>87</v>
      </c>
      <c r="H40" t="s">
        <v>215</v>
      </c>
      <c r="I40" t="s">
        <v>216</v>
      </c>
      <c r="J40" t="s">
        <v>138</v>
      </c>
      <c r="K40" t="s">
        <v>95</v>
      </c>
      <c r="L40">
        <v>7</v>
      </c>
    </row>
    <row r="41" spans="1:12" x14ac:dyDescent="0.25">
      <c r="A41" t="s">
        <v>35</v>
      </c>
      <c r="B41" t="s">
        <v>217</v>
      </c>
      <c r="C41" t="s">
        <v>169</v>
      </c>
      <c r="D41" s="8">
        <v>87.944000000000003</v>
      </c>
      <c r="E41" s="8">
        <v>10.1</v>
      </c>
      <c r="F41" s="5" t="s">
        <v>86</v>
      </c>
      <c r="G41" t="s">
        <v>87</v>
      </c>
      <c r="H41" t="s">
        <v>215</v>
      </c>
      <c r="I41" t="s">
        <v>218</v>
      </c>
      <c r="J41" t="s">
        <v>203</v>
      </c>
      <c r="K41" t="s">
        <v>91</v>
      </c>
      <c r="L41">
        <v>6</v>
      </c>
    </row>
    <row r="42" spans="1:12" x14ac:dyDescent="0.25">
      <c r="A42" t="s">
        <v>35</v>
      </c>
      <c r="B42" t="s">
        <v>219</v>
      </c>
      <c r="C42" t="s">
        <v>110</v>
      </c>
      <c r="D42" s="8">
        <v>87.292599999999993</v>
      </c>
      <c r="E42" s="8">
        <v>26.2</v>
      </c>
      <c r="F42" s="5" t="s">
        <v>86</v>
      </c>
      <c r="G42" t="s">
        <v>87</v>
      </c>
      <c r="H42" t="s">
        <v>215</v>
      </c>
      <c r="I42" t="s">
        <v>220</v>
      </c>
      <c r="J42" t="s">
        <v>203</v>
      </c>
      <c r="K42" t="s">
        <v>95</v>
      </c>
      <c r="L42">
        <v>5</v>
      </c>
    </row>
    <row r="43" spans="1:12" x14ac:dyDescent="0.25">
      <c r="A43" t="s">
        <v>35</v>
      </c>
      <c r="B43" t="s">
        <v>221</v>
      </c>
      <c r="C43" t="s">
        <v>85</v>
      </c>
      <c r="D43" s="8">
        <v>87.058000000000007</v>
      </c>
      <c r="E43" s="8">
        <v>14.9</v>
      </c>
      <c r="F43" s="5" t="s">
        <v>86</v>
      </c>
      <c r="G43" t="s">
        <v>87</v>
      </c>
      <c r="H43" t="s">
        <v>215</v>
      </c>
      <c r="I43" t="s">
        <v>222</v>
      </c>
      <c r="J43" t="s">
        <v>203</v>
      </c>
      <c r="K43" t="s">
        <v>91</v>
      </c>
      <c r="L43">
        <v>7</v>
      </c>
    </row>
    <row r="44" spans="1:12" x14ac:dyDescent="0.25">
      <c r="A44" t="s">
        <v>35</v>
      </c>
      <c r="B44" t="s">
        <v>223</v>
      </c>
      <c r="C44" t="s">
        <v>123</v>
      </c>
      <c r="D44" s="8">
        <v>85.948599999999999</v>
      </c>
      <c r="E44" s="8">
        <v>33.1</v>
      </c>
      <c r="F44" s="5" t="s">
        <v>86</v>
      </c>
      <c r="G44" t="s">
        <v>87</v>
      </c>
      <c r="H44" t="s">
        <v>215</v>
      </c>
      <c r="I44" t="s">
        <v>224</v>
      </c>
      <c r="J44" t="s">
        <v>203</v>
      </c>
      <c r="K44" t="s">
        <v>95</v>
      </c>
      <c r="L44">
        <v>11</v>
      </c>
    </row>
    <row r="45" spans="1:12" x14ac:dyDescent="0.25">
      <c r="A45" t="s">
        <v>35</v>
      </c>
      <c r="B45" t="s">
        <v>225</v>
      </c>
      <c r="C45" t="s">
        <v>183</v>
      </c>
      <c r="D45" s="8">
        <v>85.895200000000003</v>
      </c>
      <c r="E45" s="8">
        <v>27</v>
      </c>
      <c r="F45" s="5" t="s">
        <v>86</v>
      </c>
      <c r="G45" t="s">
        <v>87</v>
      </c>
      <c r="H45" t="s">
        <v>215</v>
      </c>
      <c r="I45" t="s">
        <v>226</v>
      </c>
      <c r="J45" t="s">
        <v>203</v>
      </c>
      <c r="K45" t="s">
        <v>95</v>
      </c>
      <c r="L45">
        <v>13</v>
      </c>
    </row>
    <row r="46" spans="1:12" x14ac:dyDescent="0.25">
      <c r="A46" t="s">
        <v>35</v>
      </c>
      <c r="B46" t="s">
        <v>227</v>
      </c>
      <c r="C46" t="s">
        <v>192</v>
      </c>
      <c r="D46" s="8">
        <v>85.843299999999999</v>
      </c>
      <c r="E46" s="8">
        <v>13.8</v>
      </c>
      <c r="F46" s="5" t="s">
        <v>86</v>
      </c>
      <c r="G46" t="s">
        <v>87</v>
      </c>
      <c r="H46" t="s">
        <v>215</v>
      </c>
      <c r="I46" t="s">
        <v>228</v>
      </c>
      <c r="J46" t="s">
        <v>229</v>
      </c>
      <c r="K46" t="s">
        <v>91</v>
      </c>
      <c r="L46">
        <v>13</v>
      </c>
    </row>
    <row r="47" spans="1:12" x14ac:dyDescent="0.25">
      <c r="A47" t="s">
        <v>35</v>
      </c>
      <c r="B47" t="s">
        <v>230</v>
      </c>
      <c r="C47" t="s">
        <v>104</v>
      </c>
      <c r="D47" s="8">
        <v>85.667400000000001</v>
      </c>
      <c r="E47" s="8">
        <v>15.4</v>
      </c>
      <c r="F47" s="5" t="s">
        <v>86</v>
      </c>
      <c r="G47" t="s">
        <v>87</v>
      </c>
      <c r="H47" t="s">
        <v>231</v>
      </c>
      <c r="I47" t="s">
        <v>232</v>
      </c>
      <c r="J47" t="s">
        <v>203</v>
      </c>
      <c r="K47" t="s">
        <v>95</v>
      </c>
      <c r="L47">
        <v>13</v>
      </c>
    </row>
    <row r="48" spans="1:12" x14ac:dyDescent="0.25">
      <c r="A48" t="s">
        <v>35</v>
      </c>
      <c r="B48" t="s">
        <v>233</v>
      </c>
      <c r="C48" t="s">
        <v>118</v>
      </c>
      <c r="D48" s="8">
        <v>85.664400000000001</v>
      </c>
      <c r="E48" s="8">
        <v>12.1</v>
      </c>
      <c r="F48" s="5" t="s">
        <v>86</v>
      </c>
      <c r="G48" t="s">
        <v>87</v>
      </c>
      <c r="H48" t="s">
        <v>231</v>
      </c>
      <c r="I48" t="s">
        <v>234</v>
      </c>
      <c r="J48" t="s">
        <v>203</v>
      </c>
      <c r="K48" t="s">
        <v>91</v>
      </c>
      <c r="L48">
        <v>6</v>
      </c>
    </row>
    <row r="49" spans="1:12" x14ac:dyDescent="0.25">
      <c r="A49" t="s">
        <v>35</v>
      </c>
      <c r="B49" t="s">
        <v>235</v>
      </c>
      <c r="C49" t="s">
        <v>150</v>
      </c>
      <c r="D49" s="8">
        <v>84.426400000000001</v>
      </c>
      <c r="E49" s="8">
        <v>24.2</v>
      </c>
      <c r="F49" s="5" t="s">
        <v>86</v>
      </c>
      <c r="G49" t="s">
        <v>87</v>
      </c>
      <c r="H49" t="s">
        <v>231</v>
      </c>
      <c r="I49" t="s">
        <v>236</v>
      </c>
      <c r="J49" t="s">
        <v>203</v>
      </c>
      <c r="K49" t="s">
        <v>95</v>
      </c>
      <c r="L49">
        <v>11</v>
      </c>
    </row>
    <row r="50" spans="1:12" x14ac:dyDescent="0.25">
      <c r="A50" t="s">
        <v>35</v>
      </c>
      <c r="B50" t="s">
        <v>237</v>
      </c>
      <c r="C50" t="s">
        <v>107</v>
      </c>
      <c r="D50" s="8">
        <v>84.034000000000006</v>
      </c>
      <c r="E50" s="8">
        <v>19</v>
      </c>
      <c r="F50" s="5" t="s">
        <v>86</v>
      </c>
      <c r="G50" t="s">
        <v>87</v>
      </c>
      <c r="H50" t="s">
        <v>231</v>
      </c>
      <c r="I50" t="s">
        <v>238</v>
      </c>
      <c r="J50" t="s">
        <v>203</v>
      </c>
      <c r="K50" t="s">
        <v>95</v>
      </c>
      <c r="L50">
        <v>10</v>
      </c>
    </row>
    <row r="51" spans="1:12" x14ac:dyDescent="0.25">
      <c r="A51" t="s">
        <v>35</v>
      </c>
      <c r="B51" t="s">
        <v>239</v>
      </c>
      <c r="C51" t="s">
        <v>129</v>
      </c>
      <c r="D51" s="8">
        <v>83.803200000000004</v>
      </c>
      <c r="E51" s="8">
        <v>35.799999999999997</v>
      </c>
      <c r="F51" s="5" t="s">
        <v>86</v>
      </c>
      <c r="G51" t="s">
        <v>87</v>
      </c>
      <c r="H51" t="s">
        <v>231</v>
      </c>
      <c r="I51" t="s">
        <v>240</v>
      </c>
      <c r="J51" t="s">
        <v>203</v>
      </c>
      <c r="K51" t="s">
        <v>95</v>
      </c>
      <c r="L51">
        <v>14</v>
      </c>
    </row>
    <row r="52" spans="1:12" x14ac:dyDescent="0.25">
      <c r="A52" t="s">
        <v>35</v>
      </c>
      <c r="B52" t="s">
        <v>241</v>
      </c>
      <c r="C52" t="s">
        <v>157</v>
      </c>
      <c r="D52" s="8">
        <v>83.043599999999998</v>
      </c>
      <c r="E52" s="8">
        <v>38.4</v>
      </c>
      <c r="F52" s="5" t="s">
        <v>86</v>
      </c>
      <c r="G52" t="s">
        <v>87</v>
      </c>
      <c r="H52" t="s">
        <v>231</v>
      </c>
      <c r="I52" t="s">
        <v>242</v>
      </c>
      <c r="J52" t="s">
        <v>203</v>
      </c>
      <c r="K52" t="s">
        <v>95</v>
      </c>
      <c r="L52">
        <v>8</v>
      </c>
    </row>
    <row r="53" spans="1:12" x14ac:dyDescent="0.25">
      <c r="A53" t="s">
        <v>35</v>
      </c>
      <c r="B53" t="s">
        <v>243</v>
      </c>
      <c r="C53" t="s">
        <v>140</v>
      </c>
      <c r="D53" s="8">
        <v>81.888400000000004</v>
      </c>
      <c r="E53" s="8">
        <v>30.8</v>
      </c>
      <c r="F53" s="5" t="s">
        <v>114</v>
      </c>
      <c r="G53" t="s">
        <v>87</v>
      </c>
      <c r="H53" t="s">
        <v>231</v>
      </c>
      <c r="I53" t="s">
        <v>244</v>
      </c>
      <c r="J53" t="s">
        <v>121</v>
      </c>
      <c r="K53" t="s">
        <v>95</v>
      </c>
      <c r="L53">
        <v>8</v>
      </c>
    </row>
    <row r="54" spans="1:12" x14ac:dyDescent="0.25">
      <c r="A54" t="s">
        <v>35</v>
      </c>
      <c r="B54" t="s">
        <v>245</v>
      </c>
      <c r="C54" t="s">
        <v>93</v>
      </c>
      <c r="D54" s="8">
        <v>79.985600000000005</v>
      </c>
      <c r="E54" s="8">
        <v>43.9</v>
      </c>
      <c r="F54" s="5" t="s">
        <v>86</v>
      </c>
      <c r="G54" t="s">
        <v>87</v>
      </c>
      <c r="H54" t="s">
        <v>231</v>
      </c>
      <c r="I54" t="s">
        <v>246</v>
      </c>
      <c r="J54" t="s">
        <v>203</v>
      </c>
      <c r="K54" t="s">
        <v>95</v>
      </c>
      <c r="L54">
        <v>10</v>
      </c>
    </row>
    <row r="55" spans="1:12" x14ac:dyDescent="0.25">
      <c r="A55" t="s">
        <v>35</v>
      </c>
      <c r="B55" t="s">
        <v>247</v>
      </c>
      <c r="C55" t="s">
        <v>153</v>
      </c>
      <c r="D55" s="8">
        <v>79.935500000000005</v>
      </c>
      <c r="E55" s="8">
        <v>43</v>
      </c>
      <c r="F55" s="5" t="s">
        <v>114</v>
      </c>
      <c r="G55" t="s">
        <v>87</v>
      </c>
      <c r="H55" t="s">
        <v>248</v>
      </c>
      <c r="I55" t="s">
        <v>249</v>
      </c>
      <c r="J55" t="s">
        <v>203</v>
      </c>
      <c r="K55" t="s">
        <v>95</v>
      </c>
      <c r="L55">
        <v>10</v>
      </c>
    </row>
    <row r="56" spans="1:12" x14ac:dyDescent="0.25">
      <c r="A56" t="s">
        <v>35</v>
      </c>
      <c r="B56" t="s">
        <v>250</v>
      </c>
      <c r="C56" t="s">
        <v>195</v>
      </c>
      <c r="D56" s="8">
        <v>79.930300000000003</v>
      </c>
      <c r="E56" s="8">
        <v>49.9</v>
      </c>
      <c r="F56" s="5" t="s">
        <v>86</v>
      </c>
      <c r="G56" t="s">
        <v>87</v>
      </c>
      <c r="H56" t="s">
        <v>248</v>
      </c>
      <c r="I56" t="s">
        <v>251</v>
      </c>
      <c r="J56" t="s">
        <v>203</v>
      </c>
      <c r="K56" t="s">
        <v>95</v>
      </c>
      <c r="L56">
        <v>11</v>
      </c>
    </row>
    <row r="57" spans="1:12" x14ac:dyDescent="0.25">
      <c r="A57" t="s">
        <v>35</v>
      </c>
      <c r="B57" t="s">
        <v>252</v>
      </c>
      <c r="C57" t="s">
        <v>160</v>
      </c>
      <c r="D57" s="8">
        <v>77.910200000000003</v>
      </c>
      <c r="E57" s="8">
        <v>66.400000000000006</v>
      </c>
      <c r="F57" s="5" t="s">
        <v>86</v>
      </c>
      <c r="G57" t="s">
        <v>87</v>
      </c>
      <c r="H57" t="s">
        <v>248</v>
      </c>
      <c r="I57" t="s">
        <v>253</v>
      </c>
      <c r="J57" t="s">
        <v>203</v>
      </c>
      <c r="K57" t="s">
        <v>95</v>
      </c>
      <c r="L57">
        <v>8</v>
      </c>
    </row>
    <row r="58" spans="1:12" x14ac:dyDescent="0.25">
      <c r="A58" t="s">
        <v>35</v>
      </c>
      <c r="B58" t="s">
        <v>254</v>
      </c>
      <c r="C58" t="s">
        <v>97</v>
      </c>
      <c r="D58" s="8">
        <v>77.832499999999996</v>
      </c>
      <c r="E58" s="8">
        <v>55.4</v>
      </c>
      <c r="F58" s="5" t="s">
        <v>86</v>
      </c>
      <c r="G58" t="s">
        <v>87</v>
      </c>
      <c r="H58" t="s">
        <v>248</v>
      </c>
      <c r="I58" t="s">
        <v>255</v>
      </c>
      <c r="J58" t="s">
        <v>203</v>
      </c>
      <c r="K58" t="s">
        <v>95</v>
      </c>
      <c r="L58">
        <v>11</v>
      </c>
    </row>
    <row r="59" spans="1:12" x14ac:dyDescent="0.25">
      <c r="A59" t="s">
        <v>35</v>
      </c>
      <c r="B59" t="s">
        <v>256</v>
      </c>
      <c r="C59" t="s">
        <v>163</v>
      </c>
      <c r="D59" s="8">
        <v>76.662199999999999</v>
      </c>
      <c r="E59" s="8">
        <v>63</v>
      </c>
      <c r="F59" s="5" t="s">
        <v>114</v>
      </c>
      <c r="G59" t="s">
        <v>211</v>
      </c>
      <c r="H59" t="s">
        <v>248</v>
      </c>
      <c r="I59" t="s">
        <v>257</v>
      </c>
      <c r="J59" t="s">
        <v>213</v>
      </c>
      <c r="K59" t="s">
        <v>95</v>
      </c>
      <c r="L59">
        <v>11</v>
      </c>
    </row>
    <row r="60" spans="1:12" x14ac:dyDescent="0.25">
      <c r="A60" t="s">
        <v>35</v>
      </c>
      <c r="B60" t="s">
        <v>258</v>
      </c>
      <c r="C60" t="s">
        <v>186</v>
      </c>
      <c r="D60" s="8">
        <v>76.091800000000006</v>
      </c>
      <c r="E60" s="8">
        <v>68.8</v>
      </c>
      <c r="F60" s="5" t="s">
        <v>86</v>
      </c>
      <c r="G60" t="s">
        <v>87</v>
      </c>
      <c r="H60" t="s">
        <v>248</v>
      </c>
      <c r="I60" t="s">
        <v>259</v>
      </c>
      <c r="J60" t="s">
        <v>203</v>
      </c>
      <c r="K60" t="s">
        <v>95</v>
      </c>
      <c r="L60">
        <v>9</v>
      </c>
    </row>
    <row r="61" spans="1:12" x14ac:dyDescent="0.25">
      <c r="A61" t="s">
        <v>35</v>
      </c>
      <c r="B61" t="s">
        <v>260</v>
      </c>
      <c r="C61" t="s">
        <v>186</v>
      </c>
      <c r="D61" s="8">
        <v>75.785799999999995</v>
      </c>
      <c r="E61" s="8">
        <v>64.8</v>
      </c>
      <c r="F61" s="5" t="s">
        <v>86</v>
      </c>
      <c r="G61" t="s">
        <v>87</v>
      </c>
      <c r="H61" t="s">
        <v>248</v>
      </c>
      <c r="I61" t="s">
        <v>261</v>
      </c>
      <c r="J61" t="s">
        <v>203</v>
      </c>
      <c r="K61" t="s">
        <v>95</v>
      </c>
      <c r="L61">
        <v>9</v>
      </c>
    </row>
    <row r="62" spans="1:12" x14ac:dyDescent="0.25">
      <c r="A62" t="s">
        <v>35</v>
      </c>
      <c r="B62" t="s">
        <v>262</v>
      </c>
      <c r="C62" t="s">
        <v>177</v>
      </c>
      <c r="D62" s="8">
        <v>75.098600000000005</v>
      </c>
      <c r="E62" s="8">
        <v>65.5</v>
      </c>
      <c r="F62" s="5" t="s">
        <v>86</v>
      </c>
      <c r="G62" t="s">
        <v>87</v>
      </c>
      <c r="H62" t="s">
        <v>248</v>
      </c>
      <c r="I62" t="s">
        <v>263</v>
      </c>
      <c r="J62" t="s">
        <v>203</v>
      </c>
      <c r="K62" t="s">
        <v>95</v>
      </c>
      <c r="L62">
        <v>9</v>
      </c>
    </row>
    <row r="63" spans="1:12" x14ac:dyDescent="0.25">
      <c r="A63" t="s">
        <v>35</v>
      </c>
      <c r="B63" t="s">
        <v>264</v>
      </c>
      <c r="C63" t="s">
        <v>97</v>
      </c>
      <c r="D63" s="8">
        <v>74.588099999999997</v>
      </c>
      <c r="E63" s="8">
        <v>72.3</v>
      </c>
      <c r="F63" s="5" t="s">
        <v>86</v>
      </c>
      <c r="G63" t="s">
        <v>87</v>
      </c>
      <c r="H63" t="s">
        <v>248</v>
      </c>
      <c r="I63" t="s">
        <v>265</v>
      </c>
      <c r="J63" t="s">
        <v>203</v>
      </c>
      <c r="K63" t="s">
        <v>95</v>
      </c>
      <c r="L63">
        <v>11</v>
      </c>
    </row>
    <row r="64" spans="1:12" x14ac:dyDescent="0.25">
      <c r="A64" t="s">
        <v>35</v>
      </c>
      <c r="B64" t="s">
        <v>266</v>
      </c>
      <c r="C64" t="s">
        <v>153</v>
      </c>
      <c r="D64" s="8">
        <v>74.504900000000006</v>
      </c>
      <c r="E64" s="8">
        <v>123.8</v>
      </c>
      <c r="F64" s="5" t="s">
        <v>86</v>
      </c>
      <c r="G64" t="s">
        <v>87</v>
      </c>
      <c r="H64" t="s">
        <v>248</v>
      </c>
      <c r="I64" t="s">
        <v>267</v>
      </c>
      <c r="J64" t="s">
        <v>203</v>
      </c>
      <c r="K64" t="s">
        <v>95</v>
      </c>
      <c r="L64">
        <v>10</v>
      </c>
    </row>
    <row r="65" spans="1:12" x14ac:dyDescent="0.25">
      <c r="A65" t="s">
        <v>35</v>
      </c>
      <c r="B65" t="s">
        <v>268</v>
      </c>
      <c r="C65" t="s">
        <v>132</v>
      </c>
      <c r="D65" s="8">
        <v>74.467699999999994</v>
      </c>
      <c r="E65" s="8">
        <v>52.3</v>
      </c>
      <c r="F65" s="5" t="s">
        <v>86</v>
      </c>
      <c r="G65" t="s">
        <v>87</v>
      </c>
      <c r="H65" t="s">
        <v>269</v>
      </c>
      <c r="I65" t="s">
        <v>270</v>
      </c>
      <c r="J65" t="s">
        <v>203</v>
      </c>
      <c r="K65" t="s">
        <v>95</v>
      </c>
      <c r="L65">
        <v>7</v>
      </c>
    </row>
    <row r="66" spans="1:12" x14ac:dyDescent="0.25">
      <c r="A66" t="s">
        <v>35</v>
      </c>
      <c r="B66" t="s">
        <v>271</v>
      </c>
      <c r="C66" t="s">
        <v>126</v>
      </c>
      <c r="D66" s="8">
        <v>73.567800000000005</v>
      </c>
      <c r="E66" s="8">
        <v>82.6</v>
      </c>
      <c r="F66" s="5" t="s">
        <v>86</v>
      </c>
      <c r="G66" t="s">
        <v>87</v>
      </c>
      <c r="H66" t="s">
        <v>269</v>
      </c>
      <c r="I66" t="s">
        <v>272</v>
      </c>
      <c r="J66" t="s">
        <v>203</v>
      </c>
      <c r="K66" t="s">
        <v>95</v>
      </c>
      <c r="L66">
        <v>10</v>
      </c>
    </row>
    <row r="67" spans="1:12" x14ac:dyDescent="0.25">
      <c r="A67" t="s">
        <v>35</v>
      </c>
      <c r="B67" t="s">
        <v>273</v>
      </c>
      <c r="C67" t="s">
        <v>93</v>
      </c>
      <c r="D67" s="8">
        <v>72.610200000000006</v>
      </c>
      <c r="E67" s="8">
        <v>100.3</v>
      </c>
      <c r="F67" s="5" t="s">
        <v>86</v>
      </c>
      <c r="G67" t="s">
        <v>87</v>
      </c>
      <c r="H67" t="s">
        <v>269</v>
      </c>
      <c r="I67" t="s">
        <v>274</v>
      </c>
      <c r="J67" t="s">
        <v>203</v>
      </c>
      <c r="K67" t="s">
        <v>95</v>
      </c>
      <c r="L67">
        <v>10</v>
      </c>
    </row>
    <row r="68" spans="1:12" x14ac:dyDescent="0.25">
      <c r="A68" t="s">
        <v>35</v>
      </c>
      <c r="B68" t="s">
        <v>275</v>
      </c>
      <c r="C68" t="s">
        <v>173</v>
      </c>
      <c r="D68" s="8">
        <v>71.866699999999994</v>
      </c>
      <c r="E68" s="8">
        <v>75.900000000000006</v>
      </c>
      <c r="F68" s="5" t="s">
        <v>86</v>
      </c>
      <c r="G68" t="s">
        <v>87</v>
      </c>
      <c r="H68" t="s">
        <v>269</v>
      </c>
      <c r="I68" t="s">
        <v>276</v>
      </c>
      <c r="J68" t="s">
        <v>203</v>
      </c>
      <c r="K68" t="s">
        <v>95</v>
      </c>
      <c r="L68">
        <v>5</v>
      </c>
    </row>
    <row r="69" spans="1:12" x14ac:dyDescent="0.25">
      <c r="A69" t="s">
        <v>35</v>
      </c>
      <c r="B69" t="s">
        <v>277</v>
      </c>
      <c r="C69" t="s">
        <v>146</v>
      </c>
      <c r="D69" s="8">
        <v>71.697699999999998</v>
      </c>
      <c r="E69" s="8">
        <v>90.7</v>
      </c>
      <c r="F69" s="5" t="s">
        <v>86</v>
      </c>
      <c r="G69" t="s">
        <v>87</v>
      </c>
      <c r="H69" t="s">
        <v>269</v>
      </c>
      <c r="I69" t="s">
        <v>278</v>
      </c>
      <c r="J69" t="s">
        <v>203</v>
      </c>
      <c r="K69" t="s">
        <v>95</v>
      </c>
      <c r="L69">
        <v>6</v>
      </c>
    </row>
    <row r="70" spans="1:12" x14ac:dyDescent="0.25">
      <c r="A70" t="s">
        <v>35</v>
      </c>
      <c r="B70" t="s">
        <v>279</v>
      </c>
      <c r="C70" t="s">
        <v>126</v>
      </c>
      <c r="D70" s="8">
        <v>71.166600000000003</v>
      </c>
      <c r="E70" s="8">
        <v>91.9</v>
      </c>
      <c r="F70" s="5" t="s">
        <v>114</v>
      </c>
      <c r="G70" t="s">
        <v>87</v>
      </c>
      <c r="H70" t="s">
        <v>269</v>
      </c>
      <c r="I70" t="s">
        <v>280</v>
      </c>
      <c r="J70" t="s">
        <v>203</v>
      </c>
      <c r="K70" t="s">
        <v>95</v>
      </c>
      <c r="L70">
        <v>10</v>
      </c>
    </row>
    <row r="71" spans="1:12" x14ac:dyDescent="0.25">
      <c r="A71" t="s">
        <v>35</v>
      </c>
      <c r="B71" t="s">
        <v>281</v>
      </c>
      <c r="C71" t="s">
        <v>123</v>
      </c>
      <c r="D71" s="8">
        <v>69.519599999999997</v>
      </c>
      <c r="E71" s="8">
        <v>122.4</v>
      </c>
      <c r="F71" s="5" t="s">
        <v>86</v>
      </c>
      <c r="G71" t="s">
        <v>87</v>
      </c>
      <c r="H71" t="s">
        <v>269</v>
      </c>
      <c r="I71" t="s">
        <v>282</v>
      </c>
      <c r="J71" t="s">
        <v>203</v>
      </c>
      <c r="K71" t="s">
        <v>95</v>
      </c>
      <c r="L71">
        <v>11</v>
      </c>
    </row>
    <row r="72" spans="1:12" x14ac:dyDescent="0.25">
      <c r="A72" t="s">
        <v>35</v>
      </c>
      <c r="B72" t="s">
        <v>283</v>
      </c>
      <c r="C72" t="s">
        <v>113</v>
      </c>
      <c r="D72" s="8">
        <v>69.203699999999998</v>
      </c>
      <c r="E72" s="8">
        <v>99.9</v>
      </c>
      <c r="F72" s="5" t="s">
        <v>86</v>
      </c>
      <c r="G72" t="s">
        <v>87</v>
      </c>
      <c r="H72" t="s">
        <v>269</v>
      </c>
      <c r="I72" t="s">
        <v>284</v>
      </c>
      <c r="J72" t="s">
        <v>203</v>
      </c>
      <c r="K72" t="s">
        <v>95</v>
      </c>
      <c r="L72">
        <v>7</v>
      </c>
    </row>
    <row r="73" spans="1:12" x14ac:dyDescent="0.25">
      <c r="A73" t="s">
        <v>35</v>
      </c>
      <c r="B73" t="s">
        <v>285</v>
      </c>
      <c r="C73" t="s">
        <v>113</v>
      </c>
      <c r="D73" s="8">
        <v>68.992199999999997</v>
      </c>
      <c r="E73" s="8">
        <v>111.3</v>
      </c>
      <c r="F73" s="5" t="s">
        <v>86</v>
      </c>
      <c r="G73" t="s">
        <v>87</v>
      </c>
      <c r="H73" t="s">
        <v>269</v>
      </c>
      <c r="I73" t="s">
        <v>286</v>
      </c>
      <c r="J73" t="s">
        <v>203</v>
      </c>
      <c r="K73" t="s">
        <v>95</v>
      </c>
      <c r="L73">
        <v>7</v>
      </c>
    </row>
    <row r="74" spans="1:12" x14ac:dyDescent="0.25">
      <c r="A74" t="s">
        <v>35</v>
      </c>
      <c r="B74" t="s">
        <v>287</v>
      </c>
      <c r="C74" t="s">
        <v>146</v>
      </c>
      <c r="D74" s="8">
        <v>67.657399999999996</v>
      </c>
      <c r="E74" s="8">
        <v>122.8</v>
      </c>
      <c r="F74" s="5" t="s">
        <v>86</v>
      </c>
      <c r="G74" t="s">
        <v>87</v>
      </c>
      <c r="H74" t="s">
        <v>269</v>
      </c>
      <c r="I74" t="s">
        <v>288</v>
      </c>
      <c r="J74" t="s">
        <v>203</v>
      </c>
      <c r="K74" t="s">
        <v>95</v>
      </c>
      <c r="L74">
        <v>6</v>
      </c>
    </row>
    <row r="75" spans="1:12" x14ac:dyDescent="0.25">
      <c r="A75" t="s">
        <v>35</v>
      </c>
      <c r="B75" t="s">
        <v>289</v>
      </c>
      <c r="C75" t="s">
        <v>160</v>
      </c>
      <c r="D75" s="8">
        <v>66.866200000000006</v>
      </c>
      <c r="E75" s="8">
        <v>149.19999999999999</v>
      </c>
      <c r="F75" s="5" t="s">
        <v>86</v>
      </c>
      <c r="G75" t="s">
        <v>87</v>
      </c>
      <c r="H75" t="s">
        <v>290</v>
      </c>
      <c r="I75" t="s">
        <v>291</v>
      </c>
      <c r="J75" t="s">
        <v>203</v>
      </c>
      <c r="K75" t="s">
        <v>95</v>
      </c>
      <c r="L75">
        <v>8</v>
      </c>
    </row>
    <row r="76" spans="1:12" x14ac:dyDescent="0.25">
      <c r="A76" t="s">
        <v>35</v>
      </c>
      <c r="B76" t="s">
        <v>292</v>
      </c>
      <c r="C76" t="s">
        <v>132</v>
      </c>
      <c r="D76" s="8">
        <v>66.537000000000006</v>
      </c>
      <c r="E76" s="8">
        <v>163.6</v>
      </c>
      <c r="F76" s="5" t="s">
        <v>86</v>
      </c>
      <c r="G76" t="s">
        <v>87</v>
      </c>
      <c r="H76" t="s">
        <v>290</v>
      </c>
      <c r="I76" t="s">
        <v>293</v>
      </c>
      <c r="J76" t="s">
        <v>203</v>
      </c>
      <c r="K76" t="s">
        <v>95</v>
      </c>
      <c r="L76">
        <v>7</v>
      </c>
    </row>
    <row r="77" spans="1:12" x14ac:dyDescent="0.25">
      <c r="A77" t="s">
        <v>35</v>
      </c>
      <c r="B77" t="s">
        <v>294</v>
      </c>
      <c r="C77" t="s">
        <v>140</v>
      </c>
      <c r="D77" s="8">
        <v>66.531000000000006</v>
      </c>
      <c r="E77" s="8">
        <v>155.80000000000001</v>
      </c>
      <c r="F77" s="5" t="s">
        <v>86</v>
      </c>
      <c r="G77" t="s">
        <v>87</v>
      </c>
      <c r="H77" t="s">
        <v>290</v>
      </c>
      <c r="I77" t="s">
        <v>295</v>
      </c>
      <c r="J77" t="s">
        <v>203</v>
      </c>
      <c r="K77" t="s">
        <v>95</v>
      </c>
      <c r="L77">
        <v>8</v>
      </c>
    </row>
    <row r="78" spans="1:12" x14ac:dyDescent="0.25">
      <c r="A78" t="s">
        <v>35</v>
      </c>
      <c r="B78" t="s">
        <v>296</v>
      </c>
      <c r="C78" t="s">
        <v>180</v>
      </c>
      <c r="D78" s="8">
        <v>63.032200000000003</v>
      </c>
      <c r="E78" s="8">
        <v>164.3</v>
      </c>
      <c r="F78" s="5" t="s">
        <v>86</v>
      </c>
      <c r="G78" t="s">
        <v>87</v>
      </c>
      <c r="H78" t="s">
        <v>290</v>
      </c>
      <c r="I78" t="s">
        <v>297</v>
      </c>
      <c r="J78" t="s">
        <v>203</v>
      </c>
      <c r="K78" t="s">
        <v>95</v>
      </c>
      <c r="L78">
        <v>14</v>
      </c>
    </row>
    <row r="79" spans="1:12" x14ac:dyDescent="0.25">
      <c r="A79" t="s">
        <v>35</v>
      </c>
      <c r="B79" t="s">
        <v>298</v>
      </c>
      <c r="C79" t="s">
        <v>163</v>
      </c>
      <c r="D79" s="8">
        <v>62.549799999999998</v>
      </c>
      <c r="E79" s="8">
        <v>139.80000000000001</v>
      </c>
      <c r="F79" s="5" t="s">
        <v>86</v>
      </c>
      <c r="G79" t="s">
        <v>87</v>
      </c>
      <c r="H79" t="s">
        <v>290</v>
      </c>
      <c r="I79" t="s">
        <v>299</v>
      </c>
      <c r="J79" t="s">
        <v>203</v>
      </c>
      <c r="K79" t="s">
        <v>95</v>
      </c>
      <c r="L79">
        <v>11</v>
      </c>
    </row>
    <row r="80" spans="1:12" x14ac:dyDescent="0.25">
      <c r="A80" t="s">
        <v>35</v>
      </c>
      <c r="B80" t="s">
        <v>300</v>
      </c>
      <c r="C80" t="s">
        <v>173</v>
      </c>
      <c r="D80" s="8">
        <v>62.2</v>
      </c>
      <c r="E80" s="8">
        <v>109.4</v>
      </c>
      <c r="F80" s="5" t="s">
        <v>196</v>
      </c>
      <c r="G80" t="s">
        <v>197</v>
      </c>
      <c r="H80" t="s">
        <v>290</v>
      </c>
      <c r="I80" t="s">
        <v>301</v>
      </c>
      <c r="J80" t="s">
        <v>199</v>
      </c>
      <c r="K80" t="s">
        <v>95</v>
      </c>
      <c r="L80">
        <v>5</v>
      </c>
    </row>
    <row r="81" spans="1:12" x14ac:dyDescent="0.25">
      <c r="A81" t="s">
        <v>35</v>
      </c>
      <c r="B81" t="s">
        <v>302</v>
      </c>
      <c r="C81" t="s">
        <v>163</v>
      </c>
      <c r="D81" s="8">
        <v>61.982100000000003</v>
      </c>
      <c r="E81" s="8">
        <v>195.2</v>
      </c>
      <c r="F81" s="5" t="s">
        <v>86</v>
      </c>
      <c r="G81" t="s">
        <v>87</v>
      </c>
      <c r="H81" t="s">
        <v>290</v>
      </c>
      <c r="I81" t="s">
        <v>303</v>
      </c>
      <c r="J81" t="s">
        <v>203</v>
      </c>
      <c r="K81" t="s">
        <v>95</v>
      </c>
      <c r="L81">
        <v>11</v>
      </c>
    </row>
    <row r="82" spans="1:12" x14ac:dyDescent="0.25">
      <c r="A82" t="s">
        <v>35</v>
      </c>
      <c r="B82" t="s">
        <v>304</v>
      </c>
      <c r="C82" t="s">
        <v>143</v>
      </c>
      <c r="D82" s="8">
        <v>60.0092</v>
      </c>
      <c r="E82" s="8">
        <v>147.69999999999999</v>
      </c>
      <c r="F82" s="5" t="s">
        <v>114</v>
      </c>
      <c r="G82" t="s">
        <v>197</v>
      </c>
      <c r="H82" t="s">
        <v>290</v>
      </c>
      <c r="I82" t="s">
        <v>305</v>
      </c>
      <c r="J82" t="s">
        <v>203</v>
      </c>
      <c r="K82" t="s">
        <v>95</v>
      </c>
      <c r="L82">
        <v>6</v>
      </c>
    </row>
    <row r="83" spans="1:12" x14ac:dyDescent="0.25">
      <c r="A83" t="s">
        <v>35</v>
      </c>
      <c r="B83" t="s">
        <v>306</v>
      </c>
      <c r="C83" t="s">
        <v>157</v>
      </c>
      <c r="D83" s="8">
        <v>59.15</v>
      </c>
      <c r="E83" s="8">
        <v>134.1</v>
      </c>
      <c r="F83" s="5" t="s">
        <v>114</v>
      </c>
      <c r="G83" t="s">
        <v>197</v>
      </c>
      <c r="H83" t="s">
        <v>290</v>
      </c>
      <c r="I83" t="s">
        <v>307</v>
      </c>
      <c r="J83" t="s">
        <v>203</v>
      </c>
      <c r="K83" t="s">
        <v>95</v>
      </c>
      <c r="L83">
        <v>8</v>
      </c>
    </row>
    <row r="84" spans="1:12" x14ac:dyDescent="0.25">
      <c r="A84" t="s">
        <v>35</v>
      </c>
      <c r="B84" t="s">
        <v>308</v>
      </c>
      <c r="C84" t="s">
        <v>104</v>
      </c>
      <c r="D84" s="8">
        <v>54.88</v>
      </c>
      <c r="E84" s="8">
        <v>165.6</v>
      </c>
      <c r="F84" s="5" t="s">
        <v>114</v>
      </c>
      <c r="G84" t="s">
        <v>197</v>
      </c>
      <c r="H84" t="s">
        <v>290</v>
      </c>
      <c r="I84" t="s">
        <v>309</v>
      </c>
      <c r="J84" t="s">
        <v>203</v>
      </c>
      <c r="K84" t="s">
        <v>95</v>
      </c>
      <c r="L84">
        <v>13</v>
      </c>
    </row>
    <row r="85" spans="1:12" x14ac:dyDescent="0.25">
      <c r="A85" t="s">
        <v>35</v>
      </c>
      <c r="B85" t="s">
        <v>310</v>
      </c>
      <c r="C85" t="s">
        <v>177</v>
      </c>
      <c r="D85" s="8">
        <v>63.4</v>
      </c>
      <c r="E85" s="8">
        <v>129.6</v>
      </c>
      <c r="F85" s="5" t="s">
        <v>196</v>
      </c>
      <c r="G85" t="s">
        <v>311</v>
      </c>
      <c r="H85" t="s">
        <v>312</v>
      </c>
      <c r="I85" t="s">
        <v>313</v>
      </c>
      <c r="J85" t="s">
        <v>314</v>
      </c>
      <c r="K85" t="s">
        <v>315</v>
      </c>
      <c r="L85">
        <v>9</v>
      </c>
    </row>
    <row r="86" spans="1:12" x14ac:dyDescent="0.25">
      <c r="A86" t="s">
        <v>35</v>
      </c>
      <c r="B86" t="s">
        <v>316</v>
      </c>
      <c r="C86" t="s">
        <v>100</v>
      </c>
      <c r="D86" s="8">
        <v>59</v>
      </c>
      <c r="E86" s="8">
        <v>160.19999999999999</v>
      </c>
      <c r="F86" s="5" t="s">
        <v>196</v>
      </c>
      <c r="G86" t="s">
        <v>311</v>
      </c>
      <c r="H86" t="s">
        <v>317</v>
      </c>
      <c r="I86" t="s">
        <v>313</v>
      </c>
      <c r="J86" t="s">
        <v>314</v>
      </c>
      <c r="K86" t="s">
        <v>315</v>
      </c>
      <c r="L86">
        <v>7</v>
      </c>
    </row>
    <row r="87" spans="1:12" x14ac:dyDescent="0.25">
      <c r="A87" t="s">
        <v>38</v>
      </c>
      <c r="B87" t="s">
        <v>318</v>
      </c>
      <c r="C87" t="s">
        <v>118</v>
      </c>
      <c r="D87" s="8">
        <v>96.732299999999995</v>
      </c>
      <c r="E87" s="8">
        <v>3.9</v>
      </c>
      <c r="F87" s="5" t="s">
        <v>86</v>
      </c>
      <c r="G87" t="s">
        <v>197</v>
      </c>
      <c r="H87" t="s">
        <v>319</v>
      </c>
      <c r="I87" t="s">
        <v>320</v>
      </c>
      <c r="J87" t="s">
        <v>321</v>
      </c>
      <c r="K87" t="s">
        <v>91</v>
      </c>
      <c r="L87">
        <v>6</v>
      </c>
    </row>
    <row r="88" spans="1:12" x14ac:dyDescent="0.25">
      <c r="A88" t="s">
        <v>38</v>
      </c>
      <c r="B88" t="s">
        <v>322</v>
      </c>
      <c r="C88" t="s">
        <v>123</v>
      </c>
      <c r="D88" s="8">
        <v>98.485900000000001</v>
      </c>
      <c r="E88" s="8">
        <v>2.9</v>
      </c>
      <c r="F88" s="5" t="s">
        <v>86</v>
      </c>
      <c r="G88" t="s">
        <v>197</v>
      </c>
      <c r="H88" t="s">
        <v>319</v>
      </c>
      <c r="I88" t="s">
        <v>323</v>
      </c>
      <c r="J88" t="s">
        <v>321</v>
      </c>
      <c r="K88" t="s">
        <v>91</v>
      </c>
      <c r="L88">
        <v>11</v>
      </c>
    </row>
    <row r="89" spans="1:12" x14ac:dyDescent="0.25">
      <c r="A89" t="s">
        <v>38</v>
      </c>
      <c r="B89" t="s">
        <v>324</v>
      </c>
      <c r="C89" t="s">
        <v>163</v>
      </c>
      <c r="D89" s="8">
        <v>94.079899999999995</v>
      </c>
      <c r="E89" s="8">
        <v>5.7</v>
      </c>
      <c r="F89" s="5" t="s">
        <v>86</v>
      </c>
      <c r="G89" t="s">
        <v>197</v>
      </c>
      <c r="H89" t="s">
        <v>319</v>
      </c>
      <c r="I89" t="s">
        <v>325</v>
      </c>
      <c r="J89" t="s">
        <v>321</v>
      </c>
      <c r="K89" t="s">
        <v>91</v>
      </c>
      <c r="L89">
        <v>11</v>
      </c>
    </row>
    <row r="90" spans="1:12" x14ac:dyDescent="0.25">
      <c r="A90" t="s">
        <v>38</v>
      </c>
      <c r="B90" t="s">
        <v>326</v>
      </c>
      <c r="C90" t="s">
        <v>143</v>
      </c>
      <c r="D90" s="8">
        <v>93.263900000000007</v>
      </c>
      <c r="E90" s="8">
        <v>7</v>
      </c>
      <c r="F90" s="5" t="s">
        <v>86</v>
      </c>
      <c r="G90" t="s">
        <v>197</v>
      </c>
      <c r="H90" t="s">
        <v>319</v>
      </c>
      <c r="I90" t="s">
        <v>327</v>
      </c>
      <c r="J90" t="s">
        <v>321</v>
      </c>
      <c r="K90" t="s">
        <v>91</v>
      </c>
      <c r="L90">
        <v>6</v>
      </c>
    </row>
    <row r="91" spans="1:12" x14ac:dyDescent="0.25">
      <c r="A91" t="s">
        <v>38</v>
      </c>
      <c r="B91" t="s">
        <v>328</v>
      </c>
      <c r="C91" t="s">
        <v>97</v>
      </c>
      <c r="D91" s="8">
        <v>83.235699999999994</v>
      </c>
      <c r="E91" s="8">
        <v>17.8</v>
      </c>
      <c r="F91" s="5" t="s">
        <v>86</v>
      </c>
      <c r="G91" t="s">
        <v>197</v>
      </c>
      <c r="H91" t="s">
        <v>329</v>
      </c>
      <c r="I91" t="s">
        <v>330</v>
      </c>
      <c r="J91" t="s">
        <v>229</v>
      </c>
      <c r="K91" t="s">
        <v>91</v>
      </c>
      <c r="L91">
        <v>11</v>
      </c>
    </row>
    <row r="92" spans="1:12" x14ac:dyDescent="0.25">
      <c r="A92" t="s">
        <v>38</v>
      </c>
      <c r="B92" t="s">
        <v>331</v>
      </c>
      <c r="C92" t="s">
        <v>129</v>
      </c>
      <c r="D92" s="8">
        <v>85.742599999999996</v>
      </c>
      <c r="E92" s="8">
        <v>11.2</v>
      </c>
      <c r="F92" s="5" t="s">
        <v>86</v>
      </c>
      <c r="G92" t="s">
        <v>197</v>
      </c>
      <c r="H92" t="s">
        <v>332</v>
      </c>
      <c r="I92" t="s">
        <v>333</v>
      </c>
      <c r="J92" t="s">
        <v>229</v>
      </c>
      <c r="K92" t="s">
        <v>91</v>
      </c>
      <c r="L92">
        <v>14</v>
      </c>
    </row>
    <row r="93" spans="1:12" x14ac:dyDescent="0.25">
      <c r="A93" t="s">
        <v>38</v>
      </c>
      <c r="B93" t="s">
        <v>334</v>
      </c>
      <c r="C93" t="s">
        <v>146</v>
      </c>
      <c r="D93" s="8">
        <v>84.793599999999998</v>
      </c>
      <c r="E93" s="8">
        <v>14.6</v>
      </c>
      <c r="F93" s="5" t="s">
        <v>86</v>
      </c>
      <c r="G93" t="s">
        <v>197</v>
      </c>
      <c r="H93" t="s">
        <v>329</v>
      </c>
      <c r="I93" t="s">
        <v>335</v>
      </c>
      <c r="J93" t="s">
        <v>229</v>
      </c>
      <c r="K93" t="s">
        <v>91</v>
      </c>
      <c r="L93">
        <v>6</v>
      </c>
    </row>
    <row r="94" spans="1:12" x14ac:dyDescent="0.25">
      <c r="A94" t="s">
        <v>38</v>
      </c>
      <c r="B94" t="s">
        <v>336</v>
      </c>
      <c r="C94" t="s">
        <v>129</v>
      </c>
      <c r="D94" s="8">
        <v>81.836600000000004</v>
      </c>
      <c r="E94" s="8">
        <v>21.1</v>
      </c>
      <c r="F94" s="5" t="s">
        <v>86</v>
      </c>
      <c r="G94" t="s">
        <v>197</v>
      </c>
      <c r="H94" t="s">
        <v>329</v>
      </c>
      <c r="I94" t="s">
        <v>337</v>
      </c>
      <c r="J94" t="s">
        <v>229</v>
      </c>
      <c r="K94" t="s">
        <v>91</v>
      </c>
      <c r="L94">
        <v>14</v>
      </c>
    </row>
    <row r="95" spans="1:12" x14ac:dyDescent="0.25">
      <c r="A95" t="s">
        <v>38</v>
      </c>
      <c r="B95" t="s">
        <v>338</v>
      </c>
      <c r="C95" t="s">
        <v>189</v>
      </c>
      <c r="D95" s="8">
        <v>87.510599999999997</v>
      </c>
      <c r="E95" s="8">
        <v>10.199999999999999</v>
      </c>
      <c r="F95" s="5" t="s">
        <v>86</v>
      </c>
      <c r="G95" t="s">
        <v>197</v>
      </c>
      <c r="H95" t="s">
        <v>332</v>
      </c>
      <c r="I95" t="s">
        <v>339</v>
      </c>
      <c r="J95" t="s">
        <v>321</v>
      </c>
      <c r="K95" t="s">
        <v>91</v>
      </c>
      <c r="L95">
        <v>11</v>
      </c>
    </row>
    <row r="96" spans="1:12" x14ac:dyDescent="0.25">
      <c r="A96" t="s">
        <v>38</v>
      </c>
      <c r="B96" t="s">
        <v>340</v>
      </c>
      <c r="C96" t="s">
        <v>160</v>
      </c>
      <c r="D96" s="8">
        <v>91.492500000000007</v>
      </c>
      <c r="E96" s="8">
        <v>23.8</v>
      </c>
      <c r="F96" s="5" t="s">
        <v>114</v>
      </c>
      <c r="G96" t="s">
        <v>197</v>
      </c>
      <c r="H96" t="s">
        <v>319</v>
      </c>
      <c r="I96" t="s">
        <v>341</v>
      </c>
      <c r="J96" t="s">
        <v>321</v>
      </c>
      <c r="K96" t="s">
        <v>91</v>
      </c>
      <c r="L96">
        <v>8</v>
      </c>
    </row>
    <row r="97" spans="1:12" x14ac:dyDescent="0.25">
      <c r="A97" t="s">
        <v>38</v>
      </c>
      <c r="B97" t="s">
        <v>342</v>
      </c>
      <c r="C97" t="s">
        <v>110</v>
      </c>
      <c r="D97" s="8">
        <v>84.094700000000003</v>
      </c>
      <c r="E97" s="8">
        <v>11.5</v>
      </c>
      <c r="F97" s="5" t="s">
        <v>86</v>
      </c>
      <c r="G97" t="s">
        <v>197</v>
      </c>
      <c r="H97" t="s">
        <v>329</v>
      </c>
      <c r="I97" t="s">
        <v>343</v>
      </c>
      <c r="J97" t="s">
        <v>121</v>
      </c>
      <c r="K97" t="s">
        <v>91</v>
      </c>
      <c r="L97">
        <v>5</v>
      </c>
    </row>
    <row r="98" spans="1:12" x14ac:dyDescent="0.25">
      <c r="A98" t="s">
        <v>38</v>
      </c>
      <c r="B98" t="s">
        <v>344</v>
      </c>
      <c r="C98" t="s">
        <v>157</v>
      </c>
      <c r="D98" s="8">
        <v>88.907499999999999</v>
      </c>
      <c r="E98" s="8">
        <v>20.399999999999999</v>
      </c>
      <c r="F98" s="5" t="s">
        <v>114</v>
      </c>
      <c r="G98" t="s">
        <v>197</v>
      </c>
      <c r="H98" t="s">
        <v>332</v>
      </c>
      <c r="I98" t="s">
        <v>345</v>
      </c>
      <c r="J98" t="s">
        <v>321</v>
      </c>
      <c r="K98" t="s">
        <v>91</v>
      </c>
      <c r="L98">
        <v>8</v>
      </c>
    </row>
    <row r="99" spans="1:12" x14ac:dyDescent="0.25">
      <c r="A99" t="s">
        <v>38</v>
      </c>
      <c r="B99" t="s">
        <v>346</v>
      </c>
      <c r="C99" t="s">
        <v>173</v>
      </c>
      <c r="D99" s="8">
        <v>85.74</v>
      </c>
      <c r="E99" s="8">
        <v>34.4</v>
      </c>
      <c r="F99" s="5" t="s">
        <v>114</v>
      </c>
      <c r="G99" t="s">
        <v>197</v>
      </c>
      <c r="H99" t="s">
        <v>332</v>
      </c>
      <c r="I99" t="s">
        <v>347</v>
      </c>
      <c r="J99" t="s">
        <v>321</v>
      </c>
      <c r="K99" t="s">
        <v>95</v>
      </c>
      <c r="L99">
        <v>5</v>
      </c>
    </row>
    <row r="100" spans="1:12" x14ac:dyDescent="0.25">
      <c r="A100" t="s">
        <v>38</v>
      </c>
      <c r="B100" t="s">
        <v>348</v>
      </c>
      <c r="C100" t="s">
        <v>118</v>
      </c>
      <c r="D100" s="8">
        <v>84.822500000000005</v>
      </c>
      <c r="E100" s="8">
        <v>38.6</v>
      </c>
      <c r="F100" s="5" t="s">
        <v>114</v>
      </c>
      <c r="G100" t="s">
        <v>197</v>
      </c>
      <c r="H100" t="s">
        <v>329</v>
      </c>
      <c r="I100" t="s">
        <v>349</v>
      </c>
      <c r="J100" t="s">
        <v>321</v>
      </c>
      <c r="K100" t="s">
        <v>95</v>
      </c>
      <c r="L100">
        <v>6</v>
      </c>
    </row>
    <row r="101" spans="1:12" x14ac:dyDescent="0.25">
      <c r="A101" t="s">
        <v>38</v>
      </c>
      <c r="B101" t="s">
        <v>350</v>
      </c>
      <c r="C101" t="s">
        <v>183</v>
      </c>
      <c r="D101" s="8">
        <v>86.155000000000001</v>
      </c>
      <c r="E101" s="8">
        <v>29</v>
      </c>
      <c r="F101" s="5" t="s">
        <v>114</v>
      </c>
      <c r="G101" t="s">
        <v>197</v>
      </c>
      <c r="H101" t="s">
        <v>332</v>
      </c>
      <c r="I101" t="s">
        <v>351</v>
      </c>
      <c r="J101" t="s">
        <v>116</v>
      </c>
      <c r="K101" t="s">
        <v>95</v>
      </c>
      <c r="L101">
        <v>13</v>
      </c>
    </row>
    <row r="102" spans="1:12" x14ac:dyDescent="0.25">
      <c r="A102" t="s">
        <v>38</v>
      </c>
      <c r="B102" t="s">
        <v>352</v>
      </c>
      <c r="C102" t="s">
        <v>107</v>
      </c>
      <c r="D102" s="8">
        <v>87.487499999999997</v>
      </c>
      <c r="E102" s="8">
        <v>29.5</v>
      </c>
      <c r="F102" s="5" t="s">
        <v>114</v>
      </c>
      <c r="G102" t="s">
        <v>197</v>
      </c>
      <c r="H102" t="s">
        <v>332</v>
      </c>
      <c r="I102" t="s">
        <v>353</v>
      </c>
      <c r="J102" t="s">
        <v>321</v>
      </c>
      <c r="K102" t="s">
        <v>91</v>
      </c>
      <c r="L102">
        <v>10</v>
      </c>
    </row>
    <row r="103" spans="1:12" x14ac:dyDescent="0.25">
      <c r="A103" t="s">
        <v>38</v>
      </c>
      <c r="B103" t="s">
        <v>354</v>
      </c>
      <c r="C103" t="s">
        <v>104</v>
      </c>
      <c r="D103" s="8">
        <v>86.57</v>
      </c>
      <c r="E103" s="8">
        <v>26.4</v>
      </c>
      <c r="F103" s="5" t="s">
        <v>114</v>
      </c>
      <c r="G103" t="s">
        <v>197</v>
      </c>
      <c r="H103" t="s">
        <v>332</v>
      </c>
      <c r="I103" t="s">
        <v>355</v>
      </c>
      <c r="J103" t="s">
        <v>321</v>
      </c>
      <c r="K103" t="s">
        <v>95</v>
      </c>
      <c r="L103">
        <v>13</v>
      </c>
    </row>
    <row r="104" spans="1:12" x14ac:dyDescent="0.25">
      <c r="A104" t="s">
        <v>38</v>
      </c>
      <c r="B104" t="s">
        <v>356</v>
      </c>
      <c r="C104" t="s">
        <v>140</v>
      </c>
      <c r="D104" s="8">
        <v>81.152500000000003</v>
      </c>
      <c r="E104" s="8">
        <v>31.9</v>
      </c>
      <c r="F104" s="5" t="s">
        <v>196</v>
      </c>
      <c r="G104" t="s">
        <v>197</v>
      </c>
      <c r="H104" t="s">
        <v>329</v>
      </c>
      <c r="I104" t="s">
        <v>357</v>
      </c>
      <c r="J104" t="s">
        <v>199</v>
      </c>
      <c r="K104" t="s">
        <v>95</v>
      </c>
      <c r="L104">
        <v>8</v>
      </c>
    </row>
    <row r="105" spans="1:12" x14ac:dyDescent="0.25">
      <c r="A105" t="s">
        <v>38</v>
      </c>
      <c r="B105" t="s">
        <v>358</v>
      </c>
      <c r="C105" t="s">
        <v>153</v>
      </c>
      <c r="D105" s="8">
        <v>81.734999999999999</v>
      </c>
      <c r="E105" s="8">
        <v>34.4</v>
      </c>
      <c r="F105" s="5" t="s">
        <v>196</v>
      </c>
      <c r="G105" t="s">
        <v>197</v>
      </c>
      <c r="H105" t="s">
        <v>329</v>
      </c>
      <c r="I105" t="s">
        <v>359</v>
      </c>
      <c r="J105" t="s">
        <v>321</v>
      </c>
      <c r="K105" t="s">
        <v>95</v>
      </c>
      <c r="L105">
        <v>10</v>
      </c>
    </row>
    <row r="106" spans="1:12" x14ac:dyDescent="0.25">
      <c r="A106" t="s">
        <v>38</v>
      </c>
      <c r="B106" t="s">
        <v>360</v>
      </c>
      <c r="C106" t="s">
        <v>126</v>
      </c>
      <c r="D106" s="8">
        <v>82.317499999999995</v>
      </c>
      <c r="E106" s="8">
        <v>48.9</v>
      </c>
      <c r="F106" s="5" t="s">
        <v>196</v>
      </c>
      <c r="G106" t="s">
        <v>197</v>
      </c>
      <c r="H106" t="s">
        <v>329</v>
      </c>
      <c r="I106" t="s">
        <v>361</v>
      </c>
      <c r="J106" t="s">
        <v>321</v>
      </c>
      <c r="K106" t="s">
        <v>95</v>
      </c>
      <c r="L106">
        <v>10</v>
      </c>
    </row>
    <row r="107" spans="1:12" x14ac:dyDescent="0.25">
      <c r="A107" t="s">
        <v>38</v>
      </c>
      <c r="B107" t="s">
        <v>362</v>
      </c>
      <c r="C107" t="s">
        <v>113</v>
      </c>
      <c r="D107" s="8">
        <v>79.900000000000006</v>
      </c>
      <c r="E107" s="8">
        <v>43</v>
      </c>
      <c r="F107" s="5" t="s">
        <v>196</v>
      </c>
      <c r="G107" t="s">
        <v>197</v>
      </c>
      <c r="H107" t="s">
        <v>329</v>
      </c>
      <c r="I107" t="s">
        <v>363</v>
      </c>
      <c r="J107" t="s">
        <v>321</v>
      </c>
      <c r="K107" t="s">
        <v>95</v>
      </c>
      <c r="L107">
        <v>7</v>
      </c>
    </row>
    <row r="108" spans="1:12" x14ac:dyDescent="0.25">
      <c r="A108" t="s">
        <v>38</v>
      </c>
      <c r="B108" t="s">
        <v>364</v>
      </c>
      <c r="C108" t="s">
        <v>100</v>
      </c>
      <c r="D108" s="8">
        <v>82.732500000000002</v>
      </c>
      <c r="E108" s="8">
        <v>44.3</v>
      </c>
      <c r="F108" s="5" t="s">
        <v>114</v>
      </c>
      <c r="G108" t="s">
        <v>197</v>
      </c>
      <c r="H108" t="s">
        <v>329</v>
      </c>
      <c r="I108" t="s">
        <v>365</v>
      </c>
      <c r="J108" t="s">
        <v>321</v>
      </c>
      <c r="K108" t="s">
        <v>95</v>
      </c>
      <c r="L108">
        <v>7</v>
      </c>
    </row>
    <row r="109" spans="1:12" x14ac:dyDescent="0.25">
      <c r="A109" t="s">
        <v>38</v>
      </c>
      <c r="B109" t="s">
        <v>366</v>
      </c>
      <c r="C109" t="s">
        <v>123</v>
      </c>
      <c r="D109" s="8">
        <v>78.064999999999998</v>
      </c>
      <c r="E109" s="8">
        <v>41.5</v>
      </c>
      <c r="F109" s="5" t="s">
        <v>196</v>
      </c>
      <c r="G109" t="s">
        <v>197</v>
      </c>
      <c r="H109" t="s">
        <v>329</v>
      </c>
      <c r="I109" t="s">
        <v>367</v>
      </c>
      <c r="J109" t="s">
        <v>321</v>
      </c>
      <c r="K109" t="s">
        <v>95</v>
      </c>
      <c r="L109">
        <v>11</v>
      </c>
    </row>
    <row r="110" spans="1:12" x14ac:dyDescent="0.25">
      <c r="A110" t="s">
        <v>38</v>
      </c>
      <c r="B110" t="s">
        <v>368</v>
      </c>
      <c r="C110" t="s">
        <v>93</v>
      </c>
      <c r="D110" s="8">
        <v>78.647499999999994</v>
      </c>
      <c r="E110" s="8">
        <v>53.1</v>
      </c>
      <c r="F110" s="5" t="s">
        <v>196</v>
      </c>
      <c r="G110" t="s">
        <v>197</v>
      </c>
      <c r="H110" t="s">
        <v>329</v>
      </c>
      <c r="I110" t="s">
        <v>369</v>
      </c>
      <c r="J110" t="s">
        <v>321</v>
      </c>
      <c r="K110" t="s">
        <v>95</v>
      </c>
      <c r="L110">
        <v>10</v>
      </c>
    </row>
    <row r="111" spans="1:12" x14ac:dyDescent="0.25">
      <c r="A111" t="s">
        <v>38</v>
      </c>
      <c r="B111" t="s">
        <v>370</v>
      </c>
      <c r="C111" t="s">
        <v>85</v>
      </c>
      <c r="D111" s="8">
        <v>75.48</v>
      </c>
      <c r="E111" s="8">
        <v>52.9</v>
      </c>
      <c r="F111" s="5" t="s">
        <v>196</v>
      </c>
      <c r="G111" t="s">
        <v>197</v>
      </c>
      <c r="H111" t="s">
        <v>371</v>
      </c>
      <c r="I111" t="s">
        <v>372</v>
      </c>
      <c r="J111" t="s">
        <v>321</v>
      </c>
      <c r="K111" t="s">
        <v>95</v>
      </c>
      <c r="L111">
        <v>7</v>
      </c>
    </row>
    <row r="112" spans="1:12" x14ac:dyDescent="0.25">
      <c r="A112" t="s">
        <v>38</v>
      </c>
      <c r="B112" t="s">
        <v>373</v>
      </c>
      <c r="C112" t="s">
        <v>143</v>
      </c>
      <c r="D112" s="8">
        <v>76.0625</v>
      </c>
      <c r="E112" s="8">
        <v>45.8</v>
      </c>
      <c r="F112" s="5" t="s">
        <v>196</v>
      </c>
      <c r="G112" t="s">
        <v>197</v>
      </c>
      <c r="H112" t="s">
        <v>371</v>
      </c>
      <c r="I112" t="s">
        <v>374</v>
      </c>
      <c r="J112" t="s">
        <v>321</v>
      </c>
      <c r="K112" t="s">
        <v>95</v>
      </c>
      <c r="L112">
        <v>6</v>
      </c>
    </row>
    <row r="113" spans="1:12" x14ac:dyDescent="0.25">
      <c r="A113" t="s">
        <v>38</v>
      </c>
      <c r="B113" t="s">
        <v>375</v>
      </c>
      <c r="C113" t="s">
        <v>93</v>
      </c>
      <c r="D113" s="8">
        <v>73.644999999999996</v>
      </c>
      <c r="E113" s="8">
        <v>49.3</v>
      </c>
      <c r="F113" s="5" t="s">
        <v>196</v>
      </c>
      <c r="G113" t="s">
        <v>197</v>
      </c>
      <c r="H113" t="s">
        <v>371</v>
      </c>
      <c r="I113" t="s">
        <v>376</v>
      </c>
      <c r="J113" t="s">
        <v>321</v>
      </c>
      <c r="K113" t="s">
        <v>95</v>
      </c>
      <c r="L113">
        <v>10</v>
      </c>
    </row>
    <row r="114" spans="1:12" x14ac:dyDescent="0.25">
      <c r="A114" t="s">
        <v>38</v>
      </c>
      <c r="B114" t="s">
        <v>377</v>
      </c>
      <c r="C114" t="s">
        <v>136</v>
      </c>
      <c r="D114" s="8">
        <v>76.477500000000006</v>
      </c>
      <c r="E114" s="8">
        <v>59.4</v>
      </c>
      <c r="F114" s="5" t="s">
        <v>196</v>
      </c>
      <c r="G114" t="s">
        <v>197</v>
      </c>
      <c r="H114" t="s">
        <v>371</v>
      </c>
      <c r="I114" t="s">
        <v>378</v>
      </c>
      <c r="J114" t="s">
        <v>199</v>
      </c>
      <c r="K114" t="s">
        <v>95</v>
      </c>
      <c r="L114">
        <v>8</v>
      </c>
    </row>
    <row r="115" spans="1:12" x14ac:dyDescent="0.25">
      <c r="A115" t="s">
        <v>38</v>
      </c>
      <c r="B115" t="s">
        <v>379</v>
      </c>
      <c r="C115" t="s">
        <v>180</v>
      </c>
      <c r="D115" s="8">
        <v>71.81</v>
      </c>
      <c r="E115" s="8">
        <v>63.9</v>
      </c>
      <c r="F115" s="5" t="s">
        <v>196</v>
      </c>
      <c r="G115" t="s">
        <v>197</v>
      </c>
      <c r="H115" t="s">
        <v>380</v>
      </c>
      <c r="I115" t="s">
        <v>381</v>
      </c>
      <c r="J115" t="s">
        <v>321</v>
      </c>
      <c r="K115" t="s">
        <v>95</v>
      </c>
      <c r="L115">
        <v>14</v>
      </c>
    </row>
    <row r="116" spans="1:12" x14ac:dyDescent="0.25">
      <c r="A116" t="s">
        <v>38</v>
      </c>
      <c r="B116" t="s">
        <v>382</v>
      </c>
      <c r="C116" t="s">
        <v>150</v>
      </c>
      <c r="D116" s="8">
        <v>73.892499999999998</v>
      </c>
      <c r="E116" s="8">
        <v>70.900000000000006</v>
      </c>
      <c r="F116" s="5" t="s">
        <v>196</v>
      </c>
      <c r="G116" t="s">
        <v>197</v>
      </c>
      <c r="H116" t="s">
        <v>371</v>
      </c>
      <c r="I116" t="s">
        <v>383</v>
      </c>
      <c r="J116" t="s">
        <v>321</v>
      </c>
      <c r="K116" t="s">
        <v>95</v>
      </c>
      <c r="L116">
        <v>11</v>
      </c>
    </row>
    <row r="117" spans="1:12" x14ac:dyDescent="0.25">
      <c r="A117" t="s">
        <v>38</v>
      </c>
      <c r="B117" t="s">
        <v>384</v>
      </c>
      <c r="C117" t="s">
        <v>166</v>
      </c>
      <c r="D117" s="8">
        <v>70.724999999999994</v>
      </c>
      <c r="E117" s="8">
        <v>55.3</v>
      </c>
      <c r="F117" s="5" t="s">
        <v>196</v>
      </c>
      <c r="G117" t="s">
        <v>197</v>
      </c>
      <c r="H117" t="s">
        <v>380</v>
      </c>
      <c r="I117" t="s">
        <v>385</v>
      </c>
      <c r="J117" t="s">
        <v>321</v>
      </c>
      <c r="K117" t="s">
        <v>95</v>
      </c>
      <c r="L117">
        <v>13</v>
      </c>
    </row>
    <row r="118" spans="1:12" x14ac:dyDescent="0.25">
      <c r="A118" t="s">
        <v>38</v>
      </c>
      <c r="B118" t="s">
        <v>386</v>
      </c>
      <c r="C118" t="s">
        <v>186</v>
      </c>
      <c r="D118" s="8">
        <v>69.807500000000005</v>
      </c>
      <c r="E118" s="8">
        <v>65.900000000000006</v>
      </c>
      <c r="F118" s="5" t="s">
        <v>196</v>
      </c>
      <c r="G118" t="s">
        <v>197</v>
      </c>
      <c r="H118" t="s">
        <v>380</v>
      </c>
      <c r="I118" t="s">
        <v>387</v>
      </c>
      <c r="J118" t="s">
        <v>229</v>
      </c>
      <c r="K118" t="s">
        <v>95</v>
      </c>
      <c r="L118">
        <v>9</v>
      </c>
    </row>
    <row r="119" spans="1:12" x14ac:dyDescent="0.25">
      <c r="A119" t="s">
        <v>38</v>
      </c>
      <c r="B119" t="s">
        <v>388</v>
      </c>
      <c r="C119" t="s">
        <v>177</v>
      </c>
      <c r="D119" s="8">
        <v>71.89</v>
      </c>
      <c r="E119" s="8">
        <v>77.400000000000006</v>
      </c>
      <c r="F119" s="5" t="s">
        <v>196</v>
      </c>
      <c r="G119" t="s">
        <v>197</v>
      </c>
      <c r="H119" t="s">
        <v>371</v>
      </c>
      <c r="I119" t="s">
        <v>389</v>
      </c>
      <c r="J119" t="s">
        <v>213</v>
      </c>
      <c r="K119" t="s">
        <v>95</v>
      </c>
      <c r="L119">
        <v>9</v>
      </c>
    </row>
    <row r="120" spans="1:12" x14ac:dyDescent="0.25">
      <c r="A120" t="s">
        <v>38</v>
      </c>
      <c r="B120" t="s">
        <v>390</v>
      </c>
      <c r="C120" t="s">
        <v>126</v>
      </c>
      <c r="D120" s="8">
        <v>68.722499999999997</v>
      </c>
      <c r="E120" s="8">
        <v>59.6</v>
      </c>
      <c r="F120" s="5" t="s">
        <v>196</v>
      </c>
      <c r="G120" t="s">
        <v>197</v>
      </c>
      <c r="H120" t="s">
        <v>380</v>
      </c>
      <c r="I120" t="s">
        <v>391</v>
      </c>
      <c r="J120" t="s">
        <v>321</v>
      </c>
      <c r="K120" t="s">
        <v>95</v>
      </c>
      <c r="L120">
        <v>10</v>
      </c>
    </row>
    <row r="121" spans="1:12" x14ac:dyDescent="0.25">
      <c r="A121" t="s">
        <v>38</v>
      </c>
      <c r="B121" t="s">
        <v>392</v>
      </c>
      <c r="C121" t="s">
        <v>157</v>
      </c>
      <c r="D121" s="8">
        <v>76.22</v>
      </c>
      <c r="E121" s="8">
        <v>87.1</v>
      </c>
      <c r="F121" s="5" t="s">
        <v>196</v>
      </c>
      <c r="G121" t="s">
        <v>197</v>
      </c>
      <c r="H121" t="s">
        <v>371</v>
      </c>
      <c r="I121" t="s">
        <v>393</v>
      </c>
      <c r="J121" t="s">
        <v>213</v>
      </c>
      <c r="K121" t="s">
        <v>95</v>
      </c>
      <c r="L121">
        <v>8</v>
      </c>
    </row>
    <row r="122" spans="1:12" x14ac:dyDescent="0.25">
      <c r="A122" t="s">
        <v>38</v>
      </c>
      <c r="B122" t="s">
        <v>394</v>
      </c>
      <c r="C122" t="s">
        <v>186</v>
      </c>
      <c r="D122" s="8">
        <v>75.55</v>
      </c>
      <c r="E122" s="8">
        <v>72.2</v>
      </c>
      <c r="F122" s="5" t="s">
        <v>196</v>
      </c>
      <c r="G122" t="s">
        <v>197</v>
      </c>
      <c r="H122" t="s">
        <v>371</v>
      </c>
      <c r="I122" t="s">
        <v>395</v>
      </c>
      <c r="J122" t="s">
        <v>321</v>
      </c>
      <c r="K122" t="s">
        <v>95</v>
      </c>
      <c r="L122">
        <v>9</v>
      </c>
    </row>
    <row r="123" spans="1:12" x14ac:dyDescent="0.25">
      <c r="A123" t="s">
        <v>38</v>
      </c>
      <c r="B123" t="s">
        <v>396</v>
      </c>
      <c r="C123" t="s">
        <v>132</v>
      </c>
      <c r="D123" s="8">
        <v>74.88</v>
      </c>
      <c r="E123" s="8">
        <v>75.599999999999994</v>
      </c>
      <c r="F123" s="5" t="s">
        <v>196</v>
      </c>
      <c r="G123" t="s">
        <v>197</v>
      </c>
      <c r="H123" t="s">
        <v>371</v>
      </c>
      <c r="I123" t="s">
        <v>397</v>
      </c>
      <c r="J123" t="s">
        <v>321</v>
      </c>
      <c r="K123" t="s">
        <v>95</v>
      </c>
      <c r="L123">
        <v>7</v>
      </c>
    </row>
    <row r="124" spans="1:12" x14ac:dyDescent="0.25">
      <c r="A124" t="s">
        <v>38</v>
      </c>
      <c r="B124" t="s">
        <v>398</v>
      </c>
      <c r="C124" t="s">
        <v>146</v>
      </c>
      <c r="D124" s="8">
        <v>74.209999999999994</v>
      </c>
      <c r="E124" s="8">
        <v>103.3</v>
      </c>
      <c r="F124" s="5" t="s">
        <v>196</v>
      </c>
      <c r="G124" t="s">
        <v>197</v>
      </c>
      <c r="H124" t="s">
        <v>371</v>
      </c>
      <c r="I124" t="s">
        <v>399</v>
      </c>
      <c r="J124" t="s">
        <v>321</v>
      </c>
      <c r="K124" t="s">
        <v>95</v>
      </c>
      <c r="L124">
        <v>6</v>
      </c>
    </row>
    <row r="125" spans="1:12" x14ac:dyDescent="0.25">
      <c r="A125" t="s">
        <v>38</v>
      </c>
      <c r="B125" t="s">
        <v>400</v>
      </c>
      <c r="C125" t="s">
        <v>177</v>
      </c>
      <c r="D125" s="8">
        <v>73.540000000000006</v>
      </c>
      <c r="E125" s="8">
        <v>71</v>
      </c>
      <c r="F125" s="5" t="s">
        <v>196</v>
      </c>
      <c r="G125" t="s">
        <v>197</v>
      </c>
      <c r="H125" t="s">
        <v>371</v>
      </c>
      <c r="I125" t="s">
        <v>401</v>
      </c>
      <c r="J125" t="s">
        <v>321</v>
      </c>
      <c r="K125" t="s">
        <v>95</v>
      </c>
      <c r="L125">
        <v>9</v>
      </c>
    </row>
    <row r="126" spans="1:12" x14ac:dyDescent="0.25">
      <c r="A126" t="s">
        <v>38</v>
      </c>
      <c r="B126" t="s">
        <v>402</v>
      </c>
      <c r="C126" t="s">
        <v>132</v>
      </c>
      <c r="D126" s="8">
        <v>66.967500000000001</v>
      </c>
      <c r="E126" s="8">
        <v>81.099999999999994</v>
      </c>
      <c r="F126" s="5" t="s">
        <v>196</v>
      </c>
      <c r="G126" t="s">
        <v>197</v>
      </c>
      <c r="H126" t="s">
        <v>380</v>
      </c>
      <c r="I126" t="s">
        <v>309</v>
      </c>
      <c r="J126" t="s">
        <v>321</v>
      </c>
      <c r="K126" t="s">
        <v>95</v>
      </c>
      <c r="L126">
        <v>7</v>
      </c>
    </row>
    <row r="127" spans="1:12" x14ac:dyDescent="0.25">
      <c r="A127" t="s">
        <v>38</v>
      </c>
      <c r="B127" t="s">
        <v>403</v>
      </c>
      <c r="C127" t="s">
        <v>107</v>
      </c>
      <c r="D127" s="8">
        <v>72.2</v>
      </c>
      <c r="E127" s="8">
        <v>108.5</v>
      </c>
      <c r="F127" s="5" t="s">
        <v>196</v>
      </c>
      <c r="G127" t="s">
        <v>197</v>
      </c>
      <c r="H127" t="s">
        <v>371</v>
      </c>
      <c r="I127" t="s">
        <v>404</v>
      </c>
      <c r="J127" t="s">
        <v>213</v>
      </c>
      <c r="K127" t="s">
        <v>95</v>
      </c>
      <c r="L127">
        <v>10</v>
      </c>
    </row>
    <row r="128" spans="1:12" x14ac:dyDescent="0.25">
      <c r="A128" t="s">
        <v>38</v>
      </c>
      <c r="B128" t="s">
        <v>405</v>
      </c>
      <c r="C128" t="s">
        <v>132</v>
      </c>
      <c r="D128" s="8">
        <v>71.53</v>
      </c>
      <c r="E128" s="8">
        <v>72.3</v>
      </c>
      <c r="F128" s="5" t="s">
        <v>196</v>
      </c>
      <c r="G128" t="s">
        <v>197</v>
      </c>
      <c r="H128" t="s">
        <v>380</v>
      </c>
      <c r="I128" t="s">
        <v>406</v>
      </c>
      <c r="J128" t="s">
        <v>321</v>
      </c>
      <c r="K128" t="s">
        <v>95</v>
      </c>
      <c r="L128">
        <v>7</v>
      </c>
    </row>
    <row r="129" spans="1:12" x14ac:dyDescent="0.25">
      <c r="A129" t="s">
        <v>38</v>
      </c>
      <c r="B129" t="s">
        <v>407</v>
      </c>
      <c r="C129" t="s">
        <v>153</v>
      </c>
      <c r="D129" s="8">
        <v>70.86</v>
      </c>
      <c r="E129" s="8">
        <v>92.4</v>
      </c>
      <c r="F129" s="5" t="s">
        <v>196</v>
      </c>
      <c r="G129" t="s">
        <v>197</v>
      </c>
      <c r="H129" t="s">
        <v>380</v>
      </c>
      <c r="I129" t="s">
        <v>408</v>
      </c>
      <c r="J129" t="s">
        <v>199</v>
      </c>
      <c r="K129" t="s">
        <v>95</v>
      </c>
      <c r="L129">
        <v>10</v>
      </c>
    </row>
    <row r="130" spans="1:12" x14ac:dyDescent="0.25">
      <c r="A130" t="s">
        <v>38</v>
      </c>
      <c r="B130" t="s">
        <v>409</v>
      </c>
      <c r="C130" t="s">
        <v>100</v>
      </c>
      <c r="D130" s="8">
        <v>70.19</v>
      </c>
      <c r="E130" s="8">
        <v>95.6</v>
      </c>
      <c r="F130" s="5" t="s">
        <v>196</v>
      </c>
      <c r="G130" t="s">
        <v>197</v>
      </c>
      <c r="H130" t="s">
        <v>380</v>
      </c>
      <c r="I130" t="s">
        <v>410</v>
      </c>
      <c r="J130" t="s">
        <v>321</v>
      </c>
      <c r="K130" t="s">
        <v>95</v>
      </c>
      <c r="L130">
        <v>7</v>
      </c>
    </row>
    <row r="131" spans="1:12" x14ac:dyDescent="0.25">
      <c r="A131" t="s">
        <v>38</v>
      </c>
      <c r="B131" t="s">
        <v>411</v>
      </c>
      <c r="C131" t="s">
        <v>136</v>
      </c>
      <c r="D131" s="8">
        <v>69.52</v>
      </c>
      <c r="E131" s="8">
        <v>112.3</v>
      </c>
      <c r="F131" s="5" t="s">
        <v>196</v>
      </c>
      <c r="G131" t="s">
        <v>197</v>
      </c>
      <c r="H131" t="s">
        <v>380</v>
      </c>
      <c r="I131" t="s">
        <v>412</v>
      </c>
      <c r="J131" t="s">
        <v>199</v>
      </c>
      <c r="K131" t="s">
        <v>95</v>
      </c>
      <c r="L131">
        <v>8</v>
      </c>
    </row>
    <row r="132" spans="1:12" x14ac:dyDescent="0.25">
      <c r="A132" t="s">
        <v>38</v>
      </c>
      <c r="B132" t="s">
        <v>413</v>
      </c>
      <c r="C132" t="s">
        <v>180</v>
      </c>
      <c r="D132" s="8">
        <v>68.849999999999994</v>
      </c>
      <c r="E132" s="8">
        <v>88.6</v>
      </c>
      <c r="F132" s="5" t="s">
        <v>196</v>
      </c>
      <c r="G132" t="s">
        <v>197</v>
      </c>
      <c r="H132" t="s">
        <v>380</v>
      </c>
      <c r="I132" t="s">
        <v>414</v>
      </c>
      <c r="J132" t="s">
        <v>321</v>
      </c>
      <c r="K132" t="s">
        <v>95</v>
      </c>
      <c r="L132">
        <v>14</v>
      </c>
    </row>
    <row r="133" spans="1:12" x14ac:dyDescent="0.25">
      <c r="A133" t="s">
        <v>38</v>
      </c>
      <c r="B133" t="s">
        <v>415</v>
      </c>
      <c r="C133" t="s">
        <v>110</v>
      </c>
      <c r="D133" s="8">
        <v>68.180000000000007</v>
      </c>
      <c r="E133" s="8">
        <v>105.9</v>
      </c>
      <c r="F133" s="5" t="s">
        <v>196</v>
      </c>
      <c r="G133" t="s">
        <v>197</v>
      </c>
      <c r="H133" t="s">
        <v>380</v>
      </c>
      <c r="I133" t="s">
        <v>416</v>
      </c>
      <c r="J133" t="s">
        <v>321</v>
      </c>
      <c r="K133" t="s">
        <v>95</v>
      </c>
      <c r="L133">
        <v>5</v>
      </c>
    </row>
    <row r="134" spans="1:12" x14ac:dyDescent="0.25">
      <c r="A134" t="s">
        <v>38</v>
      </c>
      <c r="B134" t="s">
        <v>417</v>
      </c>
      <c r="C134" t="s">
        <v>150</v>
      </c>
      <c r="D134" s="8">
        <v>67.510000000000005</v>
      </c>
      <c r="E134" s="8">
        <v>122.6</v>
      </c>
      <c r="F134" s="5" t="s">
        <v>196</v>
      </c>
      <c r="G134" t="s">
        <v>197</v>
      </c>
      <c r="H134" t="s">
        <v>380</v>
      </c>
      <c r="I134" t="s">
        <v>418</v>
      </c>
      <c r="J134" t="s">
        <v>199</v>
      </c>
      <c r="K134" t="s">
        <v>95</v>
      </c>
      <c r="L134">
        <v>11</v>
      </c>
    </row>
    <row r="135" spans="1:12" x14ac:dyDescent="0.25">
      <c r="A135" t="s">
        <v>38</v>
      </c>
      <c r="B135" t="s">
        <v>419</v>
      </c>
      <c r="C135" t="s">
        <v>166</v>
      </c>
      <c r="D135" s="8">
        <v>66.84</v>
      </c>
      <c r="E135" s="8">
        <v>92.1</v>
      </c>
      <c r="F135" s="5" t="s">
        <v>196</v>
      </c>
      <c r="G135" t="s">
        <v>197</v>
      </c>
      <c r="H135" t="s">
        <v>380</v>
      </c>
      <c r="I135" t="s">
        <v>420</v>
      </c>
      <c r="J135" t="s">
        <v>321</v>
      </c>
      <c r="K135" t="s">
        <v>95</v>
      </c>
      <c r="L135">
        <v>13</v>
      </c>
    </row>
    <row r="136" spans="1:12" x14ac:dyDescent="0.25">
      <c r="A136" t="s">
        <v>38</v>
      </c>
      <c r="B136" t="s">
        <v>421</v>
      </c>
      <c r="C136" t="s">
        <v>150</v>
      </c>
      <c r="D136" s="8">
        <v>66.17</v>
      </c>
      <c r="E136" s="8">
        <v>97.2</v>
      </c>
      <c r="F136" s="5" t="s">
        <v>196</v>
      </c>
      <c r="G136" t="s">
        <v>197</v>
      </c>
      <c r="H136" t="s">
        <v>380</v>
      </c>
      <c r="I136" t="s">
        <v>422</v>
      </c>
      <c r="J136" t="s">
        <v>199</v>
      </c>
      <c r="K136" t="s">
        <v>95</v>
      </c>
      <c r="L136">
        <v>11</v>
      </c>
    </row>
    <row r="137" spans="1:12" x14ac:dyDescent="0.25">
      <c r="A137" t="s">
        <v>38</v>
      </c>
      <c r="B137" t="s">
        <v>423</v>
      </c>
      <c r="C137" t="s">
        <v>85</v>
      </c>
      <c r="D137" s="8">
        <v>65.5</v>
      </c>
      <c r="E137" s="8">
        <v>102</v>
      </c>
      <c r="F137" s="5" t="s">
        <v>196</v>
      </c>
      <c r="G137" t="s">
        <v>197</v>
      </c>
      <c r="H137" t="s">
        <v>424</v>
      </c>
      <c r="I137" t="s">
        <v>425</v>
      </c>
      <c r="J137" t="s">
        <v>321</v>
      </c>
      <c r="K137" t="s">
        <v>95</v>
      </c>
      <c r="L137">
        <v>7</v>
      </c>
    </row>
    <row r="138" spans="1:12" x14ac:dyDescent="0.25">
      <c r="A138" t="s">
        <v>38</v>
      </c>
      <c r="B138" t="s">
        <v>426</v>
      </c>
      <c r="C138" t="s">
        <v>140</v>
      </c>
      <c r="D138" s="8">
        <v>64.83</v>
      </c>
      <c r="E138" s="8">
        <v>201.9</v>
      </c>
      <c r="F138" s="5" t="s">
        <v>196</v>
      </c>
      <c r="G138" t="s">
        <v>197</v>
      </c>
      <c r="H138" t="s">
        <v>424</v>
      </c>
      <c r="I138" t="s">
        <v>427</v>
      </c>
      <c r="J138" t="s">
        <v>199</v>
      </c>
      <c r="K138" t="s">
        <v>95</v>
      </c>
      <c r="L138">
        <v>8</v>
      </c>
    </row>
    <row r="139" spans="1:12" x14ac:dyDescent="0.25">
      <c r="A139" t="s">
        <v>38</v>
      </c>
      <c r="B139" t="s">
        <v>428</v>
      </c>
      <c r="C139" t="s">
        <v>97</v>
      </c>
      <c r="D139" s="8">
        <v>64.16</v>
      </c>
      <c r="E139" s="8">
        <v>116</v>
      </c>
      <c r="F139" s="5" t="s">
        <v>196</v>
      </c>
      <c r="G139" t="s">
        <v>197</v>
      </c>
      <c r="H139" t="s">
        <v>424</v>
      </c>
      <c r="I139" t="s">
        <v>429</v>
      </c>
      <c r="J139" t="s">
        <v>321</v>
      </c>
      <c r="K139" t="s">
        <v>95</v>
      </c>
      <c r="L139">
        <v>11</v>
      </c>
    </row>
    <row r="140" spans="1:12" x14ac:dyDescent="0.25">
      <c r="A140" t="s">
        <v>38</v>
      </c>
      <c r="B140" t="s">
        <v>430</v>
      </c>
      <c r="C140" t="s">
        <v>173</v>
      </c>
      <c r="D140" s="8">
        <v>63.49</v>
      </c>
      <c r="E140" s="8">
        <v>127.3</v>
      </c>
      <c r="F140" s="5" t="s">
        <v>196</v>
      </c>
      <c r="G140" t="s">
        <v>197</v>
      </c>
      <c r="H140" t="s">
        <v>424</v>
      </c>
      <c r="I140" t="s">
        <v>431</v>
      </c>
      <c r="J140" t="s">
        <v>321</v>
      </c>
      <c r="K140" t="s">
        <v>95</v>
      </c>
      <c r="L140">
        <v>5</v>
      </c>
    </row>
    <row r="141" spans="1:12" x14ac:dyDescent="0.25">
      <c r="A141" t="s">
        <v>38</v>
      </c>
      <c r="B141" t="s">
        <v>432</v>
      </c>
      <c r="C141" t="s">
        <v>195</v>
      </c>
      <c r="D141" s="8">
        <v>62.82</v>
      </c>
      <c r="E141" s="8">
        <v>130.69999999999999</v>
      </c>
      <c r="F141" s="5" t="s">
        <v>196</v>
      </c>
      <c r="G141" t="s">
        <v>197</v>
      </c>
      <c r="H141" t="s">
        <v>424</v>
      </c>
      <c r="I141" t="s">
        <v>433</v>
      </c>
      <c r="J141" t="s">
        <v>213</v>
      </c>
      <c r="K141" t="s">
        <v>95</v>
      </c>
      <c r="L141">
        <v>11</v>
      </c>
    </row>
    <row r="142" spans="1:12" x14ac:dyDescent="0.25">
      <c r="A142" t="s">
        <v>38</v>
      </c>
      <c r="B142" t="s">
        <v>434</v>
      </c>
      <c r="C142" t="s">
        <v>163</v>
      </c>
      <c r="D142" s="8">
        <v>62.15</v>
      </c>
      <c r="E142" s="8">
        <v>121.9</v>
      </c>
      <c r="F142" s="5" t="s">
        <v>196</v>
      </c>
      <c r="G142" t="s">
        <v>197</v>
      </c>
      <c r="H142" t="s">
        <v>424</v>
      </c>
      <c r="I142" t="s">
        <v>435</v>
      </c>
      <c r="J142" t="s">
        <v>321</v>
      </c>
      <c r="K142" t="s">
        <v>95</v>
      </c>
      <c r="L142">
        <v>11</v>
      </c>
    </row>
    <row r="143" spans="1:12" x14ac:dyDescent="0.25">
      <c r="A143" t="s">
        <v>38</v>
      </c>
      <c r="B143" t="s">
        <v>436</v>
      </c>
      <c r="C143" t="s">
        <v>177</v>
      </c>
      <c r="D143" s="8">
        <v>61.48</v>
      </c>
      <c r="E143" s="8">
        <v>132.80000000000001</v>
      </c>
      <c r="F143" s="5" t="s">
        <v>196</v>
      </c>
      <c r="G143" t="s">
        <v>197</v>
      </c>
      <c r="H143" t="s">
        <v>424</v>
      </c>
      <c r="I143" t="s">
        <v>437</v>
      </c>
      <c r="J143" t="s">
        <v>199</v>
      </c>
      <c r="K143" t="s">
        <v>95</v>
      </c>
      <c r="L143">
        <v>9</v>
      </c>
    </row>
    <row r="144" spans="1:12" x14ac:dyDescent="0.25">
      <c r="A144" t="s">
        <v>38</v>
      </c>
      <c r="B144" t="s">
        <v>438</v>
      </c>
      <c r="C144" t="s">
        <v>183</v>
      </c>
      <c r="D144" s="8">
        <v>60.81</v>
      </c>
      <c r="E144" s="8">
        <v>165.4</v>
      </c>
      <c r="F144" s="5" t="s">
        <v>196</v>
      </c>
      <c r="G144" t="s">
        <v>197</v>
      </c>
      <c r="H144" t="s">
        <v>424</v>
      </c>
      <c r="I144" t="s">
        <v>439</v>
      </c>
      <c r="J144" t="s">
        <v>213</v>
      </c>
      <c r="K144" t="s">
        <v>95</v>
      </c>
      <c r="L144">
        <v>13</v>
      </c>
    </row>
    <row r="145" spans="1:12" x14ac:dyDescent="0.25">
      <c r="A145" t="s">
        <v>38</v>
      </c>
      <c r="B145" t="s">
        <v>440</v>
      </c>
      <c r="C145" t="s">
        <v>195</v>
      </c>
      <c r="D145" s="8">
        <v>60.14</v>
      </c>
      <c r="E145" s="8">
        <v>134.69999999999999</v>
      </c>
      <c r="F145" s="5" t="s">
        <v>196</v>
      </c>
      <c r="G145" t="s">
        <v>197</v>
      </c>
      <c r="H145" t="s">
        <v>424</v>
      </c>
      <c r="I145" t="s">
        <v>441</v>
      </c>
      <c r="J145" t="s">
        <v>321</v>
      </c>
      <c r="K145" t="s">
        <v>95</v>
      </c>
      <c r="L145">
        <v>11</v>
      </c>
    </row>
    <row r="146" spans="1:12" x14ac:dyDescent="0.25">
      <c r="A146" t="s">
        <v>38</v>
      </c>
      <c r="B146" t="s">
        <v>442</v>
      </c>
      <c r="C146" t="s">
        <v>192</v>
      </c>
      <c r="D146" s="8">
        <v>59.47</v>
      </c>
      <c r="E146" s="8">
        <v>160.6</v>
      </c>
      <c r="F146" s="5" t="s">
        <v>196</v>
      </c>
      <c r="G146" t="s">
        <v>197</v>
      </c>
      <c r="H146" t="s">
        <v>424</v>
      </c>
      <c r="I146" t="s">
        <v>443</v>
      </c>
      <c r="J146" t="s">
        <v>321</v>
      </c>
      <c r="K146" t="s">
        <v>95</v>
      </c>
      <c r="L146">
        <v>13</v>
      </c>
    </row>
    <row r="147" spans="1:12" x14ac:dyDescent="0.25">
      <c r="A147" t="s">
        <v>38</v>
      </c>
      <c r="B147" t="s">
        <v>444</v>
      </c>
      <c r="C147" t="s">
        <v>153</v>
      </c>
      <c r="D147" s="8">
        <v>58.8</v>
      </c>
      <c r="E147" s="8">
        <v>152.80000000000001</v>
      </c>
      <c r="F147" s="5" t="s">
        <v>196</v>
      </c>
      <c r="G147" t="s">
        <v>197</v>
      </c>
      <c r="H147" t="s">
        <v>424</v>
      </c>
      <c r="I147" t="s">
        <v>445</v>
      </c>
      <c r="J147" t="s">
        <v>199</v>
      </c>
      <c r="K147" t="s">
        <v>95</v>
      </c>
      <c r="L147">
        <v>10</v>
      </c>
    </row>
    <row r="148" spans="1:12" x14ac:dyDescent="0.25">
      <c r="A148" t="s">
        <v>38</v>
      </c>
      <c r="B148" t="s">
        <v>446</v>
      </c>
      <c r="C148" t="s">
        <v>183</v>
      </c>
      <c r="D148" s="8">
        <v>58.13</v>
      </c>
      <c r="E148" s="8">
        <v>163.1</v>
      </c>
      <c r="F148" s="5" t="s">
        <v>196</v>
      </c>
      <c r="G148" t="s">
        <v>197</v>
      </c>
      <c r="H148" t="s">
        <v>424</v>
      </c>
      <c r="I148" t="s">
        <v>447</v>
      </c>
      <c r="J148" t="s">
        <v>199</v>
      </c>
      <c r="K148" t="s">
        <v>95</v>
      </c>
      <c r="L148">
        <v>13</v>
      </c>
    </row>
    <row r="149" spans="1:12" x14ac:dyDescent="0.25">
      <c r="A149" t="s">
        <v>38</v>
      </c>
      <c r="B149" t="s">
        <v>448</v>
      </c>
      <c r="C149" t="s">
        <v>143</v>
      </c>
      <c r="D149" s="8">
        <v>57.46</v>
      </c>
      <c r="E149" s="8">
        <v>176.3</v>
      </c>
      <c r="F149" s="5" t="s">
        <v>196</v>
      </c>
      <c r="G149" t="s">
        <v>197</v>
      </c>
      <c r="H149" t="s">
        <v>424</v>
      </c>
      <c r="I149" t="s">
        <v>449</v>
      </c>
      <c r="J149" t="s">
        <v>321</v>
      </c>
      <c r="K149" t="s">
        <v>95</v>
      </c>
      <c r="L149">
        <v>6</v>
      </c>
    </row>
    <row r="150" spans="1:12" x14ac:dyDescent="0.25">
      <c r="A150" t="s">
        <v>38</v>
      </c>
      <c r="B150" t="s">
        <v>450</v>
      </c>
      <c r="C150" t="s">
        <v>195</v>
      </c>
      <c r="D150" s="8">
        <v>56.79</v>
      </c>
      <c r="E150" s="8">
        <v>155.69999999999999</v>
      </c>
      <c r="F150" s="5" t="s">
        <v>196</v>
      </c>
      <c r="G150" t="s">
        <v>197</v>
      </c>
      <c r="H150" t="s">
        <v>424</v>
      </c>
      <c r="I150" t="s">
        <v>451</v>
      </c>
      <c r="J150" t="s">
        <v>213</v>
      </c>
      <c r="K150" t="s">
        <v>95</v>
      </c>
      <c r="L150">
        <v>11</v>
      </c>
    </row>
    <row r="151" spans="1:12" x14ac:dyDescent="0.25">
      <c r="A151" t="s">
        <v>38</v>
      </c>
      <c r="B151" t="s">
        <v>452</v>
      </c>
      <c r="C151" t="s">
        <v>192</v>
      </c>
      <c r="D151" s="8">
        <v>56.12</v>
      </c>
      <c r="E151" s="8">
        <v>135.5</v>
      </c>
      <c r="F151" s="5" t="s">
        <v>196</v>
      </c>
      <c r="G151" t="s">
        <v>197</v>
      </c>
      <c r="H151" t="s">
        <v>424</v>
      </c>
      <c r="I151" t="s">
        <v>453</v>
      </c>
      <c r="J151" t="s">
        <v>321</v>
      </c>
      <c r="K151" t="s">
        <v>95</v>
      </c>
      <c r="L151">
        <v>13</v>
      </c>
    </row>
    <row r="152" spans="1:12" x14ac:dyDescent="0.25">
      <c r="A152" t="s">
        <v>38</v>
      </c>
      <c r="B152" t="s">
        <v>454</v>
      </c>
      <c r="C152" t="s">
        <v>113</v>
      </c>
      <c r="D152" s="8">
        <v>55.45</v>
      </c>
      <c r="E152" s="8">
        <v>159.6</v>
      </c>
      <c r="F152" s="5" t="s">
        <v>196</v>
      </c>
      <c r="G152" t="s">
        <v>197</v>
      </c>
      <c r="H152" t="s">
        <v>424</v>
      </c>
      <c r="I152" t="s">
        <v>455</v>
      </c>
      <c r="J152" t="s">
        <v>199</v>
      </c>
      <c r="K152" t="s">
        <v>95</v>
      </c>
      <c r="L152">
        <v>7</v>
      </c>
    </row>
    <row r="153" spans="1:12" x14ac:dyDescent="0.25">
      <c r="A153" t="s">
        <v>38</v>
      </c>
      <c r="B153" t="s">
        <v>456</v>
      </c>
      <c r="C153" t="s">
        <v>132</v>
      </c>
      <c r="D153" s="8">
        <v>54.78</v>
      </c>
      <c r="E153" s="8">
        <v>164.4</v>
      </c>
      <c r="F153" s="5" t="s">
        <v>196</v>
      </c>
      <c r="G153" t="s">
        <v>197</v>
      </c>
      <c r="H153" t="s">
        <v>424</v>
      </c>
      <c r="I153" t="s">
        <v>457</v>
      </c>
      <c r="J153" t="s">
        <v>199</v>
      </c>
      <c r="K153" t="s">
        <v>95</v>
      </c>
      <c r="L153">
        <v>7</v>
      </c>
    </row>
    <row r="154" spans="1:12" x14ac:dyDescent="0.25">
      <c r="A154" t="s">
        <v>38</v>
      </c>
      <c r="B154" t="s">
        <v>458</v>
      </c>
      <c r="C154" t="s">
        <v>129</v>
      </c>
      <c r="D154" s="8">
        <v>54.11</v>
      </c>
      <c r="E154" s="8">
        <v>176.7</v>
      </c>
      <c r="F154" s="5" t="s">
        <v>196</v>
      </c>
      <c r="G154" t="s">
        <v>197</v>
      </c>
      <c r="H154" t="s">
        <v>424</v>
      </c>
      <c r="I154" t="s">
        <v>459</v>
      </c>
      <c r="J154" t="s">
        <v>321</v>
      </c>
      <c r="K154" t="s">
        <v>95</v>
      </c>
      <c r="L154">
        <v>14</v>
      </c>
    </row>
    <row r="155" spans="1:12" x14ac:dyDescent="0.25">
      <c r="A155" t="s">
        <v>38</v>
      </c>
      <c r="B155" t="s">
        <v>460</v>
      </c>
      <c r="C155" t="s">
        <v>146</v>
      </c>
      <c r="D155" s="8">
        <v>53.44</v>
      </c>
      <c r="E155" s="8">
        <v>147.69999999999999</v>
      </c>
      <c r="F155" s="5" t="s">
        <v>196</v>
      </c>
      <c r="G155" t="s">
        <v>197</v>
      </c>
      <c r="H155" t="s">
        <v>424</v>
      </c>
      <c r="I155" t="s">
        <v>461</v>
      </c>
      <c r="J155" t="s">
        <v>321</v>
      </c>
      <c r="K155" t="s">
        <v>95</v>
      </c>
      <c r="L155">
        <v>6</v>
      </c>
    </row>
    <row r="156" spans="1:12" x14ac:dyDescent="0.25">
      <c r="A156" t="s">
        <v>38</v>
      </c>
      <c r="B156" t="s">
        <v>462</v>
      </c>
      <c r="C156" t="s">
        <v>140</v>
      </c>
      <c r="D156" s="8">
        <v>52.77</v>
      </c>
      <c r="E156" s="8">
        <v>185.2</v>
      </c>
      <c r="F156" s="5" t="s">
        <v>196</v>
      </c>
      <c r="G156" t="s">
        <v>197</v>
      </c>
      <c r="H156" t="s">
        <v>424</v>
      </c>
      <c r="I156" t="s">
        <v>463</v>
      </c>
      <c r="J156" t="s">
        <v>199</v>
      </c>
      <c r="K156" t="s">
        <v>95</v>
      </c>
      <c r="L156">
        <v>8</v>
      </c>
    </row>
    <row r="157" spans="1:12" x14ac:dyDescent="0.25">
      <c r="A157" t="s">
        <v>38</v>
      </c>
      <c r="B157" t="s">
        <v>464</v>
      </c>
      <c r="C157" t="s">
        <v>113</v>
      </c>
      <c r="D157" s="8">
        <v>71.2</v>
      </c>
      <c r="E157" s="8">
        <v>90.5</v>
      </c>
      <c r="F157" s="5" t="s">
        <v>196</v>
      </c>
      <c r="G157" t="s">
        <v>311</v>
      </c>
      <c r="H157" t="s">
        <v>465</v>
      </c>
      <c r="I157" t="s">
        <v>313</v>
      </c>
      <c r="J157" t="s">
        <v>314</v>
      </c>
      <c r="K157" t="s">
        <v>315</v>
      </c>
      <c r="L157">
        <v>7</v>
      </c>
    </row>
    <row r="158" spans="1:12" x14ac:dyDescent="0.25">
      <c r="A158" t="s">
        <v>38</v>
      </c>
      <c r="B158" t="s">
        <v>466</v>
      </c>
      <c r="C158" t="s">
        <v>136</v>
      </c>
      <c r="D158" s="8">
        <v>63.2</v>
      </c>
      <c r="E158" s="8">
        <v>96.2</v>
      </c>
      <c r="F158" s="5" t="s">
        <v>196</v>
      </c>
      <c r="G158" t="s">
        <v>311</v>
      </c>
      <c r="H158" t="s">
        <v>467</v>
      </c>
      <c r="I158" t="s">
        <v>313</v>
      </c>
      <c r="J158" t="s">
        <v>314</v>
      </c>
      <c r="K158" t="s">
        <v>315</v>
      </c>
      <c r="L158">
        <v>8</v>
      </c>
    </row>
    <row r="159" spans="1:12" x14ac:dyDescent="0.25">
      <c r="A159" t="s">
        <v>38</v>
      </c>
      <c r="B159" t="s">
        <v>468</v>
      </c>
      <c r="C159" t="s">
        <v>160</v>
      </c>
      <c r="D159" s="8">
        <v>62.1</v>
      </c>
      <c r="E159" s="8">
        <v>137.1</v>
      </c>
      <c r="F159" s="5" t="s">
        <v>196</v>
      </c>
      <c r="G159" t="s">
        <v>311</v>
      </c>
      <c r="H159" t="s">
        <v>469</v>
      </c>
      <c r="I159" t="s">
        <v>313</v>
      </c>
      <c r="J159" t="s">
        <v>314</v>
      </c>
      <c r="K159" t="s">
        <v>315</v>
      </c>
      <c r="L159">
        <v>8</v>
      </c>
    </row>
    <row r="160" spans="1:12" x14ac:dyDescent="0.25">
      <c r="A160" t="s">
        <v>38</v>
      </c>
      <c r="B160" t="s">
        <v>470</v>
      </c>
      <c r="C160" t="s">
        <v>160</v>
      </c>
      <c r="D160" s="8">
        <v>60.1</v>
      </c>
      <c r="E160" s="8">
        <v>146.6</v>
      </c>
      <c r="F160" s="5" t="s">
        <v>196</v>
      </c>
      <c r="G160" t="s">
        <v>311</v>
      </c>
      <c r="H160" t="s">
        <v>469</v>
      </c>
      <c r="I160" t="s">
        <v>313</v>
      </c>
      <c r="J160" t="s">
        <v>314</v>
      </c>
      <c r="K160" t="s">
        <v>315</v>
      </c>
      <c r="L160">
        <v>8</v>
      </c>
    </row>
    <row r="161" spans="1:12" x14ac:dyDescent="0.25">
      <c r="A161" t="s">
        <v>40</v>
      </c>
      <c r="B161" t="s">
        <v>471</v>
      </c>
      <c r="C161" t="s">
        <v>180</v>
      </c>
      <c r="D161" s="8">
        <v>97.737099999999998</v>
      </c>
      <c r="E161" s="8">
        <v>35.700000000000003</v>
      </c>
      <c r="F161" s="5" t="s">
        <v>86</v>
      </c>
      <c r="G161" t="s">
        <v>87</v>
      </c>
      <c r="H161" t="s">
        <v>472</v>
      </c>
      <c r="I161" t="s">
        <v>473</v>
      </c>
      <c r="J161" t="s">
        <v>474</v>
      </c>
      <c r="K161" t="s">
        <v>91</v>
      </c>
      <c r="L161">
        <v>14</v>
      </c>
    </row>
    <row r="162" spans="1:12" x14ac:dyDescent="0.25">
      <c r="A162" t="s">
        <v>40</v>
      </c>
      <c r="B162" t="s">
        <v>475</v>
      </c>
      <c r="C162" t="s">
        <v>192</v>
      </c>
      <c r="D162" s="8">
        <v>94.884600000000006</v>
      </c>
      <c r="E162" s="8">
        <v>41.1</v>
      </c>
      <c r="F162" s="5" t="s">
        <v>86</v>
      </c>
      <c r="G162" t="s">
        <v>87</v>
      </c>
      <c r="H162" t="s">
        <v>472</v>
      </c>
      <c r="I162" t="s">
        <v>476</v>
      </c>
      <c r="J162" t="s">
        <v>474</v>
      </c>
      <c r="K162" t="s">
        <v>91</v>
      </c>
      <c r="L162">
        <v>13</v>
      </c>
    </row>
    <row r="163" spans="1:12" x14ac:dyDescent="0.25">
      <c r="A163" t="s">
        <v>40</v>
      </c>
      <c r="B163" t="s">
        <v>477</v>
      </c>
      <c r="C163" t="s">
        <v>93</v>
      </c>
      <c r="D163" s="8">
        <v>88.753100000000003</v>
      </c>
      <c r="E163" s="8">
        <v>60.8</v>
      </c>
      <c r="F163" s="5" t="s">
        <v>86</v>
      </c>
      <c r="G163" t="s">
        <v>87</v>
      </c>
      <c r="H163" t="s">
        <v>472</v>
      </c>
      <c r="I163" t="s">
        <v>478</v>
      </c>
      <c r="J163" t="s">
        <v>474</v>
      </c>
      <c r="K163" t="s">
        <v>95</v>
      </c>
      <c r="L163">
        <v>10</v>
      </c>
    </row>
    <row r="164" spans="1:12" x14ac:dyDescent="0.25">
      <c r="A164" t="s">
        <v>40</v>
      </c>
      <c r="B164" t="s">
        <v>479</v>
      </c>
      <c r="C164" t="s">
        <v>166</v>
      </c>
      <c r="D164" s="8">
        <v>87.202399999999997</v>
      </c>
      <c r="E164" s="8">
        <v>65.400000000000006</v>
      </c>
      <c r="F164" s="5" t="s">
        <v>86</v>
      </c>
      <c r="G164" t="s">
        <v>87</v>
      </c>
      <c r="H164" t="s">
        <v>480</v>
      </c>
      <c r="I164" t="s">
        <v>481</v>
      </c>
      <c r="J164" t="s">
        <v>474</v>
      </c>
      <c r="K164" t="s">
        <v>95</v>
      </c>
      <c r="L164">
        <v>13</v>
      </c>
    </row>
    <row r="165" spans="1:12" x14ac:dyDescent="0.25">
      <c r="A165" t="s">
        <v>40</v>
      </c>
      <c r="B165" t="s">
        <v>482</v>
      </c>
      <c r="C165" t="s">
        <v>136</v>
      </c>
      <c r="D165" s="8">
        <v>86.266400000000004</v>
      </c>
      <c r="E165" s="8">
        <v>115.1</v>
      </c>
      <c r="F165" s="5" t="s">
        <v>114</v>
      </c>
      <c r="G165" t="s">
        <v>87</v>
      </c>
      <c r="H165" t="s">
        <v>480</v>
      </c>
      <c r="I165" t="s">
        <v>483</v>
      </c>
      <c r="J165" t="s">
        <v>474</v>
      </c>
      <c r="K165" t="s">
        <v>95</v>
      </c>
      <c r="L165">
        <v>8</v>
      </c>
    </row>
    <row r="166" spans="1:12" x14ac:dyDescent="0.25">
      <c r="A166" t="s">
        <v>40</v>
      </c>
      <c r="B166" t="s">
        <v>484</v>
      </c>
      <c r="C166" t="s">
        <v>189</v>
      </c>
      <c r="D166" s="8">
        <v>85.304500000000004</v>
      </c>
      <c r="E166" s="8">
        <v>78.3</v>
      </c>
      <c r="F166" s="5" t="s">
        <v>86</v>
      </c>
      <c r="G166" t="s">
        <v>87</v>
      </c>
      <c r="H166" t="s">
        <v>480</v>
      </c>
      <c r="I166" t="s">
        <v>485</v>
      </c>
      <c r="J166" t="s">
        <v>474</v>
      </c>
      <c r="K166" t="s">
        <v>95</v>
      </c>
      <c r="L166">
        <v>11</v>
      </c>
    </row>
    <row r="167" spans="1:12" x14ac:dyDescent="0.25">
      <c r="A167" t="s">
        <v>40</v>
      </c>
      <c r="B167" t="s">
        <v>486</v>
      </c>
      <c r="C167" t="s">
        <v>195</v>
      </c>
      <c r="D167" s="8">
        <v>84.377700000000004</v>
      </c>
      <c r="E167" s="8">
        <v>82.8</v>
      </c>
      <c r="F167" s="5" t="s">
        <v>86</v>
      </c>
      <c r="G167" t="s">
        <v>87</v>
      </c>
      <c r="H167" t="s">
        <v>480</v>
      </c>
      <c r="I167" t="s">
        <v>487</v>
      </c>
      <c r="J167" t="s">
        <v>474</v>
      </c>
      <c r="K167" t="s">
        <v>95</v>
      </c>
      <c r="L167">
        <v>11</v>
      </c>
    </row>
    <row r="168" spans="1:12" x14ac:dyDescent="0.25">
      <c r="A168" t="s">
        <v>40</v>
      </c>
      <c r="B168" t="s">
        <v>488</v>
      </c>
      <c r="C168" t="s">
        <v>129</v>
      </c>
      <c r="D168" s="8">
        <v>84.072999999999993</v>
      </c>
      <c r="E168" s="8">
        <v>140.80000000000001</v>
      </c>
      <c r="F168" s="5" t="s">
        <v>86</v>
      </c>
      <c r="G168" t="s">
        <v>87</v>
      </c>
      <c r="H168" t="s">
        <v>480</v>
      </c>
      <c r="I168" t="s">
        <v>489</v>
      </c>
      <c r="J168" t="s">
        <v>474</v>
      </c>
      <c r="K168" t="s">
        <v>95</v>
      </c>
      <c r="L168">
        <v>14</v>
      </c>
    </row>
    <row r="169" spans="1:12" x14ac:dyDescent="0.25">
      <c r="A169" t="s">
        <v>40</v>
      </c>
      <c r="B169" t="s">
        <v>490</v>
      </c>
      <c r="C169" t="s">
        <v>150</v>
      </c>
      <c r="D169" s="8">
        <v>83.808599999999998</v>
      </c>
      <c r="E169" s="8">
        <v>108.3</v>
      </c>
      <c r="F169" s="5" t="s">
        <v>114</v>
      </c>
      <c r="G169" t="s">
        <v>87</v>
      </c>
      <c r="H169" t="s">
        <v>491</v>
      </c>
      <c r="I169" t="s">
        <v>492</v>
      </c>
      <c r="J169" t="s">
        <v>121</v>
      </c>
      <c r="K169" t="s">
        <v>95</v>
      </c>
      <c r="L169">
        <v>11</v>
      </c>
    </row>
    <row r="170" spans="1:12" x14ac:dyDescent="0.25">
      <c r="A170" t="s">
        <v>40</v>
      </c>
      <c r="B170" t="s">
        <v>493</v>
      </c>
      <c r="C170" t="s">
        <v>143</v>
      </c>
      <c r="D170" s="8">
        <v>82.865300000000005</v>
      </c>
      <c r="E170" s="8">
        <v>88.7</v>
      </c>
      <c r="F170" s="5" t="s">
        <v>114</v>
      </c>
      <c r="G170" t="s">
        <v>87</v>
      </c>
      <c r="H170" t="s">
        <v>491</v>
      </c>
      <c r="I170" t="s">
        <v>494</v>
      </c>
      <c r="J170" t="s">
        <v>138</v>
      </c>
      <c r="K170" t="s">
        <v>95</v>
      </c>
      <c r="L170">
        <v>6</v>
      </c>
    </row>
    <row r="171" spans="1:12" x14ac:dyDescent="0.25">
      <c r="A171" t="s">
        <v>40</v>
      </c>
      <c r="B171" t="s">
        <v>495</v>
      </c>
      <c r="C171" t="s">
        <v>85</v>
      </c>
      <c r="D171" s="8">
        <v>81.914100000000005</v>
      </c>
      <c r="E171" s="8">
        <v>152</v>
      </c>
      <c r="F171" s="5" t="s">
        <v>86</v>
      </c>
      <c r="G171" t="s">
        <v>87</v>
      </c>
      <c r="H171" t="s">
        <v>491</v>
      </c>
      <c r="I171" t="s">
        <v>496</v>
      </c>
      <c r="J171" t="s">
        <v>474</v>
      </c>
      <c r="K171" t="s">
        <v>95</v>
      </c>
      <c r="L171">
        <v>7</v>
      </c>
    </row>
    <row r="172" spans="1:12" x14ac:dyDescent="0.25">
      <c r="A172" t="s">
        <v>40</v>
      </c>
      <c r="B172" t="s">
        <v>497</v>
      </c>
      <c r="C172" t="s">
        <v>110</v>
      </c>
      <c r="D172" s="8">
        <v>81.747799999999998</v>
      </c>
      <c r="E172" s="8">
        <v>108.7</v>
      </c>
      <c r="F172" s="5" t="s">
        <v>86</v>
      </c>
      <c r="G172" t="s">
        <v>87</v>
      </c>
      <c r="H172" t="s">
        <v>491</v>
      </c>
      <c r="I172" t="s">
        <v>498</v>
      </c>
      <c r="J172" t="s">
        <v>474</v>
      </c>
      <c r="K172" t="s">
        <v>95</v>
      </c>
      <c r="L172">
        <v>5</v>
      </c>
    </row>
    <row r="173" spans="1:12" x14ac:dyDescent="0.25">
      <c r="A173" t="s">
        <v>40</v>
      </c>
      <c r="B173" t="s">
        <v>499</v>
      </c>
      <c r="C173" t="s">
        <v>107</v>
      </c>
      <c r="D173" s="8">
        <v>79.918099999999995</v>
      </c>
      <c r="E173" s="8">
        <v>103.9</v>
      </c>
      <c r="F173" s="5" t="s">
        <v>86</v>
      </c>
      <c r="G173" t="s">
        <v>87</v>
      </c>
      <c r="H173" t="s">
        <v>500</v>
      </c>
      <c r="I173" t="s">
        <v>501</v>
      </c>
      <c r="J173" t="s">
        <v>474</v>
      </c>
      <c r="K173" t="s">
        <v>95</v>
      </c>
      <c r="L173">
        <v>10</v>
      </c>
    </row>
    <row r="174" spans="1:12" x14ac:dyDescent="0.25">
      <c r="A174" t="s">
        <v>40</v>
      </c>
      <c r="B174" t="s">
        <v>502</v>
      </c>
      <c r="C174" t="s">
        <v>104</v>
      </c>
      <c r="D174" s="8">
        <v>79.065399999999997</v>
      </c>
      <c r="E174" s="8">
        <v>145</v>
      </c>
      <c r="F174" s="5" t="s">
        <v>86</v>
      </c>
      <c r="G174" t="s">
        <v>87</v>
      </c>
      <c r="H174" t="s">
        <v>500</v>
      </c>
      <c r="I174" t="s">
        <v>503</v>
      </c>
      <c r="J174" t="s">
        <v>474</v>
      </c>
      <c r="K174" t="s">
        <v>95</v>
      </c>
      <c r="L174">
        <v>13</v>
      </c>
    </row>
    <row r="175" spans="1:12" x14ac:dyDescent="0.25">
      <c r="A175" t="s">
        <v>40</v>
      </c>
      <c r="B175" t="s">
        <v>504</v>
      </c>
      <c r="C175" t="s">
        <v>140</v>
      </c>
      <c r="D175" s="8">
        <v>78.579499999999996</v>
      </c>
      <c r="E175" s="8">
        <v>133.1</v>
      </c>
      <c r="F175" s="5" t="s">
        <v>86</v>
      </c>
      <c r="G175" t="s">
        <v>87</v>
      </c>
      <c r="H175" t="s">
        <v>500</v>
      </c>
      <c r="I175" t="s">
        <v>505</v>
      </c>
      <c r="J175" t="s">
        <v>474</v>
      </c>
      <c r="K175" t="s">
        <v>95</v>
      </c>
      <c r="L175">
        <v>8</v>
      </c>
    </row>
    <row r="176" spans="1:12" x14ac:dyDescent="0.25">
      <c r="A176" t="s">
        <v>40</v>
      </c>
      <c r="B176" t="s">
        <v>506</v>
      </c>
      <c r="C176" t="s">
        <v>157</v>
      </c>
      <c r="D176" s="8">
        <v>78.320300000000003</v>
      </c>
      <c r="E176" s="8">
        <v>159.19999999999999</v>
      </c>
      <c r="F176" s="5" t="s">
        <v>86</v>
      </c>
      <c r="G176" t="s">
        <v>87</v>
      </c>
      <c r="H176" t="s">
        <v>500</v>
      </c>
      <c r="I176" t="s">
        <v>507</v>
      </c>
      <c r="J176" t="s">
        <v>474</v>
      </c>
      <c r="K176" t="s">
        <v>95</v>
      </c>
      <c r="L176">
        <v>8</v>
      </c>
    </row>
    <row r="177" spans="1:12" x14ac:dyDescent="0.25">
      <c r="A177" t="s">
        <v>40</v>
      </c>
      <c r="B177" t="s">
        <v>508</v>
      </c>
      <c r="C177" t="s">
        <v>97</v>
      </c>
      <c r="D177" s="8">
        <v>76.252600000000001</v>
      </c>
      <c r="E177" s="8">
        <v>156.6</v>
      </c>
      <c r="F177" s="5" t="s">
        <v>86</v>
      </c>
      <c r="G177" t="s">
        <v>87</v>
      </c>
      <c r="H177" t="s">
        <v>500</v>
      </c>
      <c r="I177" t="s">
        <v>509</v>
      </c>
      <c r="J177" t="s">
        <v>474</v>
      </c>
      <c r="K177" t="s">
        <v>95</v>
      </c>
      <c r="L177">
        <v>11</v>
      </c>
    </row>
    <row r="178" spans="1:12" x14ac:dyDescent="0.25">
      <c r="A178" t="s">
        <v>40</v>
      </c>
      <c r="B178" t="s">
        <v>510</v>
      </c>
      <c r="C178" t="s">
        <v>132</v>
      </c>
      <c r="D178" s="8">
        <v>76.0321</v>
      </c>
      <c r="E178" s="8">
        <v>165</v>
      </c>
      <c r="F178" s="5" t="s">
        <v>86</v>
      </c>
      <c r="G178" t="s">
        <v>87</v>
      </c>
      <c r="H178" t="s">
        <v>500</v>
      </c>
      <c r="I178" t="s">
        <v>511</v>
      </c>
      <c r="J178" t="s">
        <v>474</v>
      </c>
      <c r="K178" t="s">
        <v>95</v>
      </c>
      <c r="L178">
        <v>7</v>
      </c>
    </row>
    <row r="179" spans="1:12" x14ac:dyDescent="0.25">
      <c r="A179" t="s">
        <v>40</v>
      </c>
      <c r="B179" t="s">
        <v>512</v>
      </c>
      <c r="C179" t="s">
        <v>113</v>
      </c>
      <c r="D179" s="8">
        <v>75.513199999999998</v>
      </c>
      <c r="E179" s="8">
        <v>162.19999999999999</v>
      </c>
      <c r="F179" s="5" t="s">
        <v>86</v>
      </c>
      <c r="G179" t="s">
        <v>87</v>
      </c>
      <c r="H179" t="s">
        <v>513</v>
      </c>
      <c r="I179" t="s">
        <v>514</v>
      </c>
      <c r="J179" t="s">
        <v>474</v>
      </c>
      <c r="K179" t="s">
        <v>95</v>
      </c>
      <c r="L179">
        <v>7</v>
      </c>
    </row>
    <row r="180" spans="1:12" x14ac:dyDescent="0.25">
      <c r="A180" t="s">
        <v>40</v>
      </c>
      <c r="B180" t="s">
        <v>515</v>
      </c>
      <c r="C180" t="s">
        <v>183</v>
      </c>
      <c r="D180" s="8">
        <v>74.093800000000002</v>
      </c>
      <c r="E180" s="8">
        <v>158.80000000000001</v>
      </c>
      <c r="F180" s="5" t="s">
        <v>114</v>
      </c>
      <c r="G180" t="s">
        <v>211</v>
      </c>
      <c r="H180" t="s">
        <v>513</v>
      </c>
      <c r="I180" t="s">
        <v>516</v>
      </c>
      <c r="J180" t="s">
        <v>213</v>
      </c>
      <c r="K180" t="s">
        <v>95</v>
      </c>
      <c r="L180">
        <v>13</v>
      </c>
    </row>
    <row r="181" spans="1:12" x14ac:dyDescent="0.25">
      <c r="A181" t="s">
        <v>40</v>
      </c>
      <c r="B181" t="s">
        <v>517</v>
      </c>
      <c r="C181" t="s">
        <v>146</v>
      </c>
      <c r="D181" s="8">
        <v>73.852699999999999</v>
      </c>
      <c r="E181" s="8">
        <v>146.5</v>
      </c>
      <c r="F181" s="5" t="s">
        <v>86</v>
      </c>
      <c r="G181" t="s">
        <v>87</v>
      </c>
      <c r="H181" t="s">
        <v>513</v>
      </c>
      <c r="I181" t="s">
        <v>518</v>
      </c>
      <c r="J181" t="s">
        <v>474</v>
      </c>
      <c r="K181" t="s">
        <v>95</v>
      </c>
      <c r="L181">
        <v>6</v>
      </c>
    </row>
    <row r="182" spans="1:12" x14ac:dyDescent="0.25">
      <c r="A182" t="s">
        <v>40</v>
      </c>
      <c r="B182" t="s">
        <v>519</v>
      </c>
      <c r="C182" t="s">
        <v>160</v>
      </c>
      <c r="D182" s="8">
        <v>73.279499999999999</v>
      </c>
      <c r="E182" s="8">
        <v>157.5</v>
      </c>
      <c r="F182" s="5" t="s">
        <v>86</v>
      </c>
      <c r="G182" t="s">
        <v>87</v>
      </c>
      <c r="H182" t="s">
        <v>513</v>
      </c>
      <c r="I182" t="s">
        <v>520</v>
      </c>
      <c r="J182" t="s">
        <v>474</v>
      </c>
      <c r="K182" t="s">
        <v>95</v>
      </c>
      <c r="L182">
        <v>8</v>
      </c>
    </row>
    <row r="183" spans="1:12" x14ac:dyDescent="0.25">
      <c r="A183" t="s">
        <v>40</v>
      </c>
      <c r="B183" t="s">
        <v>521</v>
      </c>
      <c r="C183" t="s">
        <v>100</v>
      </c>
      <c r="D183" s="8">
        <v>72.513800000000003</v>
      </c>
      <c r="E183" s="8">
        <v>150.69999999999999</v>
      </c>
      <c r="F183" s="5" t="s">
        <v>86</v>
      </c>
      <c r="G183" t="s">
        <v>87</v>
      </c>
      <c r="H183" t="s">
        <v>513</v>
      </c>
      <c r="I183" t="s">
        <v>522</v>
      </c>
      <c r="J183" t="s">
        <v>474</v>
      </c>
      <c r="K183" t="s">
        <v>95</v>
      </c>
      <c r="L183">
        <v>7</v>
      </c>
    </row>
    <row r="184" spans="1:12" x14ac:dyDescent="0.25">
      <c r="A184" t="s">
        <v>40</v>
      </c>
      <c r="B184" t="s">
        <v>523</v>
      </c>
      <c r="C184" t="s">
        <v>163</v>
      </c>
      <c r="D184" s="8">
        <v>70.124499999999998</v>
      </c>
      <c r="E184" s="8">
        <v>165.8</v>
      </c>
      <c r="F184" s="5" t="s">
        <v>86</v>
      </c>
      <c r="G184" t="s">
        <v>87</v>
      </c>
      <c r="H184" t="s">
        <v>513</v>
      </c>
      <c r="I184" t="s">
        <v>524</v>
      </c>
      <c r="J184" t="s">
        <v>474</v>
      </c>
      <c r="K184" t="s">
        <v>95</v>
      </c>
      <c r="L184">
        <v>11</v>
      </c>
    </row>
    <row r="185" spans="1:12" x14ac:dyDescent="0.25">
      <c r="A185" t="s">
        <v>40</v>
      </c>
      <c r="B185" t="s">
        <v>525</v>
      </c>
      <c r="C185" t="s">
        <v>153</v>
      </c>
      <c r="D185" s="8">
        <v>66.649000000000001</v>
      </c>
      <c r="E185" s="8">
        <v>142.6</v>
      </c>
      <c r="F185" s="5" t="s">
        <v>86</v>
      </c>
      <c r="G185" t="s">
        <v>87</v>
      </c>
      <c r="H185" t="s">
        <v>513</v>
      </c>
      <c r="I185" t="s">
        <v>526</v>
      </c>
      <c r="J185" t="s">
        <v>474</v>
      </c>
      <c r="K185" t="s">
        <v>95</v>
      </c>
      <c r="L185">
        <v>10</v>
      </c>
    </row>
    <row r="186" spans="1:12" x14ac:dyDescent="0.25">
      <c r="A186" t="s">
        <v>40</v>
      </c>
      <c r="B186" t="s">
        <v>527</v>
      </c>
      <c r="C186" t="s">
        <v>177</v>
      </c>
      <c r="D186" s="8">
        <v>66.622299999999996</v>
      </c>
      <c r="E186" s="8">
        <v>242</v>
      </c>
      <c r="F186" s="5" t="s">
        <v>86</v>
      </c>
      <c r="G186" t="s">
        <v>87</v>
      </c>
      <c r="H186" t="s">
        <v>513</v>
      </c>
      <c r="I186" t="s">
        <v>528</v>
      </c>
      <c r="J186" t="s">
        <v>474</v>
      </c>
      <c r="K186" t="s">
        <v>95</v>
      </c>
      <c r="L186">
        <v>9</v>
      </c>
    </row>
    <row r="187" spans="1:12" x14ac:dyDescent="0.25">
      <c r="A187" t="s">
        <v>40</v>
      </c>
      <c r="B187" t="s">
        <v>529</v>
      </c>
      <c r="C187" t="s">
        <v>123</v>
      </c>
      <c r="D187" s="8">
        <v>64.362099999999998</v>
      </c>
      <c r="E187" s="8">
        <v>251</v>
      </c>
      <c r="F187" s="5" t="s">
        <v>86</v>
      </c>
      <c r="G187" t="s">
        <v>87</v>
      </c>
      <c r="H187" t="s">
        <v>513</v>
      </c>
      <c r="I187" t="s">
        <v>530</v>
      </c>
      <c r="J187" t="s">
        <v>474</v>
      </c>
      <c r="K187" t="s">
        <v>95</v>
      </c>
      <c r="L187">
        <v>11</v>
      </c>
    </row>
    <row r="188" spans="1:12" x14ac:dyDescent="0.25">
      <c r="A188" t="s">
        <v>40</v>
      </c>
      <c r="B188" t="s">
        <v>531</v>
      </c>
      <c r="C188" t="s">
        <v>186</v>
      </c>
      <c r="D188" s="8">
        <v>69.599999999999994</v>
      </c>
      <c r="E188" s="8">
        <v>228</v>
      </c>
      <c r="F188" s="5" t="s">
        <v>196</v>
      </c>
      <c r="G188" t="s">
        <v>311</v>
      </c>
      <c r="H188" t="s">
        <v>532</v>
      </c>
      <c r="I188" t="s">
        <v>313</v>
      </c>
      <c r="J188" t="s">
        <v>314</v>
      </c>
      <c r="K188" t="s">
        <v>315</v>
      </c>
      <c r="L188">
        <v>9</v>
      </c>
    </row>
    <row r="189" spans="1:12" x14ac:dyDescent="0.25">
      <c r="A189" t="s">
        <v>42</v>
      </c>
      <c r="B189" t="s">
        <v>533</v>
      </c>
      <c r="C189" t="s">
        <v>129</v>
      </c>
      <c r="D189" s="8">
        <v>94</v>
      </c>
      <c r="E189" s="8">
        <v>155</v>
      </c>
      <c r="F189" s="5" t="s">
        <v>114</v>
      </c>
      <c r="G189" t="s">
        <v>534</v>
      </c>
      <c r="H189" t="s">
        <v>535</v>
      </c>
      <c r="I189" t="s">
        <v>536</v>
      </c>
      <c r="J189" t="s">
        <v>537</v>
      </c>
      <c r="K189" t="s">
        <v>538</v>
      </c>
      <c r="L189">
        <v>14</v>
      </c>
    </row>
    <row r="190" spans="1:12" x14ac:dyDescent="0.25">
      <c r="A190" t="s">
        <v>42</v>
      </c>
      <c r="B190" t="s">
        <v>539</v>
      </c>
      <c r="C190" t="s">
        <v>160</v>
      </c>
      <c r="D190" s="8">
        <v>91.8</v>
      </c>
      <c r="E190" s="8">
        <v>160</v>
      </c>
      <c r="F190" s="5" t="s">
        <v>114</v>
      </c>
      <c r="G190" t="s">
        <v>534</v>
      </c>
      <c r="H190" t="s">
        <v>535</v>
      </c>
      <c r="I190" t="s">
        <v>536</v>
      </c>
      <c r="J190" t="s">
        <v>537</v>
      </c>
      <c r="K190" t="s">
        <v>538</v>
      </c>
      <c r="L190">
        <v>8</v>
      </c>
    </row>
    <row r="191" spans="1:12" x14ac:dyDescent="0.25">
      <c r="A191" t="s">
        <v>42</v>
      </c>
      <c r="B191" t="s">
        <v>540</v>
      </c>
      <c r="C191" t="s">
        <v>100</v>
      </c>
      <c r="D191" s="8">
        <v>89.6</v>
      </c>
      <c r="E191" s="8">
        <v>165</v>
      </c>
      <c r="F191" s="5" t="s">
        <v>114</v>
      </c>
      <c r="G191" t="s">
        <v>534</v>
      </c>
      <c r="H191" t="s">
        <v>535</v>
      </c>
      <c r="I191" t="s">
        <v>536</v>
      </c>
      <c r="J191" t="s">
        <v>537</v>
      </c>
      <c r="K191" t="s">
        <v>538</v>
      </c>
      <c r="L191">
        <v>7</v>
      </c>
    </row>
    <row r="192" spans="1:12" x14ac:dyDescent="0.25">
      <c r="A192" t="s">
        <v>42</v>
      </c>
      <c r="B192" t="s">
        <v>541</v>
      </c>
      <c r="C192" t="s">
        <v>163</v>
      </c>
      <c r="D192" s="8">
        <v>87.4</v>
      </c>
      <c r="E192" s="8">
        <v>170</v>
      </c>
      <c r="F192" s="5" t="s">
        <v>114</v>
      </c>
      <c r="G192" t="s">
        <v>534</v>
      </c>
      <c r="H192" t="s">
        <v>535</v>
      </c>
      <c r="I192" t="s">
        <v>536</v>
      </c>
      <c r="J192" t="s">
        <v>537</v>
      </c>
      <c r="K192" t="s">
        <v>538</v>
      </c>
      <c r="L192">
        <v>11</v>
      </c>
    </row>
    <row r="193" spans="1:12" x14ac:dyDescent="0.25">
      <c r="A193" t="s">
        <v>42</v>
      </c>
      <c r="B193" t="s">
        <v>542</v>
      </c>
      <c r="C193" t="s">
        <v>132</v>
      </c>
      <c r="D193" s="8">
        <v>85.2</v>
      </c>
      <c r="E193" s="8">
        <v>175</v>
      </c>
      <c r="F193" s="5" t="s">
        <v>114</v>
      </c>
      <c r="G193" t="s">
        <v>534</v>
      </c>
      <c r="H193" t="s">
        <v>535</v>
      </c>
      <c r="I193" t="s">
        <v>536</v>
      </c>
      <c r="J193" t="s">
        <v>537</v>
      </c>
      <c r="K193" t="s">
        <v>538</v>
      </c>
      <c r="L193">
        <v>7</v>
      </c>
    </row>
    <row r="194" spans="1:12" x14ac:dyDescent="0.25">
      <c r="A194" t="s">
        <v>42</v>
      </c>
      <c r="B194" t="s">
        <v>543</v>
      </c>
      <c r="C194" t="s">
        <v>136</v>
      </c>
      <c r="D194" s="8">
        <v>83</v>
      </c>
      <c r="E194" s="8">
        <v>180</v>
      </c>
      <c r="F194" s="5" t="s">
        <v>114</v>
      </c>
      <c r="G194" t="s">
        <v>534</v>
      </c>
      <c r="H194" t="s">
        <v>544</v>
      </c>
      <c r="I194" t="s">
        <v>536</v>
      </c>
      <c r="J194" t="s">
        <v>537</v>
      </c>
      <c r="K194" t="s">
        <v>538</v>
      </c>
      <c r="L194">
        <v>8</v>
      </c>
    </row>
    <row r="195" spans="1:12" x14ac:dyDescent="0.25">
      <c r="A195" t="s">
        <v>42</v>
      </c>
      <c r="B195" t="s">
        <v>545</v>
      </c>
      <c r="C195" t="s">
        <v>104</v>
      </c>
      <c r="D195" s="8">
        <v>80.8</v>
      </c>
      <c r="E195" s="8">
        <v>185</v>
      </c>
      <c r="F195" s="5" t="s">
        <v>114</v>
      </c>
      <c r="G195" t="s">
        <v>534</v>
      </c>
      <c r="H195" t="s">
        <v>544</v>
      </c>
      <c r="I195" t="s">
        <v>536</v>
      </c>
      <c r="J195" t="s">
        <v>537</v>
      </c>
      <c r="K195" t="s">
        <v>538</v>
      </c>
      <c r="L195">
        <v>13</v>
      </c>
    </row>
    <row r="196" spans="1:12" x14ac:dyDescent="0.25">
      <c r="A196" t="s">
        <v>42</v>
      </c>
      <c r="B196" t="s">
        <v>546</v>
      </c>
      <c r="C196" t="s">
        <v>123</v>
      </c>
      <c r="D196" s="8">
        <v>78.599999999999994</v>
      </c>
      <c r="E196" s="8">
        <v>190</v>
      </c>
      <c r="F196" s="5" t="s">
        <v>114</v>
      </c>
      <c r="G196" t="s">
        <v>534</v>
      </c>
      <c r="H196" t="s">
        <v>544</v>
      </c>
      <c r="I196" t="s">
        <v>536</v>
      </c>
      <c r="J196" t="s">
        <v>537</v>
      </c>
      <c r="K196" t="s">
        <v>538</v>
      </c>
      <c r="L196">
        <v>11</v>
      </c>
    </row>
    <row r="197" spans="1:12" x14ac:dyDescent="0.25">
      <c r="A197" t="s">
        <v>42</v>
      </c>
      <c r="B197" t="s">
        <v>547</v>
      </c>
      <c r="C197" t="s">
        <v>153</v>
      </c>
      <c r="D197" s="8">
        <v>76.400000000000006</v>
      </c>
      <c r="E197" s="8">
        <v>195</v>
      </c>
      <c r="F197" s="5" t="s">
        <v>114</v>
      </c>
      <c r="G197" t="s">
        <v>534</v>
      </c>
      <c r="H197" t="s">
        <v>544</v>
      </c>
      <c r="I197" t="s">
        <v>536</v>
      </c>
      <c r="J197" t="s">
        <v>537</v>
      </c>
      <c r="K197" t="s">
        <v>538</v>
      </c>
      <c r="L197">
        <v>10</v>
      </c>
    </row>
    <row r="198" spans="1:12" x14ac:dyDescent="0.25">
      <c r="A198" t="s">
        <v>42</v>
      </c>
      <c r="B198" t="s">
        <v>548</v>
      </c>
      <c r="C198" t="s">
        <v>93</v>
      </c>
      <c r="D198" s="8">
        <v>74.2</v>
      </c>
      <c r="E198" s="8">
        <v>200</v>
      </c>
      <c r="F198" s="5" t="s">
        <v>114</v>
      </c>
      <c r="G198" t="s">
        <v>534</v>
      </c>
      <c r="H198" t="s">
        <v>544</v>
      </c>
      <c r="I198" t="s">
        <v>536</v>
      </c>
      <c r="J198" t="s">
        <v>537</v>
      </c>
      <c r="K198" t="s">
        <v>538</v>
      </c>
      <c r="L198">
        <v>10</v>
      </c>
    </row>
    <row r="199" spans="1:12" x14ac:dyDescent="0.25">
      <c r="A199" t="s">
        <v>42</v>
      </c>
      <c r="B199" t="s">
        <v>549</v>
      </c>
      <c r="C199" t="s">
        <v>97</v>
      </c>
      <c r="D199" s="8">
        <v>72</v>
      </c>
      <c r="E199" s="8">
        <v>205</v>
      </c>
      <c r="F199" s="5" t="s">
        <v>114</v>
      </c>
      <c r="G199" t="s">
        <v>534</v>
      </c>
      <c r="H199" t="s">
        <v>544</v>
      </c>
      <c r="I199" t="s">
        <v>536</v>
      </c>
      <c r="J199" t="s">
        <v>537</v>
      </c>
      <c r="K199" t="s">
        <v>538</v>
      </c>
      <c r="L199">
        <v>11</v>
      </c>
    </row>
    <row r="200" spans="1:12" x14ac:dyDescent="0.25">
      <c r="A200" t="s">
        <v>42</v>
      </c>
      <c r="B200" t="s">
        <v>550</v>
      </c>
      <c r="C200" t="s">
        <v>118</v>
      </c>
      <c r="D200" s="8">
        <v>69.8</v>
      </c>
      <c r="E200" s="8">
        <v>210</v>
      </c>
      <c r="F200" s="5" t="s">
        <v>114</v>
      </c>
      <c r="G200" t="s">
        <v>534</v>
      </c>
      <c r="H200" t="s">
        <v>544</v>
      </c>
      <c r="I200" t="s">
        <v>536</v>
      </c>
      <c r="J200" t="s">
        <v>537</v>
      </c>
      <c r="K200" t="s">
        <v>538</v>
      </c>
      <c r="L200">
        <v>6</v>
      </c>
    </row>
    <row r="201" spans="1:12" x14ac:dyDescent="0.25">
      <c r="A201" t="s">
        <v>44</v>
      </c>
      <c r="B201" t="s">
        <v>551</v>
      </c>
      <c r="C201" t="s">
        <v>160</v>
      </c>
      <c r="D201" s="8">
        <v>93</v>
      </c>
      <c r="E201" s="8">
        <v>160</v>
      </c>
      <c r="F201" s="5" t="s">
        <v>114</v>
      </c>
      <c r="G201" t="s">
        <v>552</v>
      </c>
      <c r="H201" t="s">
        <v>553</v>
      </c>
      <c r="I201" t="s">
        <v>554</v>
      </c>
      <c r="J201" t="s">
        <v>555</v>
      </c>
      <c r="K201" t="s">
        <v>556</v>
      </c>
      <c r="L201">
        <v>8</v>
      </c>
    </row>
    <row r="202" spans="1:12" x14ac:dyDescent="0.25">
      <c r="A202" t="s">
        <v>44</v>
      </c>
      <c r="B202" t="s">
        <v>557</v>
      </c>
      <c r="C202" t="s">
        <v>126</v>
      </c>
      <c r="D202" s="8">
        <v>91.9</v>
      </c>
      <c r="E202" s="8">
        <v>164</v>
      </c>
      <c r="F202" s="5" t="s">
        <v>114</v>
      </c>
      <c r="G202" t="s">
        <v>552</v>
      </c>
      <c r="H202" t="s">
        <v>553</v>
      </c>
      <c r="I202" t="s">
        <v>554</v>
      </c>
      <c r="J202" t="s">
        <v>555</v>
      </c>
      <c r="K202" t="s">
        <v>556</v>
      </c>
      <c r="L202">
        <v>10</v>
      </c>
    </row>
    <row r="203" spans="1:12" x14ac:dyDescent="0.25">
      <c r="A203" t="s">
        <v>44</v>
      </c>
      <c r="B203" t="s">
        <v>558</v>
      </c>
      <c r="C203" t="s">
        <v>163</v>
      </c>
      <c r="D203" s="8">
        <v>90.8</v>
      </c>
      <c r="E203" s="8">
        <v>168</v>
      </c>
      <c r="F203" s="5" t="s">
        <v>114</v>
      </c>
      <c r="G203" t="s">
        <v>552</v>
      </c>
      <c r="H203" t="s">
        <v>553</v>
      </c>
      <c r="I203" t="s">
        <v>554</v>
      </c>
      <c r="J203" t="s">
        <v>555</v>
      </c>
      <c r="K203" t="s">
        <v>556</v>
      </c>
      <c r="L203">
        <v>11</v>
      </c>
    </row>
    <row r="204" spans="1:12" x14ac:dyDescent="0.25">
      <c r="A204" t="s">
        <v>44</v>
      </c>
      <c r="B204" t="s">
        <v>559</v>
      </c>
      <c r="C204" t="s">
        <v>123</v>
      </c>
      <c r="D204" s="8">
        <v>89.7</v>
      </c>
      <c r="E204" s="8">
        <v>134.1</v>
      </c>
      <c r="F204" s="5" t="s">
        <v>114</v>
      </c>
      <c r="G204" t="s">
        <v>552</v>
      </c>
      <c r="H204" t="s">
        <v>553</v>
      </c>
      <c r="I204" t="s">
        <v>554</v>
      </c>
      <c r="J204" t="s">
        <v>555</v>
      </c>
      <c r="K204" t="s">
        <v>556</v>
      </c>
      <c r="L204">
        <v>11</v>
      </c>
    </row>
    <row r="205" spans="1:12" x14ac:dyDescent="0.25">
      <c r="A205" t="s">
        <v>44</v>
      </c>
      <c r="B205" t="s">
        <v>560</v>
      </c>
      <c r="C205" t="s">
        <v>107</v>
      </c>
      <c r="D205" s="8">
        <v>88.6</v>
      </c>
      <c r="E205" s="8">
        <v>176</v>
      </c>
      <c r="F205" s="5" t="s">
        <v>114</v>
      </c>
      <c r="G205" t="s">
        <v>552</v>
      </c>
      <c r="H205" t="s">
        <v>553</v>
      </c>
      <c r="I205" t="s">
        <v>554</v>
      </c>
      <c r="J205" t="s">
        <v>555</v>
      </c>
      <c r="K205" t="s">
        <v>556</v>
      </c>
      <c r="L205">
        <v>10</v>
      </c>
    </row>
    <row r="206" spans="1:12" x14ac:dyDescent="0.25">
      <c r="A206" t="s">
        <v>44</v>
      </c>
      <c r="B206" t="s">
        <v>561</v>
      </c>
      <c r="C206" t="s">
        <v>146</v>
      </c>
      <c r="D206" s="8">
        <v>87.5</v>
      </c>
      <c r="E206" s="8">
        <v>180</v>
      </c>
      <c r="F206" s="5" t="s">
        <v>114</v>
      </c>
      <c r="G206" t="s">
        <v>552</v>
      </c>
      <c r="H206" t="s">
        <v>562</v>
      </c>
      <c r="I206" t="s">
        <v>554</v>
      </c>
      <c r="J206" t="s">
        <v>555</v>
      </c>
      <c r="K206" t="s">
        <v>556</v>
      </c>
      <c r="L206">
        <v>6</v>
      </c>
    </row>
    <row r="207" spans="1:12" x14ac:dyDescent="0.25">
      <c r="A207" t="s">
        <v>44</v>
      </c>
      <c r="B207" t="s">
        <v>563</v>
      </c>
      <c r="C207" t="s">
        <v>97</v>
      </c>
      <c r="D207" s="8">
        <v>86.4</v>
      </c>
      <c r="E207" s="8">
        <v>184</v>
      </c>
      <c r="F207" s="5" t="s">
        <v>114</v>
      </c>
      <c r="G207" t="s">
        <v>552</v>
      </c>
      <c r="H207" t="s">
        <v>562</v>
      </c>
      <c r="I207" t="s">
        <v>554</v>
      </c>
      <c r="J207" t="s">
        <v>555</v>
      </c>
      <c r="K207" t="s">
        <v>556</v>
      </c>
      <c r="L207">
        <v>11</v>
      </c>
    </row>
    <row r="208" spans="1:12" x14ac:dyDescent="0.25">
      <c r="A208" t="s">
        <v>44</v>
      </c>
      <c r="B208" t="s">
        <v>564</v>
      </c>
      <c r="C208" t="s">
        <v>132</v>
      </c>
      <c r="D208" s="8">
        <v>85.3</v>
      </c>
      <c r="E208" s="8">
        <v>188</v>
      </c>
      <c r="F208" s="5" t="s">
        <v>114</v>
      </c>
      <c r="G208" t="s">
        <v>552</v>
      </c>
      <c r="H208" t="s">
        <v>562</v>
      </c>
      <c r="I208" t="s">
        <v>554</v>
      </c>
      <c r="J208" t="s">
        <v>555</v>
      </c>
      <c r="K208" t="s">
        <v>556</v>
      </c>
      <c r="L208">
        <v>7</v>
      </c>
    </row>
    <row r="209" spans="1:12" x14ac:dyDescent="0.25">
      <c r="A209" t="s">
        <v>44</v>
      </c>
      <c r="B209" t="s">
        <v>565</v>
      </c>
      <c r="C209" t="s">
        <v>186</v>
      </c>
      <c r="D209" s="8">
        <v>84.2</v>
      </c>
      <c r="E209" s="8">
        <v>192</v>
      </c>
      <c r="F209" s="5" t="s">
        <v>114</v>
      </c>
      <c r="G209" t="s">
        <v>552</v>
      </c>
      <c r="H209" t="s">
        <v>562</v>
      </c>
      <c r="I209" t="s">
        <v>554</v>
      </c>
      <c r="J209" t="s">
        <v>555</v>
      </c>
      <c r="K209" t="s">
        <v>556</v>
      </c>
      <c r="L209">
        <v>9</v>
      </c>
    </row>
    <row r="210" spans="1:12" x14ac:dyDescent="0.25">
      <c r="A210" t="s">
        <v>44</v>
      </c>
      <c r="B210" t="s">
        <v>566</v>
      </c>
      <c r="C210" t="s">
        <v>100</v>
      </c>
      <c r="D210" s="8">
        <v>83.1</v>
      </c>
      <c r="E210" s="8">
        <v>144.69999999999999</v>
      </c>
      <c r="F210" s="5" t="s">
        <v>114</v>
      </c>
      <c r="G210" t="s">
        <v>552</v>
      </c>
      <c r="H210" t="s">
        <v>562</v>
      </c>
      <c r="I210" t="s">
        <v>554</v>
      </c>
      <c r="J210" t="s">
        <v>555</v>
      </c>
      <c r="K210" t="s">
        <v>556</v>
      </c>
      <c r="L210">
        <v>7</v>
      </c>
    </row>
    <row r="211" spans="1:12" x14ac:dyDescent="0.25">
      <c r="A211" t="s">
        <v>44</v>
      </c>
      <c r="B211" t="s">
        <v>567</v>
      </c>
      <c r="C211" t="s">
        <v>104</v>
      </c>
      <c r="D211" s="8">
        <v>82</v>
      </c>
      <c r="E211" s="8">
        <v>200</v>
      </c>
      <c r="F211" s="5" t="s">
        <v>114</v>
      </c>
      <c r="G211" t="s">
        <v>552</v>
      </c>
      <c r="H211" t="s">
        <v>562</v>
      </c>
      <c r="I211" t="s">
        <v>554</v>
      </c>
      <c r="J211" t="s">
        <v>555</v>
      </c>
      <c r="K211" t="s">
        <v>556</v>
      </c>
      <c r="L211">
        <v>13</v>
      </c>
    </row>
    <row r="212" spans="1:12" x14ac:dyDescent="0.25">
      <c r="A212" t="s">
        <v>44</v>
      </c>
      <c r="B212" t="s">
        <v>568</v>
      </c>
      <c r="C212" t="s">
        <v>150</v>
      </c>
      <c r="D212" s="8">
        <v>80.900000000000006</v>
      </c>
      <c r="E212" s="8">
        <v>204</v>
      </c>
      <c r="F212" s="5" t="s">
        <v>114</v>
      </c>
      <c r="G212" t="s">
        <v>552</v>
      </c>
      <c r="H212" t="s">
        <v>562</v>
      </c>
      <c r="I212" t="s">
        <v>554</v>
      </c>
      <c r="J212" t="s">
        <v>555</v>
      </c>
      <c r="K212" t="s">
        <v>556</v>
      </c>
      <c r="L212">
        <v>11</v>
      </c>
    </row>
    <row r="213" spans="1:12" x14ac:dyDescent="0.25">
      <c r="A213" t="s">
        <v>44</v>
      </c>
      <c r="B213" t="s">
        <v>569</v>
      </c>
      <c r="C213" t="s">
        <v>143</v>
      </c>
      <c r="D213" s="8">
        <v>79.8</v>
      </c>
      <c r="E213" s="8">
        <v>208</v>
      </c>
      <c r="F213" s="5" t="s">
        <v>114</v>
      </c>
      <c r="G213" t="s">
        <v>552</v>
      </c>
      <c r="H213" t="s">
        <v>562</v>
      </c>
      <c r="I213" t="s">
        <v>554</v>
      </c>
      <c r="J213" t="s">
        <v>555</v>
      </c>
      <c r="K213" t="s">
        <v>556</v>
      </c>
      <c r="L213">
        <v>6</v>
      </c>
    </row>
    <row r="214" spans="1:12" x14ac:dyDescent="0.25">
      <c r="A214" t="s">
        <v>44</v>
      </c>
      <c r="B214" t="s">
        <v>570</v>
      </c>
      <c r="C214" t="s">
        <v>85</v>
      </c>
      <c r="D214" s="8">
        <v>78.7</v>
      </c>
      <c r="E214" s="8">
        <v>212</v>
      </c>
      <c r="F214" s="5" t="s">
        <v>114</v>
      </c>
      <c r="G214" t="s">
        <v>552</v>
      </c>
      <c r="H214" t="s">
        <v>562</v>
      </c>
      <c r="I214" t="s">
        <v>554</v>
      </c>
      <c r="J214" t="s">
        <v>555</v>
      </c>
      <c r="K214" t="s">
        <v>556</v>
      </c>
      <c r="L214">
        <v>7</v>
      </c>
    </row>
    <row r="215" spans="1:12" x14ac:dyDescent="0.25">
      <c r="A215" t="s">
        <v>44</v>
      </c>
      <c r="B215" t="s">
        <v>571</v>
      </c>
      <c r="C215" t="s">
        <v>110</v>
      </c>
      <c r="D215" s="8">
        <v>77.599999999999994</v>
      </c>
      <c r="E215" s="8">
        <v>216</v>
      </c>
      <c r="F215" s="5" t="s">
        <v>114</v>
      </c>
      <c r="G215" t="s">
        <v>552</v>
      </c>
      <c r="H215" t="s">
        <v>562</v>
      </c>
      <c r="I215" t="s">
        <v>554</v>
      </c>
      <c r="J215" t="s">
        <v>555</v>
      </c>
      <c r="K215" t="s">
        <v>556</v>
      </c>
      <c r="L215">
        <v>5</v>
      </c>
    </row>
    <row r="216" spans="1:12" x14ac:dyDescent="0.25">
      <c r="A216" t="s">
        <v>44</v>
      </c>
      <c r="B216" t="s">
        <v>572</v>
      </c>
      <c r="C216" t="s">
        <v>195</v>
      </c>
      <c r="D216" s="8">
        <v>76.5</v>
      </c>
      <c r="E216" s="8">
        <v>220</v>
      </c>
      <c r="F216" s="5" t="s">
        <v>114</v>
      </c>
      <c r="G216" t="s">
        <v>552</v>
      </c>
      <c r="H216" t="s">
        <v>562</v>
      </c>
      <c r="I216" t="s">
        <v>554</v>
      </c>
      <c r="J216" t="s">
        <v>555</v>
      </c>
      <c r="K216" t="s">
        <v>556</v>
      </c>
      <c r="L216">
        <v>11</v>
      </c>
    </row>
    <row r="217" spans="1:12" x14ac:dyDescent="0.25">
      <c r="A217" t="s">
        <v>44</v>
      </c>
      <c r="B217" t="s">
        <v>573</v>
      </c>
      <c r="C217" t="s">
        <v>136</v>
      </c>
      <c r="D217" s="8">
        <v>75.400000000000006</v>
      </c>
      <c r="E217" s="8">
        <v>224</v>
      </c>
      <c r="F217" s="5" t="s">
        <v>114</v>
      </c>
      <c r="G217" t="s">
        <v>552</v>
      </c>
      <c r="H217" t="s">
        <v>562</v>
      </c>
      <c r="I217" t="s">
        <v>554</v>
      </c>
      <c r="J217" t="s">
        <v>555</v>
      </c>
      <c r="K217" t="s">
        <v>556</v>
      </c>
      <c r="L217">
        <v>8</v>
      </c>
    </row>
    <row r="218" spans="1:12" x14ac:dyDescent="0.25">
      <c r="A218" t="s">
        <v>44</v>
      </c>
      <c r="B218" t="s">
        <v>574</v>
      </c>
      <c r="C218" t="s">
        <v>157</v>
      </c>
      <c r="D218" s="8">
        <v>74.3</v>
      </c>
      <c r="E218" s="8">
        <v>228</v>
      </c>
      <c r="F218" s="5" t="s">
        <v>114</v>
      </c>
      <c r="G218" t="s">
        <v>552</v>
      </c>
      <c r="H218" t="s">
        <v>562</v>
      </c>
      <c r="I218" t="s">
        <v>554</v>
      </c>
      <c r="J218" t="s">
        <v>555</v>
      </c>
      <c r="K218" t="s">
        <v>556</v>
      </c>
      <c r="L218">
        <v>8</v>
      </c>
    </row>
    <row r="219" spans="1:12" x14ac:dyDescent="0.25">
      <c r="A219" t="s">
        <v>44</v>
      </c>
      <c r="B219" t="s">
        <v>575</v>
      </c>
      <c r="C219" t="s">
        <v>189</v>
      </c>
      <c r="D219" s="8">
        <v>73.2</v>
      </c>
      <c r="E219" s="8">
        <v>232</v>
      </c>
      <c r="F219" s="5" t="s">
        <v>114</v>
      </c>
      <c r="G219" t="s">
        <v>552</v>
      </c>
      <c r="H219" t="s">
        <v>562</v>
      </c>
      <c r="I219" t="s">
        <v>554</v>
      </c>
      <c r="J219" t="s">
        <v>555</v>
      </c>
      <c r="K219" t="s">
        <v>556</v>
      </c>
      <c r="L219">
        <v>11</v>
      </c>
    </row>
    <row r="220" spans="1:12" x14ac:dyDescent="0.25">
      <c r="A220" t="s">
        <v>44</v>
      </c>
      <c r="B220" t="s">
        <v>576</v>
      </c>
      <c r="C220" t="s">
        <v>93</v>
      </c>
      <c r="D220" s="8">
        <v>72.099999999999994</v>
      </c>
      <c r="E220" s="8">
        <v>236</v>
      </c>
      <c r="F220" s="5" t="s">
        <v>114</v>
      </c>
      <c r="G220" t="s">
        <v>552</v>
      </c>
      <c r="H220" t="s">
        <v>562</v>
      </c>
      <c r="I220" t="s">
        <v>554</v>
      </c>
      <c r="J220" t="s">
        <v>555</v>
      </c>
      <c r="K220" t="s">
        <v>556</v>
      </c>
      <c r="L220">
        <v>10</v>
      </c>
    </row>
    <row r="221" spans="1:12" x14ac:dyDescent="0.25">
      <c r="A221" t="s">
        <v>44</v>
      </c>
      <c r="B221" t="s">
        <v>577</v>
      </c>
      <c r="C221" t="s">
        <v>166</v>
      </c>
      <c r="D221" s="8">
        <v>71</v>
      </c>
      <c r="E221" s="8">
        <v>240</v>
      </c>
      <c r="F221" s="5" t="s">
        <v>114</v>
      </c>
      <c r="G221" t="s">
        <v>552</v>
      </c>
      <c r="H221" t="s">
        <v>562</v>
      </c>
      <c r="I221" t="s">
        <v>554</v>
      </c>
      <c r="J221" t="s">
        <v>555</v>
      </c>
      <c r="K221" t="s">
        <v>556</v>
      </c>
      <c r="L221">
        <v>13</v>
      </c>
    </row>
    <row r="222" spans="1:12" x14ac:dyDescent="0.25">
      <c r="A222" t="s">
        <v>44</v>
      </c>
      <c r="B222" t="s">
        <v>578</v>
      </c>
      <c r="C222" t="s">
        <v>140</v>
      </c>
      <c r="D222" s="8">
        <v>69.900000000000006</v>
      </c>
      <c r="E222" s="8">
        <v>166.7</v>
      </c>
      <c r="F222" s="5" t="s">
        <v>114</v>
      </c>
      <c r="G222" t="s">
        <v>552</v>
      </c>
      <c r="H222" t="s">
        <v>562</v>
      </c>
      <c r="I222" t="s">
        <v>554</v>
      </c>
      <c r="J222" t="s">
        <v>555</v>
      </c>
      <c r="K222" t="s">
        <v>556</v>
      </c>
      <c r="L222">
        <v>8</v>
      </c>
    </row>
    <row r="223" spans="1:12" x14ac:dyDescent="0.25">
      <c r="A223" t="s">
        <v>44</v>
      </c>
      <c r="B223" t="s">
        <v>579</v>
      </c>
      <c r="C223" t="s">
        <v>153</v>
      </c>
      <c r="D223" s="8">
        <v>68.8</v>
      </c>
      <c r="E223" s="8">
        <v>248</v>
      </c>
      <c r="F223" s="5" t="s">
        <v>114</v>
      </c>
      <c r="G223" t="s">
        <v>552</v>
      </c>
      <c r="H223" t="s">
        <v>562</v>
      </c>
      <c r="I223" t="s">
        <v>554</v>
      </c>
      <c r="J223" t="s">
        <v>555</v>
      </c>
      <c r="K223" t="s">
        <v>556</v>
      </c>
      <c r="L223">
        <v>10</v>
      </c>
    </row>
    <row r="224" spans="1:12" x14ac:dyDescent="0.25">
      <c r="A224" t="s">
        <v>44</v>
      </c>
      <c r="B224" t="s">
        <v>580</v>
      </c>
      <c r="C224" t="s">
        <v>129</v>
      </c>
      <c r="D224" s="8">
        <v>67.7</v>
      </c>
      <c r="E224" s="8">
        <v>252</v>
      </c>
      <c r="F224" s="5" t="s">
        <v>114</v>
      </c>
      <c r="G224" t="s">
        <v>552</v>
      </c>
      <c r="H224" t="s">
        <v>562</v>
      </c>
      <c r="I224" t="s">
        <v>554</v>
      </c>
      <c r="J224" t="s">
        <v>555</v>
      </c>
      <c r="K224" t="s">
        <v>556</v>
      </c>
      <c r="L224">
        <v>14</v>
      </c>
    </row>
    <row r="225" spans="1:12" x14ac:dyDescent="0.25">
      <c r="A225" t="s">
        <v>44</v>
      </c>
      <c r="B225" t="s">
        <v>581</v>
      </c>
      <c r="C225" t="s">
        <v>173</v>
      </c>
      <c r="D225" s="8">
        <v>66.599999999999994</v>
      </c>
      <c r="E225" s="8">
        <v>256</v>
      </c>
      <c r="F225" s="5" t="s">
        <v>114</v>
      </c>
      <c r="G225" t="s">
        <v>552</v>
      </c>
      <c r="H225" t="s">
        <v>562</v>
      </c>
      <c r="I225" t="s">
        <v>554</v>
      </c>
      <c r="J225" t="s">
        <v>555</v>
      </c>
      <c r="K225" t="s">
        <v>556</v>
      </c>
      <c r="L225">
        <v>5</v>
      </c>
    </row>
    <row r="226" spans="1:12" x14ac:dyDescent="0.25">
      <c r="A226" t="s">
        <v>44</v>
      </c>
      <c r="B226" t="s">
        <v>582</v>
      </c>
      <c r="C226" t="s">
        <v>177</v>
      </c>
      <c r="D226" s="8">
        <v>65.5</v>
      </c>
      <c r="E226" s="8">
        <v>260</v>
      </c>
      <c r="F226" s="5" t="s">
        <v>114</v>
      </c>
      <c r="G226" t="s">
        <v>552</v>
      </c>
      <c r="H226" t="s">
        <v>562</v>
      </c>
      <c r="I226" t="s">
        <v>554</v>
      </c>
      <c r="J226" t="s">
        <v>555</v>
      </c>
      <c r="K226" t="s">
        <v>583</v>
      </c>
      <c r="L226">
        <v>9</v>
      </c>
    </row>
    <row r="227" spans="1:12" x14ac:dyDescent="0.25">
      <c r="A227" t="s">
        <v>44</v>
      </c>
      <c r="B227" t="s">
        <v>584</v>
      </c>
      <c r="C227" t="s">
        <v>169</v>
      </c>
      <c r="D227" s="8">
        <v>64.400000000000006</v>
      </c>
      <c r="E227" s="8">
        <v>264</v>
      </c>
      <c r="F227" s="5" t="s">
        <v>114</v>
      </c>
      <c r="G227" t="s">
        <v>552</v>
      </c>
      <c r="H227" t="s">
        <v>562</v>
      </c>
      <c r="I227" t="s">
        <v>554</v>
      </c>
      <c r="J227" t="s">
        <v>555</v>
      </c>
      <c r="K227" t="s">
        <v>583</v>
      </c>
      <c r="L227">
        <v>6</v>
      </c>
    </row>
    <row r="228" spans="1:12" x14ac:dyDescent="0.25">
      <c r="A228" t="s">
        <v>44</v>
      </c>
      <c r="B228" t="s">
        <v>585</v>
      </c>
      <c r="C228" t="s">
        <v>113</v>
      </c>
      <c r="D228" s="8">
        <v>63.3</v>
      </c>
      <c r="E228" s="8">
        <v>268</v>
      </c>
      <c r="F228" s="5" t="s">
        <v>114</v>
      </c>
      <c r="G228" t="s">
        <v>552</v>
      </c>
      <c r="H228" t="s">
        <v>562</v>
      </c>
      <c r="I228" t="s">
        <v>554</v>
      </c>
      <c r="J228" t="s">
        <v>555</v>
      </c>
      <c r="K228" t="s">
        <v>583</v>
      </c>
      <c r="L228">
        <v>7</v>
      </c>
    </row>
    <row r="229" spans="1:12" x14ac:dyDescent="0.25">
      <c r="A229" t="s">
        <v>44</v>
      </c>
      <c r="B229" t="s">
        <v>586</v>
      </c>
      <c r="C229" t="s">
        <v>183</v>
      </c>
      <c r="D229" s="8">
        <v>62.2</v>
      </c>
      <c r="E229" s="8">
        <v>149.9</v>
      </c>
      <c r="F229" s="5" t="s">
        <v>114</v>
      </c>
      <c r="G229" t="s">
        <v>552</v>
      </c>
      <c r="H229" t="s">
        <v>562</v>
      </c>
      <c r="I229" t="s">
        <v>554</v>
      </c>
      <c r="J229" t="s">
        <v>555</v>
      </c>
      <c r="K229" t="s">
        <v>583</v>
      </c>
      <c r="L229">
        <v>13</v>
      </c>
    </row>
    <row r="230" spans="1:12" x14ac:dyDescent="0.25">
      <c r="A230" t="s">
        <v>44</v>
      </c>
      <c r="B230" t="s">
        <v>587</v>
      </c>
      <c r="C230" t="s">
        <v>180</v>
      </c>
      <c r="D230" s="8">
        <v>61.1</v>
      </c>
      <c r="E230" s="8">
        <v>276</v>
      </c>
      <c r="F230" s="5" t="s">
        <v>114</v>
      </c>
      <c r="G230" t="s">
        <v>552</v>
      </c>
      <c r="H230" t="s">
        <v>562</v>
      </c>
      <c r="I230" t="s">
        <v>554</v>
      </c>
      <c r="J230" t="s">
        <v>555</v>
      </c>
      <c r="K230" t="s">
        <v>583</v>
      </c>
      <c r="L230">
        <v>14</v>
      </c>
    </row>
    <row r="231" spans="1:12" x14ac:dyDescent="0.25">
      <c r="A231" t="s">
        <v>44</v>
      </c>
      <c r="B231" t="s">
        <v>588</v>
      </c>
      <c r="C231" t="s">
        <v>118</v>
      </c>
      <c r="D231" s="8">
        <v>60</v>
      </c>
      <c r="E231" s="8">
        <v>280</v>
      </c>
      <c r="F231" s="5" t="s">
        <v>114</v>
      </c>
      <c r="G231" t="s">
        <v>552</v>
      </c>
      <c r="H231" t="s">
        <v>562</v>
      </c>
      <c r="I231" t="s">
        <v>554</v>
      </c>
      <c r="J231" t="s">
        <v>555</v>
      </c>
      <c r="K231" t="s">
        <v>583</v>
      </c>
      <c r="L231">
        <v>6</v>
      </c>
    </row>
    <row r="232" spans="1:12" x14ac:dyDescent="0.25">
      <c r="A232" t="s">
        <v>44</v>
      </c>
      <c r="B232" t="s">
        <v>589</v>
      </c>
      <c r="C232" t="s">
        <v>192</v>
      </c>
      <c r="D232" s="8">
        <v>58.9</v>
      </c>
      <c r="E232" s="8">
        <v>284</v>
      </c>
      <c r="F232" s="5" t="s">
        <v>114</v>
      </c>
      <c r="G232" t="s">
        <v>552</v>
      </c>
      <c r="H232" t="s">
        <v>562</v>
      </c>
      <c r="I232" t="s">
        <v>554</v>
      </c>
      <c r="J232" t="s">
        <v>555</v>
      </c>
      <c r="K232" t="s">
        <v>583</v>
      </c>
      <c r="L232">
        <v>13</v>
      </c>
    </row>
  </sheetData>
  <dataValidations count="1">
    <dataValidation type="list" allowBlank="1" sqref="F3:F232" xr:uid="{00000000-0002-0000-0300-000000000000}">
      <formula1>"A,B,C"</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232"/>
  <sheetViews>
    <sheetView workbookViewId="0">
      <pane ySplit="2" topLeftCell="A3" activePane="bottomLeft" state="frozen"/>
      <selection pane="bottomLeft"/>
    </sheetView>
  </sheetViews>
  <sheetFormatPr defaultRowHeight="15" x14ac:dyDescent="0.25"/>
  <cols>
    <col min="1" max="1" width="8" customWidth="1"/>
    <col min="2" max="2" width="6" customWidth="1"/>
    <col min="3" max="3" width="8" customWidth="1"/>
    <col min="4" max="4" width="22" customWidth="1"/>
    <col min="5" max="5" width="10" customWidth="1"/>
    <col min="6" max="6" width="9" customWidth="1"/>
    <col min="7" max="7" width="10" customWidth="1"/>
    <col min="8" max="8" width="8" customWidth="1"/>
    <col min="9" max="9" width="11" customWidth="1"/>
    <col min="10" max="10" width="10" customWidth="1"/>
    <col min="11" max="11" width="9" customWidth="1"/>
    <col min="12" max="12" width="10" customWidth="1"/>
    <col min="13" max="13" width="22" customWidth="1"/>
    <col min="14" max="15" width="50" customWidth="1"/>
    <col min="16" max="16" width="6" customWidth="1"/>
  </cols>
  <sheetData>
    <row r="1" spans="1:16" ht="18.75" x14ac:dyDescent="0.3">
      <c r="A1" s="1" t="s">
        <v>590</v>
      </c>
    </row>
    <row r="2" spans="1:16" ht="27.95" customHeight="1" x14ac:dyDescent="0.25">
      <c r="A2" s="3" t="s">
        <v>2</v>
      </c>
      <c r="B2" s="3" t="s">
        <v>3</v>
      </c>
      <c r="C2" s="3" t="s">
        <v>4</v>
      </c>
      <c r="D2" s="3" t="s">
        <v>5</v>
      </c>
      <c r="E2" s="3" t="s">
        <v>6</v>
      </c>
      <c r="F2" s="3" t="s">
        <v>7</v>
      </c>
      <c r="G2" s="3" t="s">
        <v>591</v>
      </c>
      <c r="H2" s="3" t="s">
        <v>592</v>
      </c>
      <c r="I2" s="3" t="s">
        <v>8</v>
      </c>
      <c r="J2" s="3" t="s">
        <v>9</v>
      </c>
      <c r="K2" s="3" t="s">
        <v>10</v>
      </c>
      <c r="L2" s="3" t="s">
        <v>80</v>
      </c>
      <c r="M2" s="3" t="s">
        <v>81</v>
      </c>
      <c r="N2" s="3" t="s">
        <v>13</v>
      </c>
      <c r="O2" s="3" t="s">
        <v>83</v>
      </c>
      <c r="P2" s="3" t="s">
        <v>14</v>
      </c>
    </row>
    <row r="3" spans="1:16" x14ac:dyDescent="0.25">
      <c r="A3">
        <f>1</f>
        <v>1</v>
      </c>
      <c r="B3" t="str">
        <f>INDEX('Draft Engine'!$A$3:$A$232,$P3)</f>
        <v>WR</v>
      </c>
      <c r="C3">
        <f>INDEX('Draft Engine'!$F$3:$F$232,$P3)</f>
        <v>1</v>
      </c>
      <c r="D3" t="str">
        <f>INDEX('Draft Engine'!$B$3:$B$232,$P3)</f>
        <v>Puka Nacua</v>
      </c>
      <c r="E3" s="4">
        <f>INDEX('Draft Engine'!$E$3:$E$232,$P3)</f>
        <v>98.485900000000001</v>
      </c>
      <c r="F3" t="str">
        <f t="shared" ref="F3:F66" si="0">IF($E3&gt;=95,"ELITE",IF($E3&gt;=90,"TIER 1",IF($E3&gt;=85,"TIER 2",IF($E3&gt;=80,"TIER 3",IF($E3&gt;=75,"TIER 4",IF($E3&gt;=70,"TIER 5",IF($E3&gt;=65,"TIER 6","TIER 7")))))))</f>
        <v>ELITE</v>
      </c>
      <c r="G3" s="4">
        <f>INDEX('Draft Engine'!$G$3:$G$232,$P3)</f>
        <v>343.6</v>
      </c>
      <c r="H3" s="4">
        <f>INDEX('Draft Engine'!$J$3:$J$232,$P3)</f>
        <v>104.3</v>
      </c>
      <c r="I3" s="4">
        <f>INDEX('Draft Engine'!$N$3:$N$232,$P3)</f>
        <v>99.167245000000008</v>
      </c>
      <c r="J3" s="4">
        <f>INDEX('Draft Engine'!$R$3:$R$232,$P3)</f>
        <v>2.9</v>
      </c>
      <c r="K3" s="4">
        <f>INDEX('Draft Engine'!$S$3:$S$232,$P3)</f>
        <v>1.9</v>
      </c>
      <c r="L3" t="str">
        <f>INDEX('Draft Engine'!$T$3:$T$232,$P3)</f>
        <v>A</v>
      </c>
      <c r="M3" t="str">
        <f>INDEX('Draft Engine'!$X$3:$X$232,$P3)</f>
        <v>HISTORY FALLBACK</v>
      </c>
      <c r="N3" t="str">
        <f>INDEX('LIVE SOURCE'!$H$3:$H$232,$P3)</f>
        <v>Elite WR1 and first-round caliber target with overall WR1 upside.</v>
      </c>
      <c r="O3" t="str">
        <f>INDEX('LIVE SOURCE'!$J$3:$J$232,$P3)</f>
        <v>Target competition, quarterback efficiency and touchdown regression are the main downside paths.</v>
      </c>
      <c r="P3" s="6">
        <f>MATCH($A3,'Draft Engine'!$Q$3:$Q$232,0)</f>
        <v>86</v>
      </c>
    </row>
    <row r="4" spans="1:16" x14ac:dyDescent="0.25">
      <c r="A4">
        <f>2</f>
        <v>2</v>
      </c>
      <c r="B4" t="str">
        <f>INDEX('Draft Engine'!$A$3:$A$232,$P4)</f>
        <v>RB</v>
      </c>
      <c r="C4">
        <f>INDEX('Draft Engine'!$F$3:$F$232,$P4)</f>
        <v>1</v>
      </c>
      <c r="D4" t="str">
        <f>INDEX('Draft Engine'!$B$3:$B$232,$P4)</f>
        <v>Bijan Robinson</v>
      </c>
      <c r="E4" s="4">
        <f>INDEX('Draft Engine'!$E$3:$E$232,$P4)</f>
        <v>97.3673</v>
      </c>
      <c r="F4" t="str">
        <f t="shared" si="0"/>
        <v>ELITE</v>
      </c>
      <c r="G4" s="4">
        <f>INDEX('Draft Engine'!$G$3:$G$232,$P4)</f>
        <v>338.9</v>
      </c>
      <c r="H4" s="4">
        <f>INDEX('Draft Engine'!$J$3:$J$232,$P4)</f>
        <v>99.9</v>
      </c>
      <c r="I4" s="4">
        <f>INDEX('Draft Engine'!$N$3:$N$232,$P4)</f>
        <v>98.552015000000011</v>
      </c>
      <c r="J4" s="4">
        <f>INDEX('Draft Engine'!$R$3:$R$232,$P4)</f>
        <v>1.8</v>
      </c>
      <c r="K4" s="4">
        <f>INDEX('Draft Engine'!$S$3:$S$232,$P4)</f>
        <v>-0.19999999999999996</v>
      </c>
      <c r="L4" t="str">
        <f>INDEX('Draft Engine'!$T$3:$T$232,$P4)</f>
        <v>A</v>
      </c>
      <c r="M4" t="str">
        <f>INDEX('Draft Engine'!$X$3:$X$232,$P4)</f>
        <v>RATE-ADJUSTED VETERAN</v>
      </c>
      <c r="N4" t="str">
        <f>INDEX('LIVE SOURCE'!$H$3:$H$232,$P4)</f>
        <v>Elite RB1 and first-round roster anchor with league-winning ceiling.</v>
      </c>
      <c r="O4" t="str">
        <f>INDEX('LIVE SOURCE'!$J$3:$J$232,$P4)</f>
        <v>Touchdown variance, receiving-role changes and backfield competition are the main downside paths.</v>
      </c>
      <c r="P4" s="6">
        <f>MATCH($A4,'Draft Engine'!$Q$3:$Q$232,0)</f>
        <v>33</v>
      </c>
    </row>
    <row r="5" spans="1:16" x14ac:dyDescent="0.25">
      <c r="A5">
        <f>3</f>
        <v>3</v>
      </c>
      <c r="B5" t="str">
        <f>INDEX('Draft Engine'!$A$3:$A$232,$P5)</f>
        <v>WR</v>
      </c>
      <c r="C5">
        <f>INDEX('Draft Engine'!$F$3:$F$232,$P5)</f>
        <v>2</v>
      </c>
      <c r="D5" t="str">
        <f>INDEX('Draft Engine'!$B$3:$B$232,$P5)</f>
        <v>Ja'Marr Chase</v>
      </c>
      <c r="E5" s="4">
        <f>INDEX('Draft Engine'!$E$3:$E$232,$P5)</f>
        <v>96.732299999999995</v>
      </c>
      <c r="F5" t="str">
        <f t="shared" si="0"/>
        <v>ELITE</v>
      </c>
      <c r="G5" s="4">
        <f>INDEX('Draft Engine'!$G$3:$G$232,$P5)</f>
        <v>336.3</v>
      </c>
      <c r="H5" s="4">
        <f>INDEX('Draft Engine'!$J$3:$J$232,$P5)</f>
        <v>97</v>
      </c>
      <c r="I5" s="4">
        <f>INDEX('Draft Engine'!$N$3:$N$232,$P5)</f>
        <v>98.202764999999999</v>
      </c>
      <c r="J5" s="4">
        <f>INDEX('Draft Engine'!$R$3:$R$232,$P5)</f>
        <v>3.9</v>
      </c>
      <c r="K5" s="4">
        <f>INDEX('Draft Engine'!$S$3:$S$232,$P5)</f>
        <v>0.89999999999999991</v>
      </c>
      <c r="L5" t="str">
        <f>INDEX('Draft Engine'!$T$3:$T$232,$P5)</f>
        <v>A</v>
      </c>
      <c r="M5" t="str">
        <f>INDEX('Draft Engine'!$X$3:$X$232,$P5)</f>
        <v>HISTORY FALLBACK</v>
      </c>
      <c r="N5" t="str">
        <f>INDEX('LIVE SOURCE'!$H$3:$H$232,$P5)</f>
        <v>Elite WR1 and first-round caliber target with overall WR1 upside.</v>
      </c>
      <c r="O5" t="str">
        <f>INDEX('LIVE SOURCE'!$J$3:$J$232,$P5)</f>
        <v>Target competition, quarterback efficiency and touchdown regression are the main downside paths.</v>
      </c>
      <c r="P5" s="6">
        <f>MATCH($A5,'Draft Engine'!$Q$3:$Q$232,0)</f>
        <v>85</v>
      </c>
    </row>
    <row r="6" spans="1:16" x14ac:dyDescent="0.25">
      <c r="A6">
        <f>4</f>
        <v>4</v>
      </c>
      <c r="B6" t="str">
        <f>INDEX('Draft Engine'!$A$3:$A$232,$P6)</f>
        <v>RB</v>
      </c>
      <c r="C6">
        <f>INDEX('Draft Engine'!$F$3:$F$232,$P6)</f>
        <v>2</v>
      </c>
      <c r="D6" t="str">
        <f>INDEX('Draft Engine'!$B$3:$B$232,$P6)</f>
        <v>Jahmyr Gibbs</v>
      </c>
      <c r="E6" s="4">
        <f>INDEX('Draft Engine'!$E$3:$E$232,$P6)</f>
        <v>96.332300000000004</v>
      </c>
      <c r="F6" t="str">
        <f t="shared" si="0"/>
        <v>ELITE</v>
      </c>
      <c r="G6" s="4">
        <f>INDEX('Draft Engine'!$G$3:$G$232,$P6)</f>
        <v>334.6</v>
      </c>
      <c r="H6" s="4">
        <f>INDEX('Draft Engine'!$J$3:$J$232,$P6)</f>
        <v>95.6</v>
      </c>
      <c r="I6" s="4">
        <f>INDEX('Draft Engine'!$N$3:$N$232,$P6)</f>
        <v>97.982765000000001</v>
      </c>
      <c r="J6" s="4">
        <f>INDEX('Draft Engine'!$R$3:$R$232,$P6)</f>
        <v>1.8</v>
      </c>
      <c r="K6" s="4">
        <f>INDEX('Draft Engine'!$S$3:$S$232,$P6)</f>
        <v>-2.2000000000000002</v>
      </c>
      <c r="L6" t="str">
        <f>INDEX('Draft Engine'!$T$3:$T$232,$P6)</f>
        <v>A</v>
      </c>
      <c r="M6" t="str">
        <f>INDEX('Draft Engine'!$X$3:$X$232,$P6)</f>
        <v>RATE-ADJUSTED VETERAN</v>
      </c>
      <c r="N6" t="str">
        <f>INDEX('LIVE SOURCE'!$H$3:$H$232,$P6)</f>
        <v>Elite RB1 and first-round roster anchor with league-winning ceiling.</v>
      </c>
      <c r="O6" t="str">
        <f>INDEX('LIVE SOURCE'!$J$3:$J$232,$P6)</f>
        <v>Touchdown variance, receiving-role changes and backfield competition are the main downside paths.</v>
      </c>
      <c r="P6" s="6">
        <f>MATCH($A6,'Draft Engine'!$Q$3:$Q$232,0)</f>
        <v>34</v>
      </c>
    </row>
    <row r="7" spans="1:16" x14ac:dyDescent="0.25">
      <c r="A7">
        <f>5</f>
        <v>5</v>
      </c>
      <c r="B7" t="str">
        <f>INDEX('Draft Engine'!$A$3:$A$232,$P7)</f>
        <v>RB</v>
      </c>
      <c r="C7">
        <f>INDEX('Draft Engine'!$F$3:$F$232,$P7)</f>
        <v>3</v>
      </c>
      <c r="D7" t="str">
        <f>INDEX('Draft Engine'!$B$3:$B$232,$P7)</f>
        <v>Christian McCaffrey</v>
      </c>
      <c r="E7" s="4">
        <f>INDEX('Draft Engine'!$E$3:$E$232,$P7)</f>
        <v>94.244699999999995</v>
      </c>
      <c r="F7" t="str">
        <f t="shared" si="0"/>
        <v>TIER 1</v>
      </c>
      <c r="G7" s="4">
        <f>INDEX('Draft Engine'!$G$3:$G$232,$P7)</f>
        <v>325.8</v>
      </c>
      <c r="H7" s="4">
        <f>INDEX('Draft Engine'!$J$3:$J$232,$P7)</f>
        <v>86.8</v>
      </c>
      <c r="I7" s="4">
        <f>INDEX('Draft Engine'!$N$3:$N$232,$P7)</f>
        <v>96.834585000000004</v>
      </c>
      <c r="J7" s="4">
        <f>INDEX('Draft Engine'!$R$3:$R$232,$P7)</f>
        <v>5.8</v>
      </c>
      <c r="K7" s="4">
        <f>INDEX('Draft Engine'!$S$3:$S$232,$P7)</f>
        <v>0.79999999999999982</v>
      </c>
      <c r="L7" t="str">
        <f>INDEX('Draft Engine'!$T$3:$T$232,$P7)</f>
        <v>A</v>
      </c>
      <c r="M7" t="str">
        <f>INDEX('Draft Engine'!$X$3:$X$232,$P7)</f>
        <v>RATE-ADJUSTED VETERAN</v>
      </c>
      <c r="N7" t="str">
        <f>INDEX('LIVE SOURCE'!$H$3:$H$232,$P7)</f>
        <v>Elite RB1 and first-round roster anchor with league-winning ceiling.</v>
      </c>
      <c r="O7" t="str">
        <f>INDEX('LIVE SOURCE'!$J$3:$J$232,$P7)</f>
        <v>Touchdown variance, receiving-role changes and backfield competition are the main downside paths.</v>
      </c>
      <c r="P7" s="6">
        <f>MATCH($A7,'Draft Engine'!$Q$3:$Q$232,0)</f>
        <v>35</v>
      </c>
    </row>
    <row r="8" spans="1:16" x14ac:dyDescent="0.25">
      <c r="A8">
        <f>6</f>
        <v>6</v>
      </c>
      <c r="B8" t="str">
        <f>INDEX('Draft Engine'!$A$3:$A$232,$P8)</f>
        <v>WR</v>
      </c>
      <c r="C8">
        <f>INDEX('Draft Engine'!$F$3:$F$232,$P8)</f>
        <v>3</v>
      </c>
      <c r="D8" t="str">
        <f>INDEX('Draft Engine'!$B$3:$B$232,$P8)</f>
        <v>Jaxon Smith-Njigba</v>
      </c>
      <c r="E8" s="4">
        <f>INDEX('Draft Engine'!$E$3:$E$232,$P8)</f>
        <v>94.079899999999995</v>
      </c>
      <c r="F8" t="str">
        <f t="shared" si="0"/>
        <v>TIER 1</v>
      </c>
      <c r="G8" s="4">
        <f>INDEX('Draft Engine'!$G$3:$G$232,$P8)</f>
        <v>325.10000000000002</v>
      </c>
      <c r="H8" s="4">
        <f>INDEX('Draft Engine'!$J$3:$J$232,$P8)</f>
        <v>85.8</v>
      </c>
      <c r="I8" s="4">
        <f>INDEX('Draft Engine'!$N$3:$N$232,$P8)</f>
        <v>96.743944999999997</v>
      </c>
      <c r="J8" s="4">
        <f>INDEX('Draft Engine'!$R$3:$R$232,$P8)</f>
        <v>5.7</v>
      </c>
      <c r="K8" s="4">
        <f>INDEX('Draft Engine'!$S$3:$S$232,$P8)</f>
        <v>-0.29999999999999982</v>
      </c>
      <c r="L8" t="str">
        <f>INDEX('Draft Engine'!$T$3:$T$232,$P8)</f>
        <v>A</v>
      </c>
      <c r="M8" t="str">
        <f>INDEX('Draft Engine'!$X$3:$X$232,$P8)</f>
        <v>HISTORY FALLBACK</v>
      </c>
      <c r="N8" t="str">
        <f>INDEX('LIVE SOURCE'!$H$3:$H$232,$P8)</f>
        <v>Elite WR1 and first-round caliber target with overall WR1 upside.</v>
      </c>
      <c r="O8" t="str">
        <f>INDEX('LIVE SOURCE'!$J$3:$J$232,$P8)</f>
        <v>Target competition, quarterback efficiency and touchdown regression are the main downside paths.</v>
      </c>
      <c r="P8" s="6">
        <f>MATCH($A8,'Draft Engine'!$Q$3:$Q$232,0)</f>
        <v>87</v>
      </c>
    </row>
    <row r="9" spans="1:16" x14ac:dyDescent="0.25">
      <c r="A9">
        <f>7</f>
        <v>7</v>
      </c>
      <c r="B9" t="str">
        <f>INDEX('Draft Engine'!$A$3:$A$232,$P9)</f>
        <v>WR</v>
      </c>
      <c r="C9">
        <f>INDEX('Draft Engine'!$F$3:$F$232,$P9)</f>
        <v>4</v>
      </c>
      <c r="D9" t="str">
        <f>INDEX('Draft Engine'!$B$3:$B$232,$P9)</f>
        <v>Amon-Ra St. Brown</v>
      </c>
      <c r="E9" s="4">
        <f>INDEX('Draft Engine'!$E$3:$E$232,$P9)</f>
        <v>93.263900000000007</v>
      </c>
      <c r="F9" t="str">
        <f t="shared" si="0"/>
        <v>TIER 1</v>
      </c>
      <c r="G9" s="4">
        <f>INDEX('Draft Engine'!$G$3:$G$232,$P9)</f>
        <v>321.7</v>
      </c>
      <c r="H9" s="4">
        <f>INDEX('Draft Engine'!$J$3:$J$232,$P9)</f>
        <v>82.4</v>
      </c>
      <c r="I9" s="4">
        <f>INDEX('Draft Engine'!$N$3:$N$232,$P9)</f>
        <v>96.127144999999999</v>
      </c>
      <c r="J9" s="4">
        <f>INDEX('Draft Engine'!$R$3:$R$232,$P9)</f>
        <v>7</v>
      </c>
      <c r="K9" s="4">
        <f>INDEX('Draft Engine'!$S$3:$S$232,$P9)</f>
        <v>0</v>
      </c>
      <c r="L9" t="str">
        <f>INDEX('Draft Engine'!$T$3:$T$232,$P9)</f>
        <v>A</v>
      </c>
      <c r="M9" t="str">
        <f>INDEX('Draft Engine'!$X$3:$X$232,$P9)</f>
        <v>HISTORY FALLBACK</v>
      </c>
      <c r="N9" t="str">
        <f>INDEX('LIVE SOURCE'!$H$3:$H$232,$P9)</f>
        <v>Elite WR1 and first-round caliber target with overall WR1 upside.</v>
      </c>
      <c r="O9" t="str">
        <f>INDEX('LIVE SOURCE'!$J$3:$J$232,$P9)</f>
        <v>Target competition, quarterback efficiency and touchdown regression are the main downside paths.</v>
      </c>
      <c r="P9" s="6">
        <f>MATCH($A9,'Draft Engine'!$Q$3:$Q$232,0)</f>
        <v>88</v>
      </c>
    </row>
    <row r="10" spans="1:16" x14ac:dyDescent="0.25">
      <c r="A10">
        <f>8</f>
        <v>8</v>
      </c>
      <c r="B10" t="str">
        <f>INDEX('Draft Engine'!$A$3:$A$232,$P10)</f>
        <v>RB</v>
      </c>
      <c r="C10">
        <f>INDEX('Draft Engine'!$F$3:$F$232,$P10)</f>
        <v>4</v>
      </c>
      <c r="D10" t="str">
        <f>INDEX('Draft Engine'!$B$3:$B$232,$P10)</f>
        <v>Jonathan Taylor</v>
      </c>
      <c r="E10" s="4">
        <f>INDEX('Draft Engine'!$E$3:$E$232,$P10)</f>
        <v>92.147000000000006</v>
      </c>
      <c r="F10" t="str">
        <f t="shared" si="0"/>
        <v>TIER 1</v>
      </c>
      <c r="G10" s="4">
        <f>INDEX('Draft Engine'!$G$3:$G$232,$P10)</f>
        <v>317</v>
      </c>
      <c r="H10" s="4">
        <f>INDEX('Draft Engine'!$J$3:$J$232,$P10)</f>
        <v>78</v>
      </c>
      <c r="I10" s="4">
        <f>INDEX('Draft Engine'!$N$3:$N$232,$P10)</f>
        <v>94.720850000000013</v>
      </c>
      <c r="J10" s="4">
        <f>INDEX('Draft Engine'!$R$3:$R$232,$P10)</f>
        <v>7.4</v>
      </c>
      <c r="K10" s="4">
        <f>INDEX('Draft Engine'!$S$3:$S$232,$P10)</f>
        <v>-0.59999999999999964</v>
      </c>
      <c r="L10" t="str">
        <f>INDEX('Draft Engine'!$T$3:$T$232,$P10)</f>
        <v>A</v>
      </c>
      <c r="M10" t="str">
        <f>INDEX('Draft Engine'!$X$3:$X$232,$P10)</f>
        <v>RATE-ADJUSTED VETERAN</v>
      </c>
      <c r="N10" t="str">
        <f>INDEX('LIVE SOURCE'!$H$3:$H$232,$P10)</f>
        <v>Elite RB1 and first-round roster anchor with league-winning ceiling.</v>
      </c>
      <c r="O10" t="str">
        <f>INDEX('LIVE SOURCE'!$J$3:$J$232,$P10)</f>
        <v>Touchdown variance, receiving-role changes and backfield competition are the main downside paths.</v>
      </c>
      <c r="P10" s="6">
        <f>MATCH($A10,'Draft Engine'!$Q$3:$Q$232,0)</f>
        <v>36</v>
      </c>
    </row>
    <row r="11" spans="1:16" x14ac:dyDescent="0.25">
      <c r="A11">
        <f>9</f>
        <v>9</v>
      </c>
      <c r="B11" t="str">
        <f>INDEX('Draft Engine'!$A$3:$A$232,$P11)</f>
        <v>WR</v>
      </c>
      <c r="C11">
        <f>INDEX('Draft Engine'!$F$3:$F$232,$P11)</f>
        <v>5</v>
      </c>
      <c r="D11" t="str">
        <f>INDEX('Draft Engine'!$B$3:$B$232,$P11)</f>
        <v>Nico Collins</v>
      </c>
      <c r="E11" s="4">
        <f>INDEX('Draft Engine'!$E$3:$E$232,$P11)</f>
        <v>91.492500000000007</v>
      </c>
      <c r="F11" t="str">
        <f t="shared" si="0"/>
        <v>TIER 1</v>
      </c>
      <c r="G11" s="4">
        <f>INDEX('Draft Engine'!$G$3:$G$232,$P11)</f>
        <v>314.3</v>
      </c>
      <c r="H11" s="4">
        <f>INDEX('Draft Engine'!$J$3:$J$232,$P11)</f>
        <v>75</v>
      </c>
      <c r="I11" s="4">
        <f>INDEX('Draft Engine'!$N$3:$N$232,$P11)</f>
        <v>93.820875000000001</v>
      </c>
      <c r="J11" s="4">
        <f>INDEX('Draft Engine'!$R$3:$R$232,$P11)</f>
        <v>23.8</v>
      </c>
      <c r="K11" s="4">
        <f>INDEX('Draft Engine'!$S$3:$S$232,$P11)</f>
        <v>14.8</v>
      </c>
      <c r="L11" t="str">
        <f>INDEX('Draft Engine'!$T$3:$T$232,$P11)</f>
        <v>B</v>
      </c>
      <c r="M11" t="str">
        <f>INDEX('Draft Engine'!$X$3:$X$232,$P11)</f>
        <v>HISTORY FALLBACK</v>
      </c>
      <c r="N11" t="str">
        <f>INDEX('LIVE SOURCE'!$H$3:$H$232,$P11)</f>
        <v>Elite WR1 and first-round caliber target with overall WR1 upside.</v>
      </c>
      <c r="O11" t="str">
        <f>INDEX('LIVE SOURCE'!$J$3:$J$232,$P11)</f>
        <v>Target competition, quarterback efficiency and touchdown regression are the main downside paths.</v>
      </c>
      <c r="P11" s="6">
        <f>MATCH($A11,'Draft Engine'!$Q$3:$Q$232,0)</f>
        <v>94</v>
      </c>
    </row>
    <row r="12" spans="1:16" x14ac:dyDescent="0.25">
      <c r="A12">
        <f>10</f>
        <v>10</v>
      </c>
      <c r="B12" t="str">
        <f>INDEX('Draft Engine'!$A$3:$A$232,$P12)</f>
        <v>TE</v>
      </c>
      <c r="C12">
        <f>INDEX('Draft Engine'!$F$3:$F$232,$P12)</f>
        <v>1</v>
      </c>
      <c r="D12" t="str">
        <f>INDEX('Draft Engine'!$B$3:$B$232,$P12)</f>
        <v>Trey McBride</v>
      </c>
      <c r="E12" s="4">
        <f>INDEX('Draft Engine'!$E$3:$E$232,$P12)</f>
        <v>97.737099999999998</v>
      </c>
      <c r="F12" t="str">
        <f t="shared" si="0"/>
        <v>ELITE</v>
      </c>
      <c r="G12" s="4">
        <f>INDEX('Draft Engine'!$G$3:$G$232,$P12)</f>
        <v>242.1</v>
      </c>
      <c r="H12" s="4">
        <f>INDEX('Draft Engine'!$J$3:$J$232,$P12)</f>
        <v>62.4</v>
      </c>
      <c r="I12" s="4">
        <f>INDEX('Draft Engine'!$N$3:$N$232,$P12)</f>
        <v>93.487404999999995</v>
      </c>
      <c r="J12" s="4">
        <f>INDEX('Draft Engine'!$R$3:$R$232,$P12)</f>
        <v>35.700000000000003</v>
      </c>
      <c r="K12" s="4">
        <f>INDEX('Draft Engine'!$S$3:$S$232,$P12)</f>
        <v>25.700000000000003</v>
      </c>
      <c r="L12" t="str">
        <f>INDEX('Draft Engine'!$T$3:$T$232,$P12)</f>
        <v>A</v>
      </c>
      <c r="M12" t="str">
        <f>INDEX('Draft Engine'!$X$3:$X$232,$P12)</f>
        <v>RATE-ADJUSTED VETERAN</v>
      </c>
      <c r="N12" t="str">
        <f>INDEX('LIVE SOURCE'!$H$3:$H$232,$P12)</f>
        <v>Elite difference-making TE; positional advantage is the expectation.</v>
      </c>
      <c r="O12" t="str">
        <f>INDEX('LIVE SOURCE'!$J$3:$J$232,$P12)</f>
        <v>Route share, target volume and touchdown volatility are the main swing factors.</v>
      </c>
      <c r="P12" s="6">
        <f>MATCH($A12,'Draft Engine'!$Q$3:$Q$232,0)</f>
        <v>159</v>
      </c>
    </row>
    <row r="13" spans="1:16" x14ac:dyDescent="0.25">
      <c r="A13">
        <f>11</f>
        <v>11</v>
      </c>
      <c r="B13" t="str">
        <f>INDEX('Draft Engine'!$A$3:$A$232,$P13)</f>
        <v>RB</v>
      </c>
      <c r="C13">
        <f>INDEX('Draft Engine'!$F$3:$F$232,$P13)</f>
        <v>5</v>
      </c>
      <c r="D13" t="str">
        <f>INDEX('Draft Engine'!$B$3:$B$232,$P13)</f>
        <v>Jeremiyah Love</v>
      </c>
      <c r="E13" s="4">
        <f>INDEX('Draft Engine'!$E$3:$E$232,$P13)</f>
        <v>90.865899999999996</v>
      </c>
      <c r="F13" t="str">
        <f t="shared" si="0"/>
        <v>TIER 1</v>
      </c>
      <c r="G13" s="4">
        <f>INDEX('Draft Engine'!$G$3:$G$232,$P13)</f>
        <v>311.60000000000002</v>
      </c>
      <c r="H13" s="4">
        <f>INDEX('Draft Engine'!$J$3:$J$232,$P13)</f>
        <v>72.599999999999994</v>
      </c>
      <c r="I13" s="4">
        <f>INDEX('Draft Engine'!$N$3:$N$232,$P13)</f>
        <v>93.044245000000004</v>
      </c>
      <c r="J13" s="4">
        <f>INDEX('Draft Engine'!$R$3:$R$232,$P13)</f>
        <v>26.2</v>
      </c>
      <c r="K13" s="4">
        <f>INDEX('Draft Engine'!$S$3:$S$232,$P13)</f>
        <v>15.2</v>
      </c>
      <c r="L13" t="str">
        <f>INDEX('Draft Engine'!$T$3:$T$232,$P13)</f>
        <v>B</v>
      </c>
      <c r="M13" t="str">
        <f>INDEX('Draft Engine'!$X$3:$X$232,$P13)</f>
        <v>ROOKIE ENGINE</v>
      </c>
      <c r="N13" t="str">
        <f>INDEX('LIVE SOURCE'!$H$3:$H$232,$P13)</f>
        <v>Elite RB1 and first-round roster anchor with league-winning ceiling.</v>
      </c>
      <c r="O13" t="str">
        <f>INDEX('LIVE SOURCE'!$J$3:$J$232,$P13)</f>
        <v>NFL translation and exact weekly role are the main variables; preseason first-team usage can move this rating quickly.</v>
      </c>
      <c r="P13" s="6">
        <f>MATCH($A13,'Draft Engine'!$Q$3:$Q$232,0)</f>
        <v>37</v>
      </c>
    </row>
    <row r="14" spans="1:16" x14ac:dyDescent="0.25">
      <c r="A14">
        <f>12</f>
        <v>12</v>
      </c>
      <c r="B14" t="str">
        <f>INDEX('Draft Engine'!$A$3:$A$232,$P14)</f>
        <v>QB</v>
      </c>
      <c r="C14">
        <f>INDEX('Draft Engine'!$F$3:$F$232,$P14)</f>
        <v>1</v>
      </c>
      <c r="D14" t="str">
        <f>INDEX('Draft Engine'!$B$3:$B$232,$P14)</f>
        <v>Josh Allen</v>
      </c>
      <c r="E14" s="4">
        <f>INDEX('Draft Engine'!$E$3:$E$232,$P14)</f>
        <v>97.309899999999999</v>
      </c>
      <c r="F14" t="str">
        <f t="shared" si="0"/>
        <v>ELITE</v>
      </c>
      <c r="G14" s="4">
        <f>INDEX('Draft Engine'!$G$3:$G$232,$P14)</f>
        <v>407.9</v>
      </c>
      <c r="H14" s="4">
        <f>INDEX('Draft Engine'!$J$3:$J$232,$P14)</f>
        <v>56.8</v>
      </c>
      <c r="I14" s="4">
        <f>INDEX('Draft Engine'!$N$3:$N$232,$P14)</f>
        <v>90.744444999999999</v>
      </c>
      <c r="J14" s="4">
        <f>INDEX('Draft Engine'!$R$3:$R$232,$P14)</f>
        <v>26.6</v>
      </c>
      <c r="K14" s="4">
        <f>INDEX('Draft Engine'!$S$3:$S$232,$P14)</f>
        <v>14.600000000000001</v>
      </c>
      <c r="L14" t="str">
        <f>INDEX('Draft Engine'!$T$3:$T$232,$P14)</f>
        <v>A</v>
      </c>
      <c r="M14" t="str">
        <f>INDEX('Draft Engine'!$X$3:$X$232,$P14)</f>
        <v>RATE-ADJUSTED VETERAN</v>
      </c>
      <c r="N14" t="str">
        <f>INDEX('LIVE SOURCE'!$H$3:$H$232,$P14)</f>
        <v>Elite QB1; weekly top-5 expectation with overall QB1 upside.</v>
      </c>
      <c r="O14" t="str">
        <f>INDEX('LIVE SOURCE'!$J$3:$J$232,$P14)</f>
        <v>Passing-TD efficiency, rushing volume and supporting-cast health are the main swing factors.</v>
      </c>
      <c r="P14" s="6">
        <f>MATCH($A14,'Draft Engine'!$Q$3:$Q$232,0)</f>
        <v>1</v>
      </c>
    </row>
    <row r="15" spans="1:16" x14ac:dyDescent="0.25">
      <c r="A15">
        <f>13</f>
        <v>13</v>
      </c>
      <c r="B15" t="str">
        <f>INDEX('Draft Engine'!$A$3:$A$232,$P15)</f>
        <v>WR</v>
      </c>
      <c r="C15">
        <f>INDEX('Draft Engine'!$F$3:$F$232,$P15)</f>
        <v>6</v>
      </c>
      <c r="D15" t="str">
        <f>INDEX('Draft Engine'!$B$3:$B$232,$P15)</f>
        <v>Chris Olave</v>
      </c>
      <c r="E15" s="4">
        <f>INDEX('Draft Engine'!$E$3:$E$232,$P15)</f>
        <v>88.907499999999999</v>
      </c>
      <c r="F15" t="str">
        <f t="shared" si="0"/>
        <v>TIER 2</v>
      </c>
      <c r="G15" s="4">
        <f>INDEX('Draft Engine'!$G$3:$G$232,$P15)</f>
        <v>303.39999999999998</v>
      </c>
      <c r="H15" s="4">
        <f>INDEX('Draft Engine'!$J$3:$J$232,$P15)</f>
        <v>64.099999999999994</v>
      </c>
      <c r="I15" s="4">
        <f>INDEX('Draft Engine'!$N$3:$N$232,$P15)</f>
        <v>90.270458333333337</v>
      </c>
      <c r="J15" s="4">
        <f>INDEX('Draft Engine'!$R$3:$R$232,$P15)</f>
        <v>20.399999999999999</v>
      </c>
      <c r="K15" s="4">
        <f>INDEX('Draft Engine'!$S$3:$S$232,$P15)</f>
        <v>7.3999999999999986</v>
      </c>
      <c r="L15" t="str">
        <f>INDEX('Draft Engine'!$T$3:$T$232,$P15)</f>
        <v>B</v>
      </c>
      <c r="M15" t="str">
        <f>INDEX('Draft Engine'!$X$3:$X$232,$P15)</f>
        <v>HISTORY FALLBACK</v>
      </c>
      <c r="N15" t="str">
        <f>INDEX('LIVE SOURCE'!$H$3:$H$232,$P15)</f>
        <v>Strong WR1; bankable weekly starter with spike-week ceiling.</v>
      </c>
      <c r="O15" t="str">
        <f>INDEX('LIVE SOURCE'!$J$3:$J$232,$P15)</f>
        <v>Target competition, quarterback efficiency and touchdown regression are the main downside paths.</v>
      </c>
      <c r="P15" s="6">
        <f>MATCH($A15,'Draft Engine'!$Q$3:$Q$232,0)</f>
        <v>96</v>
      </c>
    </row>
    <row r="16" spans="1:16" x14ac:dyDescent="0.25">
      <c r="A16">
        <f>14</f>
        <v>14</v>
      </c>
      <c r="B16" t="str">
        <f>INDEX('Draft Engine'!$A$3:$A$232,$P16)</f>
        <v>RB</v>
      </c>
      <c r="C16">
        <f>INDEX('Draft Engine'!$F$3:$F$232,$P16)</f>
        <v>6</v>
      </c>
      <c r="D16" t="str">
        <f>INDEX('Draft Engine'!$B$3:$B$232,$P16)</f>
        <v>Omarion Hampton</v>
      </c>
      <c r="E16" s="4">
        <f>INDEX('Draft Engine'!$E$3:$E$232,$P16)</f>
        <v>88.642099999999999</v>
      </c>
      <c r="F16" t="str">
        <f t="shared" si="0"/>
        <v>TIER 2</v>
      </c>
      <c r="G16" s="4">
        <f>INDEX('Draft Engine'!$G$3:$G$232,$P16)</f>
        <v>302.3</v>
      </c>
      <c r="H16" s="4">
        <f>INDEX('Draft Engine'!$J$3:$J$232,$P16)</f>
        <v>63.3</v>
      </c>
      <c r="I16" s="4">
        <f>INDEX('Draft Engine'!$N$3:$N$232,$P16)</f>
        <v>90.147154999999998</v>
      </c>
      <c r="J16" s="4">
        <f>INDEX('Draft Engine'!$R$3:$R$232,$P16)</f>
        <v>19.600000000000001</v>
      </c>
      <c r="K16" s="4">
        <f>INDEX('Draft Engine'!$S$3:$S$232,$P16)</f>
        <v>5.6000000000000014</v>
      </c>
      <c r="L16" t="str">
        <f>INDEX('Draft Engine'!$T$3:$T$232,$P16)</f>
        <v>B</v>
      </c>
      <c r="M16" t="str">
        <f>INDEX('Draft Engine'!$X$3:$X$232,$P16)</f>
        <v>RATE-ADJUSTED VETERAN</v>
      </c>
      <c r="N16" t="str">
        <f>INDEX('LIVE SOURCE'!$H$3:$H$232,$P16)</f>
        <v>Strong RB1; weekly top-12 expectation with multi-touchdown ceiling.</v>
      </c>
      <c r="O16" t="str">
        <f>INDEX('LIVE SOURCE'!$J$3:$J$232,$P16)</f>
        <v>Availability/sample risk is elevated after only 9 games; talent is not being punished as heavily as durability.</v>
      </c>
      <c r="P16" s="6">
        <f>MATCH($A16,'Draft Engine'!$Q$3:$Q$232,0)</f>
        <v>38</v>
      </c>
    </row>
    <row r="17" spans="1:16" x14ac:dyDescent="0.25">
      <c r="A17">
        <f>15</f>
        <v>15</v>
      </c>
      <c r="B17" t="str">
        <f>INDEX('Draft Engine'!$A$3:$A$232,$P17)</f>
        <v>TE</v>
      </c>
      <c r="C17">
        <f>INDEX('Draft Engine'!$F$3:$F$232,$P17)</f>
        <v>2</v>
      </c>
      <c r="D17" t="str">
        <f>INDEX('Draft Engine'!$B$3:$B$232,$P17)</f>
        <v>Brock Bowers</v>
      </c>
      <c r="E17" s="4">
        <f>INDEX('Draft Engine'!$E$3:$E$232,$P17)</f>
        <v>94.884600000000006</v>
      </c>
      <c r="F17" t="str">
        <f t="shared" si="0"/>
        <v>TIER 1</v>
      </c>
      <c r="G17" s="4">
        <f>INDEX('Draft Engine'!$G$3:$G$232,$P17)</f>
        <v>232.1</v>
      </c>
      <c r="H17" s="4">
        <f>INDEX('Draft Engine'!$J$3:$J$232,$P17)</f>
        <v>52.4</v>
      </c>
      <c r="I17" s="4">
        <f>INDEX('Draft Engine'!$N$3:$N$232,$P17)</f>
        <v>89.426222307692314</v>
      </c>
      <c r="J17" s="4">
        <f>INDEX('Draft Engine'!$R$3:$R$232,$P17)</f>
        <v>41.1</v>
      </c>
      <c r="K17" s="4">
        <f>INDEX('Draft Engine'!$S$3:$S$232,$P17)</f>
        <v>26.1</v>
      </c>
      <c r="L17" t="str">
        <f>INDEX('Draft Engine'!$T$3:$T$232,$P17)</f>
        <v>A</v>
      </c>
      <c r="M17" t="str">
        <f>INDEX('Draft Engine'!$X$3:$X$232,$P17)</f>
        <v>RATE-ADJUSTED VETERAN</v>
      </c>
      <c r="N17" t="str">
        <f>INDEX('LIVE SOURCE'!$H$3:$H$232,$P17)</f>
        <v>Elite difference-making TE; positional advantage is the expectation.</v>
      </c>
      <c r="O17" t="str">
        <f>INDEX('LIVE SOURCE'!$J$3:$J$232,$P17)</f>
        <v>Route share, target volume and touchdown volatility are the main swing factors.</v>
      </c>
      <c r="P17" s="6">
        <f>MATCH($A17,'Draft Engine'!$Q$3:$Q$232,0)</f>
        <v>160</v>
      </c>
    </row>
    <row r="18" spans="1:16" x14ac:dyDescent="0.25">
      <c r="A18">
        <f>16</f>
        <v>16</v>
      </c>
      <c r="B18" t="str">
        <f>INDEX('Draft Engine'!$A$3:$A$232,$P18)</f>
        <v>RB</v>
      </c>
      <c r="C18">
        <f>INDEX('Draft Engine'!$F$3:$F$232,$P18)</f>
        <v>7</v>
      </c>
      <c r="D18" t="str">
        <f>INDEX('Draft Engine'!$B$3:$B$232,$P18)</f>
        <v>De'Von Achane</v>
      </c>
      <c r="E18" s="4">
        <f>INDEX('Draft Engine'!$E$3:$E$232,$P18)</f>
        <v>87.944000000000003</v>
      </c>
      <c r="F18" t="str">
        <f t="shared" si="0"/>
        <v>TIER 2</v>
      </c>
      <c r="G18" s="4">
        <f>INDEX('Draft Engine'!$G$3:$G$232,$P18)</f>
        <v>299.39999999999998</v>
      </c>
      <c r="H18" s="4">
        <f>INDEX('Draft Engine'!$J$3:$J$232,$P18)</f>
        <v>60.4</v>
      </c>
      <c r="I18" s="4">
        <f>INDEX('Draft Engine'!$N$3:$N$232,$P18)</f>
        <v>89.241200000000006</v>
      </c>
      <c r="J18" s="4">
        <f>INDEX('Draft Engine'!$R$3:$R$232,$P18)</f>
        <v>10.1</v>
      </c>
      <c r="K18" s="4">
        <f>INDEX('Draft Engine'!$S$3:$S$232,$P18)</f>
        <v>-5.9</v>
      </c>
      <c r="L18" t="str">
        <f>INDEX('Draft Engine'!$T$3:$T$232,$P18)</f>
        <v>A</v>
      </c>
      <c r="M18" t="str">
        <f>INDEX('Draft Engine'!$X$3:$X$232,$P18)</f>
        <v>RATE-ADJUSTED VETERAN</v>
      </c>
      <c r="N18" t="str">
        <f>INDEX('LIVE SOURCE'!$H$3:$H$232,$P18)</f>
        <v>Strong RB1; weekly top-12 expectation with multi-touchdown ceiling.</v>
      </c>
      <c r="O18" t="str">
        <f>INDEX('LIVE SOURCE'!$J$3:$J$232,$P18)</f>
        <v>Touchdown variance, receiving-role changes and backfield competition are the main downside paths.</v>
      </c>
      <c r="P18" s="6">
        <f>MATCH($A18,'Draft Engine'!$Q$3:$Q$232,0)</f>
        <v>39</v>
      </c>
    </row>
    <row r="19" spans="1:16" x14ac:dyDescent="0.25">
      <c r="A19">
        <f>17</f>
        <v>17</v>
      </c>
      <c r="B19" t="str">
        <f>INDEX('Draft Engine'!$A$3:$A$232,$P19)</f>
        <v>RB</v>
      </c>
      <c r="C19">
        <f>INDEX('Draft Engine'!$F$3:$F$232,$P19)</f>
        <v>8</v>
      </c>
      <c r="D19" t="str">
        <f>INDEX('Draft Engine'!$B$3:$B$232,$P19)</f>
        <v>Kenneth Walker III</v>
      </c>
      <c r="E19" s="4">
        <f>INDEX('Draft Engine'!$E$3:$E$232,$P19)</f>
        <v>87.292599999999993</v>
      </c>
      <c r="F19" t="str">
        <f t="shared" si="0"/>
        <v>TIER 2</v>
      </c>
      <c r="G19" s="4">
        <f>INDEX('Draft Engine'!$G$3:$G$232,$P19)</f>
        <v>296.60000000000002</v>
      </c>
      <c r="H19" s="4">
        <f>INDEX('Draft Engine'!$J$3:$J$232,$P19)</f>
        <v>57.6</v>
      </c>
      <c r="I19" s="4">
        <f>INDEX('Draft Engine'!$N$3:$N$232,$P19)</f>
        <v>88.113304999999997</v>
      </c>
      <c r="J19" s="4">
        <f>INDEX('Draft Engine'!$R$3:$R$232,$P19)</f>
        <v>26.2</v>
      </c>
      <c r="K19" s="4">
        <f>INDEX('Draft Engine'!$S$3:$S$232,$P19)</f>
        <v>9.1999999999999993</v>
      </c>
      <c r="L19" t="str">
        <f>INDEX('Draft Engine'!$T$3:$T$232,$P19)</f>
        <v>A</v>
      </c>
      <c r="M19" t="str">
        <f>INDEX('Draft Engine'!$X$3:$X$232,$P19)</f>
        <v>RATE-ADJUSTED VETERAN</v>
      </c>
      <c r="N19" t="str">
        <f>INDEX('LIVE SOURCE'!$H$3:$H$232,$P19)</f>
        <v>Strong RB1; weekly top-12 expectation with multi-touchdown ceiling.</v>
      </c>
      <c r="O19" t="str">
        <f>INDEX('LIVE SOURCE'!$J$3:$J$232,$P19)</f>
        <v>Touchdown variance, receiving-role changes and backfield competition are the main downside paths.</v>
      </c>
      <c r="P19" s="6">
        <f>MATCH($A19,'Draft Engine'!$Q$3:$Q$232,0)</f>
        <v>40</v>
      </c>
    </row>
    <row r="20" spans="1:16" x14ac:dyDescent="0.25">
      <c r="A20">
        <f>18</f>
        <v>18</v>
      </c>
      <c r="B20" t="str">
        <f>INDEX('Draft Engine'!$A$3:$A$232,$P20)</f>
        <v>WR</v>
      </c>
      <c r="C20">
        <f>INDEX('Draft Engine'!$F$3:$F$232,$P20)</f>
        <v>7</v>
      </c>
      <c r="D20" t="str">
        <f>INDEX('Draft Engine'!$B$3:$B$232,$P20)</f>
        <v>Drake London</v>
      </c>
      <c r="E20" s="4">
        <f>INDEX('Draft Engine'!$E$3:$E$232,$P20)</f>
        <v>87.510599999999997</v>
      </c>
      <c r="F20" t="str">
        <f t="shared" si="0"/>
        <v>TIER 2</v>
      </c>
      <c r="G20" s="4">
        <f>INDEX('Draft Engine'!$G$3:$G$232,$P20)</f>
        <v>297.5</v>
      </c>
      <c r="H20" s="4">
        <f>INDEX('Draft Engine'!$J$3:$J$232,$P20)</f>
        <v>58.2</v>
      </c>
      <c r="I20" s="4">
        <f>INDEX('Draft Engine'!$N$3:$N$232,$P20)</f>
        <v>88.106830000000002</v>
      </c>
      <c r="J20" s="4">
        <f>INDEX('Draft Engine'!$R$3:$R$232,$P20)</f>
        <v>10.199999999999999</v>
      </c>
      <c r="K20" s="4">
        <f>INDEX('Draft Engine'!$S$3:$S$232,$P20)</f>
        <v>-7.8000000000000007</v>
      </c>
      <c r="L20" t="str">
        <f>INDEX('Draft Engine'!$T$3:$T$232,$P20)</f>
        <v>A</v>
      </c>
      <c r="M20" t="str">
        <f>INDEX('Draft Engine'!$X$3:$X$232,$P20)</f>
        <v>HISTORY FALLBACK</v>
      </c>
      <c r="N20" t="str">
        <f>INDEX('LIVE SOURCE'!$H$3:$H$232,$P20)</f>
        <v>Strong WR1; bankable weekly starter with spike-week ceiling.</v>
      </c>
      <c r="O20" t="str">
        <f>INDEX('LIVE SOURCE'!$J$3:$J$232,$P20)</f>
        <v>Target competition, quarterback efficiency and touchdown regression are the main downside paths.</v>
      </c>
      <c r="P20" s="6">
        <f>MATCH($A20,'Draft Engine'!$Q$3:$Q$232,0)</f>
        <v>93</v>
      </c>
    </row>
    <row r="21" spans="1:16" x14ac:dyDescent="0.25">
      <c r="A21">
        <f>19</f>
        <v>19</v>
      </c>
      <c r="B21" t="str">
        <f>INDEX('Draft Engine'!$A$3:$A$232,$P21)</f>
        <v>WR</v>
      </c>
      <c r="C21">
        <f>INDEX('Draft Engine'!$F$3:$F$232,$P21)</f>
        <v>8</v>
      </c>
      <c r="D21" t="str">
        <f>INDEX('Draft Engine'!$B$3:$B$232,$P21)</f>
        <v>DeVonta Smith</v>
      </c>
      <c r="E21" s="4">
        <f>INDEX('Draft Engine'!$E$3:$E$232,$P21)</f>
        <v>87.487499999999997</v>
      </c>
      <c r="F21" t="str">
        <f t="shared" si="0"/>
        <v>TIER 2</v>
      </c>
      <c r="G21" s="4">
        <f>INDEX('Draft Engine'!$G$3:$G$232,$P21)</f>
        <v>297.39999999999998</v>
      </c>
      <c r="H21" s="4">
        <f>INDEX('Draft Engine'!$J$3:$J$232,$P21)</f>
        <v>58.1</v>
      </c>
      <c r="I21" s="4">
        <f>INDEX('Draft Engine'!$N$3:$N$232,$P21)</f>
        <v>87.742791666666662</v>
      </c>
      <c r="J21" s="4">
        <f>INDEX('Draft Engine'!$R$3:$R$232,$P21)</f>
        <v>29.5</v>
      </c>
      <c r="K21" s="4">
        <f>INDEX('Draft Engine'!$S$3:$S$232,$P21)</f>
        <v>10.5</v>
      </c>
      <c r="L21" t="str">
        <f>INDEX('Draft Engine'!$T$3:$T$232,$P21)</f>
        <v>B</v>
      </c>
      <c r="M21" t="str">
        <f>INDEX('Draft Engine'!$X$3:$X$232,$P21)</f>
        <v>HISTORY FALLBACK</v>
      </c>
      <c r="N21" t="str">
        <f>INDEX('LIVE SOURCE'!$H$3:$H$232,$P21)</f>
        <v>Strong WR1; bankable weekly starter with spike-week ceiling.</v>
      </c>
      <c r="O21" t="str">
        <f>INDEX('LIVE SOURCE'!$J$3:$J$232,$P21)</f>
        <v>Target competition, quarterback efficiency and touchdown regression are the main downside paths.</v>
      </c>
      <c r="P21" s="6">
        <f>MATCH($A21,'Draft Engine'!$Q$3:$Q$232,0)</f>
        <v>100</v>
      </c>
    </row>
    <row r="22" spans="1:16" x14ac:dyDescent="0.25">
      <c r="A22">
        <f>20</f>
        <v>20</v>
      </c>
      <c r="B22" t="str">
        <f>INDEX('Draft Engine'!$A$3:$A$232,$P22)</f>
        <v>RB</v>
      </c>
      <c r="C22">
        <f>INDEX('Draft Engine'!$F$3:$F$232,$P22)</f>
        <v>9</v>
      </c>
      <c r="D22" t="str">
        <f>INDEX('Draft Engine'!$B$3:$B$232,$P22)</f>
        <v>James Cook III</v>
      </c>
      <c r="E22" s="4">
        <f>INDEX('Draft Engine'!$E$3:$E$232,$P22)</f>
        <v>87.058000000000007</v>
      </c>
      <c r="F22" t="str">
        <f t="shared" si="0"/>
        <v>TIER 2</v>
      </c>
      <c r="G22" s="4">
        <f>INDEX('Draft Engine'!$G$3:$G$232,$P22)</f>
        <v>295.60000000000002</v>
      </c>
      <c r="H22" s="4">
        <f>INDEX('Draft Engine'!$J$3:$J$232,$P22)</f>
        <v>56.6</v>
      </c>
      <c r="I22" s="4">
        <f>INDEX('Draft Engine'!$N$3:$N$232,$P22)</f>
        <v>87.444900000000018</v>
      </c>
      <c r="J22" s="4">
        <f>INDEX('Draft Engine'!$R$3:$R$232,$P22)</f>
        <v>14.9</v>
      </c>
      <c r="K22" s="4">
        <f>INDEX('Draft Engine'!$S$3:$S$232,$P22)</f>
        <v>-5.0999999999999996</v>
      </c>
      <c r="L22" t="str">
        <f>INDEX('Draft Engine'!$T$3:$T$232,$P22)</f>
        <v>A</v>
      </c>
      <c r="M22" t="str">
        <f>INDEX('Draft Engine'!$X$3:$X$232,$P22)</f>
        <v>RATE-ADJUSTED VETERAN</v>
      </c>
      <c r="N22" t="str">
        <f>INDEX('LIVE SOURCE'!$H$3:$H$232,$P22)</f>
        <v>Strong RB1; weekly top-12 expectation with multi-touchdown ceiling.</v>
      </c>
      <c r="O22" t="str">
        <f>INDEX('LIVE SOURCE'!$J$3:$J$232,$P22)</f>
        <v>Touchdown variance, receiving-role changes and backfield competition are the main downside paths.</v>
      </c>
      <c r="P22" s="6">
        <f>MATCH($A22,'Draft Engine'!$Q$3:$Q$232,0)</f>
        <v>41</v>
      </c>
    </row>
    <row r="23" spans="1:16" x14ac:dyDescent="0.25">
      <c r="A23">
        <f>21</f>
        <v>21</v>
      </c>
      <c r="B23" t="str">
        <f>INDEX('Draft Engine'!$A$3:$A$232,$P23)</f>
        <v>WR</v>
      </c>
      <c r="C23">
        <f>INDEX('Draft Engine'!$F$3:$F$232,$P23)</f>
        <v>9</v>
      </c>
      <c r="D23" t="str">
        <f>INDEX('Draft Engine'!$B$3:$B$232,$P23)</f>
        <v>Zay Flowers</v>
      </c>
      <c r="E23" s="4">
        <f>INDEX('Draft Engine'!$E$3:$E$232,$P23)</f>
        <v>86.57</v>
      </c>
      <c r="F23" t="str">
        <f t="shared" si="0"/>
        <v>TIER 2</v>
      </c>
      <c r="G23" s="4">
        <f>INDEX('Draft Engine'!$G$3:$G$232,$P23)</f>
        <v>293.60000000000002</v>
      </c>
      <c r="H23" s="4">
        <f>INDEX('Draft Engine'!$J$3:$J$232,$P23)</f>
        <v>54.3</v>
      </c>
      <c r="I23" s="4">
        <f>INDEX('Draft Engine'!$N$3:$N$232,$P23)</f>
        <v>86.220833333333331</v>
      </c>
      <c r="J23" s="4">
        <f>INDEX('Draft Engine'!$R$3:$R$232,$P23)</f>
        <v>26.4</v>
      </c>
      <c r="K23" s="4">
        <f>INDEX('Draft Engine'!$S$3:$S$232,$P23)</f>
        <v>5.3999999999999986</v>
      </c>
      <c r="L23" t="str">
        <f>INDEX('Draft Engine'!$T$3:$T$232,$P23)</f>
        <v>B</v>
      </c>
      <c r="M23" t="str">
        <f>INDEX('Draft Engine'!$X$3:$X$232,$P23)</f>
        <v>HISTORY FALLBACK</v>
      </c>
      <c r="N23" t="str">
        <f>INDEX('LIVE SOURCE'!$H$3:$H$232,$P23)</f>
        <v>Strong WR1; bankable weekly starter with spike-week ceiling.</v>
      </c>
      <c r="O23" t="str">
        <f>INDEX('LIVE SOURCE'!$J$3:$J$232,$P23)</f>
        <v>Target competition, quarterback efficiency and touchdown regression are the main downside paths.</v>
      </c>
      <c r="P23" s="6">
        <f>MATCH($A23,'Draft Engine'!$Q$3:$Q$232,0)</f>
        <v>101</v>
      </c>
    </row>
    <row r="24" spans="1:16" x14ac:dyDescent="0.25">
      <c r="A24">
        <f>22</f>
        <v>22</v>
      </c>
      <c r="B24" t="str">
        <f>INDEX('Draft Engine'!$A$3:$A$232,$P24)</f>
        <v>RB</v>
      </c>
      <c r="C24">
        <f>INDEX('Draft Engine'!$F$3:$F$232,$P24)</f>
        <v>10</v>
      </c>
      <c r="D24" t="str">
        <f>INDEX('Draft Engine'!$B$3:$B$232,$P24)</f>
        <v>Kyren Williams</v>
      </c>
      <c r="E24" s="4">
        <f>INDEX('Draft Engine'!$E$3:$E$232,$P24)</f>
        <v>85.948599999999999</v>
      </c>
      <c r="F24" t="str">
        <f t="shared" si="0"/>
        <v>TIER 2</v>
      </c>
      <c r="G24" s="4">
        <f>INDEX('Draft Engine'!$G$3:$G$232,$P24)</f>
        <v>291</v>
      </c>
      <c r="H24" s="4">
        <f>INDEX('Draft Engine'!$J$3:$J$232,$P24)</f>
        <v>52</v>
      </c>
      <c r="I24" s="4">
        <f>INDEX('Draft Engine'!$N$3:$N$232,$P24)</f>
        <v>85.647355000000005</v>
      </c>
      <c r="J24" s="4">
        <f>INDEX('Draft Engine'!$R$3:$R$232,$P24)</f>
        <v>33.1</v>
      </c>
      <c r="K24" s="4">
        <f>INDEX('Draft Engine'!$S$3:$S$232,$P24)</f>
        <v>11.100000000000001</v>
      </c>
      <c r="L24" t="str">
        <f>INDEX('Draft Engine'!$T$3:$T$232,$P24)</f>
        <v>A</v>
      </c>
      <c r="M24" t="str">
        <f>INDEX('Draft Engine'!$X$3:$X$232,$P24)</f>
        <v>RATE-ADJUSTED VETERAN</v>
      </c>
      <c r="N24" t="str">
        <f>INDEX('LIVE SOURCE'!$H$3:$H$232,$P24)</f>
        <v>Strong RB1; weekly top-12 expectation with multi-touchdown ceiling.</v>
      </c>
      <c r="O24" t="str">
        <f>INDEX('LIVE SOURCE'!$J$3:$J$232,$P24)</f>
        <v>Touchdown variance, receiving-role changes and backfield competition are the main downside paths.</v>
      </c>
      <c r="P24" s="6">
        <f>MATCH($A24,'Draft Engine'!$Q$3:$Q$232,0)</f>
        <v>42</v>
      </c>
    </row>
    <row r="25" spans="1:16" x14ac:dyDescent="0.25">
      <c r="A25">
        <f>23</f>
        <v>23</v>
      </c>
      <c r="B25" t="str">
        <f>INDEX('Draft Engine'!$A$3:$A$232,$P25)</f>
        <v>WR</v>
      </c>
      <c r="C25">
        <f>INDEX('Draft Engine'!$F$3:$F$232,$P25)</f>
        <v>10</v>
      </c>
      <c r="D25" t="str">
        <f>INDEX('Draft Engine'!$B$3:$B$232,$P25)</f>
        <v>Garrett Wilson</v>
      </c>
      <c r="E25" s="4">
        <f>INDEX('Draft Engine'!$E$3:$E$232,$P25)</f>
        <v>86.155000000000001</v>
      </c>
      <c r="F25" t="str">
        <f t="shared" si="0"/>
        <v>TIER 2</v>
      </c>
      <c r="G25" s="4">
        <f>INDEX('Draft Engine'!$G$3:$G$232,$P25)</f>
        <v>291.89999999999998</v>
      </c>
      <c r="H25" s="4">
        <f>INDEX('Draft Engine'!$J$3:$J$232,$P25)</f>
        <v>52.6</v>
      </c>
      <c r="I25" s="4">
        <f>INDEX('Draft Engine'!$N$3:$N$232,$P25)</f>
        <v>85.353250000000003</v>
      </c>
      <c r="J25" s="4">
        <f>INDEX('Draft Engine'!$R$3:$R$232,$P25)</f>
        <v>29</v>
      </c>
      <c r="K25" s="4">
        <f>INDEX('Draft Engine'!$S$3:$S$232,$P25)</f>
        <v>6</v>
      </c>
      <c r="L25" t="str">
        <f>INDEX('Draft Engine'!$T$3:$T$232,$P25)</f>
        <v>B</v>
      </c>
      <c r="M25" t="str">
        <f>INDEX('Draft Engine'!$X$3:$X$232,$P25)</f>
        <v>HISTORY FALLBACK</v>
      </c>
      <c r="N25" t="str">
        <f>INDEX('LIVE SOURCE'!$H$3:$H$232,$P25)</f>
        <v>Strong WR1; bankable weekly starter with spike-week ceiling.</v>
      </c>
      <c r="O25" t="str">
        <f>INDEX('LIVE SOURCE'!$J$3:$J$232,$P25)</f>
        <v>Availability/sample risk is elevated after only 7 games; talent is not being punished as heavily as durability.</v>
      </c>
      <c r="P25" s="6">
        <f>MATCH($A25,'Draft Engine'!$Q$3:$Q$232,0)</f>
        <v>99</v>
      </c>
    </row>
    <row r="26" spans="1:16" x14ac:dyDescent="0.25">
      <c r="A26">
        <f>24</f>
        <v>24</v>
      </c>
      <c r="B26" t="str">
        <f>INDEX('Draft Engine'!$A$3:$A$232,$P26)</f>
        <v>RB</v>
      </c>
      <c r="C26">
        <f>INDEX('Draft Engine'!$F$3:$F$232,$P26)</f>
        <v>11</v>
      </c>
      <c r="D26" t="str">
        <f>INDEX('Draft Engine'!$B$3:$B$232,$P26)</f>
        <v>Breece Hall</v>
      </c>
      <c r="E26" s="4">
        <f>INDEX('Draft Engine'!$E$3:$E$232,$P26)</f>
        <v>85.895200000000003</v>
      </c>
      <c r="F26" t="str">
        <f t="shared" si="0"/>
        <v>TIER 2</v>
      </c>
      <c r="G26" s="4">
        <f>INDEX('Draft Engine'!$G$3:$G$232,$P26)</f>
        <v>290.8</v>
      </c>
      <c r="H26" s="4">
        <f>INDEX('Draft Engine'!$J$3:$J$232,$P26)</f>
        <v>51.8</v>
      </c>
      <c r="I26" s="4">
        <f>INDEX('Draft Engine'!$N$3:$N$232,$P26)</f>
        <v>85.222610000000003</v>
      </c>
      <c r="J26" s="4">
        <f>INDEX('Draft Engine'!$R$3:$R$232,$P26)</f>
        <v>27</v>
      </c>
      <c r="K26" s="4">
        <f>INDEX('Draft Engine'!$S$3:$S$232,$P26)</f>
        <v>3</v>
      </c>
      <c r="L26" t="str">
        <f>INDEX('Draft Engine'!$T$3:$T$232,$P26)</f>
        <v>A</v>
      </c>
      <c r="M26" t="str">
        <f>INDEX('Draft Engine'!$X$3:$X$232,$P26)</f>
        <v>RATE-ADJUSTED VETERAN</v>
      </c>
      <c r="N26" t="str">
        <f>INDEX('LIVE SOURCE'!$H$3:$H$232,$P26)</f>
        <v>Strong RB1; weekly top-12 expectation with multi-touchdown ceiling.</v>
      </c>
      <c r="O26" t="str">
        <f>INDEX('LIVE SOURCE'!$J$3:$J$232,$P26)</f>
        <v>Touchdown variance, receiving-role changes and backfield competition are the main downside paths.</v>
      </c>
      <c r="P26" s="6">
        <f>MATCH($A26,'Draft Engine'!$Q$3:$Q$232,0)</f>
        <v>43</v>
      </c>
    </row>
    <row r="27" spans="1:16" x14ac:dyDescent="0.25">
      <c r="A27">
        <f>25</f>
        <v>25</v>
      </c>
      <c r="B27" t="str">
        <f>INDEX('Draft Engine'!$A$3:$A$232,$P27)</f>
        <v>RB</v>
      </c>
      <c r="C27">
        <f>INDEX('Draft Engine'!$F$3:$F$232,$P27)</f>
        <v>12</v>
      </c>
      <c r="D27" t="str">
        <f>INDEX('Draft Engine'!$B$3:$B$232,$P27)</f>
        <v>Ashton Jeanty</v>
      </c>
      <c r="E27" s="4">
        <f>INDEX('Draft Engine'!$E$3:$E$232,$P27)</f>
        <v>85.843299999999999</v>
      </c>
      <c r="F27" t="str">
        <f t="shared" si="0"/>
        <v>TIER 2</v>
      </c>
      <c r="G27" s="4">
        <f>INDEX('Draft Engine'!$G$3:$G$232,$P27)</f>
        <v>290.5</v>
      </c>
      <c r="H27" s="4">
        <f>INDEX('Draft Engine'!$J$3:$J$232,$P27)</f>
        <v>51.5</v>
      </c>
      <c r="I27" s="4">
        <f>INDEX('Draft Engine'!$N$3:$N$232,$P27)</f>
        <v>84.780690000000007</v>
      </c>
      <c r="J27" s="4">
        <f>INDEX('Draft Engine'!$R$3:$R$232,$P27)</f>
        <v>13.8</v>
      </c>
      <c r="K27" s="4">
        <f>INDEX('Draft Engine'!$S$3:$S$232,$P27)</f>
        <v>-11.2</v>
      </c>
      <c r="L27" t="str">
        <f>INDEX('Draft Engine'!$T$3:$T$232,$P27)</f>
        <v>A</v>
      </c>
      <c r="M27" t="str">
        <f>INDEX('Draft Engine'!$X$3:$X$232,$P27)</f>
        <v>RATE-ADJUSTED VETERAN</v>
      </c>
      <c r="N27" t="str">
        <f>INDEX('LIVE SOURCE'!$H$3:$H$232,$P27)</f>
        <v>Strong RB1; weekly top-12 expectation with multi-touchdown ceiling.</v>
      </c>
      <c r="O27" t="str">
        <f>INDEX('LIVE SOURCE'!$J$3:$J$232,$P27)</f>
        <v>Price is the biggest risk: the market currently asks you to draft him earlier than the model prefers.</v>
      </c>
      <c r="P27" s="6">
        <f>MATCH($A27,'Draft Engine'!$Q$3:$Q$232,0)</f>
        <v>44</v>
      </c>
    </row>
    <row r="28" spans="1:16" x14ac:dyDescent="0.25">
      <c r="A28">
        <f>26</f>
        <v>26</v>
      </c>
      <c r="B28" t="str">
        <f>INDEX('Draft Engine'!$A$3:$A$232,$P28)</f>
        <v>WR</v>
      </c>
      <c r="C28">
        <f>INDEX('Draft Engine'!$F$3:$F$232,$P28)</f>
        <v>11</v>
      </c>
      <c r="D28" t="str">
        <f>INDEX('Draft Engine'!$B$3:$B$232,$P28)</f>
        <v>CeeDee Lamb</v>
      </c>
      <c r="E28" s="4">
        <f>INDEX('Draft Engine'!$E$3:$E$232,$P28)</f>
        <v>85.742599999999996</v>
      </c>
      <c r="F28" t="str">
        <f t="shared" si="0"/>
        <v>TIER 2</v>
      </c>
      <c r="G28" s="4">
        <f>INDEX('Draft Engine'!$G$3:$G$232,$P28)</f>
        <v>290.10000000000002</v>
      </c>
      <c r="H28" s="4">
        <f>INDEX('Draft Engine'!$J$3:$J$232,$P28)</f>
        <v>50.8</v>
      </c>
      <c r="I28" s="4">
        <f>INDEX('Draft Engine'!$N$3:$N$232,$P28)</f>
        <v>84.469096666666672</v>
      </c>
      <c r="J28" s="4">
        <f>INDEX('Draft Engine'!$R$3:$R$232,$P28)</f>
        <v>11.2</v>
      </c>
      <c r="K28" s="4">
        <f>INDEX('Draft Engine'!$S$3:$S$232,$P28)</f>
        <v>-14.8</v>
      </c>
      <c r="L28" t="str">
        <f>INDEX('Draft Engine'!$T$3:$T$232,$P28)</f>
        <v>A</v>
      </c>
      <c r="M28" t="str">
        <f>INDEX('Draft Engine'!$X$3:$X$232,$P28)</f>
        <v>HISTORY FALLBACK</v>
      </c>
      <c r="N28" t="str">
        <f>INDEX('LIVE SOURCE'!$H$3:$H$232,$P28)</f>
        <v>Strong WR1; bankable weekly starter with spike-week ceiling.</v>
      </c>
      <c r="O28" t="str">
        <f>INDEX('LIVE SOURCE'!$J$3:$J$232,$P28)</f>
        <v>Price is the biggest risk: the market currently asks you to draft him earlier than the model prefers.</v>
      </c>
      <c r="P28" s="6">
        <f>MATCH($A28,'Draft Engine'!$Q$3:$Q$232,0)</f>
        <v>90</v>
      </c>
    </row>
    <row r="29" spans="1:16" x14ac:dyDescent="0.25">
      <c r="A29">
        <f>27</f>
        <v>27</v>
      </c>
      <c r="B29" t="str">
        <f>INDEX('Draft Engine'!$A$3:$A$232,$P29)</f>
        <v>RB</v>
      </c>
      <c r="C29">
        <f>INDEX('Draft Engine'!$F$3:$F$232,$P29)</f>
        <v>13</v>
      </c>
      <c r="D29" t="str">
        <f>INDEX('Draft Engine'!$B$3:$B$232,$P29)</f>
        <v>Derrick Henry</v>
      </c>
      <c r="E29" s="4">
        <f>INDEX('Draft Engine'!$E$3:$E$232,$P29)</f>
        <v>85.667400000000001</v>
      </c>
      <c r="F29" t="str">
        <f t="shared" si="0"/>
        <v>TIER 2</v>
      </c>
      <c r="G29" s="4">
        <f>INDEX('Draft Engine'!$G$3:$G$232,$P29)</f>
        <v>289.8</v>
      </c>
      <c r="H29" s="4">
        <f>INDEX('Draft Engine'!$J$3:$J$232,$P29)</f>
        <v>50.8</v>
      </c>
      <c r="I29" s="4">
        <f>INDEX('Draft Engine'!$N$3:$N$232,$P29)</f>
        <v>84.198570000000004</v>
      </c>
      <c r="J29" s="4">
        <f>INDEX('Draft Engine'!$R$3:$R$232,$P29)</f>
        <v>15.4</v>
      </c>
      <c r="K29" s="4">
        <f>INDEX('Draft Engine'!$S$3:$S$232,$P29)</f>
        <v>-11.6</v>
      </c>
      <c r="L29" t="str">
        <f>INDEX('Draft Engine'!$T$3:$T$232,$P29)</f>
        <v>A</v>
      </c>
      <c r="M29" t="str">
        <f>INDEX('Draft Engine'!$X$3:$X$232,$P29)</f>
        <v>RATE-ADJUSTED VETERAN</v>
      </c>
      <c r="N29" t="str">
        <f>INDEX('LIVE SOURCE'!$H$3:$H$232,$P29)</f>
        <v>RB2 with RB1 weeks; should be a regular starter.</v>
      </c>
      <c r="O29" t="str">
        <f>INDEX('LIVE SOURCE'!$J$3:$J$232,$P29)</f>
        <v>Touchdown variance, receiving-role changes and backfield competition are the main downside paths.</v>
      </c>
      <c r="P29" s="6">
        <f>MATCH($A29,'Draft Engine'!$Q$3:$Q$232,0)</f>
        <v>45</v>
      </c>
    </row>
    <row r="30" spans="1:16" x14ac:dyDescent="0.25">
      <c r="A30">
        <f>28</f>
        <v>28</v>
      </c>
      <c r="B30" t="str">
        <f>INDEX('Draft Engine'!$A$3:$A$232,$P30)</f>
        <v>WR</v>
      </c>
      <c r="C30">
        <f>INDEX('Draft Engine'!$F$3:$F$232,$P30)</f>
        <v>12</v>
      </c>
      <c r="D30" t="str">
        <f>INDEX('Draft Engine'!$B$3:$B$232,$P30)</f>
        <v>Tetairoa McMillan</v>
      </c>
      <c r="E30" s="4">
        <f>INDEX('Draft Engine'!$E$3:$E$232,$P30)</f>
        <v>85.74</v>
      </c>
      <c r="F30" t="str">
        <f t="shared" si="0"/>
        <v>TIER 2</v>
      </c>
      <c r="G30" s="4">
        <f>INDEX('Draft Engine'!$G$3:$G$232,$P30)</f>
        <v>290.10000000000002</v>
      </c>
      <c r="H30" s="4">
        <f>INDEX('Draft Engine'!$J$3:$J$232,$P30)</f>
        <v>50.8</v>
      </c>
      <c r="I30" s="4">
        <f>INDEX('Draft Engine'!$N$3:$N$232,$P30)</f>
        <v>84.134333333333331</v>
      </c>
      <c r="J30" s="4">
        <f>INDEX('Draft Engine'!$R$3:$R$232,$P30)</f>
        <v>34.4</v>
      </c>
      <c r="K30" s="4">
        <f>INDEX('Draft Engine'!$S$3:$S$232,$P30)</f>
        <v>6.3999999999999986</v>
      </c>
      <c r="L30" t="str">
        <f>INDEX('Draft Engine'!$T$3:$T$232,$P30)</f>
        <v>B</v>
      </c>
      <c r="M30" t="str">
        <f>INDEX('Draft Engine'!$X$3:$X$232,$P30)</f>
        <v>HISTORY FALLBACK</v>
      </c>
      <c r="N30" t="str">
        <f>INDEX('LIVE SOURCE'!$H$3:$H$232,$P30)</f>
        <v>Strong WR1; bankable weekly starter with spike-week ceiling.</v>
      </c>
      <c r="O30" t="str">
        <f>INDEX('LIVE SOURCE'!$J$3:$J$232,$P30)</f>
        <v>Target competition, quarterback efficiency and touchdown regression are the main downside paths.</v>
      </c>
      <c r="P30" s="6">
        <f>MATCH($A30,'Draft Engine'!$Q$3:$Q$232,0)</f>
        <v>97</v>
      </c>
    </row>
    <row r="31" spans="1:16" x14ac:dyDescent="0.25">
      <c r="A31">
        <f>29</f>
        <v>29</v>
      </c>
      <c r="B31" t="str">
        <f>INDEX('Draft Engine'!$A$3:$A$232,$P31)</f>
        <v>RB</v>
      </c>
      <c r="C31">
        <f>INDEX('Draft Engine'!$F$3:$F$232,$P31)</f>
        <v>14</v>
      </c>
      <c r="D31" t="str">
        <f>INDEX('Draft Engine'!$B$3:$B$232,$P31)</f>
        <v>Chase Brown</v>
      </c>
      <c r="E31" s="4">
        <f>INDEX('Draft Engine'!$E$3:$E$232,$P31)</f>
        <v>85.664400000000001</v>
      </c>
      <c r="F31" t="str">
        <f t="shared" si="0"/>
        <v>TIER 2</v>
      </c>
      <c r="G31" s="4">
        <f>INDEX('Draft Engine'!$G$3:$G$232,$P31)</f>
        <v>289.8</v>
      </c>
      <c r="H31" s="4">
        <f>INDEX('Draft Engine'!$J$3:$J$232,$P31)</f>
        <v>50.8</v>
      </c>
      <c r="I31" s="4">
        <f>INDEX('Draft Engine'!$N$3:$N$232,$P31)</f>
        <v>83.837545000000006</v>
      </c>
      <c r="J31" s="4">
        <f>INDEX('Draft Engine'!$R$3:$R$232,$P31)</f>
        <v>12.1</v>
      </c>
      <c r="K31" s="4">
        <f>INDEX('Draft Engine'!$S$3:$S$232,$P31)</f>
        <v>-16.899999999999999</v>
      </c>
      <c r="L31" t="str">
        <f>INDEX('Draft Engine'!$T$3:$T$232,$P31)</f>
        <v>A</v>
      </c>
      <c r="M31" t="str">
        <f>INDEX('Draft Engine'!$X$3:$X$232,$P31)</f>
        <v>RATE-ADJUSTED VETERAN</v>
      </c>
      <c r="N31" t="str">
        <f>INDEX('LIVE SOURCE'!$H$3:$H$232,$P31)</f>
        <v>RB2 with RB1 weeks; should be a regular starter.</v>
      </c>
      <c r="O31" t="str">
        <f>INDEX('LIVE SOURCE'!$J$3:$J$232,$P31)</f>
        <v>Touchdown variance, receiving-role changes and backfield competition are the main downside paths.</v>
      </c>
      <c r="P31" s="6">
        <f>MATCH($A31,'Draft Engine'!$Q$3:$Q$232,0)</f>
        <v>46</v>
      </c>
    </row>
    <row r="32" spans="1:16" x14ac:dyDescent="0.25">
      <c r="A32">
        <f>30</f>
        <v>30</v>
      </c>
      <c r="B32" t="str">
        <f>INDEX('Draft Engine'!$A$3:$A$232,$P32)</f>
        <v>QB</v>
      </c>
      <c r="C32">
        <f>INDEX('Draft Engine'!$F$3:$F$232,$P32)</f>
        <v>2</v>
      </c>
      <c r="D32" t="str">
        <f>INDEX('Draft Engine'!$B$3:$B$232,$P32)</f>
        <v>Caleb Williams</v>
      </c>
      <c r="E32" s="4">
        <f>INDEX('Draft Engine'!$E$3:$E$232,$P32)</f>
        <v>92.192700000000002</v>
      </c>
      <c r="F32" t="str">
        <f t="shared" si="0"/>
        <v>TIER 1</v>
      </c>
      <c r="G32" s="4">
        <f>INDEX('Draft Engine'!$G$3:$G$232,$P32)</f>
        <v>384.9</v>
      </c>
      <c r="H32" s="4">
        <f>INDEX('Draft Engine'!$J$3:$J$232,$P32)</f>
        <v>33.799999999999997</v>
      </c>
      <c r="I32" s="4">
        <f>INDEX('Draft Engine'!$N$3:$N$232,$P32)</f>
        <v>83.020754230769228</v>
      </c>
      <c r="J32" s="4">
        <f>INDEX('Draft Engine'!$R$3:$R$232,$P32)</f>
        <v>107.5</v>
      </c>
      <c r="K32" s="4">
        <f>INDEX('Draft Engine'!$S$3:$S$232,$P32)</f>
        <v>77.5</v>
      </c>
      <c r="L32" t="str">
        <f>INDEX('Draft Engine'!$T$3:$T$232,$P32)</f>
        <v>A</v>
      </c>
      <c r="M32" t="str">
        <f>INDEX('Draft Engine'!$X$3:$X$232,$P32)</f>
        <v>RATE-ADJUSTED VETERAN</v>
      </c>
      <c r="N32" t="str">
        <f>INDEX('LIVE SOURCE'!$H$3:$H$232,$P32)</f>
        <v>Elite QB1; weekly top-5 expectation with overall QB1 upside.</v>
      </c>
      <c r="O32" t="str">
        <f>INDEX('LIVE SOURCE'!$J$3:$J$232,$P32)</f>
        <v>Passing-TD efficiency, rushing volume and supporting-cast health are the main swing factors.</v>
      </c>
      <c r="P32" s="6">
        <f>MATCH($A32,'Draft Engine'!$Q$3:$Q$232,0)</f>
        <v>2</v>
      </c>
    </row>
    <row r="33" spans="1:16" x14ac:dyDescent="0.25">
      <c r="A33">
        <f>31</f>
        <v>31</v>
      </c>
      <c r="B33" t="str">
        <f>INDEX('Draft Engine'!$A$3:$A$232,$P33)</f>
        <v>WR</v>
      </c>
      <c r="C33">
        <f>INDEX('Draft Engine'!$F$3:$F$232,$P33)</f>
        <v>13</v>
      </c>
      <c r="D33" t="str">
        <f>INDEX('Draft Engine'!$B$3:$B$232,$P33)</f>
        <v>Tee Higgins</v>
      </c>
      <c r="E33" s="4">
        <f>INDEX('Draft Engine'!$E$3:$E$232,$P33)</f>
        <v>84.822500000000005</v>
      </c>
      <c r="F33" t="str">
        <f t="shared" si="0"/>
        <v>TIER 3</v>
      </c>
      <c r="G33" s="4">
        <f>INDEX('Draft Engine'!$G$3:$G$232,$P33)</f>
        <v>286.3</v>
      </c>
      <c r="H33" s="4">
        <f>INDEX('Draft Engine'!$J$3:$J$232,$P33)</f>
        <v>47</v>
      </c>
      <c r="I33" s="4">
        <f>INDEX('Draft Engine'!$N$3:$N$232,$P33)</f>
        <v>82.612375000000014</v>
      </c>
      <c r="J33" s="4">
        <f>INDEX('Draft Engine'!$R$3:$R$232,$P33)</f>
        <v>38.6</v>
      </c>
      <c r="K33" s="4">
        <f>INDEX('Draft Engine'!$S$3:$S$232,$P33)</f>
        <v>7.6000000000000014</v>
      </c>
      <c r="L33" t="str">
        <f>INDEX('Draft Engine'!$T$3:$T$232,$P33)</f>
        <v>B</v>
      </c>
      <c r="M33" t="str">
        <f>INDEX('Draft Engine'!$X$3:$X$232,$P33)</f>
        <v>HISTORY FALLBACK</v>
      </c>
      <c r="N33" t="str">
        <f>INDEX('LIVE SOURCE'!$H$3:$H$232,$P33)</f>
        <v>Strong WR2 with top-12 weekly upside.</v>
      </c>
      <c r="O33" t="str">
        <f>INDEX('LIVE SOURCE'!$J$3:$J$232,$P33)</f>
        <v>Target competition, quarterback efficiency and touchdown regression are the main downside paths.</v>
      </c>
      <c r="P33" s="6">
        <f>MATCH($A33,'Draft Engine'!$Q$3:$Q$232,0)</f>
        <v>98</v>
      </c>
    </row>
    <row r="34" spans="1:16" x14ac:dyDescent="0.25">
      <c r="A34">
        <f>32</f>
        <v>32</v>
      </c>
      <c r="B34" t="str">
        <f>INDEX('Draft Engine'!$A$3:$A$232,$P34)</f>
        <v>WR</v>
      </c>
      <c r="C34">
        <f>INDEX('Draft Engine'!$F$3:$F$232,$P34)</f>
        <v>14</v>
      </c>
      <c r="D34" t="str">
        <f>INDEX('Draft Engine'!$B$3:$B$232,$P34)</f>
        <v>Justin Jefferson</v>
      </c>
      <c r="E34" s="4">
        <f>INDEX('Draft Engine'!$E$3:$E$232,$P34)</f>
        <v>84.793599999999998</v>
      </c>
      <c r="F34" t="str">
        <f t="shared" si="0"/>
        <v>TIER 3</v>
      </c>
      <c r="G34" s="4">
        <f>INDEX('Draft Engine'!$G$3:$G$232,$P34)</f>
        <v>286.10000000000002</v>
      </c>
      <c r="H34" s="4">
        <f>INDEX('Draft Engine'!$J$3:$J$232,$P34)</f>
        <v>46.8</v>
      </c>
      <c r="I34" s="4">
        <f>INDEX('Draft Engine'!$N$3:$N$232,$P34)</f>
        <v>82.227146666666684</v>
      </c>
      <c r="J34" s="4">
        <f>INDEX('Draft Engine'!$R$3:$R$232,$P34)</f>
        <v>14.6</v>
      </c>
      <c r="K34" s="4">
        <f>INDEX('Draft Engine'!$S$3:$S$232,$P34)</f>
        <v>-17.399999999999999</v>
      </c>
      <c r="L34" t="str">
        <f>INDEX('Draft Engine'!$T$3:$T$232,$P34)</f>
        <v>A</v>
      </c>
      <c r="M34" t="str">
        <f>INDEX('Draft Engine'!$X$3:$X$232,$P34)</f>
        <v>HISTORY FALLBACK</v>
      </c>
      <c r="N34" t="str">
        <f>INDEX('LIVE SOURCE'!$H$3:$H$232,$P34)</f>
        <v>Strong WR2 with top-12 weekly upside.</v>
      </c>
      <c r="O34" t="str">
        <f>INDEX('LIVE SOURCE'!$J$3:$J$232,$P34)</f>
        <v>Price is the biggest risk: the market currently asks you to draft him earlier than the model prefers.</v>
      </c>
      <c r="P34" s="6">
        <f>MATCH($A34,'Draft Engine'!$Q$3:$Q$232,0)</f>
        <v>91</v>
      </c>
    </row>
    <row r="35" spans="1:16" x14ac:dyDescent="0.25">
      <c r="A35">
        <f>33</f>
        <v>33</v>
      </c>
      <c r="B35" t="str">
        <f>INDEX('Draft Engine'!$A$3:$A$232,$P35)</f>
        <v>RB</v>
      </c>
      <c r="C35">
        <f>INDEX('Draft Engine'!$F$3:$F$232,$P35)</f>
        <v>15</v>
      </c>
      <c r="D35" t="str">
        <f>INDEX('Draft Engine'!$B$3:$B$232,$P35)</f>
        <v>Josh Jacobs</v>
      </c>
      <c r="E35" s="4">
        <f>INDEX('Draft Engine'!$E$3:$E$232,$P35)</f>
        <v>84.426400000000001</v>
      </c>
      <c r="F35" t="str">
        <f t="shared" si="0"/>
        <v>TIER 3</v>
      </c>
      <c r="G35" s="4">
        <f>INDEX('Draft Engine'!$G$3:$G$232,$P35)</f>
        <v>284.60000000000002</v>
      </c>
      <c r="H35" s="4">
        <f>INDEX('Draft Engine'!$J$3:$J$232,$P35)</f>
        <v>45.6</v>
      </c>
      <c r="I35" s="4">
        <f>INDEX('Draft Engine'!$N$3:$N$232,$P35)</f>
        <v>81.861270000000005</v>
      </c>
      <c r="J35" s="4">
        <f>INDEX('Draft Engine'!$R$3:$R$232,$P35)</f>
        <v>24.2</v>
      </c>
      <c r="K35" s="4">
        <f>INDEX('Draft Engine'!$S$3:$S$232,$P35)</f>
        <v>-8.8000000000000007</v>
      </c>
      <c r="L35" t="str">
        <f>INDEX('Draft Engine'!$T$3:$T$232,$P35)</f>
        <v>A</v>
      </c>
      <c r="M35" t="str">
        <f>INDEX('Draft Engine'!$X$3:$X$232,$P35)</f>
        <v>RATE-ADJUSTED VETERAN</v>
      </c>
      <c r="N35" t="str">
        <f>INDEX('LIVE SOURCE'!$H$3:$H$232,$P35)</f>
        <v>RB2 with RB1 weeks; should be a regular starter.</v>
      </c>
      <c r="O35" t="str">
        <f>INDEX('LIVE SOURCE'!$J$3:$J$232,$P35)</f>
        <v>Touchdown variance, receiving-role changes and backfield competition are the main downside paths.</v>
      </c>
      <c r="P35" s="6">
        <f>MATCH($A35,'Draft Engine'!$Q$3:$Q$232,0)</f>
        <v>47</v>
      </c>
    </row>
    <row r="36" spans="1:16" x14ac:dyDescent="0.25">
      <c r="A36">
        <f>34</f>
        <v>34</v>
      </c>
      <c r="B36" t="str">
        <f>INDEX('Draft Engine'!$A$3:$A$232,$P36)</f>
        <v>TE</v>
      </c>
      <c r="C36">
        <f>INDEX('Draft Engine'!$F$3:$F$232,$P36)</f>
        <v>3</v>
      </c>
      <c r="D36" t="str">
        <f>INDEX('Draft Engine'!$B$3:$B$232,$P36)</f>
        <v>Colston Loveland</v>
      </c>
      <c r="E36" s="4">
        <f>INDEX('Draft Engine'!$E$3:$E$232,$P36)</f>
        <v>88.753100000000003</v>
      </c>
      <c r="F36" t="str">
        <f t="shared" si="0"/>
        <v>TIER 2</v>
      </c>
      <c r="G36" s="4">
        <f>INDEX('Draft Engine'!$G$3:$G$232,$P36)</f>
        <v>210.6</v>
      </c>
      <c r="H36" s="4">
        <f>INDEX('Draft Engine'!$J$3:$J$232,$P36)</f>
        <v>30.9</v>
      </c>
      <c r="I36" s="4">
        <f>INDEX('Draft Engine'!$N$3:$N$232,$P36)</f>
        <v>81.491589615384612</v>
      </c>
      <c r="J36" s="4">
        <f>INDEX('Draft Engine'!$R$3:$R$232,$P36)</f>
        <v>60.8</v>
      </c>
      <c r="K36" s="4">
        <f>INDEX('Draft Engine'!$S$3:$S$232,$P36)</f>
        <v>26.799999999999997</v>
      </c>
      <c r="L36" t="str">
        <f>INDEX('Draft Engine'!$T$3:$T$232,$P36)</f>
        <v>A</v>
      </c>
      <c r="M36" t="str">
        <f>INDEX('Draft Engine'!$X$3:$X$232,$P36)</f>
        <v>RATE-ADJUSTED VETERAN</v>
      </c>
      <c r="N36" t="str">
        <f>INDEX('LIVE SOURCE'!$H$3:$H$232,$P36)</f>
        <v>Elite difference-making TE; positional advantage is the expectation.</v>
      </c>
      <c r="O36" t="str">
        <f>INDEX('LIVE SOURCE'!$J$3:$J$232,$P36)</f>
        <v>Route share, target volume and touchdown volatility are the main swing factors.</v>
      </c>
      <c r="P36" s="6">
        <f>MATCH($A36,'Draft Engine'!$Q$3:$Q$232,0)</f>
        <v>161</v>
      </c>
    </row>
    <row r="37" spans="1:16" x14ac:dyDescent="0.25">
      <c r="A37">
        <f>35</f>
        <v>35</v>
      </c>
      <c r="B37" t="str">
        <f>INDEX('Draft Engine'!$A$3:$A$232,$P37)</f>
        <v>WR</v>
      </c>
      <c r="C37">
        <f>INDEX('Draft Engine'!$F$3:$F$232,$P37)</f>
        <v>15</v>
      </c>
      <c r="D37" t="str">
        <f>INDEX('Draft Engine'!$B$3:$B$232,$P37)</f>
        <v>Rashee Rice</v>
      </c>
      <c r="E37" s="4">
        <f>INDEX('Draft Engine'!$E$3:$E$232,$P37)</f>
        <v>84.094700000000003</v>
      </c>
      <c r="F37" t="str">
        <f t="shared" si="0"/>
        <v>TIER 3</v>
      </c>
      <c r="G37" s="4">
        <f>INDEX('Draft Engine'!$G$3:$G$232,$P37)</f>
        <v>283.2</v>
      </c>
      <c r="H37" s="4">
        <f>INDEX('Draft Engine'!$J$3:$J$232,$P37)</f>
        <v>43.9</v>
      </c>
      <c r="I37" s="4">
        <f>INDEX('Draft Engine'!$N$3:$N$232,$P37)</f>
        <v>80.987418333333338</v>
      </c>
      <c r="J37" s="4">
        <f>INDEX('Draft Engine'!$R$3:$R$232,$P37)</f>
        <v>11.5</v>
      </c>
      <c r="K37" s="4">
        <f>INDEX('Draft Engine'!$S$3:$S$232,$P37)</f>
        <v>-23.5</v>
      </c>
      <c r="L37" t="str">
        <f>INDEX('Draft Engine'!$T$3:$T$232,$P37)</f>
        <v>A</v>
      </c>
      <c r="M37" t="str">
        <f>INDEX('Draft Engine'!$X$3:$X$232,$P37)</f>
        <v>HISTORY FALLBACK</v>
      </c>
      <c r="N37" t="str">
        <f>INDEX('LIVE SOURCE'!$H$3:$H$232,$P37)</f>
        <v>Strong WR2 with top-12 weekly upside.</v>
      </c>
      <c r="O37" t="str">
        <f>INDEX('LIVE SOURCE'!$J$3:$J$232,$P37)</f>
        <v>Availability/sample risk is elevated after only 8 games; talent is not being punished as heavily as durability.</v>
      </c>
      <c r="P37" s="6">
        <f>MATCH($A37,'Draft Engine'!$Q$3:$Q$232,0)</f>
        <v>95</v>
      </c>
    </row>
    <row r="38" spans="1:16" x14ac:dyDescent="0.25">
      <c r="A38">
        <f>36</f>
        <v>36</v>
      </c>
      <c r="B38" t="str">
        <f>INDEX('Draft Engine'!$A$3:$A$232,$P38)</f>
        <v>RB</v>
      </c>
      <c r="C38">
        <f>INDEX('Draft Engine'!$F$3:$F$232,$P38)</f>
        <v>16</v>
      </c>
      <c r="D38" t="str">
        <f>INDEX('Draft Engine'!$B$3:$B$232,$P38)</f>
        <v>Saquon Barkley</v>
      </c>
      <c r="E38" s="4">
        <f>INDEX('Draft Engine'!$E$3:$E$232,$P38)</f>
        <v>84.034000000000006</v>
      </c>
      <c r="F38" t="str">
        <f t="shared" si="0"/>
        <v>TIER 3</v>
      </c>
      <c r="G38" s="4">
        <f>INDEX('Draft Engine'!$G$3:$G$232,$P38)</f>
        <v>282.89999999999998</v>
      </c>
      <c r="H38" s="4">
        <f>INDEX('Draft Engine'!$J$3:$J$232,$P38)</f>
        <v>43.9</v>
      </c>
      <c r="I38" s="4">
        <f>INDEX('Draft Engine'!$N$3:$N$232,$P38)</f>
        <v>80.980074999999999</v>
      </c>
      <c r="J38" s="4">
        <f>INDEX('Draft Engine'!$R$3:$R$232,$P38)</f>
        <v>19</v>
      </c>
      <c r="K38" s="4">
        <f>INDEX('Draft Engine'!$S$3:$S$232,$P38)</f>
        <v>-17</v>
      </c>
      <c r="L38" t="str">
        <f>INDEX('Draft Engine'!$T$3:$T$232,$P38)</f>
        <v>A</v>
      </c>
      <c r="M38" t="str">
        <f>INDEX('Draft Engine'!$X$3:$X$232,$P38)</f>
        <v>RATE-ADJUSTED VETERAN</v>
      </c>
      <c r="N38" t="str">
        <f>INDEX('LIVE SOURCE'!$H$3:$H$232,$P38)</f>
        <v>RB2 with RB1 weeks; should be a regular starter.</v>
      </c>
      <c r="O38" t="str">
        <f>INDEX('LIVE SOURCE'!$J$3:$J$232,$P38)</f>
        <v>Touchdown variance, receiving-role changes and backfield competition are the main downside paths.</v>
      </c>
      <c r="P38" s="6">
        <f>MATCH($A38,'Draft Engine'!$Q$3:$Q$232,0)</f>
        <v>48</v>
      </c>
    </row>
    <row r="39" spans="1:16" x14ac:dyDescent="0.25">
      <c r="A39">
        <f>37</f>
        <v>37</v>
      </c>
      <c r="B39" t="str">
        <f>INDEX('Draft Engine'!$A$3:$A$232,$P39)</f>
        <v>QB</v>
      </c>
      <c r="C39">
        <f>INDEX('Draft Engine'!$F$3:$F$232,$P39)</f>
        <v>3</v>
      </c>
      <c r="D39" t="str">
        <f>INDEX('Draft Engine'!$B$3:$B$232,$P39)</f>
        <v>Drake Maye</v>
      </c>
      <c r="E39" s="4">
        <f>INDEX('Draft Engine'!$E$3:$E$232,$P39)</f>
        <v>91.043000000000006</v>
      </c>
      <c r="F39" t="str">
        <f t="shared" si="0"/>
        <v>TIER 1</v>
      </c>
      <c r="G39" s="4">
        <f>INDEX('Draft Engine'!$G$3:$G$232,$P39)</f>
        <v>379.7</v>
      </c>
      <c r="H39" s="4">
        <f>INDEX('Draft Engine'!$J$3:$J$232,$P39)</f>
        <v>28.6</v>
      </c>
      <c r="I39" s="4">
        <f>INDEX('Draft Engine'!$N$3:$N$232,$P39)</f>
        <v>80.683188461538478</v>
      </c>
      <c r="J39" s="4">
        <f>INDEX('Draft Engine'!$R$3:$R$232,$P39)</f>
        <v>49.8</v>
      </c>
      <c r="K39" s="4">
        <f>INDEX('Draft Engine'!$S$3:$S$232,$P39)</f>
        <v>12.799999999999997</v>
      </c>
      <c r="L39" t="str">
        <f>INDEX('Draft Engine'!$T$3:$T$232,$P39)</f>
        <v>A</v>
      </c>
      <c r="M39" t="str">
        <f>INDEX('Draft Engine'!$X$3:$X$232,$P39)</f>
        <v>RATE-ADJUSTED VETERAN</v>
      </c>
      <c r="N39" t="str">
        <f>INDEX('LIVE SOURCE'!$H$3:$H$232,$P39)</f>
        <v>Elite QB1; weekly top-5 expectation with overall QB1 upside.</v>
      </c>
      <c r="O39" t="str">
        <f>INDEX('LIVE SOURCE'!$J$3:$J$232,$P39)</f>
        <v>Passing-TD efficiency, rushing volume and supporting-cast health are the main swing factors.</v>
      </c>
      <c r="P39" s="6">
        <f>MATCH($A39,'Draft Engine'!$Q$3:$Q$232,0)</f>
        <v>3</v>
      </c>
    </row>
    <row r="40" spans="1:16" x14ac:dyDescent="0.25">
      <c r="A40">
        <f>38</f>
        <v>38</v>
      </c>
      <c r="B40" t="str">
        <f>INDEX('Draft Engine'!$A$3:$A$232,$P40)</f>
        <v>RB</v>
      </c>
      <c r="C40">
        <f>INDEX('Draft Engine'!$F$3:$F$232,$P40)</f>
        <v>17</v>
      </c>
      <c r="D40" t="str">
        <f>INDEX('Draft Engine'!$B$3:$B$232,$P40)</f>
        <v>Javonte Williams</v>
      </c>
      <c r="E40" s="4">
        <f>INDEX('Draft Engine'!$E$3:$E$232,$P40)</f>
        <v>83.803200000000004</v>
      </c>
      <c r="F40" t="str">
        <f t="shared" si="0"/>
        <v>TIER 3</v>
      </c>
      <c r="G40" s="4">
        <f>INDEX('Draft Engine'!$G$3:$G$232,$P40)</f>
        <v>282</v>
      </c>
      <c r="H40" s="4">
        <f>INDEX('Draft Engine'!$J$3:$J$232,$P40)</f>
        <v>43</v>
      </c>
      <c r="I40" s="4">
        <f>INDEX('Draft Engine'!$N$3:$N$232,$P40)</f>
        <v>80.331760000000003</v>
      </c>
      <c r="J40" s="4">
        <f>INDEX('Draft Engine'!$R$3:$R$232,$P40)</f>
        <v>35.799999999999997</v>
      </c>
      <c r="K40" s="4">
        <f>INDEX('Draft Engine'!$S$3:$S$232,$P40)</f>
        <v>-2.2000000000000028</v>
      </c>
      <c r="L40" t="str">
        <f>INDEX('Draft Engine'!$T$3:$T$232,$P40)</f>
        <v>A</v>
      </c>
      <c r="M40" t="str">
        <f>INDEX('Draft Engine'!$X$3:$X$232,$P40)</f>
        <v>RATE-ADJUSTED VETERAN</v>
      </c>
      <c r="N40" t="str">
        <f>INDEX('LIVE SOURCE'!$H$3:$H$232,$P40)</f>
        <v>RB2 with RB1 weeks; should be a regular starter.</v>
      </c>
      <c r="O40" t="str">
        <f>INDEX('LIVE SOURCE'!$J$3:$J$232,$P40)</f>
        <v>Touchdown variance, receiving-role changes and backfield competition are the main downside paths.</v>
      </c>
      <c r="P40" s="6">
        <f>MATCH($A40,'Draft Engine'!$Q$3:$Q$232,0)</f>
        <v>49</v>
      </c>
    </row>
    <row r="41" spans="1:16" x14ac:dyDescent="0.25">
      <c r="A41">
        <f>39</f>
        <v>39</v>
      </c>
      <c r="B41" t="str">
        <f>INDEX('Draft Engine'!$A$3:$A$232,$P41)</f>
        <v>WR</v>
      </c>
      <c r="C41">
        <f>INDEX('Draft Engine'!$F$3:$F$232,$P41)</f>
        <v>16</v>
      </c>
      <c r="D41" t="str">
        <f>INDEX('Draft Engine'!$B$3:$B$232,$P41)</f>
        <v>A.J. Brown</v>
      </c>
      <c r="E41" s="4">
        <f>INDEX('Draft Engine'!$E$3:$E$232,$P41)</f>
        <v>83.235699999999994</v>
      </c>
      <c r="F41" t="str">
        <f t="shared" si="0"/>
        <v>TIER 3</v>
      </c>
      <c r="G41" s="4">
        <f>INDEX('Draft Engine'!$G$3:$G$232,$P41)</f>
        <v>279.60000000000002</v>
      </c>
      <c r="H41" s="4">
        <f>INDEX('Draft Engine'!$J$3:$J$232,$P41)</f>
        <v>40.299999999999997</v>
      </c>
      <c r="I41" s="4">
        <f>INDEX('Draft Engine'!$N$3:$N$232,$P41)</f>
        <v>79.533635000000004</v>
      </c>
      <c r="J41" s="4">
        <f>INDEX('Draft Engine'!$R$3:$R$232,$P41)</f>
        <v>17.8</v>
      </c>
      <c r="K41" s="4">
        <f>INDEX('Draft Engine'!$S$3:$S$232,$P41)</f>
        <v>-21.2</v>
      </c>
      <c r="L41" t="str">
        <f>INDEX('Draft Engine'!$T$3:$T$232,$P41)</f>
        <v>A</v>
      </c>
      <c r="M41" t="str">
        <f>INDEX('Draft Engine'!$X$3:$X$232,$P41)</f>
        <v>HISTORY FALLBACK</v>
      </c>
      <c r="N41" t="str">
        <f>INDEX('LIVE SOURCE'!$H$3:$H$232,$P41)</f>
        <v>Strong WR2 with top-12 weekly upside.</v>
      </c>
      <c r="O41" t="str">
        <f>INDEX('LIVE SOURCE'!$J$3:$J$232,$P41)</f>
        <v>Price is the biggest risk: the market currently asks you to draft him earlier than the model prefers.</v>
      </c>
      <c r="P41" s="6">
        <f>MATCH($A41,'Draft Engine'!$Q$3:$Q$232,0)</f>
        <v>89</v>
      </c>
    </row>
    <row r="42" spans="1:16" x14ac:dyDescent="0.25">
      <c r="A42">
        <f>40</f>
        <v>40</v>
      </c>
      <c r="B42" t="str">
        <f>INDEX('Draft Engine'!$A$3:$A$232,$P42)</f>
        <v>RB</v>
      </c>
      <c r="C42">
        <f>INDEX('Draft Engine'!$F$3:$F$232,$P42)</f>
        <v>18</v>
      </c>
      <c r="D42" t="str">
        <f>INDEX('Draft Engine'!$B$3:$B$232,$P42)</f>
        <v>Travis Etienne Jr.</v>
      </c>
      <c r="E42" s="4">
        <f>INDEX('Draft Engine'!$E$3:$E$232,$P42)</f>
        <v>83.043599999999998</v>
      </c>
      <c r="F42" t="str">
        <f t="shared" si="0"/>
        <v>TIER 3</v>
      </c>
      <c r="G42" s="4">
        <f>INDEX('Draft Engine'!$G$3:$G$232,$P42)</f>
        <v>278.8</v>
      </c>
      <c r="H42" s="4">
        <f>INDEX('Draft Engine'!$J$3:$J$232,$P42)</f>
        <v>39.799999999999997</v>
      </c>
      <c r="I42" s="4">
        <f>INDEX('Draft Engine'!$N$3:$N$232,$P42)</f>
        <v>78.978605000000002</v>
      </c>
      <c r="J42" s="4">
        <f>INDEX('Draft Engine'!$R$3:$R$232,$P42)</f>
        <v>38.4</v>
      </c>
      <c r="K42" s="4">
        <f>INDEX('Draft Engine'!$S$3:$S$232,$P42)</f>
        <v>-1.6000000000000014</v>
      </c>
      <c r="L42" t="str">
        <f>INDEX('Draft Engine'!$T$3:$T$232,$P42)</f>
        <v>A</v>
      </c>
      <c r="M42" t="str">
        <f>INDEX('Draft Engine'!$X$3:$X$232,$P42)</f>
        <v>RATE-ADJUSTED VETERAN</v>
      </c>
      <c r="N42" t="str">
        <f>INDEX('LIVE SOURCE'!$H$3:$H$232,$P42)</f>
        <v>RB2 with RB1 weeks; should be a regular starter.</v>
      </c>
      <c r="O42" t="str">
        <f>INDEX('LIVE SOURCE'!$J$3:$J$232,$P42)</f>
        <v>Touchdown variance, receiving-role changes and backfield competition are the main downside paths.</v>
      </c>
      <c r="P42" s="6">
        <f>MATCH($A42,'Draft Engine'!$Q$3:$Q$232,0)</f>
        <v>50</v>
      </c>
    </row>
    <row r="43" spans="1:16" x14ac:dyDescent="0.25">
      <c r="A43">
        <f>41</f>
        <v>41</v>
      </c>
      <c r="B43" t="str">
        <f>INDEX('Draft Engine'!$A$3:$A$232,$P43)</f>
        <v>TE</v>
      </c>
      <c r="C43">
        <f>INDEX('Draft Engine'!$F$3:$F$232,$P43)</f>
        <v>4</v>
      </c>
      <c r="D43" t="str">
        <f>INDEX('Draft Engine'!$B$3:$B$232,$P43)</f>
        <v>Tyler Warren</v>
      </c>
      <c r="E43" s="4">
        <f>INDEX('Draft Engine'!$E$3:$E$232,$P43)</f>
        <v>87.202399999999997</v>
      </c>
      <c r="F43" t="str">
        <f t="shared" si="0"/>
        <v>TIER 2</v>
      </c>
      <c r="G43" s="4">
        <f>INDEX('Draft Engine'!$G$3:$G$232,$P43)</f>
        <v>205.2</v>
      </c>
      <c r="H43" s="4">
        <f>INDEX('Draft Engine'!$J$3:$J$232,$P43)</f>
        <v>25.5</v>
      </c>
      <c r="I43" s="4">
        <f>INDEX('Draft Engine'!$N$3:$N$232,$P43)</f>
        <v>78.974396923076924</v>
      </c>
      <c r="J43" s="4">
        <f>INDEX('Draft Engine'!$R$3:$R$232,$P43)</f>
        <v>65.400000000000006</v>
      </c>
      <c r="K43" s="4">
        <f>INDEX('Draft Engine'!$S$3:$S$232,$P43)</f>
        <v>24.400000000000006</v>
      </c>
      <c r="L43" t="str">
        <f>INDEX('Draft Engine'!$T$3:$T$232,$P43)</f>
        <v>A</v>
      </c>
      <c r="M43" t="str">
        <f>INDEX('Draft Engine'!$X$3:$X$232,$P43)</f>
        <v>RATE-ADJUSTED VETERAN</v>
      </c>
      <c r="N43" t="str">
        <f>INDEX('LIVE SOURCE'!$H$3:$H$232,$P43)</f>
        <v>Every-week TE1 with real top-5 upside.</v>
      </c>
      <c r="O43" t="str">
        <f>INDEX('LIVE SOURCE'!$J$3:$J$232,$P43)</f>
        <v>Route share, target volume and touchdown volatility are the main swing factors.</v>
      </c>
      <c r="P43" s="6">
        <f>MATCH($A43,'Draft Engine'!$Q$3:$Q$232,0)</f>
        <v>162</v>
      </c>
    </row>
    <row r="44" spans="1:16" x14ac:dyDescent="0.25">
      <c r="A44">
        <f>42</f>
        <v>42</v>
      </c>
      <c r="B44" t="str">
        <f>INDEX('Draft Engine'!$A$3:$A$232,$P44)</f>
        <v>QB</v>
      </c>
      <c r="C44">
        <f>INDEX('Draft Engine'!$F$3:$F$232,$P44)</f>
        <v>4</v>
      </c>
      <c r="D44" t="str">
        <f>INDEX('Draft Engine'!$B$3:$B$232,$P44)</f>
        <v>Justin Herbert</v>
      </c>
      <c r="E44" s="4">
        <f>INDEX('Draft Engine'!$E$3:$E$232,$P44)</f>
        <v>90.116900000000001</v>
      </c>
      <c r="F44" t="str">
        <f t="shared" si="0"/>
        <v>TIER 1</v>
      </c>
      <c r="G44" s="4">
        <f>INDEX('Draft Engine'!$G$3:$G$232,$P44)</f>
        <v>375.5</v>
      </c>
      <c r="H44" s="4">
        <f>INDEX('Draft Engine'!$J$3:$J$232,$P44)</f>
        <v>24.4</v>
      </c>
      <c r="I44" s="4">
        <f>INDEX('Draft Engine'!$N$3:$N$232,$P44)</f>
        <v>78.648602692307691</v>
      </c>
      <c r="J44" s="4">
        <f>INDEX('Draft Engine'!$R$3:$R$232,$P44)</f>
        <v>104.2</v>
      </c>
      <c r="K44" s="4">
        <f>INDEX('Draft Engine'!$S$3:$S$232,$P44)</f>
        <v>62.2</v>
      </c>
      <c r="L44" t="str">
        <f>INDEX('Draft Engine'!$T$3:$T$232,$P44)</f>
        <v>A</v>
      </c>
      <c r="M44" t="str">
        <f>INDEX('Draft Engine'!$X$3:$X$232,$P44)</f>
        <v>RATE-ADJUSTED VETERAN</v>
      </c>
      <c r="N44" t="str">
        <f>INDEX('LIVE SOURCE'!$H$3:$H$232,$P44)</f>
        <v>Strong every-week QB1; frequent top-8 finishes expected.</v>
      </c>
      <c r="O44" t="str">
        <f>INDEX('LIVE SOURCE'!$J$3:$J$232,$P44)</f>
        <v>Passing-TD efficiency, rushing volume and supporting-cast health are the main swing factors.</v>
      </c>
      <c r="P44" s="6">
        <f>MATCH($A44,'Draft Engine'!$Q$3:$Q$232,0)</f>
        <v>4</v>
      </c>
    </row>
    <row r="45" spans="1:16" x14ac:dyDescent="0.25">
      <c r="A45">
        <f>43</f>
        <v>43</v>
      </c>
      <c r="B45" t="str">
        <f>INDEX('Draft Engine'!$A$3:$A$232,$P45)</f>
        <v>WR</v>
      </c>
      <c r="C45">
        <f>INDEX('Draft Engine'!$F$3:$F$232,$P45)</f>
        <v>17</v>
      </c>
      <c r="D45" t="str">
        <f>INDEX('Draft Engine'!$B$3:$B$232,$P45)</f>
        <v>Ladd McConkey</v>
      </c>
      <c r="E45" s="4">
        <f>INDEX('Draft Engine'!$E$3:$E$232,$P45)</f>
        <v>82.732500000000002</v>
      </c>
      <c r="F45" t="str">
        <f t="shared" si="0"/>
        <v>TIER 3</v>
      </c>
      <c r="G45" s="4">
        <f>INDEX('Draft Engine'!$G$3:$G$232,$P45)</f>
        <v>277.5</v>
      </c>
      <c r="H45" s="4">
        <f>INDEX('Draft Engine'!$J$3:$J$232,$P45)</f>
        <v>38.200000000000003</v>
      </c>
      <c r="I45" s="4">
        <f>INDEX('Draft Engine'!$N$3:$N$232,$P45)</f>
        <v>78.545541666666679</v>
      </c>
      <c r="J45" s="4">
        <f>INDEX('Draft Engine'!$R$3:$R$232,$P45)</f>
        <v>44.3</v>
      </c>
      <c r="K45" s="4">
        <f>INDEX('Draft Engine'!$S$3:$S$232,$P45)</f>
        <v>1.2999999999999972</v>
      </c>
      <c r="L45" t="str">
        <f>INDEX('Draft Engine'!$T$3:$T$232,$P45)</f>
        <v>B</v>
      </c>
      <c r="M45" t="str">
        <f>INDEX('Draft Engine'!$X$3:$X$232,$P45)</f>
        <v>HISTORY FALLBACK</v>
      </c>
      <c r="N45" t="str">
        <f>INDEX('LIVE SOURCE'!$H$3:$H$232,$P45)</f>
        <v>Strong WR2 with top-12 weekly upside.</v>
      </c>
      <c r="O45" t="str">
        <f>INDEX('LIVE SOURCE'!$J$3:$J$232,$P45)</f>
        <v>Target competition, quarterback efficiency and touchdown regression are the main downside paths.</v>
      </c>
      <c r="P45" s="6">
        <f>MATCH($A45,'Draft Engine'!$Q$3:$Q$232,0)</f>
        <v>106</v>
      </c>
    </row>
    <row r="46" spans="1:16" x14ac:dyDescent="0.25">
      <c r="A46">
        <f>44</f>
        <v>44</v>
      </c>
      <c r="B46" t="str">
        <f>INDEX('Draft Engine'!$A$3:$A$232,$P46)</f>
        <v>WR</v>
      </c>
      <c r="C46">
        <f>INDEX('Draft Engine'!$F$3:$F$232,$P46)</f>
        <v>18</v>
      </c>
      <c r="D46" t="str">
        <f>INDEX('Draft Engine'!$B$3:$B$232,$P46)</f>
        <v>Jaylen Waddle</v>
      </c>
      <c r="E46" s="4">
        <f>INDEX('Draft Engine'!$E$3:$E$232,$P46)</f>
        <v>82.317499999999995</v>
      </c>
      <c r="F46" t="str">
        <f t="shared" si="0"/>
        <v>TIER 3</v>
      </c>
      <c r="G46" s="4">
        <f>INDEX('Draft Engine'!$G$3:$G$232,$P46)</f>
        <v>275.7</v>
      </c>
      <c r="H46" s="4">
        <f>INDEX('Draft Engine'!$J$3:$J$232,$P46)</f>
        <v>36.4</v>
      </c>
      <c r="I46" s="4">
        <f>INDEX('Draft Engine'!$N$3:$N$232,$P46)</f>
        <v>77.659958333333336</v>
      </c>
      <c r="J46" s="4">
        <f>INDEX('Draft Engine'!$R$3:$R$232,$P46)</f>
        <v>48.9</v>
      </c>
      <c r="K46" s="4">
        <f>INDEX('Draft Engine'!$S$3:$S$232,$P46)</f>
        <v>4.8999999999999986</v>
      </c>
      <c r="L46" t="str">
        <f>INDEX('Draft Engine'!$T$3:$T$232,$P46)</f>
        <v>C</v>
      </c>
      <c r="M46" t="str">
        <f>INDEX('Draft Engine'!$X$3:$X$232,$P46)</f>
        <v>HISTORY FALLBACK</v>
      </c>
      <c r="N46" t="str">
        <f>INDEX('LIVE SOURCE'!$H$3:$H$232,$P46)</f>
        <v>Strong WR2 with top-12 weekly upside.</v>
      </c>
      <c r="O46" t="str">
        <f>INDEX('LIVE SOURCE'!$J$3:$J$232,$P46)</f>
        <v>Target competition, quarterback efficiency and touchdown regression are the main downside paths.</v>
      </c>
      <c r="P46" s="6">
        <f>MATCH($A46,'Draft Engine'!$Q$3:$Q$232,0)</f>
        <v>104</v>
      </c>
    </row>
    <row r="47" spans="1:16" x14ac:dyDescent="0.25">
      <c r="A47">
        <f>45</f>
        <v>45</v>
      </c>
      <c r="B47" t="str">
        <f>INDEX('Draft Engine'!$A$3:$A$232,$P47)</f>
        <v>TE</v>
      </c>
      <c r="C47">
        <f>INDEX('Draft Engine'!$F$3:$F$232,$P47)</f>
        <v>5</v>
      </c>
      <c r="D47" t="str">
        <f>INDEX('Draft Engine'!$B$3:$B$232,$P47)</f>
        <v>George Kittle</v>
      </c>
      <c r="E47" s="4">
        <f>INDEX('Draft Engine'!$E$3:$E$232,$P47)</f>
        <v>86.266400000000004</v>
      </c>
      <c r="F47" t="str">
        <f t="shared" si="0"/>
        <v>TIER 2</v>
      </c>
      <c r="G47" s="4">
        <f>INDEX('Draft Engine'!$G$3:$G$232,$P47)</f>
        <v>201.9</v>
      </c>
      <c r="H47" s="4">
        <f>INDEX('Draft Engine'!$J$3:$J$232,$P47)</f>
        <v>22.2</v>
      </c>
      <c r="I47" s="4">
        <f>INDEX('Draft Engine'!$N$3:$N$232,$P47)</f>
        <v>77.173289230769228</v>
      </c>
      <c r="J47" s="4">
        <f>INDEX('Draft Engine'!$R$3:$R$232,$P47)</f>
        <v>115.1</v>
      </c>
      <c r="K47" s="4">
        <f>INDEX('Draft Engine'!$S$3:$S$232,$P47)</f>
        <v>70.099999999999994</v>
      </c>
      <c r="L47" t="str">
        <f>INDEX('Draft Engine'!$T$3:$T$232,$P47)</f>
        <v>B</v>
      </c>
      <c r="M47" t="str">
        <f>INDEX('Draft Engine'!$X$3:$X$232,$P47)</f>
        <v>RATE-ADJUSTED VETERAN</v>
      </c>
      <c r="N47" t="str">
        <f>INDEX('LIVE SOURCE'!$H$3:$H$232,$P47)</f>
        <v>Every-week TE1 with real top-5 upside.</v>
      </c>
      <c r="O47" t="str">
        <f>INDEX('LIVE SOURCE'!$J$3:$J$232,$P47)</f>
        <v>Route share, target volume and touchdown volatility are the main swing factors.</v>
      </c>
      <c r="P47" s="6">
        <f>MATCH($A47,'Draft Engine'!$Q$3:$Q$232,0)</f>
        <v>163</v>
      </c>
    </row>
    <row r="48" spans="1:16" x14ac:dyDescent="0.25">
      <c r="A48">
        <f>46</f>
        <v>46</v>
      </c>
      <c r="B48" t="str">
        <f>INDEX('Draft Engine'!$A$3:$A$232,$P48)</f>
        <v>RB</v>
      </c>
      <c r="C48">
        <f>INDEX('Draft Engine'!$F$3:$F$232,$P48)</f>
        <v>19</v>
      </c>
      <c r="D48" t="str">
        <f>INDEX('Draft Engine'!$B$3:$B$232,$P48)</f>
        <v>Cam Skattebo</v>
      </c>
      <c r="E48" s="4">
        <f>INDEX('Draft Engine'!$E$3:$E$232,$P48)</f>
        <v>81.888400000000004</v>
      </c>
      <c r="F48" t="str">
        <f t="shared" si="0"/>
        <v>TIER 3</v>
      </c>
      <c r="G48" s="4">
        <f>INDEX('Draft Engine'!$G$3:$G$232,$P48)</f>
        <v>273.89999999999998</v>
      </c>
      <c r="H48" s="4">
        <f>INDEX('Draft Engine'!$J$3:$J$232,$P48)</f>
        <v>34.9</v>
      </c>
      <c r="I48" s="4">
        <f>INDEX('Draft Engine'!$N$3:$N$232,$P48)</f>
        <v>77.101870000000005</v>
      </c>
      <c r="J48" s="4">
        <f>INDEX('Draft Engine'!$R$3:$R$232,$P48)</f>
        <v>30.8</v>
      </c>
      <c r="K48" s="4">
        <f>INDEX('Draft Engine'!$S$3:$S$232,$P48)</f>
        <v>-15.2</v>
      </c>
      <c r="L48" t="str">
        <f>INDEX('Draft Engine'!$T$3:$T$232,$P48)</f>
        <v>B</v>
      </c>
      <c r="M48" t="str">
        <f>INDEX('Draft Engine'!$X$3:$X$232,$P48)</f>
        <v>RATE-ADJUSTED VETERAN</v>
      </c>
      <c r="N48" t="str">
        <f>INDEX('LIVE SOURCE'!$H$3:$H$232,$P48)</f>
        <v>RB2 with RB1 weeks; should be a regular starter.</v>
      </c>
      <c r="O48" t="str">
        <f>INDEX('LIVE SOURCE'!$J$3:$J$232,$P48)</f>
        <v>Availability/sample risk is elevated after only 8 games; talent is not being punished as heavily as durability.</v>
      </c>
      <c r="P48" s="6">
        <f>MATCH($A48,'Draft Engine'!$Q$3:$Q$232,0)</f>
        <v>51</v>
      </c>
    </row>
    <row r="49" spans="1:16" x14ac:dyDescent="0.25">
      <c r="A49">
        <f>47</f>
        <v>47</v>
      </c>
      <c r="B49" t="str">
        <f>INDEX('Draft Engine'!$A$3:$A$232,$P49)</f>
        <v>WR</v>
      </c>
      <c r="C49">
        <f>INDEX('Draft Engine'!$F$3:$F$232,$P49)</f>
        <v>19</v>
      </c>
      <c r="D49" t="str">
        <f>INDEX('Draft Engine'!$B$3:$B$232,$P49)</f>
        <v>George Pickens</v>
      </c>
      <c r="E49" s="4">
        <f>INDEX('Draft Engine'!$E$3:$E$232,$P49)</f>
        <v>81.836600000000004</v>
      </c>
      <c r="F49" t="str">
        <f t="shared" si="0"/>
        <v>TIER 3</v>
      </c>
      <c r="G49" s="4">
        <f>INDEX('Draft Engine'!$G$3:$G$232,$P49)</f>
        <v>273.7</v>
      </c>
      <c r="H49" s="4">
        <f>INDEX('Draft Engine'!$J$3:$J$232,$P49)</f>
        <v>34.4</v>
      </c>
      <c r="I49" s="4">
        <f>INDEX('Draft Engine'!$N$3:$N$232,$P49)</f>
        <v>76.702130000000011</v>
      </c>
      <c r="J49" s="4">
        <f>INDEX('Draft Engine'!$R$3:$R$232,$P49)</f>
        <v>21.1</v>
      </c>
      <c r="K49" s="4">
        <f>INDEX('Draft Engine'!$S$3:$S$232,$P49)</f>
        <v>-25.9</v>
      </c>
      <c r="L49" t="str">
        <f>INDEX('Draft Engine'!$T$3:$T$232,$P49)</f>
        <v>A</v>
      </c>
      <c r="M49" t="str">
        <f>INDEX('Draft Engine'!$X$3:$X$232,$P49)</f>
        <v>HISTORY FALLBACK</v>
      </c>
      <c r="N49" t="str">
        <f>INDEX('LIVE SOURCE'!$H$3:$H$232,$P49)</f>
        <v>Strong WR2 with top-12 weekly upside.</v>
      </c>
      <c r="O49" t="str">
        <f>INDEX('LIVE SOURCE'!$J$3:$J$232,$P49)</f>
        <v>Price is the biggest risk: the market currently asks you to draft him earlier than the model prefers.</v>
      </c>
      <c r="P49" s="6">
        <f>MATCH($A49,'Draft Engine'!$Q$3:$Q$232,0)</f>
        <v>92</v>
      </c>
    </row>
    <row r="50" spans="1:16" x14ac:dyDescent="0.25">
      <c r="A50">
        <f>48</f>
        <v>48</v>
      </c>
      <c r="B50" t="str">
        <f>INDEX('Draft Engine'!$A$3:$A$232,$P50)</f>
        <v>WR</v>
      </c>
      <c r="C50">
        <f>INDEX('Draft Engine'!$F$3:$F$232,$P50)</f>
        <v>20</v>
      </c>
      <c r="D50" t="str">
        <f>INDEX('Draft Engine'!$B$3:$B$232,$P50)</f>
        <v>Emeka Egbuka</v>
      </c>
      <c r="E50" s="4">
        <f>INDEX('Draft Engine'!$E$3:$E$232,$P50)</f>
        <v>81.734999999999999</v>
      </c>
      <c r="F50" t="str">
        <f t="shared" si="0"/>
        <v>TIER 3</v>
      </c>
      <c r="G50" s="4">
        <f>INDEX('Draft Engine'!$G$3:$G$232,$P50)</f>
        <v>273.3</v>
      </c>
      <c r="H50" s="4">
        <f>INDEX('Draft Engine'!$J$3:$J$232,$P50)</f>
        <v>34</v>
      </c>
      <c r="I50" s="4">
        <f>INDEX('Draft Engine'!$N$3:$N$232,$P50)</f>
        <v>76.240916666666678</v>
      </c>
      <c r="J50" s="4">
        <f>INDEX('Draft Engine'!$R$3:$R$232,$P50)</f>
        <v>34.4</v>
      </c>
      <c r="K50" s="4">
        <f>INDEX('Draft Engine'!$S$3:$S$232,$P50)</f>
        <v>-13.600000000000001</v>
      </c>
      <c r="L50" t="str">
        <f>INDEX('Draft Engine'!$T$3:$T$232,$P50)</f>
        <v>C</v>
      </c>
      <c r="M50" t="str">
        <f>INDEX('Draft Engine'!$X$3:$X$232,$P50)</f>
        <v>HISTORY FALLBACK</v>
      </c>
      <c r="N50" t="str">
        <f>INDEX('LIVE SOURCE'!$H$3:$H$232,$P50)</f>
        <v>Strong WR2 with top-12 weekly upside.</v>
      </c>
      <c r="O50" t="str">
        <f>INDEX('LIVE SOURCE'!$J$3:$J$232,$P50)</f>
        <v>Target competition, quarterback efficiency and touchdown regression are the main downside paths.</v>
      </c>
      <c r="P50" s="6">
        <f>MATCH($A50,'Draft Engine'!$Q$3:$Q$232,0)</f>
        <v>103</v>
      </c>
    </row>
    <row r="51" spans="1:16" x14ac:dyDescent="0.25">
      <c r="A51">
        <f>49</f>
        <v>49</v>
      </c>
      <c r="B51" t="str">
        <f>INDEX('Draft Engine'!$A$3:$A$232,$P51)</f>
        <v>QB</v>
      </c>
      <c r="C51">
        <f>INDEX('Draft Engine'!$F$3:$F$232,$P51)</f>
        <v>5</v>
      </c>
      <c r="D51" t="str">
        <f>INDEX('Draft Engine'!$B$3:$B$232,$P51)</f>
        <v>Lamar Jackson</v>
      </c>
      <c r="E51" s="4">
        <f>INDEX('Draft Engine'!$E$3:$E$232,$P51)</f>
        <v>88.711200000000005</v>
      </c>
      <c r="F51" t="str">
        <f t="shared" si="0"/>
        <v>TIER 2</v>
      </c>
      <c r="G51" s="4">
        <f>INDEX('Draft Engine'!$G$3:$G$232,$P51)</f>
        <v>369.2</v>
      </c>
      <c r="H51" s="4">
        <f>INDEX('Draft Engine'!$J$3:$J$232,$P51)</f>
        <v>18.100000000000001</v>
      </c>
      <c r="I51" s="4">
        <f>INDEX('Draft Engine'!$N$3:$N$232,$P51)</f>
        <v>75.97223692307692</v>
      </c>
      <c r="J51" s="4">
        <f>INDEX('Draft Engine'!$R$3:$R$232,$P51)</f>
        <v>52.6</v>
      </c>
      <c r="K51" s="4">
        <f>INDEX('Draft Engine'!$S$3:$S$232,$P51)</f>
        <v>3.6000000000000014</v>
      </c>
      <c r="L51" t="str">
        <f>INDEX('Draft Engine'!$T$3:$T$232,$P51)</f>
        <v>A</v>
      </c>
      <c r="M51" t="str">
        <f>INDEX('Draft Engine'!$X$3:$X$232,$P51)</f>
        <v>RATE-ADJUSTED VETERAN</v>
      </c>
      <c r="N51" t="str">
        <f>INDEX('LIVE SOURCE'!$H$3:$H$232,$P51)</f>
        <v>Strong every-week QB1; frequent top-8 finishes expected.</v>
      </c>
      <c r="O51" t="str">
        <f>INDEX('LIVE SOURCE'!$J$3:$J$232,$P51)</f>
        <v>Passing-TD efficiency, rushing volume and supporting-cast health are the main swing factors.</v>
      </c>
      <c r="P51" s="6">
        <f>MATCH($A51,'Draft Engine'!$Q$3:$Q$232,0)</f>
        <v>5</v>
      </c>
    </row>
    <row r="52" spans="1:16" x14ac:dyDescent="0.25">
      <c r="A52">
        <f>50</f>
        <v>50</v>
      </c>
      <c r="B52" t="str">
        <f>INDEX('Draft Engine'!$A$3:$A$232,$P52)</f>
        <v>TE</v>
      </c>
      <c r="C52">
        <f>INDEX('Draft Engine'!$F$3:$F$232,$P52)</f>
        <v>6</v>
      </c>
      <c r="D52" t="str">
        <f>INDEX('Draft Engine'!$B$3:$B$232,$P52)</f>
        <v>Kyle Pitts Sr.</v>
      </c>
      <c r="E52" s="4">
        <f>INDEX('Draft Engine'!$E$3:$E$232,$P52)</f>
        <v>85.304500000000004</v>
      </c>
      <c r="F52" t="str">
        <f t="shared" si="0"/>
        <v>TIER 2</v>
      </c>
      <c r="G52" s="4">
        <f>INDEX('Draft Engine'!$G$3:$G$232,$P52)</f>
        <v>198.6</v>
      </c>
      <c r="H52" s="4">
        <f>INDEX('Draft Engine'!$J$3:$J$232,$P52)</f>
        <v>18.899999999999999</v>
      </c>
      <c r="I52" s="4">
        <f>INDEX('Draft Engine'!$N$3:$N$232,$P52)</f>
        <v>75.35793653846153</v>
      </c>
      <c r="J52" s="4">
        <f>INDEX('Draft Engine'!$R$3:$R$232,$P52)</f>
        <v>78.3</v>
      </c>
      <c r="K52" s="4">
        <f>INDEX('Draft Engine'!$S$3:$S$232,$P52)</f>
        <v>28.299999999999997</v>
      </c>
      <c r="L52" t="str">
        <f>INDEX('Draft Engine'!$T$3:$T$232,$P52)</f>
        <v>A</v>
      </c>
      <c r="M52" t="str">
        <f>INDEX('Draft Engine'!$X$3:$X$232,$P52)</f>
        <v>RATE-ADJUSTED VETERAN</v>
      </c>
      <c r="N52" t="str">
        <f>INDEX('LIVE SOURCE'!$H$3:$H$232,$P52)</f>
        <v>Every-week TE1 with real top-5 upside.</v>
      </c>
      <c r="O52" t="str">
        <f>INDEX('LIVE SOURCE'!$J$3:$J$232,$P52)</f>
        <v>Route share, target volume and touchdown volatility are the main swing factors.</v>
      </c>
      <c r="P52" s="6">
        <f>MATCH($A52,'Draft Engine'!$Q$3:$Q$232,0)</f>
        <v>164</v>
      </c>
    </row>
    <row r="53" spans="1:16" x14ac:dyDescent="0.25">
      <c r="A53">
        <f>51</f>
        <v>51</v>
      </c>
      <c r="B53" t="str">
        <f>INDEX('Draft Engine'!$A$3:$A$232,$P53)</f>
        <v>WR</v>
      </c>
      <c r="C53">
        <f>INDEX('Draft Engine'!$F$3:$F$232,$P53)</f>
        <v>21</v>
      </c>
      <c r="D53" t="str">
        <f>INDEX('Draft Engine'!$B$3:$B$232,$P53)</f>
        <v>Malik Nabers</v>
      </c>
      <c r="E53" s="4">
        <f>INDEX('Draft Engine'!$E$3:$E$232,$P53)</f>
        <v>81.152500000000003</v>
      </c>
      <c r="F53" t="str">
        <f t="shared" si="0"/>
        <v>TIER 3</v>
      </c>
      <c r="G53" s="4">
        <f>INDEX('Draft Engine'!$G$3:$G$232,$P53)</f>
        <v>270.8</v>
      </c>
      <c r="H53" s="4">
        <f>INDEX('Draft Engine'!$J$3:$J$232,$P53)</f>
        <v>31.5</v>
      </c>
      <c r="I53" s="4">
        <f>INDEX('Draft Engine'!$N$3:$N$232,$P53)</f>
        <v>75.137208333333334</v>
      </c>
      <c r="J53" s="4">
        <f>INDEX('Draft Engine'!$R$3:$R$232,$P53)</f>
        <v>31.9</v>
      </c>
      <c r="K53" s="4">
        <f>INDEX('Draft Engine'!$S$3:$S$232,$P53)</f>
        <v>-19.100000000000001</v>
      </c>
      <c r="L53" t="str">
        <f>INDEX('Draft Engine'!$T$3:$T$232,$P53)</f>
        <v>C</v>
      </c>
      <c r="M53" t="str">
        <f>INDEX('Draft Engine'!$X$3:$X$232,$P53)</f>
        <v>HISTORY FALLBACK</v>
      </c>
      <c r="N53" t="str">
        <f>INDEX('LIVE SOURCE'!$H$3:$H$232,$P53)</f>
        <v>Strong WR2 with top-12 weekly upside.</v>
      </c>
      <c r="O53" t="str">
        <f>INDEX('LIVE SOURCE'!$J$3:$J$232,$P53)</f>
        <v>Evidence is thinner than for established veterans, so camp, depth-chart and role news can move the grade materially.</v>
      </c>
      <c r="P53" s="6">
        <f>MATCH($A53,'Draft Engine'!$Q$3:$Q$232,0)</f>
        <v>102</v>
      </c>
    </row>
    <row r="54" spans="1:16" x14ac:dyDescent="0.25">
      <c r="A54">
        <f>52</f>
        <v>52</v>
      </c>
      <c r="B54" t="str">
        <f>INDEX('Draft Engine'!$A$3:$A$232,$P54)</f>
        <v>QB</v>
      </c>
      <c r="C54">
        <f>INDEX('Draft Engine'!$F$3:$F$232,$P54)</f>
        <v>6</v>
      </c>
      <c r="D54" t="str">
        <f>INDEX('Draft Engine'!$B$3:$B$232,$P54)</f>
        <v>Jalen Hurts</v>
      </c>
      <c r="E54" s="4">
        <f>INDEX('Draft Engine'!$E$3:$E$232,$P54)</f>
        <v>88.4499</v>
      </c>
      <c r="F54" t="str">
        <f t="shared" si="0"/>
        <v>TIER 2</v>
      </c>
      <c r="G54" s="4">
        <f>INDEX('Draft Engine'!$G$3:$G$232,$P54)</f>
        <v>368</v>
      </c>
      <c r="H54" s="4">
        <f>INDEX('Draft Engine'!$J$3:$J$232,$P54)</f>
        <v>16.899999999999999</v>
      </c>
      <c r="I54" s="4">
        <f>INDEX('Draft Engine'!$N$3:$N$232,$P54)</f>
        <v>74.843291153846167</v>
      </c>
      <c r="J54" s="4">
        <f>INDEX('Draft Engine'!$R$3:$R$232,$P54)</f>
        <v>73.7</v>
      </c>
      <c r="K54" s="4">
        <f>INDEX('Draft Engine'!$S$3:$S$232,$P54)</f>
        <v>21.700000000000003</v>
      </c>
      <c r="L54" t="str">
        <f>INDEX('Draft Engine'!$T$3:$T$232,$P54)</f>
        <v>A</v>
      </c>
      <c r="M54" t="str">
        <f>INDEX('Draft Engine'!$X$3:$X$232,$P54)</f>
        <v>RATE-ADJUSTED VETERAN</v>
      </c>
      <c r="N54" t="str">
        <f>INDEX('LIVE SOURCE'!$H$3:$H$232,$P54)</f>
        <v>Strong every-week QB1; frequent top-8 finishes expected.</v>
      </c>
      <c r="O54" t="str">
        <f>INDEX('LIVE SOURCE'!$J$3:$J$232,$P54)</f>
        <v>Passing-TD efficiency, rushing volume and supporting-cast health are the main swing factors.</v>
      </c>
      <c r="P54" s="6">
        <f>MATCH($A54,'Draft Engine'!$Q$3:$Q$232,0)</f>
        <v>6</v>
      </c>
    </row>
    <row r="55" spans="1:16" x14ac:dyDescent="0.25">
      <c r="A55">
        <f>53</f>
        <v>53</v>
      </c>
      <c r="B55" t="str">
        <f>INDEX('Draft Engine'!$A$3:$A$232,$P55)</f>
        <v>RB</v>
      </c>
      <c r="C55">
        <f>INDEX('Draft Engine'!$F$3:$F$232,$P55)</f>
        <v>20</v>
      </c>
      <c r="D55" t="str">
        <f>INDEX('Draft Engine'!$B$3:$B$232,$P55)</f>
        <v>D'Andre Swift</v>
      </c>
      <c r="E55" s="4">
        <f>INDEX('Draft Engine'!$E$3:$E$232,$P55)</f>
        <v>79.985600000000005</v>
      </c>
      <c r="F55" t="str">
        <f t="shared" si="0"/>
        <v>TIER 4</v>
      </c>
      <c r="G55" s="4">
        <f>INDEX('Draft Engine'!$G$3:$G$232,$P55)</f>
        <v>265.89999999999998</v>
      </c>
      <c r="H55" s="4">
        <f>INDEX('Draft Engine'!$J$3:$J$232,$P55)</f>
        <v>26.9</v>
      </c>
      <c r="I55" s="4">
        <f>INDEX('Draft Engine'!$N$3:$N$232,$P55)</f>
        <v>74.255955</v>
      </c>
      <c r="J55" s="4">
        <f>INDEX('Draft Engine'!$R$3:$R$232,$P55)</f>
        <v>43.9</v>
      </c>
      <c r="K55" s="4">
        <f>INDEX('Draft Engine'!$S$3:$S$232,$P55)</f>
        <v>-9.1000000000000014</v>
      </c>
      <c r="L55" t="str">
        <f>INDEX('Draft Engine'!$T$3:$T$232,$P55)</f>
        <v>A</v>
      </c>
      <c r="M55" t="str">
        <f>INDEX('Draft Engine'!$X$3:$X$232,$P55)</f>
        <v>RATE-ADJUSTED VETERAN</v>
      </c>
      <c r="N55" t="str">
        <f>INDEX('LIVE SOURCE'!$H$3:$H$232,$P55)</f>
        <v>RB2 with RB1 weeks; should be a regular starter.</v>
      </c>
      <c r="O55" t="str">
        <f>INDEX('LIVE SOURCE'!$J$3:$J$232,$P55)</f>
        <v>Touchdown variance, receiving-role changes and backfield competition are the main downside paths.</v>
      </c>
      <c r="P55" s="6">
        <f>MATCH($A55,'Draft Engine'!$Q$3:$Q$232,0)</f>
        <v>52</v>
      </c>
    </row>
    <row r="56" spans="1:16" x14ac:dyDescent="0.25">
      <c r="A56">
        <f>54</f>
        <v>54</v>
      </c>
      <c r="B56" t="str">
        <f>INDEX('Draft Engine'!$A$3:$A$232,$P56)</f>
        <v>RB</v>
      </c>
      <c r="C56">
        <f>INDEX('Draft Engine'!$F$3:$F$232,$P56)</f>
        <v>21</v>
      </c>
      <c r="D56" t="str">
        <f>INDEX('Draft Engine'!$B$3:$B$232,$P56)</f>
        <v>Bucky Irving</v>
      </c>
      <c r="E56" s="4">
        <f>INDEX('Draft Engine'!$E$3:$E$232,$P56)</f>
        <v>79.935500000000005</v>
      </c>
      <c r="F56" t="str">
        <f t="shared" si="0"/>
        <v>TIER 4</v>
      </c>
      <c r="G56" s="4">
        <f>INDEX('Draft Engine'!$G$3:$G$232,$P56)</f>
        <v>265.7</v>
      </c>
      <c r="H56" s="4">
        <f>INDEX('Draft Engine'!$J$3:$J$232,$P56)</f>
        <v>26.7</v>
      </c>
      <c r="I56" s="4">
        <f>INDEX('Draft Engine'!$N$3:$N$232,$P56)</f>
        <v>73.833025000000006</v>
      </c>
      <c r="J56" s="4">
        <f>INDEX('Draft Engine'!$R$3:$R$232,$P56)</f>
        <v>43</v>
      </c>
      <c r="K56" s="4">
        <f>INDEX('Draft Engine'!$S$3:$S$232,$P56)</f>
        <v>-11</v>
      </c>
      <c r="L56" t="str">
        <f>INDEX('Draft Engine'!$T$3:$T$232,$P56)</f>
        <v>B</v>
      </c>
      <c r="M56" t="str">
        <f>INDEX('Draft Engine'!$X$3:$X$232,$P56)</f>
        <v>RATE-ADJUSTED VETERAN</v>
      </c>
      <c r="N56" t="str">
        <f>INDEX('LIVE SOURCE'!$H$3:$H$232,$P56)</f>
        <v>RB2/FLEX; useful weekly but role and receiving volume matter.</v>
      </c>
      <c r="O56" t="str">
        <f>INDEX('LIVE SOURCE'!$J$3:$J$232,$P56)</f>
        <v>Touchdown variance, receiving-role changes and backfield competition are the main downside paths.</v>
      </c>
      <c r="P56" s="6">
        <f>MATCH($A56,'Draft Engine'!$Q$3:$Q$232,0)</f>
        <v>53</v>
      </c>
    </row>
    <row r="57" spans="1:16" x14ac:dyDescent="0.25">
      <c r="A57">
        <f>55</f>
        <v>55</v>
      </c>
      <c r="B57" t="str">
        <f>INDEX('Draft Engine'!$A$3:$A$232,$P57)</f>
        <v>TE</v>
      </c>
      <c r="C57">
        <f>INDEX('Draft Engine'!$F$3:$F$232,$P57)</f>
        <v>7</v>
      </c>
      <c r="D57" t="str">
        <f>INDEX('Draft Engine'!$B$3:$B$232,$P57)</f>
        <v>Harold Fannin Jr.</v>
      </c>
      <c r="E57" s="4">
        <f>INDEX('Draft Engine'!$E$3:$E$232,$P57)</f>
        <v>84.377700000000004</v>
      </c>
      <c r="F57" t="str">
        <f t="shared" si="0"/>
        <v>TIER 3</v>
      </c>
      <c r="G57" s="4">
        <f>INDEX('Draft Engine'!$G$3:$G$232,$P57)</f>
        <v>195.3</v>
      </c>
      <c r="H57" s="4">
        <f>INDEX('Draft Engine'!$J$3:$J$232,$P57)</f>
        <v>15.6</v>
      </c>
      <c r="I57" s="4">
        <f>INDEX('Draft Engine'!$N$3:$N$232,$P57)</f>
        <v>73.561888846153849</v>
      </c>
      <c r="J57" s="4">
        <f>INDEX('Draft Engine'!$R$3:$R$232,$P57)</f>
        <v>82.8</v>
      </c>
      <c r="K57" s="4">
        <f>INDEX('Draft Engine'!$S$3:$S$232,$P57)</f>
        <v>27.799999999999997</v>
      </c>
      <c r="L57" t="str">
        <f>INDEX('Draft Engine'!$T$3:$T$232,$P57)</f>
        <v>A</v>
      </c>
      <c r="M57" t="str">
        <f>INDEX('Draft Engine'!$X$3:$X$232,$P57)</f>
        <v>RATE-ADJUSTED VETERAN</v>
      </c>
      <c r="N57" t="str">
        <f>INDEX('LIVE SOURCE'!$H$3:$H$232,$P57)</f>
        <v>Every-week TE1 with real top-5 upside.</v>
      </c>
      <c r="O57" t="str">
        <f>INDEX('LIVE SOURCE'!$J$3:$J$232,$P57)</f>
        <v>Route share, target volume and touchdown volatility are the main swing factors.</v>
      </c>
      <c r="P57" s="6">
        <f>MATCH($A57,'Draft Engine'!$Q$3:$Q$232,0)</f>
        <v>165</v>
      </c>
    </row>
    <row r="58" spans="1:16" x14ac:dyDescent="0.25">
      <c r="A58">
        <f>56</f>
        <v>56</v>
      </c>
      <c r="B58" t="str">
        <f>INDEX('Draft Engine'!$A$3:$A$232,$P58)</f>
        <v>RB</v>
      </c>
      <c r="C58">
        <f>INDEX('Draft Engine'!$F$3:$F$232,$P58)</f>
        <v>22</v>
      </c>
      <c r="D58" t="str">
        <f>INDEX('Draft Engine'!$B$3:$B$232,$P58)</f>
        <v>Quinshon Judkins</v>
      </c>
      <c r="E58" s="4">
        <f>INDEX('Draft Engine'!$E$3:$E$232,$P58)</f>
        <v>79.930300000000003</v>
      </c>
      <c r="F58" t="str">
        <f t="shared" si="0"/>
        <v>TIER 4</v>
      </c>
      <c r="G58" s="4">
        <f>INDEX('Draft Engine'!$G$3:$G$232,$P58)</f>
        <v>265.7</v>
      </c>
      <c r="H58" s="4">
        <f>INDEX('Draft Engine'!$J$3:$J$232,$P58)</f>
        <v>26.7</v>
      </c>
      <c r="I58" s="4">
        <f>INDEX('Draft Engine'!$N$3:$N$232,$P58)</f>
        <v>73.470789999999994</v>
      </c>
      <c r="J58" s="4">
        <f>INDEX('Draft Engine'!$R$3:$R$232,$P58)</f>
        <v>49.9</v>
      </c>
      <c r="K58" s="4">
        <f>INDEX('Draft Engine'!$S$3:$S$232,$P58)</f>
        <v>-6.1000000000000014</v>
      </c>
      <c r="L58" t="str">
        <f>INDEX('Draft Engine'!$T$3:$T$232,$P58)</f>
        <v>A</v>
      </c>
      <c r="M58" t="str">
        <f>INDEX('Draft Engine'!$X$3:$X$232,$P58)</f>
        <v>RATE-ADJUSTED VETERAN</v>
      </c>
      <c r="N58" t="str">
        <f>INDEX('LIVE SOURCE'!$H$3:$H$232,$P58)</f>
        <v>RB2/FLEX; useful weekly but role and receiving volume matter.</v>
      </c>
      <c r="O58" t="str">
        <f>INDEX('LIVE SOURCE'!$J$3:$J$232,$P58)</f>
        <v>Touchdown variance, receiving-role changes and backfield competition are the main downside paths.</v>
      </c>
      <c r="P58" s="6">
        <f>MATCH($A58,'Draft Engine'!$Q$3:$Q$232,0)</f>
        <v>54</v>
      </c>
    </row>
    <row r="59" spans="1:16" x14ac:dyDescent="0.25">
      <c r="A59">
        <f>57</f>
        <v>57</v>
      </c>
      <c r="B59" t="str">
        <f>INDEX('Draft Engine'!$A$3:$A$232,$P59)</f>
        <v>WR</v>
      </c>
      <c r="C59">
        <f>INDEX('Draft Engine'!$F$3:$F$232,$P59)</f>
        <v>22</v>
      </c>
      <c r="D59" t="str">
        <f>INDEX('Draft Engine'!$B$3:$B$232,$P59)</f>
        <v>Terry McLaurin</v>
      </c>
      <c r="E59" s="4">
        <f>INDEX('Draft Engine'!$E$3:$E$232,$P59)</f>
        <v>79.900000000000006</v>
      </c>
      <c r="F59" t="str">
        <f t="shared" si="0"/>
        <v>TIER 4</v>
      </c>
      <c r="G59" s="4">
        <f>INDEX('Draft Engine'!$G$3:$G$232,$P59)</f>
        <v>265.60000000000002</v>
      </c>
      <c r="H59" s="4">
        <f>INDEX('Draft Engine'!$J$3:$J$232,$P59)</f>
        <v>26.3</v>
      </c>
      <c r="I59" s="4">
        <f>INDEX('Draft Engine'!$N$3:$N$232,$P59)</f>
        <v>73.179000000000002</v>
      </c>
      <c r="J59" s="4">
        <f>INDEX('Draft Engine'!$R$3:$R$232,$P59)</f>
        <v>43</v>
      </c>
      <c r="K59" s="4">
        <f>INDEX('Draft Engine'!$S$3:$S$232,$P59)</f>
        <v>-14</v>
      </c>
      <c r="L59" t="str">
        <f>INDEX('Draft Engine'!$T$3:$T$232,$P59)</f>
        <v>C</v>
      </c>
      <c r="M59" t="str">
        <f>INDEX('Draft Engine'!$X$3:$X$232,$P59)</f>
        <v>HISTORY FALLBACK</v>
      </c>
      <c r="N59" t="str">
        <f>INDEX('LIVE SOURCE'!$H$3:$H$232,$P59)</f>
        <v>Strong WR2 with top-12 weekly upside.</v>
      </c>
      <c r="O59" t="str">
        <f>INDEX('LIVE SOURCE'!$J$3:$J$232,$P59)</f>
        <v>Target competition, quarterback efficiency and touchdown regression are the main downside paths.</v>
      </c>
      <c r="P59" s="6">
        <f>MATCH($A59,'Draft Engine'!$Q$3:$Q$232,0)</f>
        <v>105</v>
      </c>
    </row>
    <row r="60" spans="1:16" x14ac:dyDescent="0.25">
      <c r="A60">
        <f>58</f>
        <v>58</v>
      </c>
      <c r="B60" t="str">
        <f>INDEX('Draft Engine'!$A$3:$A$232,$P60)</f>
        <v>TE</v>
      </c>
      <c r="C60">
        <f>INDEX('Draft Engine'!$F$3:$F$232,$P60)</f>
        <v>8</v>
      </c>
      <c r="D60" t="str">
        <f>INDEX('Draft Engine'!$B$3:$B$232,$P60)</f>
        <v>Jake Ferguson</v>
      </c>
      <c r="E60" s="4">
        <f>INDEX('Draft Engine'!$E$3:$E$232,$P60)</f>
        <v>84.072999999999993</v>
      </c>
      <c r="F60" t="str">
        <f t="shared" si="0"/>
        <v>TIER 3</v>
      </c>
      <c r="G60" s="4">
        <f>INDEX('Draft Engine'!$G$3:$G$232,$P60)</f>
        <v>194.3</v>
      </c>
      <c r="H60" s="4">
        <f>INDEX('Draft Engine'!$J$3:$J$232,$P60)</f>
        <v>14.6</v>
      </c>
      <c r="I60" s="4">
        <f>INDEX('Draft Engine'!$N$3:$N$232,$P60)</f>
        <v>72.521996153846146</v>
      </c>
      <c r="J60" s="4">
        <f>INDEX('Draft Engine'!$R$3:$R$232,$P60)</f>
        <v>140.80000000000001</v>
      </c>
      <c r="K60" s="4">
        <f>INDEX('Draft Engine'!$S$3:$S$232,$P60)</f>
        <v>82.800000000000011</v>
      </c>
      <c r="L60" t="str">
        <f>INDEX('Draft Engine'!$T$3:$T$232,$P60)</f>
        <v>A</v>
      </c>
      <c r="M60" t="str">
        <f>INDEX('Draft Engine'!$X$3:$X$232,$P60)</f>
        <v>RATE-ADJUSTED VETERAN</v>
      </c>
      <c r="N60" t="str">
        <f>INDEX('LIVE SOURCE'!$H$3:$H$232,$P60)</f>
        <v>Every-week TE1 with real top-5 upside.</v>
      </c>
      <c r="O60" t="str">
        <f>INDEX('LIVE SOURCE'!$J$3:$J$232,$P60)</f>
        <v>Route share, target volume and touchdown volatility are the main swing factors.</v>
      </c>
      <c r="P60" s="6">
        <f>MATCH($A60,'Draft Engine'!$Q$3:$Q$232,0)</f>
        <v>166</v>
      </c>
    </row>
    <row r="61" spans="1:16" x14ac:dyDescent="0.25">
      <c r="A61">
        <f>59</f>
        <v>59</v>
      </c>
      <c r="B61" t="str">
        <f>INDEX('Draft Engine'!$A$3:$A$232,$P61)</f>
        <v>QB</v>
      </c>
      <c r="C61">
        <f>INDEX('Draft Engine'!$F$3:$F$232,$P61)</f>
        <v>7</v>
      </c>
      <c r="D61" t="str">
        <f>INDEX('Draft Engine'!$B$3:$B$232,$P61)</f>
        <v>Patrick Mahomes II</v>
      </c>
      <c r="E61" s="4">
        <f>INDEX('Draft Engine'!$E$3:$E$232,$P61)</f>
        <v>87.006299999999996</v>
      </c>
      <c r="F61" t="str">
        <f t="shared" si="0"/>
        <v>TIER 2</v>
      </c>
      <c r="G61" s="4">
        <f>INDEX('Draft Engine'!$G$3:$G$232,$P61)</f>
        <v>361.5</v>
      </c>
      <c r="H61" s="4">
        <f>INDEX('Draft Engine'!$J$3:$J$232,$P61)</f>
        <v>10.4</v>
      </c>
      <c r="I61" s="4">
        <f>INDEX('Draft Engine'!$N$3:$N$232,$P61)</f>
        <v>72.110080384615387</v>
      </c>
      <c r="J61" s="4">
        <f>INDEX('Draft Engine'!$R$3:$R$232,$P61)</f>
        <v>97.4</v>
      </c>
      <c r="K61" s="4">
        <f>INDEX('Draft Engine'!$S$3:$S$232,$P61)</f>
        <v>38.400000000000006</v>
      </c>
      <c r="L61" t="str">
        <f>INDEX('Draft Engine'!$T$3:$T$232,$P61)</f>
        <v>A</v>
      </c>
      <c r="M61" t="str">
        <f>INDEX('Draft Engine'!$X$3:$X$232,$P61)</f>
        <v>RATE-ADJUSTED VETERAN</v>
      </c>
      <c r="N61" t="str">
        <f>INDEX('LIVE SOURCE'!$H$3:$H$232,$P61)</f>
        <v>Strong every-week QB1; frequent top-8 finishes expected.</v>
      </c>
      <c r="O61" t="str">
        <f>INDEX('LIVE SOURCE'!$J$3:$J$232,$P61)</f>
        <v>Passing-TD efficiency, rushing volume and supporting-cast health are the main swing factors.</v>
      </c>
      <c r="P61" s="6">
        <f>MATCH($A61,'Draft Engine'!$Q$3:$Q$232,0)</f>
        <v>7</v>
      </c>
    </row>
    <row r="62" spans="1:16" x14ac:dyDescent="0.25">
      <c r="A62">
        <f>60</f>
        <v>60</v>
      </c>
      <c r="B62" t="str">
        <f>INDEX('Draft Engine'!$A$3:$A$232,$P62)</f>
        <v>TE</v>
      </c>
      <c r="C62">
        <f>INDEX('Draft Engine'!$F$3:$F$232,$P62)</f>
        <v>9</v>
      </c>
      <c r="D62" t="str">
        <f>INDEX('Draft Engine'!$B$3:$B$232,$P62)</f>
        <v>Tucker Kraft</v>
      </c>
      <c r="E62" s="4">
        <f>INDEX('Draft Engine'!$E$3:$E$232,$P62)</f>
        <v>83.808599999999998</v>
      </c>
      <c r="F62" t="str">
        <f t="shared" si="0"/>
        <v>TIER 3</v>
      </c>
      <c r="G62" s="4">
        <f>INDEX('Draft Engine'!$G$3:$G$232,$P62)</f>
        <v>193.3</v>
      </c>
      <c r="H62" s="4">
        <f>INDEX('Draft Engine'!$J$3:$J$232,$P62)</f>
        <v>13.6</v>
      </c>
      <c r="I62" s="4">
        <f>INDEX('Draft Engine'!$N$3:$N$232,$P62)</f>
        <v>71.504268461538473</v>
      </c>
      <c r="J62" s="4">
        <f>INDEX('Draft Engine'!$R$3:$R$232,$P62)</f>
        <v>108.3</v>
      </c>
      <c r="K62" s="4">
        <f>INDEX('Draft Engine'!$S$3:$S$232,$P62)</f>
        <v>48.3</v>
      </c>
      <c r="L62" t="str">
        <f>INDEX('Draft Engine'!$T$3:$T$232,$P62)</f>
        <v>B</v>
      </c>
      <c r="M62" t="str">
        <f>INDEX('Draft Engine'!$X$3:$X$232,$P62)</f>
        <v>RATE-ADJUSTED VETERAN</v>
      </c>
      <c r="N62" t="str">
        <f>INDEX('LIVE SOURCE'!$H$3:$H$232,$P62)</f>
        <v>Low-end TE1; startable but replacement options remain close.</v>
      </c>
      <c r="O62" t="str">
        <f>INDEX('LIVE SOURCE'!$J$3:$J$232,$P62)</f>
        <v>Availability/sample risk is elevated after only 8 games; talent is not being punished as heavily as durability.</v>
      </c>
      <c r="P62" s="6">
        <f>MATCH($A62,'Draft Engine'!$Q$3:$Q$232,0)</f>
        <v>167</v>
      </c>
    </row>
    <row r="63" spans="1:16" x14ac:dyDescent="0.25">
      <c r="A63">
        <f>61</f>
        <v>61</v>
      </c>
      <c r="B63" t="str">
        <f>INDEX('Draft Engine'!$A$3:$A$232,$P63)</f>
        <v>WR</v>
      </c>
      <c r="C63">
        <f>INDEX('Draft Engine'!$F$3:$F$232,$P63)</f>
        <v>23</v>
      </c>
      <c r="D63" t="str">
        <f>INDEX('Draft Engine'!$B$3:$B$232,$P63)</f>
        <v>Luther Burden III</v>
      </c>
      <c r="E63" s="4">
        <f>INDEX('Draft Engine'!$E$3:$E$232,$P63)</f>
        <v>78.647499999999994</v>
      </c>
      <c r="F63" t="str">
        <f t="shared" si="0"/>
        <v>TIER 4</v>
      </c>
      <c r="G63" s="4">
        <f>INDEX('Draft Engine'!$G$3:$G$232,$P63)</f>
        <v>260.3</v>
      </c>
      <c r="H63" s="4">
        <f>INDEX('Draft Engine'!$J$3:$J$232,$P63)</f>
        <v>21</v>
      </c>
      <c r="I63" s="4">
        <f>INDEX('Draft Engine'!$N$3:$N$232,$P63)</f>
        <v>71.20279166666667</v>
      </c>
      <c r="J63" s="4">
        <f>INDEX('Draft Engine'!$R$3:$R$232,$P63)</f>
        <v>53.1</v>
      </c>
      <c r="K63" s="4">
        <f>INDEX('Draft Engine'!$S$3:$S$232,$P63)</f>
        <v>-7.8999999999999986</v>
      </c>
      <c r="L63" t="str">
        <f>INDEX('Draft Engine'!$T$3:$T$232,$P63)</f>
        <v>C</v>
      </c>
      <c r="M63" t="str">
        <f>INDEX('Draft Engine'!$X$3:$X$232,$P63)</f>
        <v>HISTORY FALLBACK</v>
      </c>
      <c r="N63" t="str">
        <f>INDEX('LIVE SOURCE'!$H$3:$H$232,$P63)</f>
        <v>Strong WR2 with top-12 weekly upside.</v>
      </c>
      <c r="O63" t="str">
        <f>INDEX('LIVE SOURCE'!$J$3:$J$232,$P63)</f>
        <v>Target competition, quarterback efficiency and touchdown regression are the main downside paths.</v>
      </c>
      <c r="P63" s="6">
        <f>MATCH($A63,'Draft Engine'!$Q$3:$Q$232,0)</f>
        <v>108</v>
      </c>
    </row>
    <row r="64" spans="1:16" x14ac:dyDescent="0.25">
      <c r="A64">
        <f>62</f>
        <v>62</v>
      </c>
      <c r="B64" t="str">
        <f>INDEX('Draft Engine'!$A$3:$A$232,$P64)</f>
        <v>QB</v>
      </c>
      <c r="C64">
        <f>INDEX('Draft Engine'!$F$3:$F$232,$P64)</f>
        <v>8</v>
      </c>
      <c r="D64" t="str">
        <f>INDEX('Draft Engine'!$B$3:$B$232,$P64)</f>
        <v>Jayden Daniels</v>
      </c>
      <c r="E64" s="4">
        <f>INDEX('Draft Engine'!$E$3:$E$232,$P64)</f>
        <v>86.700299999999999</v>
      </c>
      <c r="F64" t="str">
        <f t="shared" si="0"/>
        <v>TIER 2</v>
      </c>
      <c r="G64" s="4">
        <f>INDEX('Draft Engine'!$G$3:$G$232,$P64)</f>
        <v>360.2</v>
      </c>
      <c r="H64" s="4">
        <f>INDEX('Draft Engine'!$J$3:$J$232,$P64)</f>
        <v>9.1</v>
      </c>
      <c r="I64" s="4">
        <f>INDEX('Draft Engine'!$N$3:$N$232,$P64)</f>
        <v>70.938549615384616</v>
      </c>
      <c r="J64" s="4">
        <f>INDEX('Draft Engine'!$R$3:$R$232,$P64)</f>
        <v>67</v>
      </c>
      <c r="K64" s="4">
        <f>INDEX('Draft Engine'!$S$3:$S$232,$P64)</f>
        <v>5</v>
      </c>
      <c r="L64" t="str">
        <f>INDEX('Draft Engine'!$T$3:$T$232,$P64)</f>
        <v>B</v>
      </c>
      <c r="M64" t="str">
        <f>INDEX('Draft Engine'!$X$3:$X$232,$P64)</f>
        <v>RATE-ADJUSTED VETERAN</v>
      </c>
      <c r="N64" t="str">
        <f>INDEX('LIVE SOURCE'!$H$3:$H$232,$P64)</f>
        <v>Strong every-week QB1; frequent top-8 finishes expected.</v>
      </c>
      <c r="O64" t="str">
        <f>INDEX('LIVE SOURCE'!$J$3:$J$232,$P64)</f>
        <v>Availability/sample risk is elevated after only 7 games; talent is not being punished as heavily as durability.</v>
      </c>
      <c r="P64" s="6">
        <f>MATCH($A64,'Draft Engine'!$Q$3:$Q$232,0)</f>
        <v>8</v>
      </c>
    </row>
    <row r="65" spans="1:16" x14ac:dyDescent="0.25">
      <c r="A65">
        <f>63</f>
        <v>63</v>
      </c>
      <c r="B65" t="str">
        <f>INDEX('Draft Engine'!$A$3:$A$232,$P65)</f>
        <v>RB</v>
      </c>
      <c r="C65">
        <f>INDEX('Draft Engine'!$F$3:$F$232,$P65)</f>
        <v>23</v>
      </c>
      <c r="D65" t="str">
        <f>INDEX('Draft Engine'!$B$3:$B$232,$P65)</f>
        <v>David Montgomery</v>
      </c>
      <c r="E65" s="4">
        <f>INDEX('Draft Engine'!$E$3:$E$232,$P65)</f>
        <v>77.910200000000003</v>
      </c>
      <c r="F65" t="str">
        <f t="shared" si="0"/>
        <v>TIER 4</v>
      </c>
      <c r="G65" s="4">
        <f>INDEX('Draft Engine'!$G$3:$G$232,$P65)</f>
        <v>257.2</v>
      </c>
      <c r="H65" s="4">
        <f>INDEX('Draft Engine'!$J$3:$J$232,$P65)</f>
        <v>18.2</v>
      </c>
      <c r="I65" s="4">
        <f>INDEX('Draft Engine'!$N$3:$N$232,$P65)</f>
        <v>70.470359999999999</v>
      </c>
      <c r="J65" s="4">
        <f>INDEX('Draft Engine'!$R$3:$R$232,$P65)</f>
        <v>66.400000000000006</v>
      </c>
      <c r="K65" s="4">
        <f>INDEX('Draft Engine'!$S$3:$S$232,$P65)</f>
        <v>3.4000000000000057</v>
      </c>
      <c r="L65" t="str">
        <f>INDEX('Draft Engine'!$T$3:$T$232,$P65)</f>
        <v>A</v>
      </c>
      <c r="M65" t="str">
        <f>INDEX('Draft Engine'!$X$3:$X$232,$P65)</f>
        <v>RATE-ADJUSTED VETERAN</v>
      </c>
      <c r="N65" t="str">
        <f>INDEX('LIVE SOURCE'!$H$3:$H$232,$P65)</f>
        <v>RB2/FLEX; useful weekly but role and receiving volume matter.</v>
      </c>
      <c r="O65" t="str">
        <f>INDEX('LIVE SOURCE'!$J$3:$J$232,$P65)</f>
        <v>Touchdown variance, receiving-role changes and backfield competition are the main downside paths.</v>
      </c>
      <c r="P65" s="6">
        <f>MATCH($A65,'Draft Engine'!$Q$3:$Q$232,0)</f>
        <v>55</v>
      </c>
    </row>
    <row r="66" spans="1:16" x14ac:dyDescent="0.25">
      <c r="A66">
        <f>64</f>
        <v>64</v>
      </c>
      <c r="B66" t="str">
        <f>INDEX('Draft Engine'!$A$3:$A$232,$P66)</f>
        <v>WR</v>
      </c>
      <c r="C66">
        <f>INDEX('Draft Engine'!$F$3:$F$232,$P66)</f>
        <v>24</v>
      </c>
      <c r="D66" t="str">
        <f>INDEX('Draft Engine'!$B$3:$B$232,$P66)</f>
        <v>Davante Adams</v>
      </c>
      <c r="E66" s="4">
        <f>INDEX('Draft Engine'!$E$3:$E$232,$P66)</f>
        <v>78.064999999999998</v>
      </c>
      <c r="F66" t="str">
        <f t="shared" si="0"/>
        <v>TIER 4</v>
      </c>
      <c r="G66" s="4">
        <f>INDEX('Draft Engine'!$G$3:$G$232,$P66)</f>
        <v>257.89999999999998</v>
      </c>
      <c r="H66" s="4">
        <f>INDEX('Draft Engine'!$J$3:$J$232,$P66)</f>
        <v>18.600000000000001</v>
      </c>
      <c r="I66" s="4">
        <f>INDEX('Draft Engine'!$N$3:$N$232,$P66)</f>
        <v>70.117083333333326</v>
      </c>
      <c r="J66" s="4">
        <f>INDEX('Draft Engine'!$R$3:$R$232,$P66)</f>
        <v>41.5</v>
      </c>
      <c r="K66" s="4">
        <f>INDEX('Draft Engine'!$S$3:$S$232,$P66)</f>
        <v>-22.5</v>
      </c>
      <c r="L66" t="str">
        <f>INDEX('Draft Engine'!$T$3:$T$232,$P66)</f>
        <v>C</v>
      </c>
      <c r="M66" t="str">
        <f>INDEX('Draft Engine'!$X$3:$X$232,$P66)</f>
        <v>HISTORY FALLBACK</v>
      </c>
      <c r="N66" t="str">
        <f>INDEX('LIVE SOURCE'!$H$3:$H$232,$P66)</f>
        <v>Strong WR2 with top-12 weekly upside.</v>
      </c>
      <c r="O66" t="str">
        <f>INDEX('LIVE SOURCE'!$J$3:$J$232,$P66)</f>
        <v>Target competition, quarterback efficiency and touchdown regression are the main downside paths.</v>
      </c>
      <c r="P66" s="6">
        <f>MATCH($A66,'Draft Engine'!$Q$3:$Q$232,0)</f>
        <v>107</v>
      </c>
    </row>
    <row r="67" spans="1:16" x14ac:dyDescent="0.25">
      <c r="A67">
        <f>65</f>
        <v>65</v>
      </c>
      <c r="B67" t="str">
        <f>INDEX('Draft Engine'!$A$3:$A$232,$P67)</f>
        <v>RB</v>
      </c>
      <c r="C67">
        <f>INDEX('Draft Engine'!$F$3:$F$232,$P67)</f>
        <v>24</v>
      </c>
      <c r="D67" t="str">
        <f>INDEX('Draft Engine'!$B$3:$B$232,$P67)</f>
        <v>TreVeyon Henderson</v>
      </c>
      <c r="E67" s="4">
        <f>INDEX('Draft Engine'!$E$3:$E$232,$P67)</f>
        <v>77.832499999999996</v>
      </c>
      <c r="F67" t="str">
        <f t="shared" ref="F67:F130" si="1">IF($E67&gt;=95,"ELITE",IF($E67&gt;=90,"TIER 1",IF($E67&gt;=85,"TIER 2",IF($E67&gt;=80,"TIER 3",IF($E67&gt;=75,"TIER 4",IF($E67&gt;=70,"TIER 5",IF($E67&gt;=65,"TIER 6","TIER 7")))))))</f>
        <v>TIER 4</v>
      </c>
      <c r="G67" s="4">
        <f>INDEX('Draft Engine'!$G$3:$G$232,$P67)</f>
        <v>256.89999999999998</v>
      </c>
      <c r="H67" s="4">
        <f>INDEX('Draft Engine'!$J$3:$J$232,$P67)</f>
        <v>17.899999999999999</v>
      </c>
      <c r="I67" s="4">
        <f>INDEX('Draft Engine'!$N$3:$N$232,$P67)</f>
        <v>70.014250000000004</v>
      </c>
      <c r="J67" s="4">
        <f>INDEX('Draft Engine'!$R$3:$R$232,$P67)</f>
        <v>55.4</v>
      </c>
      <c r="K67" s="4">
        <f>INDEX('Draft Engine'!$S$3:$S$232,$P67)</f>
        <v>-9.6000000000000014</v>
      </c>
      <c r="L67" t="str">
        <f>INDEX('Draft Engine'!$T$3:$T$232,$P67)</f>
        <v>A</v>
      </c>
      <c r="M67" t="str">
        <f>INDEX('Draft Engine'!$X$3:$X$232,$P67)</f>
        <v>RATE-ADJUSTED VETERAN</v>
      </c>
      <c r="N67" t="str">
        <f>INDEX('LIVE SOURCE'!$H$3:$H$232,$P67)</f>
        <v>RB2/FLEX; useful weekly but role and receiving volume matter.</v>
      </c>
      <c r="O67" t="str">
        <f>INDEX('LIVE SOURCE'!$J$3:$J$232,$P67)</f>
        <v>Touchdown variance, receiving-role changes and backfield competition are the main downside paths.</v>
      </c>
      <c r="P67" s="6">
        <f>MATCH($A67,'Draft Engine'!$Q$3:$Q$232,0)</f>
        <v>56</v>
      </c>
    </row>
    <row r="68" spans="1:16" x14ac:dyDescent="0.25">
      <c r="A68">
        <f>66</f>
        <v>66</v>
      </c>
      <c r="B68" t="str">
        <f>INDEX('Draft Engine'!$A$3:$A$232,$P68)</f>
        <v>TE</v>
      </c>
      <c r="C68">
        <f>INDEX('Draft Engine'!$F$3:$F$232,$P68)</f>
        <v>10</v>
      </c>
      <c r="D68" t="str">
        <f>INDEX('Draft Engine'!$B$3:$B$232,$P68)</f>
        <v>Sam LaPorta</v>
      </c>
      <c r="E68" s="4">
        <f>INDEX('Draft Engine'!$E$3:$E$232,$P68)</f>
        <v>82.865300000000005</v>
      </c>
      <c r="F68" t="str">
        <f t="shared" si="1"/>
        <v>TIER 3</v>
      </c>
      <c r="G68" s="4">
        <f>INDEX('Draft Engine'!$G$3:$G$232,$P68)</f>
        <v>190</v>
      </c>
      <c r="H68" s="4">
        <f>INDEX('Draft Engine'!$J$3:$J$232,$P68)</f>
        <v>10.3</v>
      </c>
      <c r="I68" s="4">
        <f>INDEX('Draft Engine'!$N$3:$N$232,$P68)</f>
        <v>69.699145769230782</v>
      </c>
      <c r="J68" s="4">
        <f>INDEX('Draft Engine'!$R$3:$R$232,$P68)</f>
        <v>88.7</v>
      </c>
      <c r="K68" s="4">
        <f>INDEX('Draft Engine'!$S$3:$S$232,$P68)</f>
        <v>22.700000000000003</v>
      </c>
      <c r="L68" t="str">
        <f>INDEX('Draft Engine'!$T$3:$T$232,$P68)</f>
        <v>B</v>
      </c>
      <c r="M68" t="str">
        <f>INDEX('Draft Engine'!$X$3:$X$232,$P68)</f>
        <v>RATE-ADJUSTED VETERAN</v>
      </c>
      <c r="N68" t="str">
        <f>INDEX('LIVE SOURCE'!$H$3:$H$232,$P68)</f>
        <v>Low-end TE1; startable but replacement options remain close.</v>
      </c>
      <c r="O68" t="str">
        <f>INDEX('LIVE SOURCE'!$J$3:$J$232,$P68)</f>
        <v>Availability/sample risk is elevated after only 9 games; talent is not being punished as heavily as durability.</v>
      </c>
      <c r="P68" s="6">
        <f>MATCH($A68,'Draft Engine'!$Q$3:$Q$232,0)</f>
        <v>168</v>
      </c>
    </row>
    <row r="69" spans="1:16" x14ac:dyDescent="0.25">
      <c r="A69">
        <f>67</f>
        <v>67</v>
      </c>
      <c r="B69" t="str">
        <f>INDEX('Draft Engine'!$A$3:$A$232,$P69)</f>
        <v>QB</v>
      </c>
      <c r="C69">
        <f>INDEX('Draft Engine'!$F$3:$F$232,$P69)</f>
        <v>9</v>
      </c>
      <c r="D69" t="str">
        <f>INDEX('Draft Engine'!$B$3:$B$232,$P69)</f>
        <v>Joe Burrow</v>
      </c>
      <c r="E69" s="4">
        <f>INDEX('Draft Engine'!$E$3:$E$232,$P69)</f>
        <v>85.591300000000004</v>
      </c>
      <c r="F69" t="str">
        <f t="shared" si="1"/>
        <v>TIER 2</v>
      </c>
      <c r="G69" s="4">
        <f>INDEX('Draft Engine'!$G$3:$G$232,$P69)</f>
        <v>355.2</v>
      </c>
      <c r="H69" s="4">
        <f>INDEX('Draft Engine'!$J$3:$J$232,$P69)</f>
        <v>4.0999999999999996</v>
      </c>
      <c r="I69" s="4">
        <f>INDEX('Draft Engine'!$N$3:$N$232,$P69)</f>
        <v>68.659368846153853</v>
      </c>
      <c r="J69" s="4">
        <f>INDEX('Draft Engine'!$R$3:$R$232,$P69)</f>
        <v>57.3</v>
      </c>
      <c r="K69" s="4">
        <f>INDEX('Draft Engine'!$S$3:$S$232,$P69)</f>
        <v>-9.7000000000000028</v>
      </c>
      <c r="L69" t="str">
        <f>INDEX('Draft Engine'!$T$3:$T$232,$P69)</f>
        <v>B</v>
      </c>
      <c r="M69" t="str">
        <f>INDEX('Draft Engine'!$X$3:$X$232,$P69)</f>
        <v>RATE-ADJUSTED VETERAN</v>
      </c>
      <c r="N69" t="str">
        <f>INDEX('LIVE SOURCE'!$H$3:$H$232,$P69)</f>
        <v>Low-end QB1/high-end QB2 in a 10-team league; startable most weeks.</v>
      </c>
      <c r="O69" t="str">
        <f>INDEX('LIVE SOURCE'!$J$3:$J$232,$P69)</f>
        <v>Availability/sample risk is elevated after only 8 games; talent is not being punished as heavily as durability.</v>
      </c>
      <c r="P69" s="6">
        <f>MATCH($A69,'Draft Engine'!$Q$3:$Q$232,0)</f>
        <v>9</v>
      </c>
    </row>
    <row r="70" spans="1:16" x14ac:dyDescent="0.25">
      <c r="A70">
        <f>68</f>
        <v>68</v>
      </c>
      <c r="B70" t="str">
        <f>INDEX('Draft Engine'!$A$3:$A$232,$P70)</f>
        <v>RB</v>
      </c>
      <c r="C70">
        <f>INDEX('Draft Engine'!$F$3:$F$232,$P70)</f>
        <v>25</v>
      </c>
      <c r="D70" t="str">
        <f>INDEX('Draft Engine'!$B$3:$B$232,$P70)</f>
        <v>Jadarian Price</v>
      </c>
      <c r="E70" s="4">
        <f>INDEX('Draft Engine'!$E$3:$E$232,$P70)</f>
        <v>76.662199999999999</v>
      </c>
      <c r="F70" t="str">
        <f t="shared" si="1"/>
        <v>TIER 4</v>
      </c>
      <c r="G70" s="4">
        <f>INDEX('Draft Engine'!$G$3:$G$232,$P70)</f>
        <v>252</v>
      </c>
      <c r="H70" s="4">
        <f>INDEX('Draft Engine'!$J$3:$J$232,$P70)</f>
        <v>13</v>
      </c>
      <c r="I70" s="4">
        <f>INDEX('Draft Engine'!$N$3:$N$232,$P70)</f>
        <v>68.12921</v>
      </c>
      <c r="J70" s="4">
        <f>INDEX('Draft Engine'!$R$3:$R$232,$P70)</f>
        <v>63</v>
      </c>
      <c r="K70" s="4">
        <f>INDEX('Draft Engine'!$S$3:$S$232,$P70)</f>
        <v>-5</v>
      </c>
      <c r="L70" t="str">
        <f>INDEX('Draft Engine'!$T$3:$T$232,$P70)</f>
        <v>B</v>
      </c>
      <c r="M70" t="str">
        <f>INDEX('Draft Engine'!$X$3:$X$232,$P70)</f>
        <v>ROOKIE ENGINE</v>
      </c>
      <c r="N70" t="str">
        <f>INDEX('LIVE SOURCE'!$H$3:$H$232,$P70)</f>
        <v>RB2/FLEX; useful weekly but role and receiving volume matter.</v>
      </c>
      <c r="O70" t="str">
        <f>INDEX('LIVE SOURCE'!$J$3:$J$232,$P70)</f>
        <v>NFL translation and exact weekly role are the main variables; preseason first-team usage can move this rating quickly.</v>
      </c>
      <c r="P70" s="6">
        <f>MATCH($A70,'Draft Engine'!$Q$3:$Q$232,0)</f>
        <v>57</v>
      </c>
    </row>
    <row r="71" spans="1:16" x14ac:dyDescent="0.25">
      <c r="A71">
        <f>69</f>
        <v>69</v>
      </c>
      <c r="B71" t="str">
        <f>INDEX('Draft Engine'!$A$3:$A$232,$P71)</f>
        <v>TE</v>
      </c>
      <c r="C71">
        <f>INDEX('Draft Engine'!$F$3:$F$232,$P71)</f>
        <v>11</v>
      </c>
      <c r="D71" t="str">
        <f>INDEX('Draft Engine'!$B$3:$B$232,$P71)</f>
        <v>Dalton Kincaid</v>
      </c>
      <c r="E71" s="4">
        <f>INDEX('Draft Engine'!$E$3:$E$232,$P71)</f>
        <v>81.914100000000005</v>
      </c>
      <c r="F71" t="str">
        <f t="shared" si="1"/>
        <v>TIER 3</v>
      </c>
      <c r="G71" s="4">
        <f>INDEX('Draft Engine'!$G$3:$G$232,$P71)</f>
        <v>186.7</v>
      </c>
      <c r="H71" s="4">
        <f>INDEX('Draft Engine'!$J$3:$J$232,$P71)</f>
        <v>7</v>
      </c>
      <c r="I71" s="4">
        <f>INDEX('Draft Engine'!$N$3:$N$232,$P71)</f>
        <v>67.88967807692309</v>
      </c>
      <c r="J71" s="4">
        <f>INDEX('Draft Engine'!$R$3:$R$232,$P71)</f>
        <v>152</v>
      </c>
      <c r="K71" s="4">
        <f>INDEX('Draft Engine'!$S$3:$S$232,$P71)</f>
        <v>83</v>
      </c>
      <c r="L71" t="str">
        <f>INDEX('Draft Engine'!$T$3:$T$232,$P71)</f>
        <v>A</v>
      </c>
      <c r="M71" t="str">
        <f>INDEX('Draft Engine'!$X$3:$X$232,$P71)</f>
        <v>RATE-ADJUSTED VETERAN</v>
      </c>
      <c r="N71" t="str">
        <f>INDEX('LIVE SOURCE'!$H$3:$H$232,$P71)</f>
        <v>Low-end TE1; startable but replacement options remain close.</v>
      </c>
      <c r="O71" t="str">
        <f>INDEX('LIVE SOURCE'!$J$3:$J$232,$P71)</f>
        <v>Route share, target volume and touchdown volatility are the main swing factors.</v>
      </c>
      <c r="P71" s="6">
        <f>MATCH($A71,'Draft Engine'!$Q$3:$Q$232,0)</f>
        <v>169</v>
      </c>
    </row>
    <row r="72" spans="1:16" x14ac:dyDescent="0.25">
      <c r="A72">
        <f>70</f>
        <v>70</v>
      </c>
      <c r="B72" t="str">
        <f>INDEX('Draft Engine'!$A$3:$A$232,$P72)</f>
        <v>WR</v>
      </c>
      <c r="C72">
        <f>INDEX('Draft Engine'!$F$3:$F$232,$P72)</f>
        <v>25</v>
      </c>
      <c r="D72" t="str">
        <f>INDEX('Draft Engine'!$B$3:$B$232,$P72)</f>
        <v>Mike Evans</v>
      </c>
      <c r="E72" s="4">
        <f>INDEX('Draft Engine'!$E$3:$E$232,$P72)</f>
        <v>76.477500000000006</v>
      </c>
      <c r="F72" t="str">
        <f t="shared" si="1"/>
        <v>TIER 4</v>
      </c>
      <c r="G72" s="4">
        <f>INDEX('Draft Engine'!$G$3:$G$232,$P72)</f>
        <v>251.2</v>
      </c>
      <c r="H72" s="4">
        <f>INDEX('Draft Engine'!$J$3:$J$232,$P72)</f>
        <v>11.9</v>
      </c>
      <c r="I72" s="4">
        <f>INDEX('Draft Engine'!$N$3:$N$232,$P72)</f>
        <v>67.704625000000007</v>
      </c>
      <c r="J72" s="4">
        <f>INDEX('Draft Engine'!$R$3:$R$232,$P72)</f>
        <v>59.4</v>
      </c>
      <c r="K72" s="4">
        <f>INDEX('Draft Engine'!$S$3:$S$232,$P72)</f>
        <v>-10.600000000000001</v>
      </c>
      <c r="L72" t="str">
        <f>INDEX('Draft Engine'!$T$3:$T$232,$P72)</f>
        <v>C</v>
      </c>
      <c r="M72" t="str">
        <f>INDEX('Draft Engine'!$X$3:$X$232,$P72)</f>
        <v>HISTORY FALLBACK</v>
      </c>
      <c r="N72" t="str">
        <f>INDEX('LIVE SOURCE'!$H$3:$H$232,$P72)</f>
        <v>WR2/FLEX; dependable lineup option with matchup-driven ceiling.</v>
      </c>
      <c r="O72" t="str">
        <f>INDEX('LIVE SOURCE'!$J$3:$J$232,$P72)</f>
        <v>Evidence is thinner than for established veterans, so camp, depth-chart and role news can move the grade materially.</v>
      </c>
      <c r="P72" s="6">
        <f>MATCH($A72,'Draft Engine'!$Q$3:$Q$232,0)</f>
        <v>112</v>
      </c>
    </row>
    <row r="73" spans="1:16" x14ac:dyDescent="0.25">
      <c r="A73">
        <f>71</f>
        <v>71</v>
      </c>
      <c r="B73" t="str">
        <f>INDEX('Draft Engine'!$A$3:$A$232,$P73)</f>
        <v>QB</v>
      </c>
      <c r="C73">
        <f>INDEX('Draft Engine'!$F$3:$F$232,$P73)</f>
        <v>10</v>
      </c>
      <c r="D73" t="str">
        <f>INDEX('Draft Engine'!$B$3:$B$232,$P73)</f>
        <v>Matthew Stafford</v>
      </c>
      <c r="E73" s="4">
        <f>INDEX('Draft Engine'!$E$3:$E$232,$P73)</f>
        <v>85.419700000000006</v>
      </c>
      <c r="F73" t="str">
        <f t="shared" si="1"/>
        <v>TIER 2</v>
      </c>
      <c r="G73" s="4">
        <f>INDEX('Draft Engine'!$G$3:$G$232,$P73)</f>
        <v>354.4</v>
      </c>
      <c r="H73" s="4">
        <f>INDEX('Draft Engine'!$J$3:$J$232,$P73)</f>
        <v>3.3</v>
      </c>
      <c r="I73" s="4">
        <f>INDEX('Draft Engine'!$N$3:$N$232,$P73)</f>
        <v>67.651758076923088</v>
      </c>
      <c r="J73" s="4">
        <f>INDEX('Draft Engine'!$R$3:$R$232,$P73)</f>
        <v>83.7</v>
      </c>
      <c r="K73" s="4">
        <f>INDEX('Draft Engine'!$S$3:$S$232,$P73)</f>
        <v>12.700000000000003</v>
      </c>
      <c r="L73" t="str">
        <f>INDEX('Draft Engine'!$T$3:$T$232,$P73)</f>
        <v>A</v>
      </c>
      <c r="M73" t="str">
        <f>INDEX('Draft Engine'!$X$3:$X$232,$P73)</f>
        <v>RATE-ADJUSTED VETERAN</v>
      </c>
      <c r="N73" t="str">
        <f>INDEX('LIVE SOURCE'!$H$3:$H$232,$P73)</f>
        <v>Low-end QB1/high-end QB2 in a 10-team league; startable most weeks.</v>
      </c>
      <c r="O73" t="str">
        <f>INDEX('LIVE SOURCE'!$J$3:$J$232,$P73)</f>
        <v>Passing-TD efficiency, rushing volume and supporting-cast health are the main swing factors.</v>
      </c>
      <c r="P73" s="6">
        <f>MATCH($A73,'Draft Engine'!$Q$3:$Q$232,0)</f>
        <v>10</v>
      </c>
    </row>
    <row r="74" spans="1:16" x14ac:dyDescent="0.25">
      <c r="A74">
        <f>72</f>
        <v>72</v>
      </c>
      <c r="B74" t="str">
        <f>INDEX('Draft Engine'!$A$3:$A$232,$P74)</f>
        <v>WR</v>
      </c>
      <c r="C74">
        <f>INDEX('Draft Engine'!$F$3:$F$232,$P74)</f>
        <v>26</v>
      </c>
      <c r="D74" t="str">
        <f>INDEX('Draft Engine'!$B$3:$B$232,$P74)</f>
        <v>Jordyn Tyson</v>
      </c>
      <c r="E74" s="4">
        <f>INDEX('Draft Engine'!$E$3:$E$232,$P74)</f>
        <v>76.22</v>
      </c>
      <c r="F74" t="str">
        <f t="shared" si="1"/>
        <v>TIER 4</v>
      </c>
      <c r="G74" s="4">
        <f>INDEX('Draft Engine'!$G$3:$G$232,$P74)</f>
        <v>250.1</v>
      </c>
      <c r="H74" s="4">
        <f>INDEX('Draft Engine'!$J$3:$J$232,$P74)</f>
        <v>10.8</v>
      </c>
      <c r="I74" s="4">
        <f>INDEX('Draft Engine'!$N$3:$N$232,$P74)</f>
        <v>67.031666666666666</v>
      </c>
      <c r="J74" s="4">
        <f>INDEX('Draft Engine'!$R$3:$R$232,$P74)</f>
        <v>87.1</v>
      </c>
      <c r="K74" s="4">
        <f>INDEX('Draft Engine'!$S$3:$S$232,$P74)</f>
        <v>15.099999999999994</v>
      </c>
      <c r="L74" t="str">
        <f>INDEX('Draft Engine'!$T$3:$T$232,$P74)</f>
        <v>C</v>
      </c>
      <c r="M74" t="str">
        <f>INDEX('Draft Engine'!$X$3:$X$232,$P74)</f>
        <v>HISTORY FALLBACK</v>
      </c>
      <c r="N74" t="str">
        <f>INDEX('LIVE SOURCE'!$H$3:$H$232,$P74)</f>
        <v>WR2/FLEX; dependable lineup option with matchup-driven ceiling.</v>
      </c>
      <c r="O74" t="str">
        <f>INDEX('LIVE SOURCE'!$J$3:$J$232,$P74)</f>
        <v>NFL translation and exact weekly role are the main variables; preseason first-team usage can move this rating quickly.</v>
      </c>
      <c r="P74" s="6">
        <f>MATCH($A74,'Draft Engine'!$Q$3:$Q$232,0)</f>
        <v>119</v>
      </c>
    </row>
    <row r="75" spans="1:16" x14ac:dyDescent="0.25">
      <c r="A75">
        <f>73</f>
        <v>73</v>
      </c>
      <c r="B75" t="str">
        <f>INDEX('Draft Engine'!$A$3:$A$232,$P75)</f>
        <v>RB</v>
      </c>
      <c r="C75">
        <f>INDEX('Draft Engine'!$F$3:$F$232,$P75)</f>
        <v>26</v>
      </c>
      <c r="D75" t="str">
        <f>INDEX('Draft Engine'!$B$3:$B$232,$P75)</f>
        <v>Jaylen Warren</v>
      </c>
      <c r="E75" s="4">
        <f>INDEX('Draft Engine'!$E$3:$E$232,$P75)</f>
        <v>76.091800000000006</v>
      </c>
      <c r="F75" t="str">
        <f t="shared" si="1"/>
        <v>TIER 4</v>
      </c>
      <c r="G75" s="4">
        <f>INDEX('Draft Engine'!$G$3:$G$232,$P75)</f>
        <v>249.6</v>
      </c>
      <c r="H75" s="4">
        <f>INDEX('Draft Engine'!$J$3:$J$232,$P75)</f>
        <v>10.6</v>
      </c>
      <c r="I75" s="4">
        <f>INDEX('Draft Engine'!$N$3:$N$232,$P75)</f>
        <v>67.024115000000009</v>
      </c>
      <c r="J75" s="4">
        <f>INDEX('Draft Engine'!$R$3:$R$232,$P75)</f>
        <v>68.8</v>
      </c>
      <c r="K75" s="4">
        <f>INDEX('Draft Engine'!$S$3:$S$232,$P75)</f>
        <v>-4.2000000000000028</v>
      </c>
      <c r="L75" t="str">
        <f>INDEX('Draft Engine'!$T$3:$T$232,$P75)</f>
        <v>A</v>
      </c>
      <c r="M75" t="str">
        <f>INDEX('Draft Engine'!$X$3:$X$232,$P75)</f>
        <v>RATE-ADJUSTED VETERAN</v>
      </c>
      <c r="N75" t="str">
        <f>INDEX('LIVE SOURCE'!$H$3:$H$232,$P75)</f>
        <v>RB2/FLEX; useful weekly but role and receiving volume matter.</v>
      </c>
      <c r="O75" t="str">
        <f>INDEX('LIVE SOURCE'!$J$3:$J$232,$P75)</f>
        <v>Touchdown variance, receiving-role changes and backfield competition are the main downside paths.</v>
      </c>
      <c r="P75" s="6">
        <f>MATCH($A75,'Draft Engine'!$Q$3:$Q$232,0)</f>
        <v>58</v>
      </c>
    </row>
    <row r="76" spans="1:16" x14ac:dyDescent="0.25">
      <c r="A76">
        <f>74</f>
        <v>74</v>
      </c>
      <c r="B76" t="str">
        <f>INDEX('Draft Engine'!$A$3:$A$232,$P76)</f>
        <v>TE</v>
      </c>
      <c r="C76">
        <f>INDEX('Draft Engine'!$F$3:$F$232,$P76)</f>
        <v>12</v>
      </c>
      <c r="D76" t="str">
        <f>INDEX('Draft Engine'!$B$3:$B$232,$P76)</f>
        <v>Travis Kelce</v>
      </c>
      <c r="E76" s="4">
        <f>INDEX('Draft Engine'!$E$3:$E$232,$P76)</f>
        <v>81.747799999999998</v>
      </c>
      <c r="F76" t="str">
        <f t="shared" si="1"/>
        <v>TIER 3</v>
      </c>
      <c r="G76" s="4">
        <f>INDEX('Draft Engine'!$G$3:$G$232,$P76)</f>
        <v>186.1</v>
      </c>
      <c r="H76" s="4">
        <f>INDEX('Draft Engine'!$J$3:$J$232,$P76)</f>
        <v>6.4</v>
      </c>
      <c r="I76" s="4">
        <f>INDEX('Draft Engine'!$N$3:$N$232,$P76)</f>
        <v>66.997905384615393</v>
      </c>
      <c r="J76" s="4">
        <f>INDEX('Draft Engine'!$R$3:$R$232,$P76)</f>
        <v>108.7</v>
      </c>
      <c r="K76" s="4">
        <f>INDEX('Draft Engine'!$S$3:$S$232,$P76)</f>
        <v>34.700000000000003</v>
      </c>
      <c r="L76" t="str">
        <f>INDEX('Draft Engine'!$T$3:$T$232,$P76)</f>
        <v>A</v>
      </c>
      <c r="M76" t="str">
        <f>INDEX('Draft Engine'!$X$3:$X$232,$P76)</f>
        <v>RATE-ADJUSTED VETERAN</v>
      </c>
      <c r="N76" t="str">
        <f>INDEX('LIVE SOURCE'!$H$3:$H$232,$P76)</f>
        <v>Low-end TE1; startable but replacement options remain close.</v>
      </c>
      <c r="O76" t="str">
        <f>INDEX('LIVE SOURCE'!$J$3:$J$232,$P76)</f>
        <v>Route share, target volume and touchdown volatility are the main swing factors.</v>
      </c>
      <c r="P76" s="6">
        <f>MATCH($A76,'Draft Engine'!$Q$3:$Q$232,0)</f>
        <v>170</v>
      </c>
    </row>
    <row r="77" spans="1:16" x14ac:dyDescent="0.25">
      <c r="A77">
        <f>75</f>
        <v>75</v>
      </c>
      <c r="B77" t="str">
        <f>INDEX('Draft Engine'!$A$3:$A$232,$P77)</f>
        <v>QB</v>
      </c>
      <c r="C77">
        <f>INDEX('Draft Engine'!$F$3:$F$232,$P77)</f>
        <v>11</v>
      </c>
      <c r="D77" t="str">
        <f>INDEX('Draft Engine'!$B$3:$B$232,$P77)</f>
        <v>Bo Nix</v>
      </c>
      <c r="E77" s="4">
        <f>INDEX('Draft Engine'!$E$3:$E$232,$P77)</f>
        <v>85.248500000000007</v>
      </c>
      <c r="F77" t="str">
        <f t="shared" si="1"/>
        <v>TIER 2</v>
      </c>
      <c r="G77" s="4">
        <f>INDEX('Draft Engine'!$G$3:$G$232,$P77)</f>
        <v>353.6</v>
      </c>
      <c r="H77" s="4">
        <f>INDEX('Draft Engine'!$J$3:$J$232,$P77)</f>
        <v>2.5</v>
      </c>
      <c r="I77" s="4">
        <f>INDEX('Draft Engine'!$N$3:$N$232,$P77)</f>
        <v>66.64436730769232</v>
      </c>
      <c r="J77" s="4">
        <f>INDEX('Draft Engine'!$R$3:$R$232,$P77)</f>
        <v>121.5</v>
      </c>
      <c r="K77" s="4">
        <f>INDEX('Draft Engine'!$S$3:$S$232,$P77)</f>
        <v>46.5</v>
      </c>
      <c r="L77" t="str">
        <f>INDEX('Draft Engine'!$T$3:$T$232,$P77)</f>
        <v>A</v>
      </c>
      <c r="M77" t="str">
        <f>INDEX('Draft Engine'!$X$3:$X$232,$P77)</f>
        <v>RATE-ADJUSTED VETERAN</v>
      </c>
      <c r="N77" t="str">
        <f>INDEX('LIVE SOURCE'!$H$3:$H$232,$P77)</f>
        <v>Low-end QB1/high-end QB2 in a 10-team league; startable most weeks.</v>
      </c>
      <c r="O77" t="str">
        <f>INDEX('LIVE SOURCE'!$J$3:$J$232,$P77)</f>
        <v>Passing-TD efficiency, rushing volume and supporting-cast health are the main swing factors.</v>
      </c>
      <c r="P77" s="6">
        <f>MATCH($A77,'Draft Engine'!$Q$3:$Q$232,0)</f>
        <v>11</v>
      </c>
    </row>
    <row r="78" spans="1:16" x14ac:dyDescent="0.25">
      <c r="A78">
        <f>76</f>
        <v>76</v>
      </c>
      <c r="B78" t="str">
        <f>INDEX('Draft Engine'!$A$3:$A$232,$P78)</f>
        <v>WR</v>
      </c>
      <c r="C78">
        <f>INDEX('Draft Engine'!$F$3:$F$232,$P78)</f>
        <v>27</v>
      </c>
      <c r="D78" t="str">
        <f>INDEX('Draft Engine'!$B$3:$B$232,$P78)</f>
        <v>Jameson Williams</v>
      </c>
      <c r="E78" s="4">
        <f>INDEX('Draft Engine'!$E$3:$E$232,$P78)</f>
        <v>76.0625</v>
      </c>
      <c r="F78" t="str">
        <f t="shared" si="1"/>
        <v>TIER 4</v>
      </c>
      <c r="G78" s="4">
        <f>INDEX('Draft Engine'!$G$3:$G$232,$P78)</f>
        <v>249.5</v>
      </c>
      <c r="H78" s="4">
        <f>INDEX('Draft Engine'!$J$3:$J$232,$P78)</f>
        <v>10.199999999999999</v>
      </c>
      <c r="I78" s="4">
        <f>INDEX('Draft Engine'!$N$3:$N$232,$P78)</f>
        <v>66.503708333333336</v>
      </c>
      <c r="J78" s="4">
        <f>INDEX('Draft Engine'!$R$3:$R$232,$P78)</f>
        <v>45.8</v>
      </c>
      <c r="K78" s="4">
        <f>INDEX('Draft Engine'!$S$3:$S$232,$P78)</f>
        <v>-30.200000000000003</v>
      </c>
      <c r="L78" t="str">
        <f>INDEX('Draft Engine'!$T$3:$T$232,$P78)</f>
        <v>C</v>
      </c>
      <c r="M78" t="str">
        <f>INDEX('Draft Engine'!$X$3:$X$232,$P78)</f>
        <v>HISTORY FALLBACK</v>
      </c>
      <c r="N78" t="str">
        <f>INDEX('LIVE SOURCE'!$H$3:$H$232,$P78)</f>
        <v>WR2/FLEX; dependable lineup option with matchup-driven ceiling.</v>
      </c>
      <c r="O78" t="str">
        <f>INDEX('LIVE SOURCE'!$J$3:$J$232,$P78)</f>
        <v>Target competition, quarterback efficiency and touchdown regression are the main downside paths.</v>
      </c>
      <c r="P78" s="6">
        <f>MATCH($A78,'Draft Engine'!$Q$3:$Q$232,0)</f>
        <v>110</v>
      </c>
    </row>
    <row r="79" spans="1:16" x14ac:dyDescent="0.25">
      <c r="A79">
        <f>77</f>
        <v>77</v>
      </c>
      <c r="B79" t="str">
        <f>INDEX('Draft Engine'!$A$3:$A$232,$P79)</f>
        <v>RB</v>
      </c>
      <c r="C79">
        <f>INDEX('Draft Engine'!$F$3:$F$232,$P79)</f>
        <v>27</v>
      </c>
      <c r="D79" t="str">
        <f>INDEX('Draft Engine'!$B$3:$B$232,$P79)</f>
        <v>Rico Dowdle</v>
      </c>
      <c r="E79" s="4">
        <f>INDEX('Draft Engine'!$E$3:$E$232,$P79)</f>
        <v>75.785799999999995</v>
      </c>
      <c r="F79" t="str">
        <f t="shared" si="1"/>
        <v>TIER 4</v>
      </c>
      <c r="G79" s="4">
        <f>INDEX('Draft Engine'!$G$3:$G$232,$P79)</f>
        <v>248.3</v>
      </c>
      <c r="H79" s="4">
        <f>INDEX('Draft Engine'!$J$3:$J$232,$P79)</f>
        <v>9.3000000000000007</v>
      </c>
      <c r="I79" s="4">
        <f>INDEX('Draft Engine'!$N$3:$N$232,$P79)</f>
        <v>66.262439999999998</v>
      </c>
      <c r="J79" s="4">
        <f>INDEX('Draft Engine'!$R$3:$R$232,$P79)</f>
        <v>64.8</v>
      </c>
      <c r="K79" s="4">
        <f>INDEX('Draft Engine'!$S$3:$S$232,$P79)</f>
        <v>-12.200000000000003</v>
      </c>
      <c r="L79" t="str">
        <f>INDEX('Draft Engine'!$T$3:$T$232,$P79)</f>
        <v>A</v>
      </c>
      <c r="M79" t="str">
        <f>INDEX('Draft Engine'!$X$3:$X$232,$P79)</f>
        <v>RATE-ADJUSTED VETERAN</v>
      </c>
      <c r="N79" t="str">
        <f>INDEX('LIVE SOURCE'!$H$3:$H$232,$P79)</f>
        <v>RB2/FLEX; useful weekly but role and receiving volume matter.</v>
      </c>
      <c r="O79" t="str">
        <f>INDEX('LIVE SOURCE'!$J$3:$J$232,$P79)</f>
        <v>Touchdown variance, receiving-role changes and backfield competition are the main downside paths.</v>
      </c>
      <c r="P79" s="6">
        <f>MATCH($A79,'Draft Engine'!$Q$3:$Q$232,0)</f>
        <v>59</v>
      </c>
    </row>
    <row r="80" spans="1:16" x14ac:dyDescent="0.25">
      <c r="A80">
        <f>78</f>
        <v>78</v>
      </c>
      <c r="B80" t="str">
        <f>INDEX('Draft Engine'!$A$3:$A$232,$P80)</f>
        <v>QB</v>
      </c>
      <c r="C80">
        <f>INDEX('Draft Engine'!$F$3:$F$232,$P80)</f>
        <v>12</v>
      </c>
      <c r="D80" t="str">
        <f>INDEX('Draft Engine'!$B$3:$B$232,$P80)</f>
        <v>Dak Prescott</v>
      </c>
      <c r="E80" s="4">
        <f>INDEX('Draft Engine'!$E$3:$E$232,$P80)</f>
        <v>85.115600000000001</v>
      </c>
      <c r="F80" t="str">
        <f t="shared" si="1"/>
        <v>TIER 2</v>
      </c>
      <c r="G80" s="4">
        <f>INDEX('Draft Engine'!$G$3:$G$232,$P80)</f>
        <v>353</v>
      </c>
      <c r="H80" s="4">
        <f>INDEX('Draft Engine'!$J$3:$J$232,$P80)</f>
        <v>1.9</v>
      </c>
      <c r="I80" s="4">
        <f>INDEX('Draft Engine'!$N$3:$N$232,$P80)</f>
        <v>65.694041538461533</v>
      </c>
      <c r="J80" s="4">
        <f>INDEX('Draft Engine'!$R$3:$R$232,$P80)</f>
        <v>65.400000000000006</v>
      </c>
      <c r="K80" s="4">
        <f>INDEX('Draft Engine'!$S$3:$S$232,$P80)</f>
        <v>-12.599999999999994</v>
      </c>
      <c r="L80" t="str">
        <f>INDEX('Draft Engine'!$T$3:$T$232,$P80)</f>
        <v>A</v>
      </c>
      <c r="M80" t="str">
        <f>INDEX('Draft Engine'!$X$3:$X$232,$P80)</f>
        <v>RATE-ADJUSTED VETERAN</v>
      </c>
      <c r="N80" t="str">
        <f>INDEX('LIVE SOURCE'!$H$3:$H$232,$P80)</f>
        <v>Low-end QB1/high-end QB2 in a 10-team league; startable most weeks.</v>
      </c>
      <c r="O80" t="str">
        <f>INDEX('LIVE SOURCE'!$J$3:$J$232,$P80)</f>
        <v>Passing-TD efficiency, rushing volume and supporting-cast health are the main swing factors.</v>
      </c>
      <c r="P80" s="6">
        <f>MATCH($A80,'Draft Engine'!$Q$3:$Q$232,0)</f>
        <v>12</v>
      </c>
    </row>
    <row r="81" spans="1:16" x14ac:dyDescent="0.25">
      <c r="A81">
        <f>79</f>
        <v>79</v>
      </c>
      <c r="B81" t="str">
        <f>INDEX('Draft Engine'!$A$3:$A$232,$P81)</f>
        <v>WR</v>
      </c>
      <c r="C81">
        <f>INDEX('Draft Engine'!$F$3:$F$232,$P81)</f>
        <v>28</v>
      </c>
      <c r="D81" t="str">
        <f>INDEX('Draft Engine'!$B$3:$B$232,$P81)</f>
        <v>Michael Pittman Jr.</v>
      </c>
      <c r="E81" s="4">
        <f>INDEX('Draft Engine'!$E$3:$E$232,$P81)</f>
        <v>75.55</v>
      </c>
      <c r="F81" t="str">
        <f t="shared" si="1"/>
        <v>TIER 4</v>
      </c>
      <c r="G81" s="4">
        <f>INDEX('Draft Engine'!$G$3:$G$232,$P81)</f>
        <v>247.3</v>
      </c>
      <c r="H81" s="4">
        <f>INDEX('Draft Engine'!$J$3:$J$232,$P81)</f>
        <v>8</v>
      </c>
      <c r="I81" s="4">
        <f>INDEX('Draft Engine'!$N$3:$N$232,$P81)</f>
        <v>65.492500000000007</v>
      </c>
      <c r="J81" s="4">
        <f>INDEX('Draft Engine'!$R$3:$R$232,$P81)</f>
        <v>72.2</v>
      </c>
      <c r="K81" s="4">
        <f>INDEX('Draft Engine'!$S$3:$S$232,$P81)</f>
        <v>-6.7999999999999972</v>
      </c>
      <c r="L81" t="str">
        <f>INDEX('Draft Engine'!$T$3:$T$232,$P81)</f>
        <v>C</v>
      </c>
      <c r="M81" t="str">
        <f>INDEX('Draft Engine'!$X$3:$X$232,$P81)</f>
        <v>HISTORY FALLBACK</v>
      </c>
      <c r="N81" t="str">
        <f>INDEX('LIVE SOURCE'!$H$3:$H$232,$P81)</f>
        <v>WR2/FLEX; dependable lineup option with matchup-driven ceiling.</v>
      </c>
      <c r="O81" t="str">
        <f>INDEX('LIVE SOURCE'!$J$3:$J$232,$P81)</f>
        <v>Target competition, quarterback efficiency and touchdown regression are the main downside paths.</v>
      </c>
      <c r="P81" s="6">
        <f>MATCH($A81,'Draft Engine'!$Q$3:$Q$232,0)</f>
        <v>120</v>
      </c>
    </row>
    <row r="82" spans="1:16" x14ac:dyDescent="0.25">
      <c r="A82">
        <f>80</f>
        <v>80</v>
      </c>
      <c r="B82" t="str">
        <f>INDEX('Draft Engine'!$A$3:$A$232,$P82)</f>
        <v>WR</v>
      </c>
      <c r="C82">
        <f>INDEX('Draft Engine'!$F$3:$F$232,$P82)</f>
        <v>29</v>
      </c>
      <c r="D82" t="str">
        <f>INDEX('Draft Engine'!$B$3:$B$232,$P82)</f>
        <v>DJ Moore</v>
      </c>
      <c r="E82" s="4">
        <f>INDEX('Draft Engine'!$E$3:$E$232,$P82)</f>
        <v>75.48</v>
      </c>
      <c r="F82" t="str">
        <f t="shared" si="1"/>
        <v>TIER 4</v>
      </c>
      <c r="G82" s="4">
        <f>INDEX('Draft Engine'!$G$3:$G$232,$P82)</f>
        <v>247</v>
      </c>
      <c r="H82" s="4">
        <f>INDEX('Draft Engine'!$J$3:$J$232,$P82)</f>
        <v>7.7</v>
      </c>
      <c r="I82" s="4">
        <f>INDEX('Draft Engine'!$N$3:$N$232,$P82)</f>
        <v>65.066666666666677</v>
      </c>
      <c r="J82" s="4">
        <f>INDEX('Draft Engine'!$R$3:$R$232,$P82)</f>
        <v>52.9</v>
      </c>
      <c r="K82" s="4">
        <f>INDEX('Draft Engine'!$S$3:$S$232,$P82)</f>
        <v>-27.1</v>
      </c>
      <c r="L82" t="str">
        <f>INDEX('Draft Engine'!$T$3:$T$232,$P82)</f>
        <v>C</v>
      </c>
      <c r="M82" t="str">
        <f>INDEX('Draft Engine'!$X$3:$X$232,$P82)</f>
        <v>HISTORY FALLBACK</v>
      </c>
      <c r="N82" t="str">
        <f>INDEX('LIVE SOURCE'!$H$3:$H$232,$P82)</f>
        <v>WR2/FLEX; dependable lineup option with matchup-driven ceiling.</v>
      </c>
      <c r="O82" t="str">
        <f>INDEX('LIVE SOURCE'!$J$3:$J$232,$P82)</f>
        <v>Target competition, quarterback efficiency and touchdown regression are the main downside paths.</v>
      </c>
      <c r="P82" s="6">
        <f>MATCH($A82,'Draft Engine'!$Q$3:$Q$232,0)</f>
        <v>109</v>
      </c>
    </row>
    <row r="83" spans="1:16" x14ac:dyDescent="0.25">
      <c r="A83">
        <f>81</f>
        <v>81</v>
      </c>
      <c r="B83" t="str">
        <f>INDEX('Draft Engine'!$A$3:$A$232,$P83)</f>
        <v>RB</v>
      </c>
      <c r="C83">
        <f>INDEX('Draft Engine'!$F$3:$F$232,$P83)</f>
        <v>28</v>
      </c>
      <c r="D83" t="str">
        <f>INDEX('Draft Engine'!$B$3:$B$232,$P83)</f>
        <v>Tony Pollard</v>
      </c>
      <c r="E83" s="4">
        <f>INDEX('Draft Engine'!$E$3:$E$232,$P83)</f>
        <v>75.098600000000005</v>
      </c>
      <c r="F83" t="str">
        <f t="shared" si="1"/>
        <v>TIER 4</v>
      </c>
      <c r="G83" s="4">
        <f>INDEX('Draft Engine'!$G$3:$G$232,$P83)</f>
        <v>245.4</v>
      </c>
      <c r="H83" s="4">
        <f>INDEX('Draft Engine'!$J$3:$J$232,$P83)</f>
        <v>6.4</v>
      </c>
      <c r="I83" s="4">
        <f>INDEX('Draft Engine'!$N$3:$N$232,$P83)</f>
        <v>65.003105000000005</v>
      </c>
      <c r="J83" s="4">
        <f>INDEX('Draft Engine'!$R$3:$R$232,$P83)</f>
        <v>65.5</v>
      </c>
      <c r="K83" s="4">
        <f>INDEX('Draft Engine'!$S$3:$S$232,$P83)</f>
        <v>-15.5</v>
      </c>
      <c r="L83" t="str">
        <f>INDEX('Draft Engine'!$T$3:$T$232,$P83)</f>
        <v>A</v>
      </c>
      <c r="M83" t="str">
        <f>INDEX('Draft Engine'!$X$3:$X$232,$P83)</f>
        <v>RATE-ADJUSTED VETERAN</v>
      </c>
      <c r="N83" t="str">
        <f>INDEX('LIVE SOURCE'!$H$3:$H$232,$P83)</f>
        <v>RB2/FLEX; useful weekly but role and receiving volume matter.</v>
      </c>
      <c r="O83" t="str">
        <f>INDEX('LIVE SOURCE'!$J$3:$J$232,$P83)</f>
        <v>Touchdown variance, receiving-role changes and backfield competition are the main downside paths.</v>
      </c>
      <c r="P83" s="6">
        <f>MATCH($A83,'Draft Engine'!$Q$3:$Q$232,0)</f>
        <v>60</v>
      </c>
    </row>
    <row r="84" spans="1:16" x14ac:dyDescent="0.25">
      <c r="A84">
        <f>82</f>
        <v>82</v>
      </c>
      <c r="B84" t="str">
        <f>INDEX('Draft Engine'!$A$3:$A$232,$P84)</f>
        <v>QB</v>
      </c>
      <c r="C84">
        <f>INDEX('Draft Engine'!$F$3:$F$232,$P84)</f>
        <v>13</v>
      </c>
      <c r="D84" t="str">
        <f>INDEX('Draft Engine'!$B$3:$B$232,$P84)</f>
        <v>Trevor Lawrence</v>
      </c>
      <c r="E84" s="4">
        <f>INDEX('Draft Engine'!$E$3:$E$232,$P84)</f>
        <v>84.692099999999996</v>
      </c>
      <c r="F84" t="str">
        <f t="shared" si="1"/>
        <v>TIER 3</v>
      </c>
      <c r="G84" s="4">
        <f>INDEX('Draft Engine'!$G$3:$G$232,$P84)</f>
        <v>351.1</v>
      </c>
      <c r="H84" s="4">
        <f>INDEX('Draft Engine'!$J$3:$J$232,$P84)</f>
        <v>0</v>
      </c>
      <c r="I84" s="4">
        <f>INDEX('Draft Engine'!$N$3:$N$232,$P84)</f>
        <v>64.349885769230767</v>
      </c>
      <c r="J84" s="4">
        <f>INDEX('Draft Engine'!$R$3:$R$232,$P84)</f>
        <v>89.6</v>
      </c>
      <c r="K84" s="4">
        <f>INDEX('Draft Engine'!$S$3:$S$232,$P84)</f>
        <v>7.5999999999999943</v>
      </c>
      <c r="L84" t="str">
        <f>INDEX('Draft Engine'!$T$3:$T$232,$P84)</f>
        <v>A</v>
      </c>
      <c r="M84" t="str">
        <f>INDEX('Draft Engine'!$X$3:$X$232,$P84)</f>
        <v>RATE-ADJUSTED VETERAN</v>
      </c>
      <c r="N84" t="str">
        <f>INDEX('LIVE SOURCE'!$H$3:$H$232,$P84)</f>
        <v>QB2/streaming tier; useful when matchup and supporting cast line up.</v>
      </c>
      <c r="O84" t="str">
        <f>INDEX('LIVE SOURCE'!$J$3:$J$232,$P84)</f>
        <v>Passing-TD efficiency, rushing volume and supporting-cast health are the main swing factors.</v>
      </c>
      <c r="P84" s="6">
        <f>MATCH($A84,'Draft Engine'!$Q$3:$Q$232,0)</f>
        <v>13</v>
      </c>
    </row>
    <row r="85" spans="1:16" x14ac:dyDescent="0.25">
      <c r="A85">
        <f>83</f>
        <v>83</v>
      </c>
      <c r="B85" t="str">
        <f>INDEX('Draft Engine'!$A$3:$A$232,$P85)</f>
        <v>TE</v>
      </c>
      <c r="C85">
        <f>INDEX('Draft Engine'!$F$3:$F$232,$P85)</f>
        <v>13</v>
      </c>
      <c r="D85" t="str">
        <f>INDEX('Draft Engine'!$B$3:$B$232,$P85)</f>
        <v>Dallas Goedert</v>
      </c>
      <c r="E85" s="4">
        <f>INDEX('Draft Engine'!$E$3:$E$232,$P85)</f>
        <v>79.918099999999995</v>
      </c>
      <c r="F85" t="str">
        <f t="shared" si="1"/>
        <v>TIER 4</v>
      </c>
      <c r="G85" s="4">
        <f>INDEX('Draft Engine'!$G$3:$G$232,$P85)</f>
        <v>179.7</v>
      </c>
      <c r="H85" s="4">
        <f>INDEX('Draft Engine'!$J$3:$J$232,$P85)</f>
        <v>0</v>
      </c>
      <c r="I85" s="4">
        <f>INDEX('Draft Engine'!$N$3:$N$232,$P85)</f>
        <v>64.147262692307692</v>
      </c>
      <c r="J85" s="4">
        <f>INDEX('Draft Engine'!$R$3:$R$232,$P85)</f>
        <v>103.9</v>
      </c>
      <c r="K85" s="4">
        <f>INDEX('Draft Engine'!$S$3:$S$232,$P85)</f>
        <v>20.900000000000006</v>
      </c>
      <c r="L85" t="str">
        <f>INDEX('Draft Engine'!$T$3:$T$232,$P85)</f>
        <v>A</v>
      </c>
      <c r="M85" t="str">
        <f>INDEX('Draft Engine'!$X$3:$X$232,$P85)</f>
        <v>RATE-ADJUSTED VETERAN</v>
      </c>
      <c r="N85" t="str">
        <f>INDEX('LIVE SOURCE'!$H$3:$H$232,$P85)</f>
        <v>Streaming/TE2 range; touchdown and route volume drive usefulness.</v>
      </c>
      <c r="O85" t="str">
        <f>INDEX('LIVE SOURCE'!$J$3:$J$232,$P85)</f>
        <v>Route share, target volume and touchdown volatility are the main swing factors.</v>
      </c>
      <c r="P85" s="6">
        <f>MATCH($A85,'Draft Engine'!$Q$3:$Q$232,0)</f>
        <v>171</v>
      </c>
    </row>
    <row r="86" spans="1:16" x14ac:dyDescent="0.25">
      <c r="A86">
        <f>84</f>
        <v>84</v>
      </c>
      <c r="B86" t="str">
        <f>INDEX('Draft Engine'!$A$3:$A$232,$P86)</f>
        <v>RB</v>
      </c>
      <c r="C86">
        <f>INDEX('Draft Engine'!$F$3:$F$232,$P86)</f>
        <v>29</v>
      </c>
      <c r="D86" t="str">
        <f>INDEX('Draft Engine'!$B$3:$B$232,$P86)</f>
        <v>Rhamondre Stevenson</v>
      </c>
      <c r="E86" s="4">
        <f>INDEX('Draft Engine'!$E$3:$E$232,$P86)</f>
        <v>74.588099999999997</v>
      </c>
      <c r="F86" t="str">
        <f t="shared" si="1"/>
        <v>TIER 5</v>
      </c>
      <c r="G86" s="4">
        <f>INDEX('Draft Engine'!$G$3:$G$232,$P86)</f>
        <v>243.3</v>
      </c>
      <c r="H86" s="4">
        <f>INDEX('Draft Engine'!$J$3:$J$232,$P86)</f>
        <v>4.3</v>
      </c>
      <c r="I86" s="4">
        <f>INDEX('Draft Engine'!$N$3:$N$232,$P86)</f>
        <v>63.984954999999999</v>
      </c>
      <c r="J86" s="4">
        <f>INDEX('Draft Engine'!$R$3:$R$232,$P86)</f>
        <v>72.3</v>
      </c>
      <c r="K86" s="4">
        <f>INDEX('Draft Engine'!$S$3:$S$232,$P86)</f>
        <v>-11.700000000000003</v>
      </c>
      <c r="L86" t="str">
        <f>INDEX('Draft Engine'!$T$3:$T$232,$P86)</f>
        <v>A</v>
      </c>
      <c r="M86" t="str">
        <f>INDEX('Draft Engine'!$X$3:$X$232,$P86)</f>
        <v>RATE-ADJUSTED VETERAN</v>
      </c>
      <c r="N86" t="str">
        <f>INDEX('LIVE SOURCE'!$H$3:$H$232,$P86)</f>
        <v>RB2/FLEX; useful weekly but role and receiving volume matter.</v>
      </c>
      <c r="O86" t="str">
        <f>INDEX('LIVE SOURCE'!$J$3:$J$232,$P86)</f>
        <v>Touchdown variance, receiving-role changes and backfield competition are the main downside paths.</v>
      </c>
      <c r="P86" s="6">
        <f>MATCH($A86,'Draft Engine'!$Q$3:$Q$232,0)</f>
        <v>61</v>
      </c>
    </row>
    <row r="87" spans="1:16" x14ac:dyDescent="0.25">
      <c r="A87">
        <f>85</f>
        <v>85</v>
      </c>
      <c r="B87" t="str">
        <f>INDEX('Draft Engine'!$A$3:$A$232,$P87)</f>
        <v>WR</v>
      </c>
      <c r="C87">
        <f>INDEX('Draft Engine'!$F$3:$F$232,$P87)</f>
        <v>30</v>
      </c>
      <c r="D87" t="str">
        <f>INDEX('Draft Engine'!$B$3:$B$232,$P87)</f>
        <v>Jakobi Meyers</v>
      </c>
      <c r="E87" s="4">
        <f>INDEX('Draft Engine'!$E$3:$E$232,$P87)</f>
        <v>74.88</v>
      </c>
      <c r="F87" t="str">
        <f t="shared" si="1"/>
        <v>TIER 5</v>
      </c>
      <c r="G87" s="4">
        <f>INDEX('Draft Engine'!$G$3:$G$232,$P87)</f>
        <v>244.5</v>
      </c>
      <c r="H87" s="4">
        <f>INDEX('Draft Engine'!$J$3:$J$232,$P87)</f>
        <v>5.2</v>
      </c>
      <c r="I87" s="4">
        <f>INDEX('Draft Engine'!$N$3:$N$232,$P87)</f>
        <v>63.953333333333333</v>
      </c>
      <c r="J87" s="4">
        <f>INDEX('Draft Engine'!$R$3:$R$232,$P87)</f>
        <v>75.599999999999994</v>
      </c>
      <c r="K87" s="4">
        <f>INDEX('Draft Engine'!$S$3:$S$232,$P87)</f>
        <v>-9.4000000000000057</v>
      </c>
      <c r="L87" t="str">
        <f>INDEX('Draft Engine'!$T$3:$T$232,$P87)</f>
        <v>C</v>
      </c>
      <c r="M87" t="str">
        <f>INDEX('Draft Engine'!$X$3:$X$232,$P87)</f>
        <v>HISTORY FALLBACK</v>
      </c>
      <c r="N87" t="str">
        <f>INDEX('LIVE SOURCE'!$H$3:$H$232,$P87)</f>
        <v>WR2/FLEX; dependable lineup option with matchup-driven ceiling.</v>
      </c>
      <c r="O87" t="str">
        <f>INDEX('LIVE SOURCE'!$J$3:$J$232,$P87)</f>
        <v>Target competition, quarterback efficiency and touchdown regression are the main downside paths.</v>
      </c>
      <c r="P87" s="6">
        <f>MATCH($A87,'Draft Engine'!$Q$3:$Q$232,0)</f>
        <v>121</v>
      </c>
    </row>
    <row r="88" spans="1:16" x14ac:dyDescent="0.25">
      <c r="A88">
        <f>86</f>
        <v>86</v>
      </c>
      <c r="B88" t="str">
        <f>INDEX('Draft Engine'!$A$3:$A$232,$P88)</f>
        <v>RB</v>
      </c>
      <c r="C88">
        <f>INDEX('Draft Engine'!$F$3:$F$232,$P88)</f>
        <v>30</v>
      </c>
      <c r="D88" t="str">
        <f>INDEX('Draft Engine'!$B$3:$B$232,$P88)</f>
        <v>Kenneth Gainwell</v>
      </c>
      <c r="E88" s="4">
        <f>INDEX('Draft Engine'!$E$3:$E$232,$P88)</f>
        <v>74.504900000000006</v>
      </c>
      <c r="F88" t="str">
        <f t="shared" si="1"/>
        <v>TIER 5</v>
      </c>
      <c r="G88" s="4">
        <f>INDEX('Draft Engine'!$G$3:$G$232,$P88)</f>
        <v>242.9</v>
      </c>
      <c r="H88" s="4">
        <f>INDEX('Draft Engine'!$J$3:$J$232,$P88)</f>
        <v>3.9</v>
      </c>
      <c r="I88" s="4">
        <f>INDEX('Draft Engine'!$N$3:$N$232,$P88)</f>
        <v>63.507820000000002</v>
      </c>
      <c r="J88" s="4">
        <f>INDEX('Draft Engine'!$R$3:$R$232,$P88)</f>
        <v>123.8</v>
      </c>
      <c r="K88" s="4">
        <f>INDEX('Draft Engine'!$S$3:$S$232,$P88)</f>
        <v>37.799999999999997</v>
      </c>
      <c r="L88" t="str">
        <f>INDEX('Draft Engine'!$T$3:$T$232,$P88)</f>
        <v>A</v>
      </c>
      <c r="M88" t="str">
        <f>INDEX('Draft Engine'!$X$3:$X$232,$P88)</f>
        <v>RATE-ADJUSTED VETERAN</v>
      </c>
      <c r="N88" t="str">
        <f>INDEX('LIVE SOURCE'!$H$3:$H$232,$P88)</f>
        <v>RB2/FLEX; useful weekly but role and receiving volume matter.</v>
      </c>
      <c r="O88" t="str">
        <f>INDEX('LIVE SOURCE'!$J$3:$J$232,$P88)</f>
        <v>Touchdown variance, receiving-role changes and backfield competition are the main downside paths.</v>
      </c>
      <c r="P88" s="6">
        <f>MATCH($A88,'Draft Engine'!$Q$3:$Q$232,0)</f>
        <v>62</v>
      </c>
    </row>
    <row r="89" spans="1:16" x14ac:dyDescent="0.25">
      <c r="A89">
        <f>87</f>
        <v>87</v>
      </c>
      <c r="B89" t="str">
        <f>INDEX('Draft Engine'!$A$3:$A$232,$P89)</f>
        <v>RB</v>
      </c>
      <c r="C89">
        <f>INDEX('Draft Engine'!$F$3:$F$232,$P89)</f>
        <v>31</v>
      </c>
      <c r="D89" t="str">
        <f>INDEX('Draft Engine'!$B$3:$B$232,$P89)</f>
        <v>Bhayshul Tuten</v>
      </c>
      <c r="E89" s="4">
        <f>INDEX('Draft Engine'!$E$3:$E$232,$P89)</f>
        <v>74.467699999999994</v>
      </c>
      <c r="F89" t="str">
        <f t="shared" si="1"/>
        <v>TIER 5</v>
      </c>
      <c r="G89" s="4">
        <f>INDEX('Draft Engine'!$G$3:$G$232,$P89)</f>
        <v>242.8</v>
      </c>
      <c r="H89" s="4">
        <f>INDEX('Draft Engine'!$J$3:$J$232,$P89)</f>
        <v>3.8</v>
      </c>
      <c r="I89" s="4">
        <f>INDEX('Draft Engine'!$N$3:$N$232,$P89)</f>
        <v>63.109984999999995</v>
      </c>
      <c r="J89" s="4">
        <f>INDEX('Draft Engine'!$R$3:$R$232,$P89)</f>
        <v>52.3</v>
      </c>
      <c r="K89" s="4">
        <f>INDEX('Draft Engine'!$S$3:$S$232,$P89)</f>
        <v>-34.700000000000003</v>
      </c>
      <c r="L89" t="str">
        <f>INDEX('Draft Engine'!$T$3:$T$232,$P89)</f>
        <v>A</v>
      </c>
      <c r="M89" t="str">
        <f>INDEX('Draft Engine'!$X$3:$X$232,$P89)</f>
        <v>RATE-ADJUSTED VETERAN</v>
      </c>
      <c r="N89" t="str">
        <f>INDEX('LIVE SOURCE'!$H$3:$H$232,$P89)</f>
        <v>FLEX/bench depth with upside if workload grows.</v>
      </c>
      <c r="O89" t="str">
        <f>INDEX('LIVE SOURCE'!$J$3:$J$232,$P89)</f>
        <v>Touchdown variance, receiving-role changes and backfield competition are the main downside paths.</v>
      </c>
      <c r="P89" s="6">
        <f>MATCH($A89,'Draft Engine'!$Q$3:$Q$232,0)</f>
        <v>63</v>
      </c>
    </row>
    <row r="90" spans="1:16" x14ac:dyDescent="0.25">
      <c r="A90">
        <f>88</f>
        <v>88</v>
      </c>
      <c r="B90" t="str">
        <f>INDEX('Draft Engine'!$A$3:$A$232,$P90)</f>
        <v>WR</v>
      </c>
      <c r="C90">
        <f>INDEX('Draft Engine'!$F$3:$F$232,$P90)</f>
        <v>31</v>
      </c>
      <c r="D90" t="str">
        <f>INDEX('Draft Engine'!$B$3:$B$232,$P90)</f>
        <v>Jordan Addison</v>
      </c>
      <c r="E90" s="4">
        <f>INDEX('Draft Engine'!$E$3:$E$232,$P90)</f>
        <v>74.209999999999994</v>
      </c>
      <c r="F90" t="str">
        <f t="shared" si="1"/>
        <v>TIER 5</v>
      </c>
      <c r="G90" s="4">
        <f>INDEX('Draft Engine'!$G$3:$G$232,$P90)</f>
        <v>241.7</v>
      </c>
      <c r="H90" s="4">
        <f>INDEX('Draft Engine'!$J$3:$J$232,$P90)</f>
        <v>2.4</v>
      </c>
      <c r="I90" s="4">
        <f>INDEX('Draft Engine'!$N$3:$N$232,$P90)</f>
        <v>62.747500000000002</v>
      </c>
      <c r="J90" s="4">
        <f>INDEX('Draft Engine'!$R$3:$R$232,$P90)</f>
        <v>103.3</v>
      </c>
      <c r="K90" s="4">
        <f>INDEX('Draft Engine'!$S$3:$S$232,$P90)</f>
        <v>15.299999999999997</v>
      </c>
      <c r="L90" t="str">
        <f>INDEX('Draft Engine'!$T$3:$T$232,$P90)</f>
        <v>C</v>
      </c>
      <c r="M90" t="str">
        <f>INDEX('Draft Engine'!$X$3:$X$232,$P90)</f>
        <v>HISTORY FALLBACK</v>
      </c>
      <c r="N90" t="str">
        <f>INDEX('LIVE SOURCE'!$H$3:$H$232,$P90)</f>
        <v>WR2/FLEX; dependable lineup option with matchup-driven ceiling.</v>
      </c>
      <c r="O90" t="str">
        <f>INDEX('LIVE SOURCE'!$J$3:$J$232,$P90)</f>
        <v>Target competition, quarterback efficiency and touchdown regression are the main downside paths.</v>
      </c>
      <c r="P90" s="6">
        <f>MATCH($A90,'Draft Engine'!$Q$3:$Q$232,0)</f>
        <v>122</v>
      </c>
    </row>
    <row r="91" spans="1:16" x14ac:dyDescent="0.25">
      <c r="A91">
        <f>89</f>
        <v>89</v>
      </c>
      <c r="B91" t="str">
        <f>INDEX('Draft Engine'!$A$3:$A$232,$P91)</f>
        <v>TE</v>
      </c>
      <c r="C91">
        <f>INDEX('Draft Engine'!$F$3:$F$232,$P91)</f>
        <v>14</v>
      </c>
      <c r="D91" t="str">
        <f>INDEX('Draft Engine'!$B$3:$B$232,$P91)</f>
        <v>Mark Andrews</v>
      </c>
      <c r="E91" s="4">
        <f>INDEX('Draft Engine'!$E$3:$E$232,$P91)</f>
        <v>79.065399999999997</v>
      </c>
      <c r="F91" t="str">
        <f t="shared" si="1"/>
        <v>TIER 4</v>
      </c>
      <c r="G91" s="4">
        <f>INDEX('Draft Engine'!$G$3:$G$232,$P91)</f>
        <v>176.7</v>
      </c>
      <c r="H91" s="4">
        <f>INDEX('Draft Engine'!$J$3:$J$232,$P91)</f>
        <v>-3</v>
      </c>
      <c r="I91" s="4">
        <f>INDEX('Draft Engine'!$N$3:$N$232,$P91)</f>
        <v>62.445970000000003</v>
      </c>
      <c r="J91" s="4">
        <f>INDEX('Draft Engine'!$R$3:$R$232,$P91)</f>
        <v>145</v>
      </c>
      <c r="K91" s="4">
        <f>INDEX('Draft Engine'!$S$3:$S$232,$P91)</f>
        <v>56</v>
      </c>
      <c r="L91" t="str">
        <f>INDEX('Draft Engine'!$T$3:$T$232,$P91)</f>
        <v>A</v>
      </c>
      <c r="M91" t="str">
        <f>INDEX('Draft Engine'!$X$3:$X$232,$P91)</f>
        <v>RATE-ADJUSTED VETERAN</v>
      </c>
      <c r="N91" t="str">
        <f>INDEX('LIVE SOURCE'!$H$3:$H$232,$P91)</f>
        <v>Streaming/TE2 range; touchdown and route volume drive usefulness.</v>
      </c>
      <c r="O91" t="str">
        <f>INDEX('LIVE SOURCE'!$J$3:$J$232,$P91)</f>
        <v>Route share, target volume and touchdown volatility are the main swing factors.</v>
      </c>
      <c r="P91" s="6">
        <f>MATCH($A91,'Draft Engine'!$Q$3:$Q$232,0)</f>
        <v>172</v>
      </c>
    </row>
    <row r="92" spans="1:16" x14ac:dyDescent="0.25">
      <c r="A92">
        <f>90</f>
        <v>90</v>
      </c>
      <c r="B92" t="str">
        <f>INDEX('Draft Engine'!$A$3:$A$232,$P92)</f>
        <v>QB</v>
      </c>
      <c r="C92">
        <f>INDEX('Draft Engine'!$F$3:$F$232,$P92)</f>
        <v>14</v>
      </c>
      <c r="D92" t="str">
        <f>INDEX('Draft Engine'!$B$3:$B$232,$P92)</f>
        <v>Brock Purdy</v>
      </c>
      <c r="E92" s="4">
        <f>INDEX('Draft Engine'!$E$3:$E$232,$P92)</f>
        <v>83.8386</v>
      </c>
      <c r="F92" t="str">
        <f t="shared" si="1"/>
        <v>TIER 3</v>
      </c>
      <c r="G92" s="4">
        <f>INDEX('Draft Engine'!$G$3:$G$232,$P92)</f>
        <v>347.3</v>
      </c>
      <c r="H92" s="4">
        <f>INDEX('Draft Engine'!$J$3:$J$232,$P92)</f>
        <v>-3.8</v>
      </c>
      <c r="I92" s="4">
        <f>INDEX('Draft Engine'!$N$3:$N$232,$P92)</f>
        <v>62.427230000000009</v>
      </c>
      <c r="J92" s="4">
        <f>INDEX('Draft Engine'!$R$3:$R$232,$P92)</f>
        <v>75.7</v>
      </c>
      <c r="K92" s="4">
        <f>INDEX('Draft Engine'!$S$3:$S$232,$P92)</f>
        <v>-14.299999999999997</v>
      </c>
      <c r="L92" t="str">
        <f>INDEX('Draft Engine'!$T$3:$T$232,$P92)</f>
        <v>B</v>
      </c>
      <c r="M92" t="str">
        <f>INDEX('Draft Engine'!$X$3:$X$232,$P92)</f>
        <v>RATE-ADJUSTED VETERAN</v>
      </c>
      <c r="N92" t="str">
        <f>INDEX('LIVE SOURCE'!$H$3:$H$232,$P92)</f>
        <v>QB2/streaming tier; useful when matchup and supporting cast line up.</v>
      </c>
      <c r="O92" t="str">
        <f>INDEX('LIVE SOURCE'!$J$3:$J$232,$P92)</f>
        <v>Availability/sample risk is elevated after only 9 games; talent is not being punished as heavily as durability.</v>
      </c>
      <c r="P92" s="6">
        <f>MATCH($A92,'Draft Engine'!$Q$3:$Q$232,0)</f>
        <v>14</v>
      </c>
    </row>
    <row r="93" spans="1:16" x14ac:dyDescent="0.25">
      <c r="A93">
        <f>91</f>
        <v>91</v>
      </c>
      <c r="B93" t="str">
        <f>INDEX('Draft Engine'!$A$3:$A$232,$P93)</f>
        <v>WR</v>
      </c>
      <c r="C93">
        <f>INDEX('Draft Engine'!$F$3:$F$232,$P93)</f>
        <v>32</v>
      </c>
      <c r="D93" t="str">
        <f>INDEX('Draft Engine'!$B$3:$B$232,$P93)</f>
        <v>Christian Watson</v>
      </c>
      <c r="E93" s="4">
        <f>INDEX('Draft Engine'!$E$3:$E$232,$P93)</f>
        <v>73.892499999999998</v>
      </c>
      <c r="F93" t="str">
        <f t="shared" si="1"/>
        <v>TIER 5</v>
      </c>
      <c r="G93" s="4">
        <f>INDEX('Draft Engine'!$G$3:$G$232,$P93)</f>
        <v>240.3</v>
      </c>
      <c r="H93" s="4">
        <f>INDEX('Draft Engine'!$J$3:$J$232,$P93)</f>
        <v>1</v>
      </c>
      <c r="I93" s="4">
        <f>INDEX('Draft Engine'!$N$3:$N$232,$P93)</f>
        <v>61.987541666666665</v>
      </c>
      <c r="J93" s="4">
        <f>INDEX('Draft Engine'!$R$3:$R$232,$P93)</f>
        <v>70.900000000000006</v>
      </c>
      <c r="K93" s="4">
        <f>INDEX('Draft Engine'!$S$3:$S$232,$P93)</f>
        <v>-20.099999999999994</v>
      </c>
      <c r="L93" t="str">
        <f>INDEX('Draft Engine'!$T$3:$T$232,$P93)</f>
        <v>C</v>
      </c>
      <c r="M93" t="str">
        <f>INDEX('Draft Engine'!$X$3:$X$232,$P93)</f>
        <v>HISTORY FALLBACK</v>
      </c>
      <c r="N93" t="str">
        <f>INDEX('LIVE SOURCE'!$H$3:$H$232,$P93)</f>
        <v>WR2/FLEX; dependable lineup option with matchup-driven ceiling.</v>
      </c>
      <c r="O93" t="str">
        <f>INDEX('LIVE SOURCE'!$J$3:$J$232,$P93)</f>
        <v>Target competition, quarterback efficiency and touchdown regression are the main downside paths.</v>
      </c>
      <c r="P93" s="6">
        <f>MATCH($A93,'Draft Engine'!$Q$3:$Q$232,0)</f>
        <v>114</v>
      </c>
    </row>
    <row r="94" spans="1:16" x14ac:dyDescent="0.25">
      <c r="A94">
        <f>92</f>
        <v>92</v>
      </c>
      <c r="B94" t="str">
        <f>INDEX('Draft Engine'!$A$3:$A$232,$P94)</f>
        <v>RB</v>
      </c>
      <c r="C94">
        <f>INDEX('Draft Engine'!$F$3:$F$232,$P94)</f>
        <v>32</v>
      </c>
      <c r="D94" t="str">
        <f>INDEX('Draft Engine'!$B$3:$B$232,$P94)</f>
        <v>RJ Harvey</v>
      </c>
      <c r="E94" s="4">
        <f>INDEX('Draft Engine'!$E$3:$E$232,$P94)</f>
        <v>73.567800000000005</v>
      </c>
      <c r="F94" t="str">
        <f t="shared" si="1"/>
        <v>TIER 5</v>
      </c>
      <c r="G94" s="4">
        <f>INDEX('Draft Engine'!$G$3:$G$232,$P94)</f>
        <v>239</v>
      </c>
      <c r="H94" s="4">
        <f>INDEX('Draft Engine'!$J$3:$J$232,$P94)</f>
        <v>0</v>
      </c>
      <c r="I94" s="4">
        <f>INDEX('Draft Engine'!$N$3:$N$232,$P94)</f>
        <v>61.571665000000003</v>
      </c>
      <c r="J94" s="4">
        <f>INDEX('Draft Engine'!$R$3:$R$232,$P94)</f>
        <v>82.6</v>
      </c>
      <c r="K94" s="4">
        <f>INDEX('Draft Engine'!$S$3:$S$232,$P94)</f>
        <v>-9.4000000000000057</v>
      </c>
      <c r="L94" t="str">
        <f>INDEX('Draft Engine'!$T$3:$T$232,$P94)</f>
        <v>A</v>
      </c>
      <c r="M94" t="str">
        <f>INDEX('Draft Engine'!$X$3:$X$232,$P94)</f>
        <v>RATE-ADJUSTED VETERAN</v>
      </c>
      <c r="N94" t="str">
        <f>INDEX('LIVE SOURCE'!$H$3:$H$232,$P94)</f>
        <v>FLEX/bench depth with upside if workload grows.</v>
      </c>
      <c r="O94" t="str">
        <f>INDEX('LIVE SOURCE'!$J$3:$J$232,$P94)</f>
        <v>Touchdown variance, receiving-role changes and backfield competition are the main downside paths.</v>
      </c>
      <c r="P94" s="6">
        <f>MATCH($A94,'Draft Engine'!$Q$3:$Q$232,0)</f>
        <v>64</v>
      </c>
    </row>
    <row r="95" spans="1:16" x14ac:dyDescent="0.25">
      <c r="A95">
        <f>93</f>
        <v>93</v>
      </c>
      <c r="B95" t="str">
        <f>INDEX('Draft Engine'!$A$3:$A$232,$P95)</f>
        <v>WR</v>
      </c>
      <c r="C95">
        <f>INDEX('Draft Engine'!$F$3:$F$232,$P95)</f>
        <v>33</v>
      </c>
      <c r="D95" t="str">
        <f>INDEX('Draft Engine'!$B$3:$B$232,$P95)</f>
        <v>Rome Odunze</v>
      </c>
      <c r="E95" s="4">
        <f>INDEX('Draft Engine'!$E$3:$E$232,$P95)</f>
        <v>73.644999999999996</v>
      </c>
      <c r="F95" t="str">
        <f t="shared" si="1"/>
        <v>TIER 5</v>
      </c>
      <c r="G95" s="4">
        <f>INDEX('Draft Engine'!$G$3:$G$232,$P95)</f>
        <v>239.3</v>
      </c>
      <c r="H95" s="4">
        <f>INDEX('Draft Engine'!$J$3:$J$232,$P95)</f>
        <v>0</v>
      </c>
      <c r="I95" s="4">
        <f>INDEX('Draft Engine'!$N$3:$N$232,$P95)</f>
        <v>61.338083333333337</v>
      </c>
      <c r="J95" s="4">
        <f>INDEX('Draft Engine'!$R$3:$R$232,$P95)</f>
        <v>49.3</v>
      </c>
      <c r="K95" s="4">
        <f>INDEX('Draft Engine'!$S$3:$S$232,$P95)</f>
        <v>-43.7</v>
      </c>
      <c r="L95" t="str">
        <f>INDEX('Draft Engine'!$T$3:$T$232,$P95)</f>
        <v>C</v>
      </c>
      <c r="M95" t="str">
        <f>INDEX('Draft Engine'!$X$3:$X$232,$P95)</f>
        <v>HISTORY FALLBACK</v>
      </c>
      <c r="N95" t="str">
        <f>INDEX('LIVE SOURCE'!$H$3:$H$232,$P95)</f>
        <v>WR2/FLEX; dependable lineup option with matchup-driven ceiling.</v>
      </c>
      <c r="O95" t="str">
        <f>INDEX('LIVE SOURCE'!$J$3:$J$232,$P95)</f>
        <v>Target competition, quarterback efficiency and touchdown regression are the main downside paths.</v>
      </c>
      <c r="P95" s="6">
        <f>MATCH($A95,'Draft Engine'!$Q$3:$Q$232,0)</f>
        <v>111</v>
      </c>
    </row>
    <row r="96" spans="1:16" x14ac:dyDescent="0.25">
      <c r="A96">
        <f>94</f>
        <v>94</v>
      </c>
      <c r="B96" t="str">
        <f>INDEX('Draft Engine'!$A$3:$A$232,$P96)</f>
        <v>TE</v>
      </c>
      <c r="C96">
        <f>INDEX('Draft Engine'!$F$3:$F$232,$P96)</f>
        <v>15</v>
      </c>
      <c r="D96" t="str">
        <f>INDEX('Draft Engine'!$B$3:$B$232,$P96)</f>
        <v>Isaiah Likely</v>
      </c>
      <c r="E96" s="4">
        <f>INDEX('Draft Engine'!$E$3:$E$232,$P96)</f>
        <v>78.579499999999996</v>
      </c>
      <c r="F96" t="str">
        <f t="shared" si="1"/>
        <v>TIER 4</v>
      </c>
      <c r="G96" s="4">
        <f>INDEX('Draft Engine'!$G$3:$G$232,$P96)</f>
        <v>175</v>
      </c>
      <c r="H96" s="4">
        <f>INDEX('Draft Engine'!$J$3:$J$232,$P96)</f>
        <v>-4.7</v>
      </c>
      <c r="I96" s="4">
        <f>INDEX('Draft Engine'!$N$3:$N$232,$P96)</f>
        <v>61.180417307692309</v>
      </c>
      <c r="J96" s="4">
        <f>INDEX('Draft Engine'!$R$3:$R$232,$P96)</f>
        <v>133.1</v>
      </c>
      <c r="K96" s="4">
        <f>INDEX('Draft Engine'!$S$3:$S$232,$P96)</f>
        <v>39.099999999999994</v>
      </c>
      <c r="L96" t="str">
        <f>INDEX('Draft Engine'!$T$3:$T$232,$P96)</f>
        <v>A</v>
      </c>
      <c r="M96" t="str">
        <f>INDEX('Draft Engine'!$X$3:$X$232,$P96)</f>
        <v>RATE-ADJUSTED VETERAN</v>
      </c>
      <c r="N96" t="str">
        <f>INDEX('LIVE SOURCE'!$H$3:$H$232,$P96)</f>
        <v>Streaming/TE2 range; touchdown and route volume drive usefulness.</v>
      </c>
      <c r="O96" t="str">
        <f>INDEX('LIVE SOURCE'!$J$3:$J$232,$P96)</f>
        <v>Route share, target volume and touchdown volatility are the main swing factors.</v>
      </c>
      <c r="P96" s="6">
        <f>MATCH($A96,'Draft Engine'!$Q$3:$Q$232,0)</f>
        <v>173</v>
      </c>
    </row>
    <row r="97" spans="1:16" x14ac:dyDescent="0.25">
      <c r="A97">
        <f>95</f>
        <v>95</v>
      </c>
      <c r="B97" t="str">
        <f>INDEX('Draft Engine'!$A$3:$A$232,$P97)</f>
        <v>WR</v>
      </c>
      <c r="C97">
        <f>INDEX('Draft Engine'!$F$3:$F$232,$P97)</f>
        <v>34</v>
      </c>
      <c r="D97" t="str">
        <f>INDEX('Draft Engine'!$B$3:$B$232,$P97)</f>
        <v>Wan'Dale Robinson</v>
      </c>
      <c r="E97" s="4">
        <f>INDEX('Draft Engine'!$E$3:$E$232,$P97)</f>
        <v>73.540000000000006</v>
      </c>
      <c r="F97" t="str">
        <f t="shared" si="1"/>
        <v>TIER 5</v>
      </c>
      <c r="G97" s="4">
        <f>INDEX('Draft Engine'!$G$3:$G$232,$P97)</f>
        <v>238.9</v>
      </c>
      <c r="H97" s="4">
        <f>INDEX('Draft Engine'!$J$3:$J$232,$P97)</f>
        <v>-0.4</v>
      </c>
      <c r="I97" s="4">
        <f>INDEX('Draft Engine'!$N$3:$N$232,$P97)</f>
        <v>60.875000000000007</v>
      </c>
      <c r="J97" s="4">
        <f>INDEX('Draft Engine'!$R$3:$R$232,$P97)</f>
        <v>71</v>
      </c>
      <c r="K97" s="4">
        <f>INDEX('Draft Engine'!$S$3:$S$232,$P97)</f>
        <v>-24</v>
      </c>
      <c r="L97" t="str">
        <f>INDEX('Draft Engine'!$T$3:$T$232,$P97)</f>
        <v>C</v>
      </c>
      <c r="M97" t="str">
        <f>INDEX('Draft Engine'!$X$3:$X$232,$P97)</f>
        <v>HISTORY FALLBACK</v>
      </c>
      <c r="N97" t="str">
        <f>INDEX('LIVE SOURCE'!$H$3:$H$232,$P97)</f>
        <v>WR2/FLEX; dependable lineup option with matchup-driven ceiling.</v>
      </c>
      <c r="O97" t="str">
        <f>INDEX('LIVE SOURCE'!$J$3:$J$232,$P97)</f>
        <v>Target competition, quarterback efficiency and touchdown regression are the main downside paths.</v>
      </c>
      <c r="P97" s="6">
        <f>MATCH($A97,'Draft Engine'!$Q$3:$Q$232,0)</f>
        <v>123</v>
      </c>
    </row>
    <row r="98" spans="1:16" x14ac:dyDescent="0.25">
      <c r="A98">
        <f>96</f>
        <v>96</v>
      </c>
      <c r="B98" t="str">
        <f>INDEX('Draft Engine'!$A$3:$A$232,$P98)</f>
        <v>QB</v>
      </c>
      <c r="C98">
        <f>INDEX('Draft Engine'!$F$3:$F$232,$P98)</f>
        <v>15</v>
      </c>
      <c r="D98" t="str">
        <f>INDEX('Draft Engine'!$B$3:$B$232,$P98)</f>
        <v>Jaxson Dart</v>
      </c>
      <c r="E98" s="4">
        <f>INDEX('Draft Engine'!$E$3:$E$232,$P98)</f>
        <v>83.060699999999997</v>
      </c>
      <c r="F98" t="str">
        <f t="shared" si="1"/>
        <v>TIER 3</v>
      </c>
      <c r="G98" s="4">
        <f>INDEX('Draft Engine'!$G$3:$G$232,$P98)</f>
        <v>343.8</v>
      </c>
      <c r="H98" s="4">
        <f>INDEX('Draft Engine'!$J$3:$J$232,$P98)</f>
        <v>-7.3</v>
      </c>
      <c r="I98" s="4">
        <f>INDEX('Draft Engine'!$N$3:$N$232,$P98)</f>
        <v>60.600154230769235</v>
      </c>
      <c r="J98" s="4">
        <f>INDEX('Draft Engine'!$R$3:$R$232,$P98)</f>
        <v>100.4</v>
      </c>
      <c r="K98" s="4">
        <f>INDEX('Draft Engine'!$S$3:$S$232,$P98)</f>
        <v>4.4000000000000057</v>
      </c>
      <c r="L98" t="str">
        <f>INDEX('Draft Engine'!$T$3:$T$232,$P98)</f>
        <v>A</v>
      </c>
      <c r="M98" t="str">
        <f>INDEX('Draft Engine'!$X$3:$X$232,$P98)</f>
        <v>RATE-ADJUSTED VETERAN</v>
      </c>
      <c r="N98" t="str">
        <f>INDEX('LIVE SOURCE'!$H$3:$H$232,$P98)</f>
        <v>QB2/streaming tier; useful when matchup and supporting cast line up.</v>
      </c>
      <c r="O98" t="str">
        <f>INDEX('LIVE SOURCE'!$J$3:$J$232,$P98)</f>
        <v>Passing-TD efficiency, rushing volume and supporting-cast health are the main swing factors.</v>
      </c>
      <c r="P98" s="6">
        <f>MATCH($A98,'Draft Engine'!$Q$3:$Q$232,0)</f>
        <v>15</v>
      </c>
    </row>
    <row r="99" spans="1:16" x14ac:dyDescent="0.25">
      <c r="A99">
        <f>97</f>
        <v>97</v>
      </c>
      <c r="B99" t="str">
        <f>INDEX('Draft Engine'!$A$3:$A$232,$P99)</f>
        <v>TE</v>
      </c>
      <c r="C99">
        <f>INDEX('Draft Engine'!$F$3:$F$232,$P99)</f>
        <v>16</v>
      </c>
      <c r="D99" t="str">
        <f>INDEX('Draft Engine'!$B$3:$B$232,$P99)</f>
        <v>Juwan Johnson</v>
      </c>
      <c r="E99" s="4">
        <f>INDEX('Draft Engine'!$E$3:$E$232,$P99)</f>
        <v>78.320300000000003</v>
      </c>
      <c r="F99" t="str">
        <f t="shared" si="1"/>
        <v>TIER 4</v>
      </c>
      <c r="G99" s="4">
        <f>INDEX('Draft Engine'!$G$3:$G$232,$P99)</f>
        <v>174.1</v>
      </c>
      <c r="H99" s="4">
        <f>INDEX('Draft Engine'!$J$3:$J$232,$P99)</f>
        <v>-5.6</v>
      </c>
      <c r="I99" s="4">
        <f>INDEX('Draft Engine'!$N$3:$N$232,$P99)</f>
        <v>60.183549615384614</v>
      </c>
      <c r="J99" s="4">
        <f>INDEX('Draft Engine'!$R$3:$R$232,$P99)</f>
        <v>159.19999999999999</v>
      </c>
      <c r="K99" s="4">
        <f>INDEX('Draft Engine'!$S$3:$S$232,$P99)</f>
        <v>62.199999999999989</v>
      </c>
      <c r="L99" t="str">
        <f>INDEX('Draft Engine'!$T$3:$T$232,$P99)</f>
        <v>A</v>
      </c>
      <c r="M99" t="str">
        <f>INDEX('Draft Engine'!$X$3:$X$232,$P99)</f>
        <v>RATE-ADJUSTED VETERAN</v>
      </c>
      <c r="N99" t="str">
        <f>INDEX('LIVE SOURCE'!$H$3:$H$232,$P99)</f>
        <v>Streaming/TE2 range; touchdown and route volume drive usefulness.</v>
      </c>
      <c r="O99" t="str">
        <f>INDEX('LIVE SOURCE'!$J$3:$J$232,$P99)</f>
        <v>Route share, target volume and touchdown volatility are the main swing factors.</v>
      </c>
      <c r="P99" s="6">
        <f>MATCH($A99,'Draft Engine'!$Q$3:$Q$232,0)</f>
        <v>174</v>
      </c>
    </row>
    <row r="100" spans="1:16" x14ac:dyDescent="0.25">
      <c r="A100">
        <f>98</f>
        <v>98</v>
      </c>
      <c r="B100" t="str">
        <f>INDEX('Draft Engine'!$A$3:$A$232,$P100)</f>
        <v>RB</v>
      </c>
      <c r="C100">
        <f>INDEX('Draft Engine'!$F$3:$F$232,$P100)</f>
        <v>33</v>
      </c>
      <c r="D100" t="str">
        <f>INDEX('Draft Engine'!$B$3:$B$232,$P100)</f>
        <v>Kyle Monangai</v>
      </c>
      <c r="E100" s="4">
        <f>INDEX('Draft Engine'!$E$3:$E$232,$P100)</f>
        <v>72.610200000000006</v>
      </c>
      <c r="F100" t="str">
        <f t="shared" si="1"/>
        <v>TIER 5</v>
      </c>
      <c r="G100" s="4">
        <f>INDEX('Draft Engine'!$G$3:$G$232,$P100)</f>
        <v>235</v>
      </c>
      <c r="H100" s="4">
        <f>INDEX('Draft Engine'!$J$3:$J$232,$P100)</f>
        <v>-4</v>
      </c>
      <c r="I100" s="4">
        <f>INDEX('Draft Engine'!$N$3:$N$232,$P100)</f>
        <v>59.965610000000005</v>
      </c>
      <c r="J100" s="4">
        <f>INDEX('Draft Engine'!$R$3:$R$232,$P100)</f>
        <v>100.3</v>
      </c>
      <c r="K100" s="4">
        <f>INDEX('Draft Engine'!$S$3:$S$232,$P100)</f>
        <v>2.2999999999999972</v>
      </c>
      <c r="L100" t="str">
        <f>INDEX('Draft Engine'!$T$3:$T$232,$P100)</f>
        <v>A</v>
      </c>
      <c r="M100" t="str">
        <f>INDEX('Draft Engine'!$X$3:$X$232,$P100)</f>
        <v>RATE-ADJUSTED VETERAN</v>
      </c>
      <c r="N100" t="str">
        <f>INDEX('LIVE SOURCE'!$H$3:$H$232,$P100)</f>
        <v>FLEX/bench depth with upside if workload grows.</v>
      </c>
      <c r="O100" t="str">
        <f>INDEX('LIVE SOURCE'!$J$3:$J$232,$P100)</f>
        <v>Touchdown variance, receiving-role changes and backfield competition are the main downside paths.</v>
      </c>
      <c r="P100" s="6">
        <f>MATCH($A100,'Draft Engine'!$Q$3:$Q$232,0)</f>
        <v>65</v>
      </c>
    </row>
    <row r="101" spans="1:16" x14ac:dyDescent="0.25">
      <c r="A101">
        <f>99</f>
        <v>99</v>
      </c>
      <c r="B101" t="str">
        <f>INDEX('Draft Engine'!$A$3:$A$232,$P101)</f>
        <v>QB</v>
      </c>
      <c r="C101">
        <f>INDEX('Draft Engine'!$F$3:$F$232,$P101)</f>
        <v>16</v>
      </c>
      <c r="D101" t="str">
        <f>INDEX('Draft Engine'!$B$3:$B$232,$P101)</f>
        <v>Jared Goff</v>
      </c>
      <c r="E101" s="4">
        <f>INDEX('Draft Engine'!$E$3:$E$232,$P101)</f>
        <v>82.642499999999998</v>
      </c>
      <c r="F101" t="str">
        <f t="shared" si="1"/>
        <v>TIER 3</v>
      </c>
      <c r="G101" s="4">
        <f>INDEX('Draft Engine'!$G$3:$G$232,$P101)</f>
        <v>341.9</v>
      </c>
      <c r="H101" s="4">
        <f>INDEX('Draft Engine'!$J$3:$J$232,$P101)</f>
        <v>-9.1999999999999993</v>
      </c>
      <c r="I101" s="4">
        <f>INDEX('Draft Engine'!$N$3:$N$232,$P101)</f>
        <v>59.258913461538462</v>
      </c>
      <c r="J101" s="4">
        <f>INDEX('Draft Engine'!$R$3:$R$232,$P101)</f>
        <v>107.9</v>
      </c>
      <c r="K101" s="4">
        <f>INDEX('Draft Engine'!$S$3:$S$232,$P101)</f>
        <v>8.9000000000000057</v>
      </c>
      <c r="L101" t="str">
        <f>INDEX('Draft Engine'!$T$3:$T$232,$P101)</f>
        <v>A</v>
      </c>
      <c r="M101" t="str">
        <f>INDEX('Draft Engine'!$X$3:$X$232,$P101)</f>
        <v>RATE-ADJUSTED VETERAN</v>
      </c>
      <c r="N101" t="str">
        <f>INDEX('LIVE SOURCE'!$H$3:$H$232,$P101)</f>
        <v>QB2/streaming tier; useful when matchup and supporting cast line up.</v>
      </c>
      <c r="O101" t="str">
        <f>INDEX('LIVE SOURCE'!$J$3:$J$232,$P101)</f>
        <v>Passing-TD efficiency, rushing volume and supporting-cast health are the main swing factors.</v>
      </c>
      <c r="P101" s="6">
        <f>MATCH($A101,'Draft Engine'!$Q$3:$Q$232,0)</f>
        <v>16</v>
      </c>
    </row>
    <row r="102" spans="1:16" x14ac:dyDescent="0.25">
      <c r="A102">
        <f>100</f>
        <v>100</v>
      </c>
      <c r="B102" t="str">
        <f>INDEX('Draft Engine'!$A$3:$A$232,$P102)</f>
        <v>RB</v>
      </c>
      <c r="C102">
        <f>INDEX('Draft Engine'!$F$3:$F$232,$P102)</f>
        <v>34</v>
      </c>
      <c r="D102" t="str">
        <f>INDEX('Draft Engine'!$B$3:$B$232,$P102)</f>
        <v>Chuba Hubbard</v>
      </c>
      <c r="E102" s="4">
        <f>INDEX('Draft Engine'!$E$3:$E$232,$P102)</f>
        <v>71.866699999999994</v>
      </c>
      <c r="F102" t="str">
        <f t="shared" si="1"/>
        <v>TIER 5</v>
      </c>
      <c r="G102" s="4">
        <f>INDEX('Draft Engine'!$G$3:$G$232,$P102)</f>
        <v>231.8</v>
      </c>
      <c r="H102" s="4">
        <f>INDEX('Draft Engine'!$J$3:$J$232,$P102)</f>
        <v>-7.2</v>
      </c>
      <c r="I102" s="4">
        <f>INDEX('Draft Engine'!$N$3:$N$232,$P102)</f>
        <v>58.621310000000001</v>
      </c>
      <c r="J102" s="4">
        <f>INDEX('Draft Engine'!$R$3:$R$232,$P102)</f>
        <v>75.900000000000006</v>
      </c>
      <c r="K102" s="4">
        <f>INDEX('Draft Engine'!$S$3:$S$232,$P102)</f>
        <v>-24.099999999999994</v>
      </c>
      <c r="L102" t="str">
        <f>INDEX('Draft Engine'!$T$3:$T$232,$P102)</f>
        <v>A</v>
      </c>
      <c r="M102" t="str">
        <f>INDEX('Draft Engine'!$X$3:$X$232,$P102)</f>
        <v>RATE-ADJUSTED VETERAN</v>
      </c>
      <c r="N102" t="str">
        <f>INDEX('LIVE SOURCE'!$H$3:$H$232,$P102)</f>
        <v>FLEX/bench depth with upside if workload grows.</v>
      </c>
      <c r="O102" t="str">
        <f>INDEX('LIVE SOURCE'!$J$3:$J$232,$P102)</f>
        <v>Touchdown variance, receiving-role changes and backfield competition are the main downside paths.</v>
      </c>
      <c r="P102" s="6">
        <f>MATCH($A102,'Draft Engine'!$Q$3:$Q$232,0)</f>
        <v>66</v>
      </c>
    </row>
    <row r="103" spans="1:16" x14ac:dyDescent="0.25">
      <c r="A103">
        <f>101</f>
        <v>101</v>
      </c>
      <c r="B103" t="str">
        <f>INDEX('Draft Engine'!$A$3:$A$232,$P103)</f>
        <v>WR</v>
      </c>
      <c r="C103">
        <f>INDEX('Draft Engine'!$F$3:$F$232,$P103)</f>
        <v>35</v>
      </c>
      <c r="D103" t="str">
        <f>INDEX('Draft Engine'!$B$3:$B$232,$P103)</f>
        <v>Carnell Tate</v>
      </c>
      <c r="E103" s="4">
        <f>INDEX('Draft Engine'!$E$3:$E$232,$P103)</f>
        <v>71.89</v>
      </c>
      <c r="F103" t="str">
        <f t="shared" si="1"/>
        <v>TIER 5</v>
      </c>
      <c r="G103" s="4">
        <f>INDEX('Draft Engine'!$G$3:$G$232,$P103)</f>
        <v>231.9</v>
      </c>
      <c r="H103" s="4">
        <f>INDEX('Draft Engine'!$J$3:$J$232,$P103)</f>
        <v>-7.4</v>
      </c>
      <c r="I103" s="4">
        <f>INDEX('Draft Engine'!$N$3:$N$232,$P103)</f>
        <v>58.374166666666667</v>
      </c>
      <c r="J103" s="4">
        <f>INDEX('Draft Engine'!$R$3:$R$232,$P103)</f>
        <v>77.400000000000006</v>
      </c>
      <c r="K103" s="4">
        <f>INDEX('Draft Engine'!$S$3:$S$232,$P103)</f>
        <v>-23.599999999999994</v>
      </c>
      <c r="L103" t="str">
        <f>INDEX('Draft Engine'!$T$3:$T$232,$P103)</f>
        <v>C</v>
      </c>
      <c r="M103" t="str">
        <f>INDEX('Draft Engine'!$X$3:$X$232,$P103)</f>
        <v>HISTORY FALLBACK</v>
      </c>
      <c r="N103" t="str">
        <f>INDEX('LIVE SOURCE'!$H$3:$H$232,$P103)</f>
        <v>WR2/FLEX; dependable lineup option with matchup-driven ceiling.</v>
      </c>
      <c r="O103" t="str">
        <f>INDEX('LIVE SOURCE'!$J$3:$J$232,$P103)</f>
        <v>NFL translation and exact weekly role are the main variables; preseason first-team usage can move this rating quickly.</v>
      </c>
      <c r="P103" s="6">
        <f>MATCH($A103,'Draft Engine'!$Q$3:$Q$232,0)</f>
        <v>117</v>
      </c>
    </row>
    <row r="104" spans="1:16" x14ac:dyDescent="0.25">
      <c r="A104">
        <f>102</f>
        <v>102</v>
      </c>
      <c r="B104" t="str">
        <f>INDEX('Draft Engine'!$A$3:$A$232,$P104)</f>
        <v>RB</v>
      </c>
      <c r="C104">
        <f>INDEX('Draft Engine'!$F$3:$F$232,$P104)</f>
        <v>35</v>
      </c>
      <c r="D104" t="str">
        <f>INDEX('Draft Engine'!$B$3:$B$232,$P104)</f>
        <v>Aaron Jones Sr.</v>
      </c>
      <c r="E104" s="4">
        <f>INDEX('Draft Engine'!$E$3:$E$232,$P104)</f>
        <v>71.697699999999998</v>
      </c>
      <c r="F104" t="str">
        <f t="shared" si="1"/>
        <v>TIER 5</v>
      </c>
      <c r="G104" s="4">
        <f>INDEX('Draft Engine'!$G$3:$G$232,$P104)</f>
        <v>231.1</v>
      </c>
      <c r="H104" s="4">
        <f>INDEX('Draft Engine'!$J$3:$J$232,$P104)</f>
        <v>-7.9</v>
      </c>
      <c r="I104" s="4">
        <f>INDEX('Draft Engine'!$N$3:$N$232,$P104)</f>
        <v>58.042985000000002</v>
      </c>
      <c r="J104" s="4">
        <f>INDEX('Draft Engine'!$R$3:$R$232,$P104)</f>
        <v>90.7</v>
      </c>
      <c r="K104" s="4">
        <f>INDEX('Draft Engine'!$S$3:$S$232,$P104)</f>
        <v>-11.299999999999997</v>
      </c>
      <c r="L104" t="str">
        <f>INDEX('Draft Engine'!$T$3:$T$232,$P104)</f>
        <v>A</v>
      </c>
      <c r="M104" t="str">
        <f>INDEX('Draft Engine'!$X$3:$X$232,$P104)</f>
        <v>RATE-ADJUSTED VETERAN</v>
      </c>
      <c r="N104" t="str">
        <f>INDEX('LIVE SOURCE'!$H$3:$H$232,$P104)</f>
        <v>FLEX/bench depth with upside if workload grows.</v>
      </c>
      <c r="O104" t="str">
        <f>INDEX('LIVE SOURCE'!$J$3:$J$232,$P104)</f>
        <v>Touchdown variance, receiving-role changes and backfield competition are the main downside paths.</v>
      </c>
      <c r="P104" s="6">
        <f>MATCH($A104,'Draft Engine'!$Q$3:$Q$232,0)</f>
        <v>67</v>
      </c>
    </row>
    <row r="105" spans="1:16" x14ac:dyDescent="0.25">
      <c r="A105">
        <f>103</f>
        <v>103</v>
      </c>
      <c r="B105" t="str">
        <f>INDEX('Draft Engine'!$A$3:$A$232,$P105)</f>
        <v>WR</v>
      </c>
      <c r="C105">
        <f>INDEX('Draft Engine'!$F$3:$F$232,$P105)</f>
        <v>36</v>
      </c>
      <c r="D105" t="str">
        <f>INDEX('Draft Engine'!$B$3:$B$232,$P105)</f>
        <v>Marvin Harrison Jr.</v>
      </c>
      <c r="E105" s="4">
        <f>INDEX('Draft Engine'!$E$3:$E$232,$P105)</f>
        <v>71.81</v>
      </c>
      <c r="F105" t="str">
        <f t="shared" si="1"/>
        <v>TIER 5</v>
      </c>
      <c r="G105" s="4">
        <f>INDEX('Draft Engine'!$G$3:$G$232,$P105)</f>
        <v>231.6</v>
      </c>
      <c r="H105" s="4">
        <f>INDEX('Draft Engine'!$J$3:$J$232,$P105)</f>
        <v>-7.7</v>
      </c>
      <c r="I105" s="4">
        <f>INDEX('Draft Engine'!$N$3:$N$232,$P105)</f>
        <v>57.942833333333347</v>
      </c>
      <c r="J105" s="4">
        <f>INDEX('Draft Engine'!$R$3:$R$232,$P105)</f>
        <v>63.9</v>
      </c>
      <c r="K105" s="4">
        <f>INDEX('Draft Engine'!$S$3:$S$232,$P105)</f>
        <v>-39.1</v>
      </c>
      <c r="L105" t="str">
        <f>INDEX('Draft Engine'!$T$3:$T$232,$P105)</f>
        <v>C</v>
      </c>
      <c r="M105" t="str">
        <f>INDEX('Draft Engine'!$X$3:$X$232,$P105)</f>
        <v>HISTORY FALLBACK</v>
      </c>
      <c r="N105" t="str">
        <f>INDEX('LIVE SOURCE'!$H$3:$H$232,$P105)</f>
        <v>FLEX/bench receiver; needs target growth or efficiency spikes.</v>
      </c>
      <c r="O105" t="str">
        <f>INDEX('LIVE SOURCE'!$J$3:$J$232,$P105)</f>
        <v>Target competition, quarterback efficiency and touchdown regression are the main downside paths.</v>
      </c>
      <c r="P105" s="6">
        <f>MATCH($A105,'Draft Engine'!$Q$3:$Q$232,0)</f>
        <v>113</v>
      </c>
    </row>
    <row r="106" spans="1:16" x14ac:dyDescent="0.25">
      <c r="A106">
        <f>104</f>
        <v>104</v>
      </c>
      <c r="B106" t="str">
        <f>INDEX('Draft Engine'!$A$3:$A$232,$P106)</f>
        <v>WR</v>
      </c>
      <c r="C106">
        <f>INDEX('Draft Engine'!$F$3:$F$232,$P106)</f>
        <v>37</v>
      </c>
      <c r="D106" t="str">
        <f>INDEX('Draft Engine'!$B$3:$B$232,$P106)</f>
        <v>Parker Washington</v>
      </c>
      <c r="E106" s="4">
        <f>INDEX('Draft Engine'!$E$3:$E$232,$P106)</f>
        <v>71.53</v>
      </c>
      <c r="F106" t="str">
        <f t="shared" si="1"/>
        <v>TIER 5</v>
      </c>
      <c r="G106" s="4">
        <f>INDEX('Draft Engine'!$G$3:$G$232,$P106)</f>
        <v>230.4</v>
      </c>
      <c r="H106" s="4">
        <f>INDEX('Draft Engine'!$J$3:$J$232,$P106)</f>
        <v>-8.9</v>
      </c>
      <c r="I106" s="4">
        <f>INDEX('Draft Engine'!$N$3:$N$232,$P106)</f>
        <v>57.2395</v>
      </c>
      <c r="J106" s="4">
        <f>INDEX('Draft Engine'!$R$3:$R$232,$P106)</f>
        <v>72.3</v>
      </c>
      <c r="K106" s="4">
        <f>INDEX('Draft Engine'!$S$3:$S$232,$P106)</f>
        <v>-31.700000000000003</v>
      </c>
      <c r="L106" t="str">
        <f>INDEX('Draft Engine'!$T$3:$T$232,$P106)</f>
        <v>C</v>
      </c>
      <c r="M106" t="str">
        <f>INDEX('Draft Engine'!$X$3:$X$232,$P106)</f>
        <v>HISTORY FALLBACK</v>
      </c>
      <c r="N106" t="str">
        <f>INDEX('LIVE SOURCE'!$H$3:$H$232,$P106)</f>
        <v>FLEX/bench receiver; needs target growth or efficiency spikes.</v>
      </c>
      <c r="O106" t="str">
        <f>INDEX('LIVE SOURCE'!$J$3:$J$232,$P106)</f>
        <v>Target competition, quarterback efficiency and touchdown regression are the main downside paths.</v>
      </c>
      <c r="P106" s="6">
        <f>MATCH($A106,'Draft Engine'!$Q$3:$Q$232,0)</f>
        <v>126</v>
      </c>
    </row>
    <row r="107" spans="1:16" x14ac:dyDescent="0.25">
      <c r="A107">
        <f>105</f>
        <v>105</v>
      </c>
      <c r="B107" t="str">
        <f>INDEX('Draft Engine'!$A$3:$A$232,$P107)</f>
        <v>TE</v>
      </c>
      <c r="C107">
        <f>INDEX('Draft Engine'!$F$3:$F$232,$P107)</f>
        <v>17</v>
      </c>
      <c r="D107" t="str">
        <f>INDEX('Draft Engine'!$B$3:$B$232,$P107)</f>
        <v>Hunter Henry</v>
      </c>
      <c r="E107" s="4">
        <f>INDEX('Draft Engine'!$E$3:$E$232,$P107)</f>
        <v>76.252600000000001</v>
      </c>
      <c r="F107" t="str">
        <f t="shared" si="1"/>
        <v>TIER 4</v>
      </c>
      <c r="G107" s="4">
        <f>INDEX('Draft Engine'!$G$3:$G$232,$P107)</f>
        <v>166.9</v>
      </c>
      <c r="H107" s="4">
        <f>INDEX('Draft Engine'!$J$3:$J$232,$P107)</f>
        <v>-12.8</v>
      </c>
      <c r="I107" s="4">
        <f>INDEX('Draft Engine'!$N$3:$N$232,$P107)</f>
        <v>57.058006923076931</v>
      </c>
      <c r="J107" s="4">
        <f>INDEX('Draft Engine'!$R$3:$R$232,$P107)</f>
        <v>156.6</v>
      </c>
      <c r="K107" s="4">
        <f>INDEX('Draft Engine'!$S$3:$S$232,$P107)</f>
        <v>51.599999999999994</v>
      </c>
      <c r="L107" t="str">
        <f>INDEX('Draft Engine'!$T$3:$T$232,$P107)</f>
        <v>A</v>
      </c>
      <c r="M107" t="str">
        <f>INDEX('Draft Engine'!$X$3:$X$232,$P107)</f>
        <v>RATE-ADJUSTED VETERAN</v>
      </c>
      <c r="N107" t="str">
        <f>INDEX('LIVE SOURCE'!$H$3:$H$232,$P107)</f>
        <v>Streaming/TE2 range; touchdown and route volume drive usefulness.</v>
      </c>
      <c r="O107" t="str">
        <f>INDEX('LIVE SOURCE'!$J$3:$J$232,$P107)</f>
        <v>Route share, target volume and touchdown volatility are the main swing factors.</v>
      </c>
      <c r="P107" s="6">
        <f>MATCH($A107,'Draft Engine'!$Q$3:$Q$232,0)</f>
        <v>175</v>
      </c>
    </row>
    <row r="108" spans="1:16" x14ac:dyDescent="0.25">
      <c r="A108">
        <f>106</f>
        <v>106</v>
      </c>
      <c r="B108" t="str">
        <f>INDEX('Draft Engine'!$A$3:$A$232,$P108)</f>
        <v>RB</v>
      </c>
      <c r="C108">
        <f>INDEX('Draft Engine'!$F$3:$F$232,$P108)</f>
        <v>36</v>
      </c>
      <c r="D108" t="str">
        <f>INDEX('Draft Engine'!$B$3:$B$232,$P108)</f>
        <v>J.K. Dobbins</v>
      </c>
      <c r="E108" s="4">
        <f>INDEX('Draft Engine'!$E$3:$E$232,$P108)</f>
        <v>71.166600000000003</v>
      </c>
      <c r="F108" t="str">
        <f t="shared" si="1"/>
        <v>TIER 5</v>
      </c>
      <c r="G108" s="4">
        <f>INDEX('Draft Engine'!$G$3:$G$232,$P108)</f>
        <v>228.9</v>
      </c>
      <c r="H108" s="4">
        <f>INDEX('Draft Engine'!$J$3:$J$232,$P108)</f>
        <v>-10.1</v>
      </c>
      <c r="I108" s="4">
        <f>INDEX('Draft Engine'!$N$3:$N$232,$P108)</f>
        <v>56.995505000000009</v>
      </c>
      <c r="J108" s="4">
        <f>INDEX('Draft Engine'!$R$3:$R$232,$P108)</f>
        <v>91.9</v>
      </c>
      <c r="K108" s="4">
        <f>INDEX('Draft Engine'!$S$3:$S$232,$P108)</f>
        <v>-14.099999999999994</v>
      </c>
      <c r="L108" t="str">
        <f>INDEX('Draft Engine'!$T$3:$T$232,$P108)</f>
        <v>B</v>
      </c>
      <c r="M108" t="str">
        <f>INDEX('Draft Engine'!$X$3:$X$232,$P108)</f>
        <v>RATE-ADJUSTED VETERAN</v>
      </c>
      <c r="N108" t="str">
        <f>INDEX('LIVE SOURCE'!$H$3:$H$232,$P108)</f>
        <v>FLEX/bench depth with upside if workload grows.</v>
      </c>
      <c r="O108" t="str">
        <f>INDEX('LIVE SOURCE'!$J$3:$J$232,$P108)</f>
        <v>Touchdown variance, receiving-role changes and backfield competition are the main downside paths.</v>
      </c>
      <c r="P108" s="6">
        <f>MATCH($A108,'Draft Engine'!$Q$3:$Q$232,0)</f>
        <v>68</v>
      </c>
    </row>
    <row r="109" spans="1:16" x14ac:dyDescent="0.25">
      <c r="A109">
        <f>107</f>
        <v>107</v>
      </c>
      <c r="B109" t="str">
        <f>INDEX('Draft Engine'!$A$3:$A$232,$P109)</f>
        <v>WR</v>
      </c>
      <c r="C109">
        <f>INDEX('Draft Engine'!$F$3:$F$232,$P109)</f>
        <v>38</v>
      </c>
      <c r="D109" t="str">
        <f>INDEX('Draft Engine'!$B$3:$B$232,$P109)</f>
        <v>Stefon Diggs</v>
      </c>
      <c r="E109" s="4">
        <f>INDEX('Draft Engine'!$E$3:$E$232,$P109)</f>
        <v>71.2</v>
      </c>
      <c r="F109" t="str">
        <f t="shared" si="1"/>
        <v>TIER 5</v>
      </c>
      <c r="G109" s="4">
        <f>INDEX('Draft Engine'!$G$3:$G$232,$P109)</f>
        <v>229</v>
      </c>
      <c r="H109" s="4">
        <f>INDEX('Draft Engine'!$J$3:$J$232,$P109)</f>
        <v>-10.3</v>
      </c>
      <c r="I109" s="4">
        <f>INDEX('Draft Engine'!$N$3:$N$232,$P109)</f>
        <v>56.472666666666669</v>
      </c>
      <c r="J109" s="4">
        <f>INDEX('Draft Engine'!$R$3:$R$232,$P109)</f>
        <v>90.5</v>
      </c>
      <c r="K109" s="4">
        <f>INDEX('Draft Engine'!$S$3:$S$232,$P109)</f>
        <v>-16.5</v>
      </c>
      <c r="L109" t="str">
        <f>INDEX('Draft Engine'!$T$3:$T$232,$P109)</f>
        <v>C</v>
      </c>
      <c r="M109" t="str">
        <f>INDEX('Draft Engine'!$X$3:$X$232,$P109)</f>
        <v>ESPN SLOT-IN</v>
      </c>
      <c r="N109" t="str">
        <f>INDEX('LIVE SOURCE'!$H$3:$H$232,$P109)</f>
        <v>Added 2026-08-12 from ESPN consensus (WR41).</v>
      </c>
      <c r="O109" t="str">
        <f>INDEX('LIVE SOURCE'!$J$3:$J$232,$P109)</f>
        <v>No model projection behind this rating; it is market consensus only. Re-rate manually if you have a strong opinion.</v>
      </c>
      <c r="P109" s="6">
        <f>MATCH($A109,'Draft Engine'!$Q$3:$Q$232,0)</f>
        <v>155</v>
      </c>
    </row>
    <row r="110" spans="1:16" x14ac:dyDescent="0.25">
      <c r="A110">
        <f>108</f>
        <v>108</v>
      </c>
      <c r="B110" t="str">
        <f>INDEX('Draft Engine'!$A$3:$A$232,$P110)</f>
        <v>TE</v>
      </c>
      <c r="C110">
        <f>INDEX('Draft Engine'!$F$3:$F$232,$P110)</f>
        <v>18</v>
      </c>
      <c r="D110" t="str">
        <f>INDEX('Draft Engine'!$B$3:$B$232,$P110)</f>
        <v>Brenton Strange</v>
      </c>
      <c r="E110" s="4">
        <f>INDEX('Draft Engine'!$E$3:$E$232,$P110)</f>
        <v>76.0321</v>
      </c>
      <c r="F110" t="str">
        <f t="shared" si="1"/>
        <v>TIER 4</v>
      </c>
      <c r="G110" s="4">
        <f>INDEX('Draft Engine'!$G$3:$G$232,$P110)</f>
        <v>166.1</v>
      </c>
      <c r="H110" s="4">
        <f>INDEX('Draft Engine'!$J$3:$J$232,$P110)</f>
        <v>-13.6</v>
      </c>
      <c r="I110" s="4">
        <f>INDEX('Draft Engine'!$N$3:$N$232,$P110)</f>
        <v>56.100424230769235</v>
      </c>
      <c r="J110" s="4">
        <f>INDEX('Draft Engine'!$R$3:$R$232,$P110)</f>
        <v>165</v>
      </c>
      <c r="K110" s="4">
        <f>INDEX('Draft Engine'!$S$3:$S$232,$P110)</f>
        <v>57</v>
      </c>
      <c r="L110" t="str">
        <f>INDEX('Draft Engine'!$T$3:$T$232,$P110)</f>
        <v>A</v>
      </c>
      <c r="M110" t="str">
        <f>INDEX('Draft Engine'!$X$3:$X$232,$P110)</f>
        <v>RATE-ADJUSTED VETERAN</v>
      </c>
      <c r="N110" t="str">
        <f>INDEX('LIVE SOURCE'!$H$3:$H$232,$P110)</f>
        <v>Streaming/TE2 range; touchdown and route volume drive usefulness.</v>
      </c>
      <c r="O110" t="str">
        <f>INDEX('LIVE SOURCE'!$J$3:$J$232,$P110)</f>
        <v>Route share, target volume and touchdown volatility are the main swing factors.</v>
      </c>
      <c r="P110" s="6">
        <f>MATCH($A110,'Draft Engine'!$Q$3:$Q$232,0)</f>
        <v>176</v>
      </c>
    </row>
    <row r="111" spans="1:16" x14ac:dyDescent="0.25">
      <c r="A111">
        <f>109</f>
        <v>109</v>
      </c>
      <c r="B111" t="str">
        <f>INDEX('Draft Engine'!$A$3:$A$232,$P111)</f>
        <v>QB</v>
      </c>
      <c r="C111">
        <f>INDEX('Draft Engine'!$F$3:$F$232,$P111)</f>
        <v>17</v>
      </c>
      <c r="D111" t="str">
        <f>INDEX('Draft Engine'!$B$3:$B$232,$P111)</f>
        <v>Kyler Murray</v>
      </c>
      <c r="E111" s="4">
        <f>INDEX('Draft Engine'!$E$3:$E$232,$P111)</f>
        <v>80.710099999999997</v>
      </c>
      <c r="F111" t="str">
        <f t="shared" si="1"/>
        <v>TIER 3</v>
      </c>
      <c r="G111" s="4">
        <f>INDEX('Draft Engine'!$G$3:$G$232,$P111)</f>
        <v>333.2</v>
      </c>
      <c r="H111" s="4">
        <f>INDEX('Draft Engine'!$J$3:$J$232,$P111)</f>
        <v>-17.899999999999999</v>
      </c>
      <c r="I111" s="4">
        <f>INDEX('Draft Engine'!$N$3:$N$232,$P111)</f>
        <v>55.860862692307691</v>
      </c>
      <c r="J111" s="4">
        <f>INDEX('Draft Engine'!$R$3:$R$232,$P111)</f>
        <v>146.6</v>
      </c>
      <c r="K111" s="4">
        <f>INDEX('Draft Engine'!$S$3:$S$232,$P111)</f>
        <v>37.599999999999994</v>
      </c>
      <c r="L111" t="str">
        <f>INDEX('Draft Engine'!$T$3:$T$232,$P111)</f>
        <v>B</v>
      </c>
      <c r="M111" t="str">
        <f>INDEX('Draft Engine'!$X$3:$X$232,$P111)</f>
        <v>RATE-ADJUSTED VETERAN</v>
      </c>
      <c r="N111" t="str">
        <f>INDEX('LIVE SOURCE'!$H$3:$H$232,$P111)</f>
        <v>QB2/streaming tier; useful when matchup and supporting cast line up.</v>
      </c>
      <c r="O111" t="str">
        <f>INDEX('LIVE SOURCE'!$J$3:$J$232,$P111)</f>
        <v>Availability/sample risk is elevated after only 5 games; talent is not being punished as heavily as durability.</v>
      </c>
      <c r="P111" s="6">
        <f>MATCH($A111,'Draft Engine'!$Q$3:$Q$232,0)</f>
        <v>17</v>
      </c>
    </row>
    <row r="112" spans="1:16" x14ac:dyDescent="0.25">
      <c r="A112">
        <f>110</f>
        <v>110</v>
      </c>
      <c r="B112" t="str">
        <f>INDEX('Draft Engine'!$A$3:$A$232,$P112)</f>
        <v>WR</v>
      </c>
      <c r="C112">
        <f>INDEX('Draft Engine'!$F$3:$F$232,$P112)</f>
        <v>39</v>
      </c>
      <c r="D112" t="str">
        <f>INDEX('Draft Engine'!$B$3:$B$232,$P112)</f>
        <v>Chris Godwin Jr.</v>
      </c>
      <c r="E112" s="4">
        <f>INDEX('Draft Engine'!$E$3:$E$232,$P112)</f>
        <v>70.86</v>
      </c>
      <c r="F112" t="str">
        <f t="shared" si="1"/>
        <v>TIER 5</v>
      </c>
      <c r="G112" s="4">
        <f>INDEX('Draft Engine'!$G$3:$G$232,$P112)</f>
        <v>227.6</v>
      </c>
      <c r="H112" s="4">
        <f>INDEX('Draft Engine'!$J$3:$J$232,$P112)</f>
        <v>-11.7</v>
      </c>
      <c r="I112" s="4">
        <f>INDEX('Draft Engine'!$N$3:$N$232,$P112)</f>
        <v>55.70033333333334</v>
      </c>
      <c r="J112" s="4">
        <f>INDEX('Draft Engine'!$R$3:$R$232,$P112)</f>
        <v>92.4</v>
      </c>
      <c r="K112" s="4">
        <f>INDEX('Draft Engine'!$S$3:$S$232,$P112)</f>
        <v>-17.599999999999994</v>
      </c>
      <c r="L112" t="str">
        <f>INDEX('Draft Engine'!$T$3:$T$232,$P112)</f>
        <v>C</v>
      </c>
      <c r="M112" t="str">
        <f>INDEX('Draft Engine'!$X$3:$X$232,$P112)</f>
        <v>HISTORY FALLBACK</v>
      </c>
      <c r="N112" t="str">
        <f>INDEX('LIVE SOURCE'!$H$3:$H$232,$P112)</f>
        <v>FLEX/bench receiver; needs target growth or efficiency spikes.</v>
      </c>
      <c r="O112" t="str">
        <f>INDEX('LIVE SOURCE'!$J$3:$J$232,$P112)</f>
        <v>Evidence is thinner than for established veterans, so camp, depth-chart and role news can move the grade materially.</v>
      </c>
      <c r="P112" s="6">
        <f>MATCH($A112,'Draft Engine'!$Q$3:$Q$232,0)</f>
        <v>127</v>
      </c>
    </row>
    <row r="113" spans="1:16" x14ac:dyDescent="0.25">
      <c r="A113">
        <f>111</f>
        <v>111</v>
      </c>
      <c r="B113" t="str">
        <f>INDEX('Draft Engine'!$A$3:$A$232,$P113)</f>
        <v>WR</v>
      </c>
      <c r="C113">
        <f>INDEX('Draft Engine'!$F$3:$F$232,$P113)</f>
        <v>40</v>
      </c>
      <c r="D113" t="str">
        <f>INDEX('Draft Engine'!$B$3:$B$232,$P113)</f>
        <v>Alec Pierce</v>
      </c>
      <c r="E113" s="4">
        <f>INDEX('Draft Engine'!$E$3:$E$232,$P113)</f>
        <v>70.724999999999994</v>
      </c>
      <c r="F113" t="str">
        <f t="shared" si="1"/>
        <v>TIER 5</v>
      </c>
      <c r="G113" s="4">
        <f>INDEX('Draft Engine'!$G$3:$G$232,$P113)</f>
        <v>227</v>
      </c>
      <c r="H113" s="4">
        <f>INDEX('Draft Engine'!$J$3:$J$232,$P113)</f>
        <v>-12.3</v>
      </c>
      <c r="I113" s="4">
        <f>INDEX('Draft Engine'!$N$3:$N$232,$P113)</f>
        <v>55.184750000000001</v>
      </c>
      <c r="J113" s="4">
        <f>INDEX('Draft Engine'!$R$3:$R$232,$P113)</f>
        <v>55.3</v>
      </c>
      <c r="K113" s="4">
        <f>INDEX('Draft Engine'!$S$3:$S$232,$P113)</f>
        <v>-55.7</v>
      </c>
      <c r="L113" t="str">
        <f>INDEX('Draft Engine'!$T$3:$T$232,$P113)</f>
        <v>C</v>
      </c>
      <c r="M113" t="str">
        <f>INDEX('Draft Engine'!$X$3:$X$232,$P113)</f>
        <v>HISTORY FALLBACK</v>
      </c>
      <c r="N113" t="str">
        <f>INDEX('LIVE SOURCE'!$H$3:$H$232,$P113)</f>
        <v>FLEX/bench receiver; needs target growth or efficiency spikes.</v>
      </c>
      <c r="O113" t="str">
        <f>INDEX('LIVE SOURCE'!$J$3:$J$232,$P113)</f>
        <v>Target competition, quarterback efficiency and touchdown regression are the main downside paths.</v>
      </c>
      <c r="P113" s="6">
        <f>MATCH($A113,'Draft Engine'!$Q$3:$Q$232,0)</f>
        <v>115</v>
      </c>
    </row>
    <row r="114" spans="1:16" x14ac:dyDescent="0.25">
      <c r="A114">
        <f>112</f>
        <v>112</v>
      </c>
      <c r="B114" t="str">
        <f>INDEX('Draft Engine'!$A$3:$A$232,$P114)</f>
        <v>TE</v>
      </c>
      <c r="C114">
        <f>INDEX('Draft Engine'!$F$3:$F$232,$P114)</f>
        <v>19</v>
      </c>
      <c r="D114" t="str">
        <f>INDEX('Draft Engine'!$B$3:$B$232,$P114)</f>
        <v>Chig Okonkwo</v>
      </c>
      <c r="E114" s="4">
        <f>INDEX('Draft Engine'!$E$3:$E$232,$P114)</f>
        <v>75.513199999999998</v>
      </c>
      <c r="F114" t="str">
        <f t="shared" si="1"/>
        <v>TIER 4</v>
      </c>
      <c r="G114" s="4">
        <f>INDEX('Draft Engine'!$G$3:$G$232,$P114)</f>
        <v>164.3</v>
      </c>
      <c r="H114" s="4">
        <f>INDEX('Draft Engine'!$J$3:$J$232,$P114)</f>
        <v>-15.4</v>
      </c>
      <c r="I114" s="4">
        <f>INDEX('Draft Engine'!$N$3:$N$232,$P114)</f>
        <v>54.798721538461542</v>
      </c>
      <c r="J114" s="4">
        <f>INDEX('Draft Engine'!$R$3:$R$232,$P114)</f>
        <v>162.19999999999999</v>
      </c>
      <c r="K114" s="4">
        <f>INDEX('Draft Engine'!$S$3:$S$232,$P114)</f>
        <v>50.199999999999989</v>
      </c>
      <c r="L114" t="str">
        <f>INDEX('Draft Engine'!$T$3:$T$232,$P114)</f>
        <v>A</v>
      </c>
      <c r="M114" t="str">
        <f>INDEX('Draft Engine'!$X$3:$X$232,$P114)</f>
        <v>RATE-ADJUSTED VETERAN</v>
      </c>
      <c r="N114" t="str">
        <f>INDEX('LIVE SOURCE'!$H$3:$H$232,$P114)</f>
        <v>Deep TE stash; needs a larger route/target role to matter in 10-team leagues.</v>
      </c>
      <c r="O114" t="str">
        <f>INDEX('LIVE SOURCE'!$J$3:$J$232,$P114)</f>
        <v>Route share, target volume and touchdown volatility are the main swing factors.</v>
      </c>
      <c r="P114" s="6">
        <f>MATCH($A114,'Draft Engine'!$Q$3:$Q$232,0)</f>
        <v>177</v>
      </c>
    </row>
    <row r="115" spans="1:16" x14ac:dyDescent="0.25">
      <c r="A115">
        <f>113</f>
        <v>113</v>
      </c>
      <c r="B115" t="str">
        <f>INDEX('Draft Engine'!$A$3:$A$232,$P115)</f>
        <v>RB</v>
      </c>
      <c r="C115">
        <f>INDEX('Draft Engine'!$F$3:$F$232,$P115)</f>
        <v>37</v>
      </c>
      <c r="D115" t="str">
        <f>INDEX('Draft Engine'!$B$3:$B$232,$P115)</f>
        <v>Blake Corum</v>
      </c>
      <c r="E115" s="4">
        <f>INDEX('Draft Engine'!$E$3:$E$232,$P115)</f>
        <v>69.519599999999997</v>
      </c>
      <c r="F115" t="str">
        <f t="shared" si="1"/>
        <v>TIER 6</v>
      </c>
      <c r="G115" s="4">
        <f>INDEX('Draft Engine'!$G$3:$G$232,$P115)</f>
        <v>222</v>
      </c>
      <c r="H115" s="4">
        <f>INDEX('Draft Engine'!$J$3:$J$232,$P115)</f>
        <v>-17</v>
      </c>
      <c r="I115" s="4">
        <f>INDEX('Draft Engine'!$N$3:$N$232,$P115)</f>
        <v>54.488279999999996</v>
      </c>
      <c r="J115" s="4">
        <f>INDEX('Draft Engine'!$R$3:$R$232,$P115)</f>
        <v>122.4</v>
      </c>
      <c r="K115" s="4">
        <f>INDEX('Draft Engine'!$S$3:$S$232,$P115)</f>
        <v>9.4000000000000057</v>
      </c>
      <c r="L115" t="str">
        <f>INDEX('Draft Engine'!$T$3:$T$232,$P115)</f>
        <v>A</v>
      </c>
      <c r="M115" t="str">
        <f>INDEX('Draft Engine'!$X$3:$X$232,$P115)</f>
        <v>RATE-ADJUSTED VETERAN</v>
      </c>
      <c r="N115" t="str">
        <f>INDEX('LIVE SOURCE'!$H$3:$H$232,$P115)</f>
        <v>FLEX/bench depth with upside if workload grows.</v>
      </c>
      <c r="O115" t="str">
        <f>INDEX('LIVE SOURCE'!$J$3:$J$232,$P115)</f>
        <v>Touchdown variance, receiving-role changes and backfield competition are the main downside paths.</v>
      </c>
      <c r="P115" s="6">
        <f>MATCH($A115,'Draft Engine'!$Q$3:$Q$232,0)</f>
        <v>69</v>
      </c>
    </row>
    <row r="116" spans="1:16" x14ac:dyDescent="0.25">
      <c r="A116">
        <f>114</f>
        <v>114</v>
      </c>
      <c r="B116" t="str">
        <f>INDEX('Draft Engine'!$A$3:$A$232,$P116)</f>
        <v>QB</v>
      </c>
      <c r="C116">
        <f>INDEX('Draft Engine'!$F$3:$F$232,$P116)</f>
        <v>18</v>
      </c>
      <c r="D116" t="str">
        <f>INDEX('Draft Engine'!$B$3:$B$232,$P116)</f>
        <v>Jordan Love</v>
      </c>
      <c r="E116" s="4">
        <f>INDEX('Draft Engine'!$E$3:$E$232,$P116)</f>
        <v>80.040800000000004</v>
      </c>
      <c r="F116" t="str">
        <f t="shared" si="1"/>
        <v>TIER 3</v>
      </c>
      <c r="G116" s="4">
        <f>INDEX('Draft Engine'!$G$3:$G$232,$P116)</f>
        <v>330.2</v>
      </c>
      <c r="H116" s="4">
        <f>INDEX('Draft Engine'!$J$3:$J$232,$P116)</f>
        <v>-20.9</v>
      </c>
      <c r="I116" s="4">
        <f>INDEX('Draft Engine'!$N$3:$N$232,$P116)</f>
        <v>54.183516923076922</v>
      </c>
      <c r="J116" s="4">
        <f>INDEX('Draft Engine'!$R$3:$R$232,$P116)</f>
        <v>150.5</v>
      </c>
      <c r="K116" s="4">
        <f>INDEX('Draft Engine'!$S$3:$S$232,$P116)</f>
        <v>36.5</v>
      </c>
      <c r="L116" t="str">
        <f>INDEX('Draft Engine'!$T$3:$T$232,$P116)</f>
        <v>A</v>
      </c>
      <c r="M116" t="str">
        <f>INDEX('Draft Engine'!$X$3:$X$232,$P116)</f>
        <v>RATE-ADJUSTED VETERAN</v>
      </c>
      <c r="N116" t="str">
        <f>INDEX('LIVE SOURCE'!$H$3:$H$232,$P116)</f>
        <v>QB2/streaming tier; useful when matchup and supporting cast line up.</v>
      </c>
      <c r="O116" t="str">
        <f>INDEX('LIVE SOURCE'!$J$3:$J$232,$P116)</f>
        <v>Passing-TD efficiency, rushing volume and supporting-cast health are the main swing factors.</v>
      </c>
      <c r="P116" s="6">
        <f>MATCH($A116,'Draft Engine'!$Q$3:$Q$232,0)</f>
        <v>18</v>
      </c>
    </row>
    <row r="117" spans="1:16" x14ac:dyDescent="0.25">
      <c r="A117">
        <f>115</f>
        <v>115</v>
      </c>
      <c r="B117" t="str">
        <f>INDEX('Draft Engine'!$A$3:$A$232,$P117)</f>
        <v>WR</v>
      </c>
      <c r="C117">
        <f>INDEX('Draft Engine'!$F$3:$F$232,$P117)</f>
        <v>41</v>
      </c>
      <c r="D117" t="str">
        <f>INDEX('Draft Engine'!$B$3:$B$232,$P117)</f>
        <v>Quentin Johnston</v>
      </c>
      <c r="E117" s="4">
        <f>INDEX('Draft Engine'!$E$3:$E$232,$P117)</f>
        <v>70.19</v>
      </c>
      <c r="F117" t="str">
        <f t="shared" si="1"/>
        <v>TIER 5</v>
      </c>
      <c r="G117" s="4">
        <f>INDEX('Draft Engine'!$G$3:$G$232,$P117)</f>
        <v>224.8</v>
      </c>
      <c r="H117" s="4">
        <f>INDEX('Draft Engine'!$J$3:$J$232,$P117)</f>
        <v>-14.5</v>
      </c>
      <c r="I117" s="4">
        <f>INDEX('Draft Engine'!$N$3:$N$232,$P117)</f>
        <v>54.161166666666666</v>
      </c>
      <c r="J117" s="4">
        <f>INDEX('Draft Engine'!$R$3:$R$232,$P117)</f>
        <v>95.6</v>
      </c>
      <c r="K117" s="4">
        <f>INDEX('Draft Engine'!$S$3:$S$232,$P117)</f>
        <v>-19.400000000000006</v>
      </c>
      <c r="L117" t="str">
        <f>INDEX('Draft Engine'!$T$3:$T$232,$P117)</f>
        <v>C</v>
      </c>
      <c r="M117" t="str">
        <f>INDEX('Draft Engine'!$X$3:$X$232,$P117)</f>
        <v>HISTORY FALLBACK</v>
      </c>
      <c r="N117" t="str">
        <f>INDEX('LIVE SOURCE'!$H$3:$H$232,$P117)</f>
        <v>FLEX/bench receiver; needs target growth or efficiency spikes.</v>
      </c>
      <c r="O117" t="str">
        <f>INDEX('LIVE SOURCE'!$J$3:$J$232,$P117)</f>
        <v>Target competition, quarterback efficiency and touchdown regression are the main downside paths.</v>
      </c>
      <c r="P117" s="6">
        <f>MATCH($A117,'Draft Engine'!$Q$3:$Q$232,0)</f>
        <v>128</v>
      </c>
    </row>
    <row r="118" spans="1:16" x14ac:dyDescent="0.25">
      <c r="A118">
        <f>116</f>
        <v>116</v>
      </c>
      <c r="B118" t="str">
        <f>INDEX('Draft Engine'!$A$3:$A$232,$P118)</f>
        <v>RB</v>
      </c>
      <c r="C118">
        <f>INDEX('Draft Engine'!$F$3:$F$232,$P118)</f>
        <v>38</v>
      </c>
      <c r="D118" t="str">
        <f>INDEX('Draft Engine'!$B$3:$B$232,$P118)</f>
        <v>Rachaad White</v>
      </c>
      <c r="E118" s="4">
        <f>INDEX('Draft Engine'!$E$3:$E$232,$P118)</f>
        <v>69.203699999999998</v>
      </c>
      <c r="F118" t="str">
        <f t="shared" si="1"/>
        <v>TIER 6</v>
      </c>
      <c r="G118" s="4">
        <f>INDEX('Draft Engine'!$G$3:$G$232,$P118)</f>
        <v>220.7</v>
      </c>
      <c r="H118" s="4">
        <f>INDEX('Draft Engine'!$J$3:$J$232,$P118)</f>
        <v>-18.3</v>
      </c>
      <c r="I118" s="4">
        <f>INDEX('Draft Engine'!$N$3:$N$232,$P118)</f>
        <v>53.721159999999998</v>
      </c>
      <c r="J118" s="4">
        <f>INDEX('Draft Engine'!$R$3:$R$232,$P118)</f>
        <v>99.9</v>
      </c>
      <c r="K118" s="4">
        <f>INDEX('Draft Engine'!$S$3:$S$232,$P118)</f>
        <v>-16.099999999999994</v>
      </c>
      <c r="L118" t="str">
        <f>INDEX('Draft Engine'!$T$3:$T$232,$P118)</f>
        <v>A</v>
      </c>
      <c r="M118" t="str">
        <f>INDEX('Draft Engine'!$X$3:$X$232,$P118)</f>
        <v>RATE-ADJUSTED VETERAN</v>
      </c>
      <c r="N118" t="str">
        <f>INDEX('LIVE SOURCE'!$H$3:$H$232,$P118)</f>
        <v>FLEX/bench depth with upside if workload grows.</v>
      </c>
      <c r="O118" t="str">
        <f>INDEX('LIVE SOURCE'!$J$3:$J$232,$P118)</f>
        <v>Touchdown variance, receiving-role changes and backfield competition are the main downside paths.</v>
      </c>
      <c r="P118" s="6">
        <f>MATCH($A118,'Draft Engine'!$Q$3:$Q$232,0)</f>
        <v>70</v>
      </c>
    </row>
    <row r="119" spans="1:16" x14ac:dyDescent="0.25">
      <c r="A119">
        <f>117</f>
        <v>117</v>
      </c>
      <c r="B119" t="str">
        <f>INDEX('Draft Engine'!$A$3:$A$232,$P119)</f>
        <v>WR</v>
      </c>
      <c r="C119">
        <f>INDEX('Draft Engine'!$F$3:$F$232,$P119)</f>
        <v>42</v>
      </c>
      <c r="D119" t="str">
        <f>INDEX('Draft Engine'!$B$3:$B$232,$P119)</f>
        <v>DK Metcalf</v>
      </c>
      <c r="E119" s="4">
        <f>INDEX('Draft Engine'!$E$3:$E$232,$P119)</f>
        <v>69.807500000000005</v>
      </c>
      <c r="F119" t="str">
        <f t="shared" si="1"/>
        <v>TIER 6</v>
      </c>
      <c r="G119" s="4">
        <f>INDEX('Draft Engine'!$G$3:$G$232,$P119)</f>
        <v>223.2</v>
      </c>
      <c r="H119" s="4">
        <f>INDEX('Draft Engine'!$J$3:$J$232,$P119)</f>
        <v>-16.100000000000001</v>
      </c>
      <c r="I119" s="4">
        <f>INDEX('Draft Engine'!$N$3:$N$232,$P119)</f>
        <v>53.329458333333342</v>
      </c>
      <c r="J119" s="4">
        <f>INDEX('Draft Engine'!$R$3:$R$232,$P119)</f>
        <v>65.900000000000006</v>
      </c>
      <c r="K119" s="4">
        <f>INDEX('Draft Engine'!$S$3:$S$232,$P119)</f>
        <v>-51.099999999999994</v>
      </c>
      <c r="L119" t="str">
        <f>INDEX('Draft Engine'!$T$3:$T$232,$P119)</f>
        <v>C</v>
      </c>
      <c r="M119" t="str">
        <f>INDEX('Draft Engine'!$X$3:$X$232,$P119)</f>
        <v>HISTORY FALLBACK</v>
      </c>
      <c r="N119" t="str">
        <f>INDEX('LIVE SOURCE'!$H$3:$H$232,$P119)</f>
        <v>FLEX/bench receiver; needs target growth or efficiency spikes.</v>
      </c>
      <c r="O119" t="str">
        <f>INDEX('LIVE SOURCE'!$J$3:$J$232,$P119)</f>
        <v>Price is the biggest risk: the market currently asks you to draft him earlier than the model prefers.</v>
      </c>
      <c r="P119" s="6">
        <f>MATCH($A119,'Draft Engine'!$Q$3:$Q$232,0)</f>
        <v>116</v>
      </c>
    </row>
    <row r="120" spans="1:16" x14ac:dyDescent="0.25">
      <c r="A120">
        <f>118</f>
        <v>118</v>
      </c>
      <c r="B120" t="str">
        <f>INDEX('Draft Engine'!$A$3:$A$232,$P120)</f>
        <v>QB</v>
      </c>
      <c r="C120">
        <f>INDEX('Draft Engine'!$F$3:$F$232,$P120)</f>
        <v>19</v>
      </c>
      <c r="D120" t="str">
        <f>INDEX('Draft Engine'!$B$3:$B$232,$P120)</f>
        <v>Baker Mayfield</v>
      </c>
      <c r="E120" s="4">
        <f>INDEX('Draft Engine'!$E$3:$E$232,$P120)</f>
        <v>79.825999999999993</v>
      </c>
      <c r="F120" t="str">
        <f t="shared" si="1"/>
        <v>TIER 4</v>
      </c>
      <c r="G120" s="4">
        <f>INDEX('Draft Engine'!$G$3:$G$232,$P120)</f>
        <v>329.2</v>
      </c>
      <c r="H120" s="4">
        <f>INDEX('Draft Engine'!$J$3:$J$232,$P120)</f>
        <v>-21.9</v>
      </c>
      <c r="I120" s="4">
        <f>INDEX('Draft Engine'!$N$3:$N$232,$P120)</f>
        <v>53.116146153846152</v>
      </c>
      <c r="J120" s="4">
        <f>INDEX('Draft Engine'!$R$3:$R$232,$P120)</f>
        <v>128.6</v>
      </c>
      <c r="K120" s="4">
        <f>INDEX('Draft Engine'!$S$3:$S$232,$P120)</f>
        <v>10.599999999999994</v>
      </c>
      <c r="L120" t="str">
        <f>INDEX('Draft Engine'!$T$3:$T$232,$P120)</f>
        <v>A</v>
      </c>
      <c r="M120" t="str">
        <f>INDEX('Draft Engine'!$X$3:$X$232,$P120)</f>
        <v>RATE-ADJUSTED VETERAN</v>
      </c>
      <c r="N120" t="str">
        <f>INDEX('LIVE SOURCE'!$H$3:$H$232,$P120)</f>
        <v>Bench/streaming option; needs matchup, rushing or TD spike weeks.</v>
      </c>
      <c r="O120" t="str">
        <f>INDEX('LIVE SOURCE'!$J$3:$J$232,$P120)</f>
        <v>Passing-TD efficiency, rushing volume and supporting-cast health are the main swing factors.</v>
      </c>
      <c r="P120" s="6">
        <f>MATCH($A120,'Draft Engine'!$Q$3:$Q$232,0)</f>
        <v>19</v>
      </c>
    </row>
    <row r="121" spans="1:16" x14ac:dyDescent="0.25">
      <c r="A121">
        <f>119</f>
        <v>119</v>
      </c>
      <c r="B121" t="str">
        <f>INDEX('Draft Engine'!$A$3:$A$232,$P121)</f>
        <v>RB</v>
      </c>
      <c r="C121">
        <f>INDEX('Draft Engine'!$F$3:$F$232,$P121)</f>
        <v>39</v>
      </c>
      <c r="D121" t="str">
        <f>INDEX('Draft Engine'!$B$3:$B$232,$P121)</f>
        <v>Jacory Croskey-Merritt</v>
      </c>
      <c r="E121" s="4">
        <f>INDEX('Draft Engine'!$E$3:$E$232,$P121)</f>
        <v>68.992199999999997</v>
      </c>
      <c r="F121" t="str">
        <f t="shared" si="1"/>
        <v>TIER 6</v>
      </c>
      <c r="G121" s="4">
        <f>INDEX('Draft Engine'!$G$3:$G$232,$P121)</f>
        <v>219.8</v>
      </c>
      <c r="H121" s="4">
        <f>INDEX('Draft Engine'!$J$3:$J$232,$P121)</f>
        <v>-19.2</v>
      </c>
      <c r="I121" s="4">
        <f>INDEX('Draft Engine'!$N$3:$N$232,$P121)</f>
        <v>53.083460000000002</v>
      </c>
      <c r="J121" s="4">
        <f>INDEX('Draft Engine'!$R$3:$R$232,$P121)</f>
        <v>111.3</v>
      </c>
      <c r="K121" s="4">
        <f>INDEX('Draft Engine'!$S$3:$S$232,$P121)</f>
        <v>-7.7000000000000028</v>
      </c>
      <c r="L121" t="str">
        <f>INDEX('Draft Engine'!$T$3:$T$232,$P121)</f>
        <v>A</v>
      </c>
      <c r="M121" t="str">
        <f>INDEX('Draft Engine'!$X$3:$X$232,$P121)</f>
        <v>RATE-ADJUSTED VETERAN</v>
      </c>
      <c r="N121" t="str">
        <f>INDEX('LIVE SOURCE'!$H$3:$H$232,$P121)</f>
        <v>FLEX/bench depth with upside if workload grows.</v>
      </c>
      <c r="O121" t="str">
        <f>INDEX('LIVE SOURCE'!$J$3:$J$232,$P121)</f>
        <v>Touchdown variance, receiving-role changes and backfield competition are the main downside paths.</v>
      </c>
      <c r="P121" s="6">
        <f>MATCH($A121,'Draft Engine'!$Q$3:$Q$232,0)</f>
        <v>71</v>
      </c>
    </row>
    <row r="122" spans="1:16" x14ac:dyDescent="0.25">
      <c r="A122">
        <f>120</f>
        <v>120</v>
      </c>
      <c r="B122" t="str">
        <f>INDEX('Draft Engine'!$A$3:$A$232,$P122)</f>
        <v>TE</v>
      </c>
      <c r="C122">
        <f>INDEX('Draft Engine'!$F$3:$F$232,$P122)</f>
        <v>20</v>
      </c>
      <c r="D122" t="str">
        <f>INDEX('Draft Engine'!$B$3:$B$232,$P122)</f>
        <v>Kenyon Sadiq</v>
      </c>
      <c r="E122" s="4">
        <f>INDEX('Draft Engine'!$E$3:$E$232,$P122)</f>
        <v>74.093800000000002</v>
      </c>
      <c r="F122" t="str">
        <f t="shared" si="1"/>
        <v>TIER 5</v>
      </c>
      <c r="G122" s="4">
        <f>INDEX('Draft Engine'!$G$3:$G$232,$P122)</f>
        <v>159.30000000000001</v>
      </c>
      <c r="H122" s="4">
        <f>INDEX('Draft Engine'!$J$3:$J$232,$P122)</f>
        <v>-20.399999999999999</v>
      </c>
      <c r="I122" s="4">
        <f>INDEX('Draft Engine'!$N$3:$N$232,$P122)</f>
        <v>52.425743846153857</v>
      </c>
      <c r="J122" s="4">
        <f>INDEX('Draft Engine'!$R$3:$R$232,$P122)</f>
        <v>158.80000000000001</v>
      </c>
      <c r="K122" s="4">
        <f>INDEX('Draft Engine'!$S$3:$S$232,$P122)</f>
        <v>38.800000000000011</v>
      </c>
      <c r="L122" t="str">
        <f>INDEX('Draft Engine'!$T$3:$T$232,$P122)</f>
        <v>B</v>
      </c>
      <c r="M122" t="str">
        <f>INDEX('Draft Engine'!$X$3:$X$232,$P122)</f>
        <v>ROOKIE ENGINE</v>
      </c>
      <c r="N122" t="str">
        <f>INDEX('LIVE SOURCE'!$H$3:$H$232,$P122)</f>
        <v>Deep TE stash; needs a larger route/target role to matter in 10-team leagues.</v>
      </c>
      <c r="O122" t="str">
        <f>INDEX('LIVE SOURCE'!$J$3:$J$232,$P122)</f>
        <v>NFL translation and exact weekly role are the main variables; preseason first-team usage can move this rating quickly.</v>
      </c>
      <c r="P122" s="6">
        <f>MATCH($A122,'Draft Engine'!$Q$3:$Q$232,0)</f>
        <v>178</v>
      </c>
    </row>
    <row r="123" spans="1:16" x14ac:dyDescent="0.25">
      <c r="A123">
        <f>121</f>
        <v>121</v>
      </c>
      <c r="B123" t="str">
        <f>INDEX('Draft Engine'!$A$3:$A$232,$P123)</f>
        <v>WR</v>
      </c>
      <c r="C123">
        <f>INDEX('Draft Engine'!$F$3:$F$232,$P123)</f>
        <v>43</v>
      </c>
      <c r="D123" t="str">
        <f>INDEX('Draft Engine'!$B$3:$B$232,$P123)</f>
        <v>Makai Lemon</v>
      </c>
      <c r="E123" s="4">
        <f>INDEX('Draft Engine'!$E$3:$E$232,$P123)</f>
        <v>69.2</v>
      </c>
      <c r="F123" t="str">
        <f t="shared" si="1"/>
        <v>TIER 6</v>
      </c>
      <c r="G123" s="4">
        <f>INDEX('Draft Engine'!$G$3:$G$232,$P123)</f>
        <v>220.6</v>
      </c>
      <c r="H123" s="4">
        <f>INDEX('Draft Engine'!$J$3:$J$232,$P123)</f>
        <v>-18.7</v>
      </c>
      <c r="I123" s="4">
        <f>INDEX('Draft Engine'!$N$3:$N$232,$P123)</f>
        <v>52.194000000000003</v>
      </c>
      <c r="J123" s="4">
        <f>INDEX('Draft Engine'!$R$3:$R$232,$P123)</f>
        <v>108.5</v>
      </c>
      <c r="K123" s="4">
        <f>INDEX('Draft Engine'!$S$3:$S$232,$P123)</f>
        <v>-12.5</v>
      </c>
      <c r="L123" t="str">
        <f>INDEX('Draft Engine'!$T$3:$T$232,$P123)</f>
        <v>C</v>
      </c>
      <c r="M123" t="str">
        <f>INDEX('Draft Engine'!$X$3:$X$232,$P123)</f>
        <v>HISTORY FALLBACK</v>
      </c>
      <c r="N123" t="str">
        <f>INDEX('LIVE SOURCE'!$H$3:$H$232,$P123)</f>
        <v>WR2/FLEX; dependable lineup option with matchup-driven ceiling.</v>
      </c>
      <c r="O123" t="str">
        <f>INDEX('LIVE SOURCE'!$J$3:$J$232,$P123)</f>
        <v>NFL translation and exact weekly role are the main variables; preseason first-team usage can move this rating quickly.</v>
      </c>
      <c r="P123" s="6">
        <f>MATCH($A123,'Draft Engine'!$Q$3:$Q$232,0)</f>
        <v>125</v>
      </c>
    </row>
    <row r="124" spans="1:16" x14ac:dyDescent="0.25">
      <c r="A124">
        <f>122</f>
        <v>122</v>
      </c>
      <c r="B124" t="str">
        <f>INDEX('Draft Engine'!$A$3:$A$232,$P124)</f>
        <v>TE</v>
      </c>
      <c r="C124">
        <f>INDEX('Draft Engine'!$F$3:$F$232,$P124)</f>
        <v>21</v>
      </c>
      <c r="D124" t="str">
        <f>INDEX('Draft Engine'!$B$3:$B$232,$P124)</f>
        <v>T.J. Hockenson</v>
      </c>
      <c r="E124" s="4">
        <f>INDEX('Draft Engine'!$E$3:$E$232,$P124)</f>
        <v>73.852699999999999</v>
      </c>
      <c r="F124" t="str">
        <f t="shared" si="1"/>
        <v>TIER 5</v>
      </c>
      <c r="G124" s="4">
        <f>INDEX('Draft Engine'!$G$3:$G$232,$P124)</f>
        <v>158.5</v>
      </c>
      <c r="H124" s="4">
        <f>INDEX('Draft Engine'!$J$3:$J$232,$P124)</f>
        <v>-21.2</v>
      </c>
      <c r="I124" s="4">
        <f>INDEX('Draft Engine'!$N$3:$N$232,$P124)</f>
        <v>51.802985</v>
      </c>
      <c r="J124" s="4">
        <f>INDEX('Draft Engine'!$R$3:$R$232,$P124)</f>
        <v>146.5</v>
      </c>
      <c r="K124" s="4">
        <f>INDEX('Draft Engine'!$S$3:$S$232,$P124)</f>
        <v>24.5</v>
      </c>
      <c r="L124" t="str">
        <f>INDEX('Draft Engine'!$T$3:$T$232,$P124)</f>
        <v>A</v>
      </c>
      <c r="M124" t="str">
        <f>INDEX('Draft Engine'!$X$3:$X$232,$P124)</f>
        <v>RATE-ADJUSTED VETERAN</v>
      </c>
      <c r="N124" t="str">
        <f>INDEX('LIVE SOURCE'!$H$3:$H$232,$P124)</f>
        <v>Deep TE stash; needs a larger route/target role to matter in 10-team leagues.</v>
      </c>
      <c r="O124" t="str">
        <f>INDEX('LIVE SOURCE'!$J$3:$J$232,$P124)</f>
        <v>Route share, target volume and touchdown volatility are the main swing factors.</v>
      </c>
      <c r="P124" s="6">
        <f>MATCH($A124,'Draft Engine'!$Q$3:$Q$232,0)</f>
        <v>179</v>
      </c>
    </row>
    <row r="125" spans="1:16" x14ac:dyDescent="0.25">
      <c r="A125">
        <f>123</f>
        <v>123</v>
      </c>
      <c r="B125" t="str">
        <f>INDEX('Draft Engine'!$A$3:$A$232,$P125)</f>
        <v>WR</v>
      </c>
      <c r="C125">
        <f>INDEX('Draft Engine'!$F$3:$F$232,$P125)</f>
        <v>44</v>
      </c>
      <c r="D125" t="str">
        <f>INDEX('Draft Engine'!$B$3:$B$232,$P125)</f>
        <v>Michael Wilson</v>
      </c>
      <c r="E125" s="4">
        <f>INDEX('Draft Engine'!$E$3:$E$232,$P125)</f>
        <v>68.849999999999994</v>
      </c>
      <c r="F125" t="str">
        <f t="shared" si="1"/>
        <v>TIER 6</v>
      </c>
      <c r="G125" s="4">
        <f>INDEX('Draft Engine'!$G$3:$G$232,$P125)</f>
        <v>219.2</v>
      </c>
      <c r="H125" s="4">
        <f>INDEX('Draft Engine'!$J$3:$J$232,$P125)</f>
        <v>-20.100000000000001</v>
      </c>
      <c r="I125" s="4">
        <f>INDEX('Draft Engine'!$N$3:$N$232,$P125)</f>
        <v>51.416166666666662</v>
      </c>
      <c r="J125" s="4">
        <f>INDEX('Draft Engine'!$R$3:$R$232,$P125)</f>
        <v>88.6</v>
      </c>
      <c r="K125" s="4">
        <f>INDEX('Draft Engine'!$S$3:$S$232,$P125)</f>
        <v>-34.400000000000006</v>
      </c>
      <c r="L125" t="str">
        <f>INDEX('Draft Engine'!$T$3:$T$232,$P125)</f>
        <v>C</v>
      </c>
      <c r="M125" t="str">
        <f>INDEX('Draft Engine'!$X$3:$X$232,$P125)</f>
        <v>HISTORY FALLBACK</v>
      </c>
      <c r="N125" t="str">
        <f>INDEX('LIVE SOURCE'!$H$3:$H$232,$P125)</f>
        <v>FLEX/bench receiver; needs target growth or efficiency spikes.</v>
      </c>
      <c r="O125" t="str">
        <f>INDEX('LIVE SOURCE'!$J$3:$J$232,$P125)</f>
        <v>Target competition, quarterback efficiency and touchdown regression are the main downside paths.</v>
      </c>
      <c r="P125" s="6">
        <f>MATCH($A125,'Draft Engine'!$Q$3:$Q$232,0)</f>
        <v>130</v>
      </c>
    </row>
    <row r="126" spans="1:16" x14ac:dyDescent="0.25">
      <c r="A126">
        <f>124</f>
        <v>124</v>
      </c>
      <c r="B126" t="str">
        <f>INDEX('Draft Engine'!$A$3:$A$232,$P126)</f>
        <v>TE</v>
      </c>
      <c r="C126">
        <f>INDEX('Draft Engine'!$F$3:$F$232,$P126)</f>
        <v>22</v>
      </c>
      <c r="D126" t="str">
        <f>INDEX('Draft Engine'!$B$3:$B$232,$P126)</f>
        <v>Dalton Schultz</v>
      </c>
      <c r="E126" s="4">
        <f>INDEX('Draft Engine'!$E$3:$E$232,$P126)</f>
        <v>73.279499999999999</v>
      </c>
      <c r="F126" t="str">
        <f t="shared" si="1"/>
        <v>TIER 5</v>
      </c>
      <c r="G126" s="4">
        <f>INDEX('Draft Engine'!$G$3:$G$232,$P126)</f>
        <v>156.5</v>
      </c>
      <c r="H126" s="4">
        <f>INDEX('Draft Engine'!$J$3:$J$232,$P126)</f>
        <v>-23.2</v>
      </c>
      <c r="I126" s="4">
        <f>INDEX('Draft Engine'!$N$3:$N$232,$P126)</f>
        <v>51.127724999999998</v>
      </c>
      <c r="J126" s="4">
        <f>INDEX('Draft Engine'!$R$3:$R$232,$P126)</f>
        <v>157.5</v>
      </c>
      <c r="K126" s="4">
        <f>INDEX('Draft Engine'!$S$3:$S$232,$P126)</f>
        <v>33.5</v>
      </c>
      <c r="L126" t="str">
        <f>INDEX('Draft Engine'!$T$3:$T$232,$P126)</f>
        <v>A</v>
      </c>
      <c r="M126" t="str">
        <f>INDEX('Draft Engine'!$X$3:$X$232,$P126)</f>
        <v>RATE-ADJUSTED VETERAN</v>
      </c>
      <c r="N126" t="str">
        <f>INDEX('LIVE SOURCE'!$H$3:$H$232,$P126)</f>
        <v>Deep TE stash; needs a larger route/target role to matter in 10-team leagues.</v>
      </c>
      <c r="O126" t="str">
        <f>INDEX('LIVE SOURCE'!$J$3:$J$232,$P126)</f>
        <v>Route share, target volume and touchdown volatility are the main swing factors.</v>
      </c>
      <c r="P126" s="6">
        <f>MATCH($A126,'Draft Engine'!$Q$3:$Q$232,0)</f>
        <v>180</v>
      </c>
    </row>
    <row r="127" spans="1:16" x14ac:dyDescent="0.25">
      <c r="A127">
        <f>125</f>
        <v>125</v>
      </c>
      <c r="B127" t="str">
        <f>INDEX('Draft Engine'!$A$3:$A$232,$P127)</f>
        <v>RB</v>
      </c>
      <c r="C127">
        <f>INDEX('Draft Engine'!$F$3:$F$232,$P127)</f>
        <v>40</v>
      </c>
      <c r="D127" t="str">
        <f>INDEX('Draft Engine'!$B$3:$B$232,$P127)</f>
        <v>Jordan Mason</v>
      </c>
      <c r="E127" s="4">
        <f>INDEX('Draft Engine'!$E$3:$E$232,$P127)</f>
        <v>67.657399999999996</v>
      </c>
      <c r="F127" t="str">
        <f t="shared" si="1"/>
        <v>TIER 6</v>
      </c>
      <c r="G127" s="4">
        <f>INDEX('Draft Engine'!$G$3:$G$232,$P127)</f>
        <v>214.2</v>
      </c>
      <c r="H127" s="4">
        <f>INDEX('Draft Engine'!$J$3:$J$232,$P127)</f>
        <v>-24.8</v>
      </c>
      <c r="I127" s="4">
        <f>INDEX('Draft Engine'!$N$3:$N$232,$P127)</f>
        <v>50.981945000000003</v>
      </c>
      <c r="J127" s="4">
        <f>INDEX('Draft Engine'!$R$3:$R$232,$P127)</f>
        <v>122.8</v>
      </c>
      <c r="K127" s="4">
        <f>INDEX('Draft Engine'!$S$3:$S$232,$P127)</f>
        <v>-2.2000000000000028</v>
      </c>
      <c r="L127" t="str">
        <f>INDEX('Draft Engine'!$T$3:$T$232,$P127)</f>
        <v>A</v>
      </c>
      <c r="M127" t="str">
        <f>INDEX('Draft Engine'!$X$3:$X$232,$P127)</f>
        <v>RATE-ADJUSTED VETERAN</v>
      </c>
      <c r="N127" t="str">
        <f>INDEX('LIVE SOURCE'!$H$3:$H$232,$P127)</f>
        <v>FLEX/bench depth with upside if workload grows.</v>
      </c>
      <c r="O127" t="str">
        <f>INDEX('LIVE SOURCE'!$J$3:$J$232,$P127)</f>
        <v>Touchdown variance, receiving-role changes and backfield competition are the main downside paths.</v>
      </c>
      <c r="P127" s="6">
        <f>MATCH($A127,'Draft Engine'!$Q$3:$Q$232,0)</f>
        <v>72</v>
      </c>
    </row>
    <row r="128" spans="1:16" x14ac:dyDescent="0.25">
      <c r="A128">
        <f>126</f>
        <v>126</v>
      </c>
      <c r="B128" t="str">
        <f>INDEX('Draft Engine'!$A$3:$A$232,$P128)</f>
        <v>WR</v>
      </c>
      <c r="C128">
        <f>INDEX('Draft Engine'!$F$3:$F$232,$P128)</f>
        <v>45</v>
      </c>
      <c r="D128" t="str">
        <f>INDEX('Draft Engine'!$B$3:$B$232,$P128)</f>
        <v>Courtland Sutton</v>
      </c>
      <c r="E128" s="4">
        <f>INDEX('Draft Engine'!$E$3:$E$232,$P128)</f>
        <v>68.722499999999997</v>
      </c>
      <c r="F128" t="str">
        <f t="shared" si="1"/>
        <v>TIER 6</v>
      </c>
      <c r="G128" s="4">
        <f>INDEX('Draft Engine'!$G$3:$G$232,$P128)</f>
        <v>218.6</v>
      </c>
      <c r="H128" s="4">
        <f>INDEX('Draft Engine'!$J$3:$J$232,$P128)</f>
        <v>-20.7</v>
      </c>
      <c r="I128" s="4">
        <f>INDEX('Draft Engine'!$N$3:$N$232,$P128)</f>
        <v>50.904708333333339</v>
      </c>
      <c r="J128" s="4">
        <f>INDEX('Draft Engine'!$R$3:$R$232,$P128)</f>
        <v>59.6</v>
      </c>
      <c r="K128" s="4">
        <f>INDEX('Draft Engine'!$S$3:$S$232,$P128)</f>
        <v>-66.400000000000006</v>
      </c>
      <c r="L128" t="str">
        <f>INDEX('Draft Engine'!$T$3:$T$232,$P128)</f>
        <v>C</v>
      </c>
      <c r="M128" t="str">
        <f>INDEX('Draft Engine'!$X$3:$X$232,$P128)</f>
        <v>HISTORY FALLBACK</v>
      </c>
      <c r="N128" t="str">
        <f>INDEX('LIVE SOURCE'!$H$3:$H$232,$P128)</f>
        <v>FLEX/bench receiver; needs target growth or efficiency spikes.</v>
      </c>
      <c r="O128" t="str">
        <f>INDEX('LIVE SOURCE'!$J$3:$J$232,$P128)</f>
        <v>Target competition, quarterback efficiency and touchdown regression are the main downside paths.</v>
      </c>
      <c r="P128" s="6">
        <f>MATCH($A128,'Draft Engine'!$Q$3:$Q$232,0)</f>
        <v>118</v>
      </c>
    </row>
    <row r="129" spans="1:16" x14ac:dyDescent="0.25">
      <c r="A129">
        <f>127</f>
        <v>127</v>
      </c>
      <c r="B129" t="str">
        <f>INDEX('Draft Engine'!$A$3:$A$232,$P129)</f>
        <v>TE</v>
      </c>
      <c r="C129">
        <f>INDEX('Draft Engine'!$F$3:$F$232,$P129)</f>
        <v>23</v>
      </c>
      <c r="D129" t="str">
        <f>INDEX('Draft Engine'!$B$3:$B$232,$P129)</f>
        <v>Oronde Gadsden II</v>
      </c>
      <c r="E129" s="4">
        <f>INDEX('Draft Engine'!$E$3:$E$232,$P129)</f>
        <v>72.513800000000003</v>
      </c>
      <c r="F129" t="str">
        <f t="shared" si="1"/>
        <v>TIER 5</v>
      </c>
      <c r="G129" s="4">
        <f>INDEX('Draft Engine'!$G$3:$G$232,$P129)</f>
        <v>153.80000000000001</v>
      </c>
      <c r="H129" s="4">
        <f>INDEX('Draft Engine'!$J$3:$J$232,$P129)</f>
        <v>-25.9</v>
      </c>
      <c r="I129" s="4">
        <f>INDEX('Draft Engine'!$N$3:$N$232,$P129)</f>
        <v>50.220590000000009</v>
      </c>
      <c r="J129" s="4">
        <f>INDEX('Draft Engine'!$R$3:$R$232,$P129)</f>
        <v>150.69999999999999</v>
      </c>
      <c r="K129" s="4">
        <f>INDEX('Draft Engine'!$S$3:$S$232,$P129)</f>
        <v>23.699999999999989</v>
      </c>
      <c r="L129" t="str">
        <f>INDEX('Draft Engine'!$T$3:$T$232,$P129)</f>
        <v>A</v>
      </c>
      <c r="M129" t="str">
        <f>INDEX('Draft Engine'!$X$3:$X$232,$P129)</f>
        <v>RATE-ADJUSTED VETERAN</v>
      </c>
      <c r="N129" t="str">
        <f>INDEX('LIVE SOURCE'!$H$3:$H$232,$P129)</f>
        <v>Deep TE stash; needs a larger route/target role to matter in 10-team leagues.</v>
      </c>
      <c r="O129" t="str">
        <f>INDEX('LIVE SOURCE'!$J$3:$J$232,$P129)</f>
        <v>Route share, target volume and touchdown volatility are the main swing factors.</v>
      </c>
      <c r="P129" s="6">
        <f>MATCH($A129,'Draft Engine'!$Q$3:$Q$232,0)</f>
        <v>181</v>
      </c>
    </row>
    <row r="130" spans="1:16" x14ac:dyDescent="0.25">
      <c r="A130">
        <f>128</f>
        <v>128</v>
      </c>
      <c r="B130" t="str">
        <f>INDEX('Draft Engine'!$A$3:$A$232,$P130)</f>
        <v>WR</v>
      </c>
      <c r="C130">
        <f>INDEX('Draft Engine'!$F$3:$F$232,$P130)</f>
        <v>46</v>
      </c>
      <c r="D130" t="str">
        <f>INDEX('Draft Engine'!$B$3:$B$232,$P130)</f>
        <v>Xavier Worthy</v>
      </c>
      <c r="E130" s="4">
        <f>INDEX('Draft Engine'!$E$3:$E$232,$P130)</f>
        <v>68.180000000000007</v>
      </c>
      <c r="F130" t="str">
        <f t="shared" si="1"/>
        <v>TIER 6</v>
      </c>
      <c r="G130" s="4">
        <f>INDEX('Draft Engine'!$G$3:$G$232,$P130)</f>
        <v>216.4</v>
      </c>
      <c r="H130" s="4">
        <f>INDEX('Draft Engine'!$J$3:$J$232,$P130)</f>
        <v>-22.9</v>
      </c>
      <c r="I130" s="4">
        <f>INDEX('Draft Engine'!$N$3:$N$232,$P130)</f>
        <v>49.87700000000001</v>
      </c>
      <c r="J130" s="4">
        <f>INDEX('Draft Engine'!$R$3:$R$232,$P130)</f>
        <v>105.9</v>
      </c>
      <c r="K130" s="4">
        <f>INDEX('Draft Engine'!$S$3:$S$232,$P130)</f>
        <v>-22.099999999999994</v>
      </c>
      <c r="L130" t="str">
        <f>INDEX('Draft Engine'!$T$3:$T$232,$P130)</f>
        <v>C</v>
      </c>
      <c r="M130" t="str">
        <f>INDEX('Draft Engine'!$X$3:$X$232,$P130)</f>
        <v>HISTORY FALLBACK</v>
      </c>
      <c r="N130" t="str">
        <f>INDEX('LIVE SOURCE'!$H$3:$H$232,$P130)</f>
        <v>FLEX/bench receiver; needs target growth or efficiency spikes.</v>
      </c>
      <c r="O130" t="str">
        <f>INDEX('LIVE SOURCE'!$J$3:$J$232,$P130)</f>
        <v>Target competition, quarterback efficiency and touchdown regression are the main downside paths.</v>
      </c>
      <c r="P130" s="6">
        <f>MATCH($A130,'Draft Engine'!$Q$3:$Q$232,0)</f>
        <v>131</v>
      </c>
    </row>
    <row r="131" spans="1:16" x14ac:dyDescent="0.25">
      <c r="A131">
        <f>129</f>
        <v>129</v>
      </c>
      <c r="B131" t="str">
        <f>INDEX('Draft Engine'!$A$3:$A$232,$P131)</f>
        <v>RB</v>
      </c>
      <c r="C131">
        <f>INDEX('Draft Engine'!$F$3:$F$232,$P131)</f>
        <v>41</v>
      </c>
      <c r="D131" t="str">
        <f>INDEX('Draft Engine'!$B$3:$B$232,$P131)</f>
        <v>Woody Marks</v>
      </c>
      <c r="E131" s="4">
        <f>INDEX('Draft Engine'!$E$3:$E$232,$P131)</f>
        <v>66.866200000000006</v>
      </c>
      <c r="F131" t="str">
        <f t="shared" ref="F131:F194" si="2">IF($E131&gt;=95,"ELITE",IF($E131&gt;=90,"TIER 1",IF($E131&gt;=85,"TIER 2",IF($E131&gt;=80,"TIER 3",IF($E131&gt;=75,"TIER 4",IF($E131&gt;=70,"TIER 5",IF($E131&gt;=65,"TIER 6","TIER 7")))))))</f>
        <v>TIER 6</v>
      </c>
      <c r="G131" s="4">
        <f>INDEX('Draft Engine'!$G$3:$G$232,$P131)</f>
        <v>210.8</v>
      </c>
      <c r="H131" s="4">
        <f>INDEX('Draft Engine'!$J$3:$J$232,$P131)</f>
        <v>-28.2</v>
      </c>
      <c r="I131" s="4">
        <f>INDEX('Draft Engine'!$N$3:$N$232,$P131)</f>
        <v>49.575410000000005</v>
      </c>
      <c r="J131" s="4">
        <f>INDEX('Draft Engine'!$R$3:$R$232,$P131)</f>
        <v>149.19999999999999</v>
      </c>
      <c r="K131" s="4">
        <f>INDEX('Draft Engine'!$S$3:$S$232,$P131)</f>
        <v>20.199999999999989</v>
      </c>
      <c r="L131" t="str">
        <f>INDEX('Draft Engine'!$T$3:$T$232,$P131)</f>
        <v>A</v>
      </c>
      <c r="M131" t="str">
        <f>INDEX('Draft Engine'!$X$3:$X$232,$P131)</f>
        <v>RATE-ADJUSTED VETERAN</v>
      </c>
      <c r="N131" t="str">
        <f>INDEX('LIVE SOURCE'!$H$3:$H$232,$P131)</f>
        <v>Bench stash/handcuff profile; value is tied to role change or injury ahead.</v>
      </c>
      <c r="O131" t="str">
        <f>INDEX('LIVE SOURCE'!$J$3:$J$232,$P131)</f>
        <v>Touchdown variance, receiving-role changes and backfield competition are the main downside paths.</v>
      </c>
      <c r="P131" s="6">
        <f>MATCH($A131,'Draft Engine'!$Q$3:$Q$232,0)</f>
        <v>73</v>
      </c>
    </row>
    <row r="132" spans="1:16" x14ac:dyDescent="0.25">
      <c r="A132">
        <f>130</f>
        <v>130</v>
      </c>
      <c r="B132" t="str">
        <f>INDEX('Draft Engine'!$A$3:$A$232,$P132)</f>
        <v>QB</v>
      </c>
      <c r="C132">
        <f>INDEX('Draft Engine'!$F$3:$F$232,$P132)</f>
        <v>20</v>
      </c>
      <c r="D132" t="str">
        <f>INDEX('Draft Engine'!$B$3:$B$232,$P132)</f>
        <v>Tyler Shough</v>
      </c>
      <c r="E132" s="4">
        <f>INDEX('Draft Engine'!$E$3:$E$232,$P132)</f>
        <v>77.365600000000001</v>
      </c>
      <c r="F132" t="str">
        <f t="shared" si="2"/>
        <v>TIER 4</v>
      </c>
      <c r="G132" s="4">
        <f>INDEX('Draft Engine'!$G$3:$G$232,$P132)</f>
        <v>318.10000000000002</v>
      </c>
      <c r="H132" s="4">
        <f>INDEX('Draft Engine'!$J$3:$J$232,$P132)</f>
        <v>-33</v>
      </c>
      <c r="I132" s="4">
        <f>INDEX('Draft Engine'!$N$3:$N$232,$P132)</f>
        <v>48.995695384615388</v>
      </c>
      <c r="J132" s="4">
        <f>INDEX('Draft Engine'!$R$3:$R$232,$P132)</f>
        <v>137.69999999999999</v>
      </c>
      <c r="K132" s="4">
        <f>INDEX('Draft Engine'!$S$3:$S$232,$P132)</f>
        <v>7.6999999999999886</v>
      </c>
      <c r="L132" t="str">
        <f>INDEX('Draft Engine'!$T$3:$T$232,$P132)</f>
        <v>B</v>
      </c>
      <c r="M132" t="str">
        <f>INDEX('Draft Engine'!$X$3:$X$232,$P132)</f>
        <v>RATE-ADJUSTED VETERAN</v>
      </c>
      <c r="N132" t="str">
        <f>INDEX('LIVE SOURCE'!$H$3:$H$232,$P132)</f>
        <v>Bench/streaming option; needs matchup, rushing or TD spike weeks.</v>
      </c>
      <c r="O132" t="str">
        <f>INDEX('LIVE SOURCE'!$J$3:$J$232,$P132)</f>
        <v>Passing-TD efficiency, rushing volume and supporting-cast health are the main swing factors.</v>
      </c>
      <c r="P132" s="6">
        <f>MATCH($A132,'Draft Engine'!$Q$3:$Q$232,0)</f>
        <v>20</v>
      </c>
    </row>
    <row r="133" spans="1:16" x14ac:dyDescent="0.25">
      <c r="A133">
        <f>131</f>
        <v>131</v>
      </c>
      <c r="B133" t="str">
        <f>INDEX('Draft Engine'!$A$3:$A$232,$P133)</f>
        <v>DST</v>
      </c>
      <c r="C133">
        <f>INDEX('Draft Engine'!$F$3:$F$232,$P133)</f>
        <v>1</v>
      </c>
      <c r="D133" t="str">
        <f>INDEX('Draft Engine'!$B$3:$B$232,$P133)</f>
        <v>Houston Texans</v>
      </c>
      <c r="E133" s="4">
        <f>INDEX('Draft Engine'!$E$3:$E$232,$P133)</f>
        <v>93</v>
      </c>
      <c r="F133" t="str">
        <f t="shared" si="2"/>
        <v>TIER 1</v>
      </c>
      <c r="G133" s="4">
        <f>INDEX('Draft Engine'!$G$3:$G$232,$P133)</f>
        <v>117.4</v>
      </c>
      <c r="H133" s="4">
        <f>INDEX('Draft Engine'!$J$3:$J$232,$P133)</f>
        <v>17.8</v>
      </c>
      <c r="I133" s="4">
        <f>INDEX('Draft Engine'!$N$3:$N$232,$P133)</f>
        <v>56.854000000000013</v>
      </c>
      <c r="J133" s="4">
        <f>INDEX('Draft Engine'!$R$3:$R$232,$P133)</f>
        <v>160</v>
      </c>
      <c r="K133" s="4">
        <f>INDEX('Draft Engine'!$S$3:$S$232,$P133)</f>
        <v>29</v>
      </c>
      <c r="L133" t="str">
        <f>INDEX('Draft Engine'!$T$3:$T$232,$P133)</f>
        <v>B</v>
      </c>
      <c r="M133" t="str">
        <f>INDEX('Draft Engine'!$X$3:$X$232,$P133)</f>
        <v>DST MODEL</v>
      </c>
      <c r="N133" t="str">
        <f>INDEX('LIVE SOURCE'!$H$3:$H$232,$P133)</f>
        <v>Elite DST target if available in the final rounds; otherwise streaming remains viable.</v>
      </c>
      <c r="O133" t="str">
        <f>INDEX('LIVE SOURCE'!$J$3:$J$232,$P133)</f>
        <v>DST scoring is highly opponent- and turnover-dependent, making season-long rank fragile.</v>
      </c>
      <c r="P133" s="6">
        <f>MATCH($A133,'Draft Engine'!$Q$3:$Q$232,0)</f>
        <v>199</v>
      </c>
    </row>
    <row r="134" spans="1:16" x14ac:dyDescent="0.25">
      <c r="A134">
        <f>132</f>
        <v>132</v>
      </c>
      <c r="B134" t="str">
        <f>INDEX('Draft Engine'!$A$3:$A$232,$P134)</f>
        <v>DST</v>
      </c>
      <c r="C134">
        <f>INDEX('Draft Engine'!$F$3:$F$232,$P134)</f>
        <v>2</v>
      </c>
      <c r="D134" t="str">
        <f>INDEX('Draft Engine'!$B$3:$B$232,$P134)</f>
        <v>Denver Broncos</v>
      </c>
      <c r="E134" s="4">
        <f>INDEX('Draft Engine'!$E$3:$E$232,$P134)</f>
        <v>91.9</v>
      </c>
      <c r="F134" t="str">
        <f t="shared" si="2"/>
        <v>TIER 1</v>
      </c>
      <c r="G134" s="4">
        <f>INDEX('Draft Engine'!$G$3:$G$232,$P134)</f>
        <v>115.4</v>
      </c>
      <c r="H134" s="4">
        <f>INDEX('Draft Engine'!$J$3:$J$232,$P134)</f>
        <v>15.8</v>
      </c>
      <c r="I134" s="4">
        <f>INDEX('Draft Engine'!$N$3:$N$232,$P134)</f>
        <v>55.38900000000001</v>
      </c>
      <c r="J134" s="4">
        <f>INDEX('Draft Engine'!$R$3:$R$232,$P134)</f>
        <v>164</v>
      </c>
      <c r="K134" s="4">
        <f>INDEX('Draft Engine'!$S$3:$S$232,$P134)</f>
        <v>32</v>
      </c>
      <c r="L134" t="str">
        <f>INDEX('Draft Engine'!$T$3:$T$232,$P134)</f>
        <v>B</v>
      </c>
      <c r="M134" t="str">
        <f>INDEX('Draft Engine'!$X$3:$X$232,$P134)</f>
        <v>DST MODEL</v>
      </c>
      <c r="N134" t="str">
        <f>INDEX('LIVE SOURCE'!$H$3:$H$232,$P134)</f>
        <v>Elite DST target if available in the final rounds; otherwise streaming remains viable.</v>
      </c>
      <c r="O134" t="str">
        <f>INDEX('LIVE SOURCE'!$J$3:$J$232,$P134)</f>
        <v>DST scoring is highly opponent- and turnover-dependent, making season-long rank fragile.</v>
      </c>
      <c r="P134" s="6">
        <f>MATCH($A134,'Draft Engine'!$Q$3:$Q$232,0)</f>
        <v>200</v>
      </c>
    </row>
    <row r="135" spans="1:16" x14ac:dyDescent="0.25">
      <c r="A135">
        <f>133</f>
        <v>133</v>
      </c>
      <c r="B135" t="str">
        <f>INDEX('Draft Engine'!$A$3:$A$232,$P135)</f>
        <v>DST</v>
      </c>
      <c r="C135">
        <f>INDEX('Draft Engine'!$F$3:$F$232,$P135)</f>
        <v>3</v>
      </c>
      <c r="D135" t="str">
        <f>INDEX('Draft Engine'!$B$3:$B$232,$P135)</f>
        <v>Seattle Seahawks</v>
      </c>
      <c r="E135" s="4">
        <f>INDEX('Draft Engine'!$E$3:$E$232,$P135)</f>
        <v>90.8</v>
      </c>
      <c r="F135" t="str">
        <f t="shared" si="2"/>
        <v>TIER 1</v>
      </c>
      <c r="G135" s="4">
        <f>INDEX('Draft Engine'!$G$3:$G$232,$P135)</f>
        <v>113.4</v>
      </c>
      <c r="H135" s="4">
        <f>INDEX('Draft Engine'!$J$3:$J$232,$P135)</f>
        <v>13.8</v>
      </c>
      <c r="I135" s="4">
        <f>INDEX('Draft Engine'!$N$3:$N$232,$P135)</f>
        <v>53.924000000000007</v>
      </c>
      <c r="J135" s="4">
        <f>INDEX('Draft Engine'!$R$3:$R$232,$P135)</f>
        <v>168</v>
      </c>
      <c r="K135" s="4">
        <f>INDEX('Draft Engine'!$S$3:$S$232,$P135)</f>
        <v>35</v>
      </c>
      <c r="L135" t="str">
        <f>INDEX('Draft Engine'!$T$3:$T$232,$P135)</f>
        <v>B</v>
      </c>
      <c r="M135" t="str">
        <f>INDEX('Draft Engine'!$X$3:$X$232,$P135)</f>
        <v>DST MODEL</v>
      </c>
      <c r="N135" t="str">
        <f>INDEX('LIVE SOURCE'!$H$3:$H$232,$P135)</f>
        <v>Elite DST target if available in the final rounds; otherwise streaming remains viable.</v>
      </c>
      <c r="O135" t="str">
        <f>INDEX('LIVE SOURCE'!$J$3:$J$232,$P135)</f>
        <v>DST scoring is highly opponent- and turnover-dependent, making season-long rank fragile.</v>
      </c>
      <c r="P135" s="6">
        <f>MATCH($A135,'Draft Engine'!$Q$3:$Q$232,0)</f>
        <v>201</v>
      </c>
    </row>
    <row r="136" spans="1:16" x14ac:dyDescent="0.25">
      <c r="A136">
        <f>134</f>
        <v>134</v>
      </c>
      <c r="B136" t="str">
        <f>INDEX('Draft Engine'!$A$3:$A$232,$P136)</f>
        <v>DST</v>
      </c>
      <c r="C136">
        <f>INDEX('Draft Engine'!$F$3:$F$232,$P136)</f>
        <v>4</v>
      </c>
      <c r="D136" t="str">
        <f>INDEX('Draft Engine'!$B$3:$B$232,$P136)</f>
        <v>Los Angeles Rams</v>
      </c>
      <c r="E136" s="4">
        <f>INDEX('Draft Engine'!$E$3:$E$232,$P136)</f>
        <v>89.7</v>
      </c>
      <c r="F136" t="str">
        <f t="shared" si="2"/>
        <v>TIER 2</v>
      </c>
      <c r="G136" s="4">
        <f>INDEX('Draft Engine'!$G$3:$G$232,$P136)</f>
        <v>111.5</v>
      </c>
      <c r="H136" s="4">
        <f>INDEX('Draft Engine'!$J$3:$J$232,$P136)</f>
        <v>11.9</v>
      </c>
      <c r="I136" s="4">
        <f>INDEX('Draft Engine'!$N$3:$N$232,$P136)</f>
        <v>52.477000000000004</v>
      </c>
      <c r="J136" s="4">
        <f>INDEX('Draft Engine'!$R$3:$R$232,$P136)</f>
        <v>134.1</v>
      </c>
      <c r="K136" s="4">
        <f>INDEX('Draft Engine'!$S$3:$S$232,$P136)</f>
        <v>9.9999999999994316E-2</v>
      </c>
      <c r="L136" t="str">
        <f>INDEX('Draft Engine'!$T$3:$T$232,$P136)</f>
        <v>B</v>
      </c>
      <c r="M136" t="str">
        <f>INDEX('Draft Engine'!$X$3:$X$232,$P136)</f>
        <v>DST MODEL</v>
      </c>
      <c r="N136" t="str">
        <f>INDEX('LIVE SOURCE'!$H$3:$H$232,$P136)</f>
        <v>Elite DST target if available in the final rounds; otherwise streaming remains viable.</v>
      </c>
      <c r="O136" t="str">
        <f>INDEX('LIVE SOURCE'!$J$3:$J$232,$P136)</f>
        <v>DST scoring is highly opponent- and turnover-dependent, making season-long rank fragile.</v>
      </c>
      <c r="P136" s="6">
        <f>MATCH($A136,'Draft Engine'!$Q$3:$Q$232,0)</f>
        <v>202</v>
      </c>
    </row>
    <row r="137" spans="1:16" x14ac:dyDescent="0.25">
      <c r="A137">
        <f>135</f>
        <v>135</v>
      </c>
      <c r="B137" t="str">
        <f>INDEX('Draft Engine'!$A$3:$A$232,$P137)</f>
        <v>DST</v>
      </c>
      <c r="C137">
        <f>INDEX('Draft Engine'!$F$3:$F$232,$P137)</f>
        <v>5</v>
      </c>
      <c r="D137" t="str">
        <f>INDEX('Draft Engine'!$B$3:$B$232,$P137)</f>
        <v>Philadelphia Eagles</v>
      </c>
      <c r="E137" s="4">
        <f>INDEX('Draft Engine'!$E$3:$E$232,$P137)</f>
        <v>88.6</v>
      </c>
      <c r="F137" t="str">
        <f t="shared" si="2"/>
        <v>TIER 2</v>
      </c>
      <c r="G137" s="4">
        <f>INDEX('Draft Engine'!$G$3:$G$232,$P137)</f>
        <v>109.5</v>
      </c>
      <c r="H137" s="4">
        <f>INDEX('Draft Engine'!$J$3:$J$232,$P137)</f>
        <v>9.9</v>
      </c>
      <c r="I137" s="4">
        <f>INDEX('Draft Engine'!$N$3:$N$232,$P137)</f>
        <v>51.012</v>
      </c>
      <c r="J137" s="4">
        <f>INDEX('Draft Engine'!$R$3:$R$232,$P137)</f>
        <v>176</v>
      </c>
      <c r="K137" s="4">
        <f>INDEX('Draft Engine'!$S$3:$S$232,$P137)</f>
        <v>41</v>
      </c>
      <c r="L137" t="str">
        <f>INDEX('Draft Engine'!$T$3:$T$232,$P137)</f>
        <v>B</v>
      </c>
      <c r="M137" t="str">
        <f>INDEX('Draft Engine'!$X$3:$X$232,$P137)</f>
        <v>DST MODEL</v>
      </c>
      <c r="N137" t="str">
        <f>INDEX('LIVE SOURCE'!$H$3:$H$232,$P137)</f>
        <v>Elite DST target if available in the final rounds; otherwise streaming remains viable.</v>
      </c>
      <c r="O137" t="str">
        <f>INDEX('LIVE SOURCE'!$J$3:$J$232,$P137)</f>
        <v>DST scoring is highly opponent- and turnover-dependent, making season-long rank fragile.</v>
      </c>
      <c r="P137" s="6">
        <f>MATCH($A137,'Draft Engine'!$Q$3:$Q$232,0)</f>
        <v>203</v>
      </c>
    </row>
    <row r="138" spans="1:16" x14ac:dyDescent="0.25">
      <c r="A138">
        <f>136</f>
        <v>136</v>
      </c>
      <c r="B138" t="str">
        <f>INDEX('Draft Engine'!$A$3:$A$232,$P138)</f>
        <v>DST</v>
      </c>
      <c r="C138">
        <f>INDEX('Draft Engine'!$F$3:$F$232,$P138)</f>
        <v>6</v>
      </c>
      <c r="D138" t="str">
        <f>INDEX('Draft Engine'!$B$3:$B$232,$P138)</f>
        <v>Minnesota Vikings</v>
      </c>
      <c r="E138" s="4">
        <f>INDEX('Draft Engine'!$E$3:$E$232,$P138)</f>
        <v>87.5</v>
      </c>
      <c r="F138" t="str">
        <f t="shared" si="2"/>
        <v>TIER 2</v>
      </c>
      <c r="G138" s="4">
        <f>INDEX('Draft Engine'!$G$3:$G$232,$P138)</f>
        <v>107.5</v>
      </c>
      <c r="H138" s="4">
        <f>INDEX('Draft Engine'!$J$3:$J$232,$P138)</f>
        <v>7.9</v>
      </c>
      <c r="I138" s="4">
        <f>INDEX('Draft Engine'!$N$3:$N$232,$P138)</f>
        <v>49.547000000000011</v>
      </c>
      <c r="J138" s="4">
        <f>INDEX('Draft Engine'!$R$3:$R$232,$P138)</f>
        <v>180</v>
      </c>
      <c r="K138" s="4">
        <f>INDEX('Draft Engine'!$S$3:$S$232,$P138)</f>
        <v>44</v>
      </c>
      <c r="L138" t="str">
        <f>INDEX('Draft Engine'!$T$3:$T$232,$P138)</f>
        <v>B</v>
      </c>
      <c r="M138" t="str">
        <f>INDEX('Draft Engine'!$X$3:$X$232,$P138)</f>
        <v>DST MODEL</v>
      </c>
      <c r="N138" t="str">
        <f>INDEX('LIVE SOURCE'!$H$3:$H$232,$P138)</f>
        <v>Streaming/late-round defense; matchup matters more than preseason rank.</v>
      </c>
      <c r="O138" t="str">
        <f>INDEX('LIVE SOURCE'!$J$3:$J$232,$P138)</f>
        <v>DST scoring is highly opponent- and turnover-dependent, making season-long rank fragile.</v>
      </c>
      <c r="P138" s="6">
        <f>MATCH($A138,'Draft Engine'!$Q$3:$Q$232,0)</f>
        <v>204</v>
      </c>
    </row>
    <row r="139" spans="1:16" x14ac:dyDescent="0.25">
      <c r="A139">
        <f>137</f>
        <v>137</v>
      </c>
      <c r="B139" t="str">
        <f>INDEX('Draft Engine'!$A$3:$A$232,$P139)</f>
        <v>DST</v>
      </c>
      <c r="C139">
        <f>INDEX('Draft Engine'!$F$3:$F$232,$P139)</f>
        <v>7</v>
      </c>
      <c r="D139" t="str">
        <f>INDEX('Draft Engine'!$B$3:$B$232,$P139)</f>
        <v>New England Patriots</v>
      </c>
      <c r="E139" s="4">
        <f>INDEX('Draft Engine'!$E$3:$E$232,$P139)</f>
        <v>86.4</v>
      </c>
      <c r="F139" t="str">
        <f t="shared" si="2"/>
        <v>TIER 2</v>
      </c>
      <c r="G139" s="4">
        <f>INDEX('Draft Engine'!$G$3:$G$232,$P139)</f>
        <v>105.5</v>
      </c>
      <c r="H139" s="4">
        <f>INDEX('Draft Engine'!$J$3:$J$232,$P139)</f>
        <v>5.9</v>
      </c>
      <c r="I139" s="4">
        <f>INDEX('Draft Engine'!$N$3:$N$232,$P139)</f>
        <v>48.082000000000008</v>
      </c>
      <c r="J139" s="4">
        <f>INDEX('Draft Engine'!$R$3:$R$232,$P139)</f>
        <v>184</v>
      </c>
      <c r="K139" s="4">
        <f>INDEX('Draft Engine'!$S$3:$S$232,$P139)</f>
        <v>47</v>
      </c>
      <c r="L139" t="str">
        <f>INDEX('Draft Engine'!$T$3:$T$232,$P139)</f>
        <v>B</v>
      </c>
      <c r="M139" t="str">
        <f>INDEX('Draft Engine'!$X$3:$X$232,$P139)</f>
        <v>DST MODEL</v>
      </c>
      <c r="N139" t="str">
        <f>INDEX('LIVE SOURCE'!$H$3:$H$232,$P139)</f>
        <v>Streaming/late-round defense; matchup matters more than preseason rank.</v>
      </c>
      <c r="O139" t="str">
        <f>INDEX('LIVE SOURCE'!$J$3:$J$232,$P139)</f>
        <v>DST scoring is highly opponent- and turnover-dependent, making season-long rank fragile.</v>
      </c>
      <c r="P139" s="6">
        <f>MATCH($A139,'Draft Engine'!$Q$3:$Q$232,0)</f>
        <v>205</v>
      </c>
    </row>
    <row r="140" spans="1:16" x14ac:dyDescent="0.25">
      <c r="A140">
        <f>138</f>
        <v>138</v>
      </c>
      <c r="B140" t="str">
        <f>INDEX('Draft Engine'!$A$3:$A$232,$P140)</f>
        <v>DST</v>
      </c>
      <c r="C140">
        <f>INDEX('Draft Engine'!$F$3:$F$232,$P140)</f>
        <v>8</v>
      </c>
      <c r="D140" t="str">
        <f>INDEX('Draft Engine'!$B$3:$B$232,$P140)</f>
        <v>Jacksonville Jaguars</v>
      </c>
      <c r="E140" s="4">
        <f>INDEX('Draft Engine'!$E$3:$E$232,$P140)</f>
        <v>85.3</v>
      </c>
      <c r="F140" t="str">
        <f t="shared" si="2"/>
        <v>TIER 2</v>
      </c>
      <c r="G140" s="4">
        <f>INDEX('Draft Engine'!$G$3:$G$232,$P140)</f>
        <v>103.5</v>
      </c>
      <c r="H140" s="4">
        <f>INDEX('Draft Engine'!$J$3:$J$232,$P140)</f>
        <v>3.9</v>
      </c>
      <c r="I140" s="4">
        <f>INDEX('Draft Engine'!$N$3:$N$232,$P140)</f>
        <v>46.61699999999999</v>
      </c>
      <c r="J140" s="4">
        <f>INDEX('Draft Engine'!$R$3:$R$232,$P140)</f>
        <v>188</v>
      </c>
      <c r="K140" s="4">
        <f>INDEX('Draft Engine'!$S$3:$S$232,$P140)</f>
        <v>50</v>
      </c>
      <c r="L140" t="str">
        <f>INDEX('Draft Engine'!$T$3:$T$232,$P140)</f>
        <v>B</v>
      </c>
      <c r="M140" t="str">
        <f>INDEX('Draft Engine'!$X$3:$X$232,$P140)</f>
        <v>DST MODEL</v>
      </c>
      <c r="N140" t="str">
        <f>INDEX('LIVE SOURCE'!$H$3:$H$232,$P140)</f>
        <v>Streaming/late-round defense; matchup matters more than preseason rank.</v>
      </c>
      <c r="O140" t="str">
        <f>INDEX('LIVE SOURCE'!$J$3:$J$232,$P140)</f>
        <v>DST scoring is highly opponent- and turnover-dependent, making season-long rank fragile.</v>
      </c>
      <c r="P140" s="6">
        <f>MATCH($A140,'Draft Engine'!$Q$3:$Q$232,0)</f>
        <v>206</v>
      </c>
    </row>
    <row r="141" spans="1:16" x14ac:dyDescent="0.25">
      <c r="A141">
        <f>139</f>
        <v>139</v>
      </c>
      <c r="B141" t="str">
        <f>INDEX('Draft Engine'!$A$3:$A$232,$P141)</f>
        <v>DST</v>
      </c>
      <c r="C141">
        <f>INDEX('Draft Engine'!$F$3:$F$232,$P141)</f>
        <v>9</v>
      </c>
      <c r="D141" t="str">
        <f>INDEX('Draft Engine'!$B$3:$B$232,$P141)</f>
        <v>Pittsburgh Steelers</v>
      </c>
      <c r="E141" s="4">
        <f>INDEX('Draft Engine'!$E$3:$E$232,$P141)</f>
        <v>84.2</v>
      </c>
      <c r="F141" t="str">
        <f t="shared" si="2"/>
        <v>TIER 3</v>
      </c>
      <c r="G141" s="4">
        <f>INDEX('Draft Engine'!$G$3:$G$232,$P141)</f>
        <v>101.6</v>
      </c>
      <c r="H141" s="4">
        <f>INDEX('Draft Engine'!$J$3:$J$232,$P141)</f>
        <v>2</v>
      </c>
      <c r="I141" s="4">
        <f>INDEX('Draft Engine'!$N$3:$N$232,$P141)</f>
        <v>45.17</v>
      </c>
      <c r="J141" s="4">
        <f>INDEX('Draft Engine'!$R$3:$R$232,$P141)</f>
        <v>192</v>
      </c>
      <c r="K141" s="4">
        <f>INDEX('Draft Engine'!$S$3:$S$232,$P141)</f>
        <v>53</v>
      </c>
      <c r="L141" t="str">
        <f>INDEX('Draft Engine'!$T$3:$T$232,$P141)</f>
        <v>B</v>
      </c>
      <c r="M141" t="str">
        <f>INDEX('Draft Engine'!$X$3:$X$232,$P141)</f>
        <v>DST MODEL</v>
      </c>
      <c r="N141" t="str">
        <f>INDEX('LIVE SOURCE'!$H$3:$H$232,$P141)</f>
        <v>Streaming/late-round defense; matchup matters more than preseason rank.</v>
      </c>
      <c r="O141" t="str">
        <f>INDEX('LIVE SOURCE'!$J$3:$J$232,$P141)</f>
        <v>DST scoring is highly opponent- and turnover-dependent, making season-long rank fragile.</v>
      </c>
      <c r="P141" s="6">
        <f>MATCH($A141,'Draft Engine'!$Q$3:$Q$232,0)</f>
        <v>207</v>
      </c>
    </row>
    <row r="142" spans="1:16" x14ac:dyDescent="0.25">
      <c r="A142">
        <f>140</f>
        <v>140</v>
      </c>
      <c r="B142" t="str">
        <f>INDEX('Draft Engine'!$A$3:$A$232,$P142)</f>
        <v>DST</v>
      </c>
      <c r="C142">
        <f>INDEX('Draft Engine'!$F$3:$F$232,$P142)</f>
        <v>10</v>
      </c>
      <c r="D142" t="str">
        <f>INDEX('Draft Engine'!$B$3:$B$232,$P142)</f>
        <v>Los Angeles Chargers</v>
      </c>
      <c r="E142" s="4">
        <f>INDEX('Draft Engine'!$E$3:$E$232,$P142)</f>
        <v>83.1</v>
      </c>
      <c r="F142" t="str">
        <f t="shared" si="2"/>
        <v>TIER 3</v>
      </c>
      <c r="G142" s="4">
        <f>INDEX('Draft Engine'!$G$3:$G$232,$P142)</f>
        <v>99.6</v>
      </c>
      <c r="H142" s="4">
        <f>INDEX('Draft Engine'!$J$3:$J$232,$P142)</f>
        <v>0</v>
      </c>
      <c r="I142" s="4">
        <f>INDEX('Draft Engine'!$N$3:$N$232,$P142)</f>
        <v>43.704999999999998</v>
      </c>
      <c r="J142" s="4">
        <f>INDEX('Draft Engine'!$R$3:$R$232,$P142)</f>
        <v>144.69999999999999</v>
      </c>
      <c r="K142" s="4">
        <f>INDEX('Draft Engine'!$S$3:$S$232,$P142)</f>
        <v>4.6999999999999886</v>
      </c>
      <c r="L142" t="str">
        <f>INDEX('Draft Engine'!$T$3:$T$232,$P142)</f>
        <v>B</v>
      </c>
      <c r="M142" t="str">
        <f>INDEX('Draft Engine'!$X$3:$X$232,$P142)</f>
        <v>DST MODEL</v>
      </c>
      <c r="N142" t="str">
        <f>INDEX('LIVE SOURCE'!$H$3:$H$232,$P142)</f>
        <v>Streaming/late-round defense; matchup matters more than preseason rank.</v>
      </c>
      <c r="O142" t="str">
        <f>INDEX('LIVE SOURCE'!$J$3:$J$232,$P142)</f>
        <v>DST scoring is highly opponent- and turnover-dependent, making season-long rank fragile.</v>
      </c>
      <c r="P142" s="6">
        <f>MATCH($A142,'Draft Engine'!$Q$3:$Q$232,0)</f>
        <v>208</v>
      </c>
    </row>
    <row r="143" spans="1:16" x14ac:dyDescent="0.25">
      <c r="A143">
        <f>141</f>
        <v>141</v>
      </c>
      <c r="B143" t="str">
        <f>INDEX('Draft Engine'!$A$3:$A$232,$P143)</f>
        <v>K</v>
      </c>
      <c r="C143">
        <f>INDEX('Draft Engine'!$F$3:$F$232,$P143)</f>
        <v>1</v>
      </c>
      <c r="D143" t="str">
        <f>INDEX('Draft Engine'!$B$3:$B$232,$P143)</f>
        <v>Brandon Aubrey</v>
      </c>
      <c r="E143" s="4">
        <f>INDEX('Draft Engine'!$E$3:$E$232,$P143)</f>
        <v>94</v>
      </c>
      <c r="F143" t="str">
        <f t="shared" si="2"/>
        <v>TIER 1</v>
      </c>
      <c r="G143" s="4">
        <f>INDEX('Draft Engine'!$G$3:$G$232,$P143)</f>
        <v>148</v>
      </c>
      <c r="H143" s="4">
        <f>INDEX('Draft Engine'!$J$3:$J$232,$P143)</f>
        <v>39.6</v>
      </c>
      <c r="I143" s="4">
        <f>INDEX('Draft Engine'!$N$3:$N$232,$P143)</f>
        <v>64.078000000000003</v>
      </c>
      <c r="J143" s="4">
        <f>INDEX('Draft Engine'!$R$3:$R$232,$P143)</f>
        <v>155</v>
      </c>
      <c r="K143" s="4">
        <f>INDEX('Draft Engine'!$S$3:$S$232,$P143)</f>
        <v>14</v>
      </c>
      <c r="L143" t="str">
        <f>INDEX('Draft Engine'!$T$3:$T$232,$P143)</f>
        <v>B</v>
      </c>
      <c r="M143" t="str">
        <f>INDEX('Draft Engine'!$X$3:$X$232,$P143)</f>
        <v>KICKER MODEL</v>
      </c>
      <c r="N143" t="str">
        <f>INDEX('LIVE SOURCE'!$H$3:$H$232,$P143)</f>
        <v>Top-tier kicker option, but still a final-round target.</v>
      </c>
      <c r="O143" t="str">
        <f>INDEX('LIVE SOURCE'!$J$3:$J$232,$P143)</f>
        <v>Kicker scoring is volatile and replaceable on waivers; do not pay meaningful draft capital.</v>
      </c>
      <c r="P143" s="6">
        <f>MATCH($A143,'Draft Engine'!$Q$3:$Q$232,0)</f>
        <v>187</v>
      </c>
    </row>
    <row r="144" spans="1:16" x14ac:dyDescent="0.25">
      <c r="A144">
        <f>142</f>
        <v>142</v>
      </c>
      <c r="B144" t="str">
        <f>INDEX('Draft Engine'!$A$3:$A$232,$P144)</f>
        <v>K</v>
      </c>
      <c r="C144">
        <f>INDEX('Draft Engine'!$F$3:$F$232,$P144)</f>
        <v>2</v>
      </c>
      <c r="D144" t="str">
        <f>INDEX('Draft Engine'!$B$3:$B$232,$P144)</f>
        <v>Ka'imi Fairbairn</v>
      </c>
      <c r="E144" s="4">
        <f>INDEX('Draft Engine'!$E$3:$E$232,$P144)</f>
        <v>91.8</v>
      </c>
      <c r="F144" t="str">
        <f t="shared" si="2"/>
        <v>TIER 1</v>
      </c>
      <c r="G144" s="4">
        <f>INDEX('Draft Engine'!$G$3:$G$232,$P144)</f>
        <v>143.6</v>
      </c>
      <c r="H144" s="4">
        <f>INDEX('Draft Engine'!$J$3:$J$232,$P144)</f>
        <v>35.200000000000003</v>
      </c>
      <c r="I144" s="4">
        <f>INDEX('Draft Engine'!$N$3:$N$232,$P144)</f>
        <v>61.52600000000001</v>
      </c>
      <c r="J144" s="4">
        <f>INDEX('Draft Engine'!$R$3:$R$232,$P144)</f>
        <v>160</v>
      </c>
      <c r="K144" s="4">
        <f>INDEX('Draft Engine'!$S$3:$S$232,$P144)</f>
        <v>18</v>
      </c>
      <c r="L144" t="str">
        <f>INDEX('Draft Engine'!$T$3:$T$232,$P144)</f>
        <v>B</v>
      </c>
      <c r="M144" t="str">
        <f>INDEX('Draft Engine'!$X$3:$X$232,$P144)</f>
        <v>KICKER MODEL</v>
      </c>
      <c r="N144" t="str">
        <f>INDEX('LIVE SOURCE'!$H$3:$H$232,$P144)</f>
        <v>Top-tier kicker option, but still a final-round target.</v>
      </c>
      <c r="O144" t="str">
        <f>INDEX('LIVE SOURCE'!$J$3:$J$232,$P144)</f>
        <v>Kicker scoring is volatile and replaceable on waivers; do not pay meaningful draft capital.</v>
      </c>
      <c r="P144" s="6">
        <f>MATCH($A144,'Draft Engine'!$Q$3:$Q$232,0)</f>
        <v>188</v>
      </c>
    </row>
    <row r="145" spans="1:16" x14ac:dyDescent="0.25">
      <c r="A145">
        <f>143</f>
        <v>143</v>
      </c>
      <c r="B145" t="str">
        <f>INDEX('Draft Engine'!$A$3:$A$232,$P145)</f>
        <v>K</v>
      </c>
      <c r="C145">
        <f>INDEX('Draft Engine'!$F$3:$F$232,$P145)</f>
        <v>3</v>
      </c>
      <c r="D145" t="str">
        <f>INDEX('Draft Engine'!$B$3:$B$232,$P145)</f>
        <v>Cameron Dicker</v>
      </c>
      <c r="E145" s="4">
        <f>INDEX('Draft Engine'!$E$3:$E$232,$P145)</f>
        <v>89.6</v>
      </c>
      <c r="F145" t="str">
        <f t="shared" si="2"/>
        <v>TIER 2</v>
      </c>
      <c r="G145" s="4">
        <f>INDEX('Draft Engine'!$G$3:$G$232,$P145)</f>
        <v>139.19999999999999</v>
      </c>
      <c r="H145" s="4">
        <f>INDEX('Draft Engine'!$J$3:$J$232,$P145)</f>
        <v>30.8</v>
      </c>
      <c r="I145" s="4">
        <f>INDEX('Draft Engine'!$N$3:$N$232,$P145)</f>
        <v>58.974000000000004</v>
      </c>
      <c r="J145" s="4">
        <f>INDEX('Draft Engine'!$R$3:$R$232,$P145)</f>
        <v>165</v>
      </c>
      <c r="K145" s="4">
        <f>INDEX('Draft Engine'!$S$3:$S$232,$P145)</f>
        <v>22</v>
      </c>
      <c r="L145" t="str">
        <f>INDEX('Draft Engine'!$T$3:$T$232,$P145)</f>
        <v>B</v>
      </c>
      <c r="M145" t="str">
        <f>INDEX('Draft Engine'!$X$3:$X$232,$P145)</f>
        <v>KICKER MODEL</v>
      </c>
      <c r="N145" t="str">
        <f>INDEX('LIVE SOURCE'!$H$3:$H$232,$P145)</f>
        <v>Top-tier kicker option, but still a final-round target.</v>
      </c>
      <c r="O145" t="str">
        <f>INDEX('LIVE SOURCE'!$J$3:$J$232,$P145)</f>
        <v>Kicker scoring is volatile and replaceable on waivers; do not pay meaningful draft capital.</v>
      </c>
      <c r="P145" s="6">
        <f>MATCH($A145,'Draft Engine'!$Q$3:$Q$232,0)</f>
        <v>189</v>
      </c>
    </row>
    <row r="146" spans="1:16" x14ac:dyDescent="0.25">
      <c r="A146">
        <f>144</f>
        <v>144</v>
      </c>
      <c r="B146" t="str">
        <f>INDEX('Draft Engine'!$A$3:$A$232,$P146)</f>
        <v>K</v>
      </c>
      <c r="C146">
        <f>INDEX('Draft Engine'!$F$3:$F$232,$P146)</f>
        <v>4</v>
      </c>
      <c r="D146" t="str">
        <f>INDEX('Draft Engine'!$B$3:$B$232,$P146)</f>
        <v>Jason Myers</v>
      </c>
      <c r="E146" s="4">
        <f>INDEX('Draft Engine'!$E$3:$E$232,$P146)</f>
        <v>87.4</v>
      </c>
      <c r="F146" t="str">
        <f t="shared" si="2"/>
        <v>TIER 2</v>
      </c>
      <c r="G146" s="4">
        <f>INDEX('Draft Engine'!$G$3:$G$232,$P146)</f>
        <v>134.80000000000001</v>
      </c>
      <c r="H146" s="4">
        <f>INDEX('Draft Engine'!$J$3:$J$232,$P146)</f>
        <v>26.4</v>
      </c>
      <c r="I146" s="4">
        <f>INDEX('Draft Engine'!$N$3:$N$232,$P146)</f>
        <v>56.421999999999997</v>
      </c>
      <c r="J146" s="4">
        <f>INDEX('Draft Engine'!$R$3:$R$232,$P146)</f>
        <v>170</v>
      </c>
      <c r="K146" s="4">
        <f>INDEX('Draft Engine'!$S$3:$S$232,$P146)</f>
        <v>26</v>
      </c>
      <c r="L146" t="str">
        <f>INDEX('Draft Engine'!$T$3:$T$232,$P146)</f>
        <v>B</v>
      </c>
      <c r="M146" t="str">
        <f>INDEX('Draft Engine'!$X$3:$X$232,$P146)</f>
        <v>KICKER MODEL</v>
      </c>
      <c r="N146" t="str">
        <f>INDEX('LIVE SOURCE'!$H$3:$H$232,$P146)</f>
        <v>Top-tier kicker option, but still a final-round target.</v>
      </c>
      <c r="O146" t="str">
        <f>INDEX('LIVE SOURCE'!$J$3:$J$232,$P146)</f>
        <v>Kicker scoring is volatile and replaceable on waivers; do not pay meaningful draft capital.</v>
      </c>
      <c r="P146" s="6">
        <f>MATCH($A146,'Draft Engine'!$Q$3:$Q$232,0)</f>
        <v>190</v>
      </c>
    </row>
    <row r="147" spans="1:16" x14ac:dyDescent="0.25">
      <c r="A147">
        <f>145</f>
        <v>145</v>
      </c>
      <c r="B147" t="str">
        <f>INDEX('Draft Engine'!$A$3:$A$232,$P147)</f>
        <v>K</v>
      </c>
      <c r="C147">
        <f>INDEX('Draft Engine'!$F$3:$F$232,$P147)</f>
        <v>5</v>
      </c>
      <c r="D147" t="str">
        <f>INDEX('Draft Engine'!$B$3:$B$232,$P147)</f>
        <v>Cam Little</v>
      </c>
      <c r="E147" s="4">
        <f>INDEX('Draft Engine'!$E$3:$E$232,$P147)</f>
        <v>85.2</v>
      </c>
      <c r="F147" t="str">
        <f t="shared" si="2"/>
        <v>TIER 2</v>
      </c>
      <c r="G147" s="4">
        <f>INDEX('Draft Engine'!$G$3:$G$232,$P147)</f>
        <v>130.4</v>
      </c>
      <c r="H147" s="4">
        <f>INDEX('Draft Engine'!$J$3:$J$232,$P147)</f>
        <v>22</v>
      </c>
      <c r="I147" s="4">
        <f>INDEX('Draft Engine'!$N$3:$N$232,$P147)</f>
        <v>53.870000000000005</v>
      </c>
      <c r="J147" s="4">
        <f>INDEX('Draft Engine'!$R$3:$R$232,$P147)</f>
        <v>175</v>
      </c>
      <c r="K147" s="4">
        <f>INDEX('Draft Engine'!$S$3:$S$232,$P147)</f>
        <v>30</v>
      </c>
      <c r="L147" t="str">
        <f>INDEX('Draft Engine'!$T$3:$T$232,$P147)</f>
        <v>B</v>
      </c>
      <c r="M147" t="str">
        <f>INDEX('Draft Engine'!$X$3:$X$232,$P147)</f>
        <v>KICKER MODEL</v>
      </c>
      <c r="N147" t="str">
        <f>INDEX('LIVE SOURCE'!$H$3:$H$232,$P147)</f>
        <v>Top-tier kicker option, but still a final-round target.</v>
      </c>
      <c r="O147" t="str">
        <f>INDEX('LIVE SOURCE'!$J$3:$J$232,$P147)</f>
        <v>Kicker scoring is volatile and replaceable on waivers; do not pay meaningful draft capital.</v>
      </c>
      <c r="P147" s="6">
        <f>MATCH($A147,'Draft Engine'!$Q$3:$Q$232,0)</f>
        <v>191</v>
      </c>
    </row>
    <row r="148" spans="1:16" x14ac:dyDescent="0.25">
      <c r="A148">
        <f>146</f>
        <v>146</v>
      </c>
      <c r="B148" t="str">
        <f>INDEX('Draft Engine'!$A$3:$A$232,$P148)</f>
        <v>K</v>
      </c>
      <c r="C148">
        <f>INDEX('Draft Engine'!$F$3:$F$232,$P148)</f>
        <v>6</v>
      </c>
      <c r="D148" t="str">
        <f>INDEX('Draft Engine'!$B$3:$B$232,$P148)</f>
        <v>Eddy Pineiro</v>
      </c>
      <c r="E148" s="4">
        <f>INDEX('Draft Engine'!$E$3:$E$232,$P148)</f>
        <v>83</v>
      </c>
      <c r="F148" t="str">
        <f t="shared" si="2"/>
        <v>TIER 3</v>
      </c>
      <c r="G148" s="4">
        <f>INDEX('Draft Engine'!$G$3:$G$232,$P148)</f>
        <v>126</v>
      </c>
      <c r="H148" s="4">
        <f>INDEX('Draft Engine'!$J$3:$J$232,$P148)</f>
        <v>17.600000000000001</v>
      </c>
      <c r="I148" s="4">
        <f>INDEX('Draft Engine'!$N$3:$N$232,$P148)</f>
        <v>51.318000000000012</v>
      </c>
      <c r="J148" s="4">
        <f>INDEX('Draft Engine'!$R$3:$R$232,$P148)</f>
        <v>180</v>
      </c>
      <c r="K148" s="4">
        <f>INDEX('Draft Engine'!$S$3:$S$232,$P148)</f>
        <v>34</v>
      </c>
      <c r="L148" t="str">
        <f>INDEX('Draft Engine'!$T$3:$T$232,$P148)</f>
        <v>B</v>
      </c>
      <c r="M148" t="str">
        <f>INDEX('Draft Engine'!$X$3:$X$232,$P148)</f>
        <v>KICKER MODEL</v>
      </c>
      <c r="N148" t="str">
        <f>INDEX('LIVE SOURCE'!$H$3:$H$232,$P148)</f>
        <v>Late-round kicker; treat as replaceable unless scoring strongly rewards distance.</v>
      </c>
      <c r="O148" t="str">
        <f>INDEX('LIVE SOURCE'!$J$3:$J$232,$P148)</f>
        <v>Kicker scoring is volatile and replaceable on waivers; do not pay meaningful draft capital.</v>
      </c>
      <c r="P148" s="6">
        <f>MATCH($A148,'Draft Engine'!$Q$3:$Q$232,0)</f>
        <v>192</v>
      </c>
    </row>
    <row r="149" spans="1:16" x14ac:dyDescent="0.25">
      <c r="A149">
        <f>147</f>
        <v>147</v>
      </c>
      <c r="B149" t="str">
        <f>INDEX('Draft Engine'!$A$3:$A$232,$P149)</f>
        <v>K</v>
      </c>
      <c r="C149">
        <f>INDEX('Draft Engine'!$F$3:$F$232,$P149)</f>
        <v>7</v>
      </c>
      <c r="D149" t="str">
        <f>INDEX('Draft Engine'!$B$3:$B$232,$P149)</f>
        <v>Tyler Loop</v>
      </c>
      <c r="E149" s="4">
        <f>INDEX('Draft Engine'!$E$3:$E$232,$P149)</f>
        <v>80.8</v>
      </c>
      <c r="F149" t="str">
        <f t="shared" si="2"/>
        <v>TIER 3</v>
      </c>
      <c r="G149" s="4">
        <f>INDEX('Draft Engine'!$G$3:$G$232,$P149)</f>
        <v>121.6</v>
      </c>
      <c r="H149" s="4">
        <f>INDEX('Draft Engine'!$J$3:$J$232,$P149)</f>
        <v>13.2</v>
      </c>
      <c r="I149" s="4">
        <f>INDEX('Draft Engine'!$N$3:$N$232,$P149)</f>
        <v>48.766000000000005</v>
      </c>
      <c r="J149" s="4">
        <f>INDEX('Draft Engine'!$R$3:$R$232,$P149)</f>
        <v>185</v>
      </c>
      <c r="K149" s="4">
        <f>INDEX('Draft Engine'!$S$3:$S$232,$P149)</f>
        <v>38</v>
      </c>
      <c r="L149" t="str">
        <f>INDEX('Draft Engine'!$T$3:$T$232,$P149)</f>
        <v>B</v>
      </c>
      <c r="M149" t="str">
        <f>INDEX('Draft Engine'!$X$3:$X$232,$P149)</f>
        <v>KICKER MODEL</v>
      </c>
      <c r="N149" t="str">
        <f>INDEX('LIVE SOURCE'!$H$3:$H$232,$P149)</f>
        <v>Late-round kicker; treat as replaceable unless scoring strongly rewards distance.</v>
      </c>
      <c r="O149" t="str">
        <f>INDEX('LIVE SOURCE'!$J$3:$J$232,$P149)</f>
        <v>Kicker scoring is volatile and replaceable on waivers; do not pay meaningful draft capital.</v>
      </c>
      <c r="P149" s="6">
        <f>MATCH($A149,'Draft Engine'!$Q$3:$Q$232,0)</f>
        <v>193</v>
      </c>
    </row>
    <row r="150" spans="1:16" x14ac:dyDescent="0.25">
      <c r="A150">
        <f>148</f>
        <v>148</v>
      </c>
      <c r="B150" t="str">
        <f>INDEX('Draft Engine'!$A$3:$A$232,$P150)</f>
        <v>K</v>
      </c>
      <c r="C150">
        <f>INDEX('Draft Engine'!$F$3:$F$232,$P150)</f>
        <v>8</v>
      </c>
      <c r="D150" t="str">
        <f>INDEX('Draft Engine'!$B$3:$B$232,$P150)</f>
        <v>Harrison Mevis</v>
      </c>
      <c r="E150" s="4">
        <f>INDEX('Draft Engine'!$E$3:$E$232,$P150)</f>
        <v>78.599999999999994</v>
      </c>
      <c r="F150" t="str">
        <f t="shared" si="2"/>
        <v>TIER 4</v>
      </c>
      <c r="G150" s="4">
        <f>INDEX('Draft Engine'!$G$3:$G$232,$P150)</f>
        <v>117.2</v>
      </c>
      <c r="H150" s="4">
        <f>INDEX('Draft Engine'!$J$3:$J$232,$P150)</f>
        <v>8.8000000000000007</v>
      </c>
      <c r="I150" s="4">
        <f>INDEX('Draft Engine'!$N$3:$N$232,$P150)</f>
        <v>46.213999999999999</v>
      </c>
      <c r="J150" s="4">
        <f>INDEX('Draft Engine'!$R$3:$R$232,$P150)</f>
        <v>190</v>
      </c>
      <c r="K150" s="4">
        <f>INDEX('Draft Engine'!$S$3:$S$232,$P150)</f>
        <v>42</v>
      </c>
      <c r="L150" t="str">
        <f>INDEX('Draft Engine'!$T$3:$T$232,$P150)</f>
        <v>B</v>
      </c>
      <c r="M150" t="str">
        <f>INDEX('Draft Engine'!$X$3:$X$232,$P150)</f>
        <v>KICKER MODEL</v>
      </c>
      <c r="N150" t="str">
        <f>INDEX('LIVE SOURCE'!$H$3:$H$232,$P150)</f>
        <v>Late-round kicker; treat as replaceable unless scoring strongly rewards distance.</v>
      </c>
      <c r="O150" t="str">
        <f>INDEX('LIVE SOURCE'!$J$3:$J$232,$P150)</f>
        <v>Kicker scoring is volatile and replaceable on waivers; do not pay meaningful draft capital.</v>
      </c>
      <c r="P150" s="6">
        <f>MATCH($A150,'Draft Engine'!$Q$3:$Q$232,0)</f>
        <v>194</v>
      </c>
    </row>
    <row r="151" spans="1:16" x14ac:dyDescent="0.25">
      <c r="A151">
        <f>149</f>
        <v>149</v>
      </c>
      <c r="B151" t="str">
        <f>INDEX('Draft Engine'!$A$3:$A$232,$P151)</f>
        <v>K</v>
      </c>
      <c r="C151">
        <f>INDEX('Draft Engine'!$F$3:$F$232,$P151)</f>
        <v>9</v>
      </c>
      <c r="D151" t="str">
        <f>INDEX('Draft Engine'!$B$3:$B$232,$P151)</f>
        <v>Chase McLaughlin</v>
      </c>
      <c r="E151" s="4">
        <f>INDEX('Draft Engine'!$E$3:$E$232,$P151)</f>
        <v>76.400000000000006</v>
      </c>
      <c r="F151" t="str">
        <f t="shared" si="2"/>
        <v>TIER 4</v>
      </c>
      <c r="G151" s="4">
        <f>INDEX('Draft Engine'!$G$3:$G$232,$P151)</f>
        <v>112.8</v>
      </c>
      <c r="H151" s="4">
        <f>INDEX('Draft Engine'!$J$3:$J$232,$P151)</f>
        <v>4.4000000000000004</v>
      </c>
      <c r="I151" s="4">
        <f>INDEX('Draft Engine'!$N$3:$N$232,$P151)</f>
        <v>43.662000000000006</v>
      </c>
      <c r="J151" s="4">
        <f>INDEX('Draft Engine'!$R$3:$R$232,$P151)</f>
        <v>195</v>
      </c>
      <c r="K151" s="4">
        <f>INDEX('Draft Engine'!$S$3:$S$232,$P151)</f>
        <v>46</v>
      </c>
      <c r="L151" t="str">
        <f>INDEX('Draft Engine'!$T$3:$T$232,$P151)</f>
        <v>B</v>
      </c>
      <c r="M151" t="str">
        <f>INDEX('Draft Engine'!$X$3:$X$232,$P151)</f>
        <v>KICKER MODEL</v>
      </c>
      <c r="N151" t="str">
        <f>INDEX('LIVE SOURCE'!$H$3:$H$232,$P151)</f>
        <v>Late-round kicker; treat as replaceable unless scoring strongly rewards distance.</v>
      </c>
      <c r="O151" t="str">
        <f>INDEX('LIVE SOURCE'!$J$3:$J$232,$P151)</f>
        <v>Kicker scoring is volatile and replaceable on waivers; do not pay meaningful draft capital.</v>
      </c>
      <c r="P151" s="6">
        <f>MATCH($A151,'Draft Engine'!$Q$3:$Q$232,0)</f>
        <v>195</v>
      </c>
    </row>
    <row r="152" spans="1:16" x14ac:dyDescent="0.25">
      <c r="A152">
        <f>150</f>
        <v>150</v>
      </c>
      <c r="B152" t="str">
        <f>INDEX('Draft Engine'!$A$3:$A$232,$P152)</f>
        <v>K</v>
      </c>
      <c r="C152">
        <f>INDEX('Draft Engine'!$F$3:$F$232,$P152)</f>
        <v>10</v>
      </c>
      <c r="D152" t="str">
        <f>INDEX('Draft Engine'!$B$3:$B$232,$P152)</f>
        <v>Cairo Santos</v>
      </c>
      <c r="E152" s="4">
        <f>INDEX('Draft Engine'!$E$3:$E$232,$P152)</f>
        <v>74.2</v>
      </c>
      <c r="F152" t="str">
        <f t="shared" si="2"/>
        <v>TIER 5</v>
      </c>
      <c r="G152" s="4">
        <f>INDEX('Draft Engine'!$G$3:$G$232,$P152)</f>
        <v>108.4</v>
      </c>
      <c r="H152" s="4">
        <f>INDEX('Draft Engine'!$J$3:$J$232,$P152)</f>
        <v>0</v>
      </c>
      <c r="I152" s="4">
        <f>INDEX('Draft Engine'!$N$3:$N$232,$P152)</f>
        <v>41.11</v>
      </c>
      <c r="J152" s="4">
        <f>INDEX('Draft Engine'!$R$3:$R$232,$P152)</f>
        <v>200</v>
      </c>
      <c r="K152" s="4">
        <f>INDEX('Draft Engine'!$S$3:$S$232,$P152)</f>
        <v>50</v>
      </c>
      <c r="L152" t="str">
        <f>INDEX('Draft Engine'!$T$3:$T$232,$P152)</f>
        <v>B</v>
      </c>
      <c r="M152" t="str">
        <f>INDEX('Draft Engine'!$X$3:$X$232,$P152)</f>
        <v>KICKER MODEL</v>
      </c>
      <c r="N152" t="str">
        <f>INDEX('LIVE SOURCE'!$H$3:$H$232,$P152)</f>
        <v>Late-round kicker; treat as replaceable unless scoring strongly rewards distance.</v>
      </c>
      <c r="O152" t="str">
        <f>INDEX('LIVE SOURCE'!$J$3:$J$232,$P152)</f>
        <v>Kicker scoring is volatile and replaceable on waivers; do not pay meaningful draft capital.</v>
      </c>
      <c r="P152" s="6">
        <f>MATCH($A152,'Draft Engine'!$Q$3:$Q$232,0)</f>
        <v>196</v>
      </c>
    </row>
    <row r="153" spans="1:16" x14ac:dyDescent="0.25">
      <c r="A153">
        <f>151</f>
        <v>151</v>
      </c>
      <c r="B153" t="str">
        <f>INDEX('Draft Engine'!$A$3:$A$232,$P153)</f>
        <v>RB</v>
      </c>
      <c r="C153">
        <f>INDEX('Draft Engine'!$F$3:$F$232,$P153)</f>
        <v>42</v>
      </c>
      <c r="D153" t="str">
        <f>INDEX('Draft Engine'!$B$3:$B$232,$P153)</f>
        <v>Chris Rodriguez Jr.</v>
      </c>
      <c r="E153" s="4">
        <f>INDEX('Draft Engine'!$E$3:$E$232,$P153)</f>
        <v>66.537000000000006</v>
      </c>
      <c r="F153" t="str">
        <f t="shared" si="2"/>
        <v>TIER 6</v>
      </c>
      <c r="G153" s="4">
        <f>INDEX('Draft Engine'!$G$3:$G$232,$P153)</f>
        <v>209.5</v>
      </c>
      <c r="H153" s="4">
        <f>INDEX('Draft Engine'!$J$3:$J$232,$P153)</f>
        <v>-29.5</v>
      </c>
      <c r="I153" s="4">
        <f>INDEX('Draft Engine'!$N$3:$N$232,$P153)</f>
        <v>48.800975000000001</v>
      </c>
      <c r="J153" s="4">
        <f>INDEX('Draft Engine'!$R$3:$R$232,$P153)</f>
        <v>163.6</v>
      </c>
      <c r="K153" s="4">
        <f>INDEX('Draft Engine'!$S$3:$S$232,$P153)</f>
        <v>12.599999999999994</v>
      </c>
      <c r="L153" t="str">
        <f>INDEX('Draft Engine'!$T$3:$T$232,$P153)</f>
        <v>A</v>
      </c>
      <c r="M153" t="str">
        <f>INDEX('Draft Engine'!$X$3:$X$232,$P153)</f>
        <v>RATE-ADJUSTED VETERAN</v>
      </c>
      <c r="N153" t="str">
        <f>INDEX('LIVE SOURCE'!$H$3:$H$232,$P153)</f>
        <v>Bench stash/handcuff profile; value is tied to role change or injury ahead.</v>
      </c>
      <c r="O153" t="str">
        <f>INDEX('LIVE SOURCE'!$J$3:$J$232,$P153)</f>
        <v>Touchdown variance, receiving-role changes and backfield competition are the main downside paths.</v>
      </c>
      <c r="P153" s="6">
        <f>MATCH($A153,'Draft Engine'!$Q$3:$Q$232,0)</f>
        <v>74</v>
      </c>
    </row>
    <row r="154" spans="1:16" x14ac:dyDescent="0.25">
      <c r="A154">
        <f>152</f>
        <v>152</v>
      </c>
      <c r="B154" t="str">
        <f>INDEX('Draft Engine'!$A$3:$A$232,$P154)</f>
        <v>WR</v>
      </c>
      <c r="C154">
        <f>INDEX('Draft Engine'!$F$3:$F$232,$P154)</f>
        <v>47</v>
      </c>
      <c r="D154" t="str">
        <f>INDEX('Draft Engine'!$B$3:$B$232,$P154)</f>
        <v>Matthew Golden</v>
      </c>
      <c r="E154" s="4">
        <f>INDEX('Draft Engine'!$E$3:$E$232,$P154)</f>
        <v>67.510000000000005</v>
      </c>
      <c r="F154" t="str">
        <f t="shared" si="2"/>
        <v>TIER 6</v>
      </c>
      <c r="G154" s="4">
        <f>INDEX('Draft Engine'!$G$3:$G$232,$P154)</f>
        <v>213.5</v>
      </c>
      <c r="H154" s="4">
        <f>INDEX('Draft Engine'!$J$3:$J$232,$P154)</f>
        <v>-25.8</v>
      </c>
      <c r="I154" s="4">
        <f>INDEX('Draft Engine'!$N$3:$N$232,$P154)</f>
        <v>48.653166666666671</v>
      </c>
      <c r="J154" s="4">
        <f>INDEX('Draft Engine'!$R$3:$R$232,$P154)</f>
        <v>122.6</v>
      </c>
      <c r="K154" s="4">
        <f>INDEX('Draft Engine'!$S$3:$S$232,$P154)</f>
        <v>-29.400000000000006</v>
      </c>
      <c r="L154" t="str">
        <f>INDEX('Draft Engine'!$T$3:$T$232,$P154)</f>
        <v>C</v>
      </c>
      <c r="M154" t="str">
        <f>INDEX('Draft Engine'!$X$3:$X$232,$P154)</f>
        <v>HISTORY FALLBACK</v>
      </c>
      <c r="N154" t="str">
        <f>INDEX('LIVE SOURCE'!$H$3:$H$232,$P154)</f>
        <v>FLEX/bench receiver; needs target growth or efficiency spikes.</v>
      </c>
      <c r="O154" t="str">
        <f>INDEX('LIVE SOURCE'!$J$3:$J$232,$P154)</f>
        <v>Evidence is thinner than for established veterans, so camp, depth-chart and role news can move the grade materially.</v>
      </c>
      <c r="P154" s="6">
        <f>MATCH($A154,'Draft Engine'!$Q$3:$Q$232,0)</f>
        <v>132</v>
      </c>
    </row>
    <row r="155" spans="1:16" x14ac:dyDescent="0.25">
      <c r="A155">
        <f>153</f>
        <v>153</v>
      </c>
      <c r="B155" t="str">
        <f>INDEX('Draft Engine'!$A$3:$A$232,$P155)</f>
        <v>RB</v>
      </c>
      <c r="C155">
        <f>INDEX('Draft Engine'!$F$3:$F$232,$P155)</f>
        <v>43</v>
      </c>
      <c r="D155" t="str">
        <f>INDEX('Draft Engine'!$B$3:$B$232,$P155)</f>
        <v>Tyrone Tracy Jr.</v>
      </c>
      <c r="E155" s="4">
        <f>INDEX('Draft Engine'!$E$3:$E$232,$P155)</f>
        <v>66.531000000000006</v>
      </c>
      <c r="F155" t="str">
        <f t="shared" si="2"/>
        <v>TIER 6</v>
      </c>
      <c r="G155" s="4">
        <f>INDEX('Draft Engine'!$G$3:$G$232,$P155)</f>
        <v>209.4</v>
      </c>
      <c r="H155" s="4">
        <f>INDEX('Draft Engine'!$J$3:$J$232,$P155)</f>
        <v>-29.6</v>
      </c>
      <c r="I155" s="4">
        <f>INDEX('Draft Engine'!$N$3:$N$232,$P155)</f>
        <v>48.420300000000005</v>
      </c>
      <c r="J155" s="4">
        <f>INDEX('Draft Engine'!$R$3:$R$232,$P155)</f>
        <v>155.80000000000001</v>
      </c>
      <c r="K155" s="4">
        <f>INDEX('Draft Engine'!$S$3:$S$232,$P155)</f>
        <v>2.8000000000000114</v>
      </c>
      <c r="L155" t="str">
        <f>INDEX('Draft Engine'!$T$3:$T$232,$P155)</f>
        <v>A</v>
      </c>
      <c r="M155" t="str">
        <f>INDEX('Draft Engine'!$X$3:$X$232,$P155)</f>
        <v>RATE-ADJUSTED VETERAN</v>
      </c>
      <c r="N155" t="str">
        <f>INDEX('LIVE SOURCE'!$H$3:$H$232,$P155)</f>
        <v>Bench stash/handcuff profile; value is tied to role change or injury ahead.</v>
      </c>
      <c r="O155" t="str">
        <f>INDEX('LIVE SOURCE'!$J$3:$J$232,$P155)</f>
        <v>Touchdown variance, receiving-role changes and backfield competition are the main downside paths.</v>
      </c>
      <c r="P155" s="6">
        <f>MATCH($A155,'Draft Engine'!$Q$3:$Q$232,0)</f>
        <v>75</v>
      </c>
    </row>
    <row r="156" spans="1:16" x14ac:dyDescent="0.25">
      <c r="A156">
        <f>154</f>
        <v>154</v>
      </c>
      <c r="B156" t="str">
        <f>INDEX('Draft Engine'!$A$3:$A$232,$P156)</f>
        <v>WR</v>
      </c>
      <c r="C156">
        <f>INDEX('Draft Engine'!$F$3:$F$232,$P156)</f>
        <v>48</v>
      </c>
      <c r="D156" t="str">
        <f>INDEX('Draft Engine'!$B$3:$B$232,$P156)</f>
        <v>Brian Thomas Jr.</v>
      </c>
      <c r="E156" s="4">
        <f>INDEX('Draft Engine'!$E$3:$E$232,$P156)</f>
        <v>66.967500000000001</v>
      </c>
      <c r="F156" t="str">
        <f t="shared" si="2"/>
        <v>TIER 6</v>
      </c>
      <c r="G156" s="4">
        <f>INDEX('Draft Engine'!$G$3:$G$232,$P156)</f>
        <v>211.3</v>
      </c>
      <c r="H156" s="4">
        <f>INDEX('Draft Engine'!$J$3:$J$232,$P156)</f>
        <v>-28</v>
      </c>
      <c r="I156" s="4">
        <f>INDEX('Draft Engine'!$N$3:$N$232,$P156)</f>
        <v>47.625458333333341</v>
      </c>
      <c r="J156" s="4">
        <f>INDEX('Draft Engine'!$R$3:$R$232,$P156)</f>
        <v>81.099999999999994</v>
      </c>
      <c r="K156" s="4">
        <f>INDEX('Draft Engine'!$S$3:$S$232,$P156)</f>
        <v>-72.900000000000006</v>
      </c>
      <c r="L156" t="str">
        <f>INDEX('Draft Engine'!$T$3:$T$232,$P156)</f>
        <v>C</v>
      </c>
      <c r="M156" t="str">
        <f>INDEX('Draft Engine'!$X$3:$X$232,$P156)</f>
        <v>HISTORY FALLBACK</v>
      </c>
      <c r="N156" t="str">
        <f>INDEX('LIVE SOURCE'!$H$3:$H$232,$P156)</f>
        <v>FLEX/bench receiver; needs target growth or efficiency spikes.</v>
      </c>
      <c r="O156" t="str">
        <f>INDEX('LIVE SOURCE'!$J$3:$J$232,$P156)</f>
        <v>Target competition, quarterback efficiency and touchdown regression are the main downside paths.</v>
      </c>
      <c r="P156" s="6">
        <f>MATCH($A156,'Draft Engine'!$Q$3:$Q$232,0)</f>
        <v>124</v>
      </c>
    </row>
    <row r="157" spans="1:16" x14ac:dyDescent="0.25">
      <c r="A157">
        <f>155</f>
        <v>155</v>
      </c>
      <c r="B157" t="str">
        <f>INDEX('Draft Engine'!$A$3:$A$232,$P157)</f>
        <v>TE</v>
      </c>
      <c r="C157">
        <f>INDEX('Draft Engine'!$F$3:$F$232,$P157)</f>
        <v>24</v>
      </c>
      <c r="D157" t="str">
        <f>INDEX('Draft Engine'!$B$3:$B$232,$P157)</f>
        <v>AJ Barner</v>
      </c>
      <c r="E157" s="4">
        <f>INDEX('Draft Engine'!$E$3:$E$232,$P157)</f>
        <v>70.124499999999998</v>
      </c>
      <c r="F157" t="str">
        <f t="shared" si="2"/>
        <v>TIER 5</v>
      </c>
      <c r="G157" s="4">
        <f>INDEX('Draft Engine'!$G$3:$G$232,$P157)</f>
        <v>145.4</v>
      </c>
      <c r="H157" s="4">
        <f>INDEX('Draft Engine'!$J$3:$J$232,$P157)</f>
        <v>-34.299999999999997</v>
      </c>
      <c r="I157" s="4">
        <f>INDEX('Draft Engine'!$N$3:$N$232,$P157)</f>
        <v>47.394475</v>
      </c>
      <c r="J157" s="4">
        <f>INDEX('Draft Engine'!$R$3:$R$232,$P157)</f>
        <v>165.8</v>
      </c>
      <c r="K157" s="4">
        <f>INDEX('Draft Engine'!$S$3:$S$232,$P157)</f>
        <v>10.800000000000011</v>
      </c>
      <c r="L157" t="str">
        <f>INDEX('Draft Engine'!$T$3:$T$232,$P157)</f>
        <v>A</v>
      </c>
      <c r="M157" t="str">
        <f>INDEX('Draft Engine'!$X$3:$X$232,$P157)</f>
        <v>RATE-ADJUSTED VETERAN</v>
      </c>
      <c r="N157" t="str">
        <f>INDEX('LIVE SOURCE'!$H$3:$H$232,$P157)</f>
        <v>Deep TE stash; needs a larger route/target role to matter in 10-team leagues.</v>
      </c>
      <c r="O157" t="str">
        <f>INDEX('LIVE SOURCE'!$J$3:$J$232,$P157)</f>
        <v>Route share, target volume and touchdown volatility are the main swing factors.</v>
      </c>
      <c r="P157" s="6">
        <f>MATCH($A157,'Draft Engine'!$Q$3:$Q$232,0)</f>
        <v>182</v>
      </c>
    </row>
    <row r="158" spans="1:16" x14ac:dyDescent="0.25">
      <c r="A158">
        <f>156</f>
        <v>156</v>
      </c>
      <c r="B158" t="str">
        <f>INDEX('Draft Engine'!$A$3:$A$232,$P158)</f>
        <v>WR</v>
      </c>
      <c r="C158">
        <f>INDEX('Draft Engine'!$F$3:$F$232,$P158)</f>
        <v>49</v>
      </c>
      <c r="D158" t="str">
        <f>INDEX('Draft Engine'!$B$3:$B$232,$P158)</f>
        <v>Josh Downs</v>
      </c>
      <c r="E158" s="4">
        <f>INDEX('Draft Engine'!$E$3:$E$232,$P158)</f>
        <v>66.84</v>
      </c>
      <c r="F158" t="str">
        <f t="shared" si="2"/>
        <v>TIER 6</v>
      </c>
      <c r="G158" s="4">
        <f>INDEX('Draft Engine'!$G$3:$G$232,$P158)</f>
        <v>210.7</v>
      </c>
      <c r="H158" s="4">
        <f>INDEX('Draft Engine'!$J$3:$J$232,$P158)</f>
        <v>-28.6</v>
      </c>
      <c r="I158" s="4">
        <f>INDEX('Draft Engine'!$N$3:$N$232,$P158)</f>
        <v>47.114000000000004</v>
      </c>
      <c r="J158" s="4">
        <f>INDEX('Draft Engine'!$R$3:$R$232,$P158)</f>
        <v>92.1</v>
      </c>
      <c r="K158" s="4">
        <f>INDEX('Draft Engine'!$S$3:$S$232,$P158)</f>
        <v>-63.900000000000006</v>
      </c>
      <c r="L158" t="str">
        <f>INDEX('Draft Engine'!$T$3:$T$232,$P158)</f>
        <v>C</v>
      </c>
      <c r="M158" t="str">
        <f>INDEX('Draft Engine'!$X$3:$X$232,$P158)</f>
        <v>HISTORY FALLBACK</v>
      </c>
      <c r="N158" t="str">
        <f>INDEX('LIVE SOURCE'!$H$3:$H$232,$P158)</f>
        <v>FLEX/bench receiver; needs target growth or efficiency spikes.</v>
      </c>
      <c r="O158" t="str">
        <f>INDEX('LIVE SOURCE'!$J$3:$J$232,$P158)</f>
        <v>Target competition, quarterback efficiency and touchdown regression are the main downside paths.</v>
      </c>
      <c r="P158" s="6">
        <f>MATCH($A158,'Draft Engine'!$Q$3:$Q$232,0)</f>
        <v>133</v>
      </c>
    </row>
    <row r="159" spans="1:16" x14ac:dyDescent="0.25">
      <c r="A159">
        <f>157</f>
        <v>157</v>
      </c>
      <c r="B159" t="str">
        <f>INDEX('Draft Engine'!$A$3:$A$232,$P159)</f>
        <v>TE</v>
      </c>
      <c r="C159">
        <f>INDEX('Draft Engine'!$F$3:$F$232,$P159)</f>
        <v>25</v>
      </c>
      <c r="D159" t="str">
        <f>INDEX('Draft Engine'!$B$3:$B$232,$P159)</f>
        <v>Pat Freiermuth</v>
      </c>
      <c r="E159" s="4">
        <f>INDEX('Draft Engine'!$E$3:$E$232,$P159)</f>
        <v>69.599999999999994</v>
      </c>
      <c r="F159" t="str">
        <f t="shared" si="2"/>
        <v>TIER 6</v>
      </c>
      <c r="G159" s="4">
        <f>INDEX('Draft Engine'!$G$3:$G$232,$P159)</f>
        <v>143.6</v>
      </c>
      <c r="H159" s="4">
        <f>INDEX('Draft Engine'!$J$3:$J$232,$P159)</f>
        <v>-36.1</v>
      </c>
      <c r="I159" s="4">
        <f>INDEX('Draft Engine'!$N$3:$N$232,$P159)</f>
        <v>46.781999999999996</v>
      </c>
      <c r="J159" s="4">
        <f>INDEX('Draft Engine'!$R$3:$R$232,$P159)</f>
        <v>228</v>
      </c>
      <c r="K159" s="4">
        <f>INDEX('Draft Engine'!$S$3:$S$232,$P159)</f>
        <v>71</v>
      </c>
      <c r="L159" t="str">
        <f>INDEX('Draft Engine'!$T$3:$T$232,$P159)</f>
        <v>C</v>
      </c>
      <c r="M159" t="str">
        <f>INDEX('Draft Engine'!$X$3:$X$232,$P159)</f>
        <v>ESPN SLOT-IN</v>
      </c>
      <c r="N159" t="str">
        <f>INDEX('LIVE SOURCE'!$H$3:$H$232,$P159)</f>
        <v>Added 2026-08-12 from ESPN consensus (TE24).</v>
      </c>
      <c r="O159" t="str">
        <f>INDEX('LIVE SOURCE'!$J$3:$J$232,$P159)</f>
        <v>No model projection behind this rating; it is market consensus only. Re-rate manually if you have a strong opinion.</v>
      </c>
      <c r="P159" s="6">
        <f>MATCH($A159,'Draft Engine'!$Q$3:$Q$232,0)</f>
        <v>186</v>
      </c>
    </row>
    <row r="160" spans="1:16" x14ac:dyDescent="0.25">
      <c r="A160">
        <f>158</f>
        <v>158</v>
      </c>
      <c r="B160" t="str">
        <f>INDEX('Draft Engine'!$A$3:$A$232,$P160)</f>
        <v>QB</v>
      </c>
      <c r="C160">
        <f>INDEX('Draft Engine'!$F$3:$F$232,$P160)</f>
        <v>21</v>
      </c>
      <c r="D160" t="str">
        <f>INDEX('Draft Engine'!$B$3:$B$232,$P160)</f>
        <v>C.J. Stroud</v>
      </c>
      <c r="E160" s="4">
        <f>INDEX('Draft Engine'!$E$3:$E$232,$P160)</f>
        <v>75.762100000000004</v>
      </c>
      <c r="F160" t="str">
        <f t="shared" si="2"/>
        <v>TIER 4</v>
      </c>
      <c r="G160" s="4">
        <f>INDEX('Draft Engine'!$G$3:$G$232,$P160)</f>
        <v>310.89999999999998</v>
      </c>
      <c r="H160" s="4">
        <f>INDEX('Draft Engine'!$J$3:$J$232,$P160)</f>
        <v>-40.200000000000003</v>
      </c>
      <c r="I160" s="4">
        <f>INDEX('Draft Engine'!$N$3:$N$232,$P160)</f>
        <v>46.433154999999999</v>
      </c>
      <c r="J160" s="4">
        <f>INDEX('Draft Engine'!$R$3:$R$232,$P160)</f>
        <v>162.5</v>
      </c>
      <c r="K160" s="4">
        <f>INDEX('Draft Engine'!$S$3:$S$232,$P160)</f>
        <v>4.5</v>
      </c>
      <c r="L160" t="str">
        <f>INDEX('Draft Engine'!$T$3:$T$232,$P160)</f>
        <v>A</v>
      </c>
      <c r="M160" t="str">
        <f>INDEX('Draft Engine'!$X$3:$X$232,$P160)</f>
        <v>RATE-ADJUSTED VETERAN</v>
      </c>
      <c r="N160" t="str">
        <f>INDEX('LIVE SOURCE'!$H$3:$H$232,$P160)</f>
        <v>Bench/streaming option; needs matchup, rushing or TD spike weeks.</v>
      </c>
      <c r="O160" t="str">
        <f>INDEX('LIVE SOURCE'!$J$3:$J$232,$P160)</f>
        <v>Passing-TD efficiency, rushing volume and supporting-cast health are the main swing factors.</v>
      </c>
      <c r="P160" s="6">
        <f>MATCH($A160,'Draft Engine'!$Q$3:$Q$232,0)</f>
        <v>21</v>
      </c>
    </row>
    <row r="161" spans="1:16" x14ac:dyDescent="0.25">
      <c r="A161">
        <f>159</f>
        <v>159</v>
      </c>
      <c r="B161" t="str">
        <f>INDEX('Draft Engine'!$A$3:$A$232,$P161)</f>
        <v>QB</v>
      </c>
      <c r="C161">
        <f>INDEX('Draft Engine'!$F$3:$F$232,$P161)</f>
        <v>22</v>
      </c>
      <c r="D161" t="str">
        <f>INDEX('Draft Engine'!$B$3:$B$232,$P161)</f>
        <v>Sam Darnold</v>
      </c>
      <c r="E161" s="4">
        <f>INDEX('Draft Engine'!$E$3:$E$232,$P161)</f>
        <v>75.554199999999994</v>
      </c>
      <c r="F161" t="str">
        <f t="shared" si="2"/>
        <v>TIER 4</v>
      </c>
      <c r="G161" s="4">
        <f>INDEX('Draft Engine'!$G$3:$G$232,$P161)</f>
        <v>310</v>
      </c>
      <c r="H161" s="4">
        <f>INDEX('Draft Engine'!$J$3:$J$232,$P161)</f>
        <v>-41.1</v>
      </c>
      <c r="I161" s="4">
        <f>INDEX('Draft Engine'!$N$3:$N$232,$P161)</f>
        <v>46.15681</v>
      </c>
      <c r="J161" s="4">
        <f>INDEX('Draft Engine'!$R$3:$R$232,$P161)</f>
        <v>142.4</v>
      </c>
      <c r="K161" s="4">
        <f>INDEX('Draft Engine'!$S$3:$S$232,$P161)</f>
        <v>-16.599999999999994</v>
      </c>
      <c r="L161" t="str">
        <f>INDEX('Draft Engine'!$T$3:$T$232,$P161)</f>
        <v>A</v>
      </c>
      <c r="M161" t="str">
        <f>INDEX('Draft Engine'!$X$3:$X$232,$P161)</f>
        <v>RATE-ADJUSTED VETERAN</v>
      </c>
      <c r="N161" t="str">
        <f>INDEX('LIVE SOURCE'!$H$3:$H$232,$P161)</f>
        <v>Bench/streaming option; needs matchup, rushing or TD spike weeks.</v>
      </c>
      <c r="O161" t="str">
        <f>INDEX('LIVE SOURCE'!$J$3:$J$232,$P161)</f>
        <v>Passing-TD efficiency, rushing volume and supporting-cast health are the main swing factors.</v>
      </c>
      <c r="P161" s="6">
        <f>MATCH($A161,'Draft Engine'!$Q$3:$Q$232,0)</f>
        <v>22</v>
      </c>
    </row>
    <row r="162" spans="1:16" x14ac:dyDescent="0.25">
      <c r="A162">
        <f>160</f>
        <v>160</v>
      </c>
      <c r="B162" t="str">
        <f>INDEX('Draft Engine'!$A$3:$A$232,$P162)</f>
        <v>WR</v>
      </c>
      <c r="C162">
        <f>INDEX('Draft Engine'!$F$3:$F$232,$P162)</f>
        <v>50</v>
      </c>
      <c r="D162" t="str">
        <f>INDEX('Draft Engine'!$B$3:$B$232,$P162)</f>
        <v>Jayden Reed</v>
      </c>
      <c r="E162" s="4">
        <f>INDEX('Draft Engine'!$E$3:$E$232,$P162)</f>
        <v>66.17</v>
      </c>
      <c r="F162" t="str">
        <f t="shared" si="2"/>
        <v>TIER 6</v>
      </c>
      <c r="G162" s="4">
        <f>INDEX('Draft Engine'!$G$3:$G$232,$P162)</f>
        <v>207.9</v>
      </c>
      <c r="H162" s="4">
        <f>INDEX('Draft Engine'!$J$3:$J$232,$P162)</f>
        <v>-31.4</v>
      </c>
      <c r="I162" s="4">
        <f>INDEX('Draft Engine'!$N$3:$N$232,$P162)</f>
        <v>45.908166666666666</v>
      </c>
      <c r="J162" s="4">
        <f>INDEX('Draft Engine'!$R$3:$R$232,$P162)</f>
        <v>97.2</v>
      </c>
      <c r="K162" s="4">
        <f>INDEX('Draft Engine'!$S$3:$S$232,$P162)</f>
        <v>-62.8</v>
      </c>
      <c r="L162" t="str">
        <f>INDEX('Draft Engine'!$T$3:$T$232,$P162)</f>
        <v>C</v>
      </c>
      <c r="M162" t="str">
        <f>INDEX('Draft Engine'!$X$3:$X$232,$P162)</f>
        <v>HISTORY FALLBACK</v>
      </c>
      <c r="N162" t="str">
        <f>INDEX('LIVE SOURCE'!$H$3:$H$232,$P162)</f>
        <v>FLEX/bench receiver; needs target growth or efficiency spikes.</v>
      </c>
      <c r="O162" t="str">
        <f>INDEX('LIVE SOURCE'!$J$3:$J$232,$P162)</f>
        <v>Evidence is thinner than for established veterans, so camp, depth-chart and role news can move the grade materially.</v>
      </c>
      <c r="P162" s="6">
        <f>MATCH($A162,'Draft Engine'!$Q$3:$Q$232,0)</f>
        <v>134</v>
      </c>
    </row>
    <row r="163" spans="1:16" x14ac:dyDescent="0.25">
      <c r="A163">
        <f>161</f>
        <v>161</v>
      </c>
      <c r="B163" t="str">
        <f>INDEX('Draft Engine'!$A$3:$A$232,$P163)</f>
        <v>QB</v>
      </c>
      <c r="C163">
        <f>INDEX('Draft Engine'!$F$3:$F$232,$P163)</f>
        <v>23</v>
      </c>
      <c r="D163" t="str">
        <f>INDEX('Draft Engine'!$B$3:$B$232,$P163)</f>
        <v>Daniel Jones</v>
      </c>
      <c r="E163" s="4">
        <f>INDEX('Draft Engine'!$E$3:$E$232,$P163)</f>
        <v>74.790400000000005</v>
      </c>
      <c r="F163" t="str">
        <f t="shared" si="2"/>
        <v>TIER 5</v>
      </c>
      <c r="G163" s="4">
        <f>INDEX('Draft Engine'!$G$3:$G$232,$P163)</f>
        <v>306.60000000000002</v>
      </c>
      <c r="H163" s="4">
        <f>INDEX('Draft Engine'!$J$3:$J$232,$P163)</f>
        <v>-44.5</v>
      </c>
      <c r="I163" s="4">
        <f>INDEX('Draft Engine'!$N$3:$N$232,$P163)</f>
        <v>45.124720000000011</v>
      </c>
      <c r="J163" s="4">
        <f>INDEX('Draft Engine'!$R$3:$R$232,$P163)</f>
        <v>143.9</v>
      </c>
      <c r="K163" s="4">
        <f>INDEX('Draft Engine'!$S$3:$S$232,$P163)</f>
        <v>-17.099999999999994</v>
      </c>
      <c r="L163" t="str">
        <f>INDEX('Draft Engine'!$T$3:$T$232,$P163)</f>
        <v>A</v>
      </c>
      <c r="M163" t="str">
        <f>INDEX('Draft Engine'!$X$3:$X$232,$P163)</f>
        <v>RATE-ADJUSTED VETERAN</v>
      </c>
      <c r="N163" t="str">
        <f>INDEX('LIVE SOURCE'!$H$3:$H$232,$P163)</f>
        <v>Bench/streaming option; needs matchup, rushing or TD spike weeks.</v>
      </c>
      <c r="O163" t="str">
        <f>INDEX('LIVE SOURCE'!$J$3:$J$232,$P163)</f>
        <v>Passing-TD efficiency, rushing volume and supporting-cast health are the main swing factors.</v>
      </c>
      <c r="P163" s="6">
        <f>MATCH($A163,'Draft Engine'!$Q$3:$Q$232,0)</f>
        <v>23</v>
      </c>
    </row>
    <row r="164" spans="1:16" x14ac:dyDescent="0.25">
      <c r="A164">
        <f>162</f>
        <v>162</v>
      </c>
      <c r="B164" t="str">
        <f>INDEX('Draft Engine'!$A$3:$A$232,$P164)</f>
        <v>WR</v>
      </c>
      <c r="C164">
        <f>INDEX('Draft Engine'!$F$3:$F$232,$P164)</f>
        <v>51</v>
      </c>
      <c r="D164" t="str">
        <f>INDEX('Draft Engine'!$B$3:$B$232,$P164)</f>
        <v>Khalil Shakir</v>
      </c>
      <c r="E164" s="4">
        <f>INDEX('Draft Engine'!$E$3:$E$232,$P164)</f>
        <v>65.5</v>
      </c>
      <c r="F164" t="str">
        <f t="shared" si="2"/>
        <v>TIER 6</v>
      </c>
      <c r="G164" s="4">
        <f>INDEX('Draft Engine'!$G$3:$G$232,$P164)</f>
        <v>205.1</v>
      </c>
      <c r="H164" s="4">
        <f>INDEX('Draft Engine'!$J$3:$J$232,$P164)</f>
        <v>-34.200000000000003</v>
      </c>
      <c r="I164" s="4">
        <f>INDEX('Draft Engine'!$N$3:$N$232,$P164)</f>
        <v>44.869000000000007</v>
      </c>
      <c r="J164" s="4">
        <f>INDEX('Draft Engine'!$R$3:$R$232,$P164)</f>
        <v>102</v>
      </c>
      <c r="K164" s="4">
        <f>INDEX('Draft Engine'!$S$3:$S$232,$P164)</f>
        <v>-60</v>
      </c>
      <c r="L164" t="str">
        <f>INDEX('Draft Engine'!$T$3:$T$232,$P164)</f>
        <v>C</v>
      </c>
      <c r="M164" t="str">
        <f>INDEX('Draft Engine'!$X$3:$X$232,$P164)</f>
        <v>HISTORY FALLBACK</v>
      </c>
      <c r="N164" t="str">
        <f>INDEX('LIVE SOURCE'!$H$3:$H$232,$P164)</f>
        <v>Late-round bench upside; role growth is required for weekly relevance.</v>
      </c>
      <c r="O164" t="str">
        <f>INDEX('LIVE SOURCE'!$J$3:$J$232,$P164)</f>
        <v>Target competition, quarterback efficiency and touchdown regression are the main downside paths.</v>
      </c>
      <c r="P164" s="6">
        <f>MATCH($A164,'Draft Engine'!$Q$3:$Q$232,0)</f>
        <v>135</v>
      </c>
    </row>
    <row r="165" spans="1:16" x14ac:dyDescent="0.25">
      <c r="A165">
        <f>163</f>
        <v>163</v>
      </c>
      <c r="B165" t="str">
        <f>INDEX('Draft Engine'!$A$3:$A$232,$P165)</f>
        <v>QB</v>
      </c>
      <c r="C165">
        <f>INDEX('Draft Engine'!$F$3:$F$232,$P165)</f>
        <v>24</v>
      </c>
      <c r="D165" t="str">
        <f>INDEX('Draft Engine'!$B$3:$B$232,$P165)</f>
        <v>Malik Willis</v>
      </c>
      <c r="E165" s="4">
        <f>INDEX('Draft Engine'!$E$3:$E$232,$P165)</f>
        <v>74.240300000000005</v>
      </c>
      <c r="F165" t="str">
        <f t="shared" si="2"/>
        <v>TIER 5</v>
      </c>
      <c r="G165" s="4">
        <f>INDEX('Draft Engine'!$G$3:$G$232,$P165)</f>
        <v>304.10000000000002</v>
      </c>
      <c r="H165" s="4">
        <f>INDEX('Draft Engine'!$J$3:$J$232,$P165)</f>
        <v>-47</v>
      </c>
      <c r="I165" s="4">
        <f>INDEX('Draft Engine'!$N$3:$N$232,$P165)</f>
        <v>44.372165000000003</v>
      </c>
      <c r="J165" s="4">
        <f>INDEX('Draft Engine'!$R$3:$R$232,$P165)</f>
        <v>160.4</v>
      </c>
      <c r="K165" s="4">
        <f>INDEX('Draft Engine'!$S$3:$S$232,$P165)</f>
        <v>-2.5999999999999943</v>
      </c>
      <c r="L165" t="str">
        <f>INDEX('Draft Engine'!$T$3:$T$232,$P165)</f>
        <v>B</v>
      </c>
      <c r="M165" t="str">
        <f>INDEX('Draft Engine'!$X$3:$X$232,$P165)</f>
        <v>RATE-ADJUSTED VETERAN</v>
      </c>
      <c r="N165" t="str">
        <f>INDEX('LIVE SOURCE'!$H$3:$H$232,$P165)</f>
        <v>Bench/streaming option; needs matchup, rushing or TD spike weeks.</v>
      </c>
      <c r="O165" t="str">
        <f>INDEX('LIVE SOURCE'!$J$3:$J$232,$P165)</f>
        <v>Availability/sample risk is elevated after only 4 games; talent is not being punished as heavily as durability.</v>
      </c>
      <c r="P165" s="6">
        <f>MATCH($A165,'Draft Engine'!$Q$3:$Q$232,0)</f>
        <v>24</v>
      </c>
    </row>
    <row r="166" spans="1:16" x14ac:dyDescent="0.25">
      <c r="A166">
        <f>164</f>
        <v>164</v>
      </c>
      <c r="B166" t="str">
        <f>INDEX('Draft Engine'!$A$3:$A$232,$P166)</f>
        <v>WR</v>
      </c>
      <c r="C166">
        <f>INDEX('Draft Engine'!$F$3:$F$232,$P166)</f>
        <v>52</v>
      </c>
      <c r="D166" t="str">
        <f>INDEX('Draft Engine'!$B$3:$B$232,$P166)</f>
        <v>Jalin Hyatt</v>
      </c>
      <c r="E166" s="4">
        <f>INDEX('Draft Engine'!$E$3:$E$232,$P166)</f>
        <v>64.83</v>
      </c>
      <c r="F166" t="str">
        <f t="shared" si="2"/>
        <v>TIER 7</v>
      </c>
      <c r="G166" s="4">
        <f>INDEX('Draft Engine'!$G$3:$G$232,$P166)</f>
        <v>202.3</v>
      </c>
      <c r="H166" s="4">
        <f>INDEX('Draft Engine'!$J$3:$J$232,$P166)</f>
        <v>-37</v>
      </c>
      <c r="I166" s="4">
        <f>INDEX('Draft Engine'!$N$3:$N$232,$P166)</f>
        <v>43.996499999999997</v>
      </c>
      <c r="J166" s="4">
        <f>INDEX('Draft Engine'!$R$3:$R$232,$P166)</f>
        <v>201.9</v>
      </c>
      <c r="K166" s="4">
        <f>INDEX('Draft Engine'!$S$3:$S$232,$P166)</f>
        <v>37.900000000000006</v>
      </c>
      <c r="L166" t="str">
        <f>INDEX('Draft Engine'!$T$3:$T$232,$P166)</f>
        <v>C</v>
      </c>
      <c r="M166" t="str">
        <f>INDEX('Draft Engine'!$X$3:$X$232,$P166)</f>
        <v>HISTORY FALLBACK</v>
      </c>
      <c r="N166" t="str">
        <f>INDEX('LIVE SOURCE'!$H$3:$H$232,$P166)</f>
        <v>Late-round bench upside; role growth is required for weekly relevance.</v>
      </c>
      <c r="O166" t="str">
        <f>INDEX('LIVE SOURCE'!$J$3:$J$232,$P166)</f>
        <v>Evidence is thinner than for established veterans, so camp, depth-chart and role news can move the grade materially.</v>
      </c>
      <c r="P166" s="6">
        <f>MATCH($A166,'Draft Engine'!$Q$3:$Q$232,0)</f>
        <v>136</v>
      </c>
    </row>
    <row r="167" spans="1:16" x14ac:dyDescent="0.25">
      <c r="A167">
        <f>165</f>
        <v>165</v>
      </c>
      <c r="B167" t="str">
        <f>INDEX('Draft Engine'!$A$3:$A$232,$P167)</f>
        <v>RB</v>
      </c>
      <c r="C167">
        <f>INDEX('Draft Engine'!$F$3:$F$232,$P167)</f>
        <v>44</v>
      </c>
      <c r="D167" t="str">
        <f>INDEX('Draft Engine'!$B$3:$B$232,$P167)</f>
        <v>Tyjae Spears</v>
      </c>
      <c r="E167" s="4">
        <f>INDEX('Draft Engine'!$E$3:$E$232,$P167)</f>
        <v>63.4</v>
      </c>
      <c r="F167" t="str">
        <f t="shared" si="2"/>
        <v>TIER 7</v>
      </c>
      <c r="G167" s="4">
        <f>INDEX('Draft Engine'!$G$3:$G$232,$P167)</f>
        <v>196.3</v>
      </c>
      <c r="H167" s="4">
        <f>INDEX('Draft Engine'!$J$3:$J$232,$P167)</f>
        <v>-42.7</v>
      </c>
      <c r="I167" s="4">
        <f>INDEX('Draft Engine'!$N$3:$N$232,$P167)</f>
        <v>43.980875000000005</v>
      </c>
      <c r="J167" s="4">
        <f>INDEX('Draft Engine'!$R$3:$R$232,$P167)</f>
        <v>129.6</v>
      </c>
      <c r="K167" s="4">
        <f>INDEX('Draft Engine'!$S$3:$S$232,$P167)</f>
        <v>-35.400000000000006</v>
      </c>
      <c r="L167" t="str">
        <f>INDEX('Draft Engine'!$T$3:$T$232,$P167)</f>
        <v>C</v>
      </c>
      <c r="M167" t="str">
        <f>INDEX('Draft Engine'!$X$3:$X$232,$P167)</f>
        <v>ESPN SLOT-IN</v>
      </c>
      <c r="N167" t="str">
        <f>INDEX('LIVE SOURCE'!$H$3:$H$232,$P167)</f>
        <v>Added 2026-08-12 from ESPN consensus (RB44).</v>
      </c>
      <c r="O167" t="str">
        <f>INDEX('LIVE SOURCE'!$J$3:$J$232,$P167)</f>
        <v>No model projection behind this rating; it is market consensus only. Re-rate manually if you have a strong opinion.</v>
      </c>
      <c r="P167" s="6">
        <f>MATCH($A167,'Draft Engine'!$Q$3:$Q$232,0)</f>
        <v>83</v>
      </c>
    </row>
    <row r="168" spans="1:16" x14ac:dyDescent="0.25">
      <c r="A168">
        <f>166</f>
        <v>166</v>
      </c>
      <c r="B168" t="str">
        <f>INDEX('Draft Engine'!$A$3:$A$232,$P168)</f>
        <v>TE</v>
      </c>
      <c r="C168">
        <f>INDEX('Draft Engine'!$F$3:$F$232,$P168)</f>
        <v>26</v>
      </c>
      <c r="D168" t="str">
        <f>INDEX('Draft Engine'!$B$3:$B$232,$P168)</f>
        <v>Cade Otton</v>
      </c>
      <c r="E168" s="4">
        <f>INDEX('Draft Engine'!$E$3:$E$232,$P168)</f>
        <v>66.649000000000001</v>
      </c>
      <c r="F168" t="str">
        <f t="shared" si="2"/>
        <v>TIER 6</v>
      </c>
      <c r="G168" s="4">
        <f>INDEX('Draft Engine'!$G$3:$G$232,$P168)</f>
        <v>133.30000000000001</v>
      </c>
      <c r="H168" s="4">
        <f>INDEX('Draft Engine'!$J$3:$J$232,$P168)</f>
        <v>-46.4</v>
      </c>
      <c r="I168" s="4">
        <f>INDEX('Draft Engine'!$N$3:$N$232,$P168)</f>
        <v>43.304950000000005</v>
      </c>
      <c r="J168" s="4">
        <f>INDEX('Draft Engine'!$R$3:$R$232,$P168)</f>
        <v>142.6</v>
      </c>
      <c r="K168" s="4">
        <f>INDEX('Draft Engine'!$S$3:$S$232,$P168)</f>
        <v>-23.400000000000006</v>
      </c>
      <c r="L168" t="str">
        <f>INDEX('Draft Engine'!$T$3:$T$232,$P168)</f>
        <v>A</v>
      </c>
      <c r="M168" t="str">
        <f>INDEX('Draft Engine'!$X$3:$X$232,$P168)</f>
        <v>RATE-ADJUSTED VETERAN</v>
      </c>
      <c r="N168" t="str">
        <f>INDEX('LIVE SOURCE'!$H$3:$H$232,$P168)</f>
        <v>Deep TE stash; needs a larger route/target role to matter in 10-team leagues.</v>
      </c>
      <c r="O168" t="str">
        <f>INDEX('LIVE SOURCE'!$J$3:$J$232,$P168)</f>
        <v>Route share, target volume and touchdown volatility are the main swing factors.</v>
      </c>
      <c r="P168" s="6">
        <f>MATCH($A168,'Draft Engine'!$Q$3:$Q$232,0)</f>
        <v>183</v>
      </c>
    </row>
    <row r="169" spans="1:16" x14ac:dyDescent="0.25">
      <c r="A169">
        <f>167</f>
        <v>167</v>
      </c>
      <c r="B169" t="str">
        <f>INDEX('Draft Engine'!$A$3:$A$232,$P169)</f>
        <v>TE</v>
      </c>
      <c r="C169">
        <f>INDEX('Draft Engine'!$F$3:$F$232,$P169)</f>
        <v>27</v>
      </c>
      <c r="D169" t="str">
        <f>INDEX('Draft Engine'!$B$3:$B$232,$P169)</f>
        <v>Gunnar Helm</v>
      </c>
      <c r="E169" s="4">
        <f>INDEX('Draft Engine'!$E$3:$E$232,$P169)</f>
        <v>66.622299999999996</v>
      </c>
      <c r="F169" t="str">
        <f t="shared" si="2"/>
        <v>TIER 6</v>
      </c>
      <c r="G169" s="4">
        <f>INDEX('Draft Engine'!$G$3:$G$232,$P169)</f>
        <v>133.19999999999999</v>
      </c>
      <c r="H169" s="4">
        <f>INDEX('Draft Engine'!$J$3:$J$232,$P169)</f>
        <v>-46.5</v>
      </c>
      <c r="I169" s="4">
        <f>INDEX('Draft Engine'!$N$3:$N$232,$P169)</f>
        <v>43.272265000000004</v>
      </c>
      <c r="J169" s="4">
        <f>INDEX('Draft Engine'!$R$3:$R$232,$P169)</f>
        <v>242</v>
      </c>
      <c r="K169" s="4">
        <f>INDEX('Draft Engine'!$S$3:$S$232,$P169)</f>
        <v>75</v>
      </c>
      <c r="L169" t="str">
        <f>INDEX('Draft Engine'!$T$3:$T$232,$P169)</f>
        <v>A</v>
      </c>
      <c r="M169" t="str">
        <f>INDEX('Draft Engine'!$X$3:$X$232,$P169)</f>
        <v>RATE-ADJUSTED VETERAN</v>
      </c>
      <c r="N169" t="str">
        <f>INDEX('LIVE SOURCE'!$H$3:$H$232,$P169)</f>
        <v>Deep TE stash; needs a larger route/target role to matter in 10-team leagues.</v>
      </c>
      <c r="O169" t="str">
        <f>INDEX('LIVE SOURCE'!$J$3:$J$232,$P169)</f>
        <v>Route share, target volume and touchdown volatility are the main swing factors.</v>
      </c>
      <c r="P169" s="6">
        <f>MATCH($A169,'Draft Engine'!$Q$3:$Q$232,0)</f>
        <v>184</v>
      </c>
    </row>
    <row r="170" spans="1:16" x14ac:dyDescent="0.25">
      <c r="A170">
        <f>168</f>
        <v>168</v>
      </c>
      <c r="B170" t="str">
        <f>INDEX('Draft Engine'!$A$3:$A$232,$P170)</f>
        <v>RB</v>
      </c>
      <c r="C170">
        <f>INDEX('Draft Engine'!$F$3:$F$232,$P170)</f>
        <v>45</v>
      </c>
      <c r="D170" t="str">
        <f>INDEX('Draft Engine'!$B$3:$B$232,$P170)</f>
        <v>Tyler Allgeier</v>
      </c>
      <c r="E170" s="4">
        <f>INDEX('Draft Engine'!$E$3:$E$232,$P170)</f>
        <v>63.032200000000003</v>
      </c>
      <c r="F170" t="str">
        <f t="shared" si="2"/>
        <v>TIER 7</v>
      </c>
      <c r="G170" s="4">
        <f>INDEX('Draft Engine'!$G$3:$G$232,$P170)</f>
        <v>194.7</v>
      </c>
      <c r="H170" s="4">
        <f>INDEX('Draft Engine'!$J$3:$J$232,$P170)</f>
        <v>-44.3</v>
      </c>
      <c r="I170" s="4">
        <f>INDEX('Draft Engine'!$N$3:$N$232,$P170)</f>
        <v>43.13121000000001</v>
      </c>
      <c r="J170" s="4">
        <f>INDEX('Draft Engine'!$R$3:$R$232,$P170)</f>
        <v>164.3</v>
      </c>
      <c r="K170" s="4">
        <f>INDEX('Draft Engine'!$S$3:$S$232,$P170)</f>
        <v>-3.6999999999999886</v>
      </c>
      <c r="L170" t="str">
        <f>INDEX('Draft Engine'!$T$3:$T$232,$P170)</f>
        <v>A</v>
      </c>
      <c r="M170" t="str">
        <f>INDEX('Draft Engine'!$X$3:$X$232,$P170)</f>
        <v>RATE-ADJUSTED VETERAN</v>
      </c>
      <c r="N170" t="str">
        <f>INDEX('LIVE SOURCE'!$H$3:$H$232,$P170)</f>
        <v>Bench stash/handcuff profile; value is tied to role change or injury ahead.</v>
      </c>
      <c r="O170" t="str">
        <f>INDEX('LIVE SOURCE'!$J$3:$J$232,$P170)</f>
        <v>Touchdown variance, receiving-role changes and backfield competition are the main downside paths.</v>
      </c>
      <c r="P170" s="6">
        <f>MATCH($A170,'Draft Engine'!$Q$3:$Q$232,0)</f>
        <v>76</v>
      </c>
    </row>
    <row r="171" spans="1:16" x14ac:dyDescent="0.25">
      <c r="A171">
        <f>169</f>
        <v>169</v>
      </c>
      <c r="B171" t="str">
        <f>INDEX('Draft Engine'!$A$3:$A$232,$P171)</f>
        <v>WR</v>
      </c>
      <c r="C171">
        <f>INDEX('Draft Engine'!$F$3:$F$232,$P171)</f>
        <v>53</v>
      </c>
      <c r="D171" t="str">
        <f>INDEX('Draft Engine'!$B$3:$B$232,$P171)</f>
        <v>Romeo Doubs</v>
      </c>
      <c r="E171" s="4">
        <f>INDEX('Draft Engine'!$E$3:$E$232,$P171)</f>
        <v>64.16</v>
      </c>
      <c r="F171" t="str">
        <f t="shared" si="2"/>
        <v>TIER 7</v>
      </c>
      <c r="G171" s="4">
        <f>INDEX('Draft Engine'!$G$3:$G$232,$P171)</f>
        <v>199.5</v>
      </c>
      <c r="H171" s="4">
        <f>INDEX('Draft Engine'!$J$3:$J$232,$P171)</f>
        <v>-39.799999999999997</v>
      </c>
      <c r="I171" s="4">
        <f>INDEX('Draft Engine'!$N$3:$N$232,$P171)</f>
        <v>43.124000000000002</v>
      </c>
      <c r="J171" s="4">
        <f>INDEX('Draft Engine'!$R$3:$R$232,$P171)</f>
        <v>116</v>
      </c>
      <c r="K171" s="4">
        <f>INDEX('Draft Engine'!$S$3:$S$232,$P171)</f>
        <v>-53</v>
      </c>
      <c r="L171" t="str">
        <f>INDEX('Draft Engine'!$T$3:$T$232,$P171)</f>
        <v>C</v>
      </c>
      <c r="M171" t="str">
        <f>INDEX('Draft Engine'!$X$3:$X$232,$P171)</f>
        <v>HISTORY FALLBACK</v>
      </c>
      <c r="N171" t="str">
        <f>INDEX('LIVE SOURCE'!$H$3:$H$232,$P171)</f>
        <v>Late-round bench upside; role growth is required for weekly relevance.</v>
      </c>
      <c r="O171" t="str">
        <f>INDEX('LIVE SOURCE'!$J$3:$J$232,$P171)</f>
        <v>Target competition, quarterback efficiency and touchdown regression are the main downside paths.</v>
      </c>
      <c r="P171" s="6">
        <f>MATCH($A171,'Draft Engine'!$Q$3:$Q$232,0)</f>
        <v>137</v>
      </c>
    </row>
    <row r="172" spans="1:16" x14ac:dyDescent="0.25">
      <c r="A172">
        <f>170</f>
        <v>170</v>
      </c>
      <c r="B172" t="str">
        <f>INDEX('Draft Engine'!$A$3:$A$232,$P172)</f>
        <v>QB</v>
      </c>
      <c r="C172">
        <f>INDEX('Draft Engine'!$F$3:$F$232,$P172)</f>
        <v>25</v>
      </c>
      <c r="D172" t="str">
        <f>INDEX('Draft Engine'!$B$3:$B$232,$P172)</f>
        <v>Bryce Young</v>
      </c>
      <c r="E172" s="4">
        <f>INDEX('Draft Engine'!$E$3:$E$232,$P172)</f>
        <v>72.797600000000003</v>
      </c>
      <c r="F172" t="str">
        <f t="shared" si="2"/>
        <v>TIER 5</v>
      </c>
      <c r="G172" s="4">
        <f>INDEX('Draft Engine'!$G$3:$G$232,$P172)</f>
        <v>297.60000000000002</v>
      </c>
      <c r="H172" s="4">
        <f>INDEX('Draft Engine'!$J$3:$J$232,$P172)</f>
        <v>-53.5</v>
      </c>
      <c r="I172" s="4">
        <f>INDEX('Draft Engine'!$N$3:$N$232,$P172)</f>
        <v>42.408680000000004</v>
      </c>
      <c r="J172" s="4">
        <f>INDEX('Draft Engine'!$R$3:$R$232,$P172)</f>
        <v>174.2</v>
      </c>
      <c r="K172" s="4">
        <f>INDEX('Draft Engine'!$S$3:$S$232,$P172)</f>
        <v>4.1999999999999886</v>
      </c>
      <c r="L172" t="str">
        <f>INDEX('Draft Engine'!$T$3:$T$232,$P172)</f>
        <v>A</v>
      </c>
      <c r="M172" t="str">
        <f>INDEX('Draft Engine'!$X$3:$X$232,$P172)</f>
        <v>RATE-ADJUSTED VETERAN</v>
      </c>
      <c r="N172" t="str">
        <f>INDEX('LIVE SOURCE'!$H$3:$H$232,$P172)</f>
        <v>Deep QB2; waiver-level in a normal 10-team format.</v>
      </c>
      <c r="O172" t="str">
        <f>INDEX('LIVE SOURCE'!$J$3:$J$232,$P172)</f>
        <v>Passing-TD efficiency, rushing volume and supporting-cast health are the main swing factors.</v>
      </c>
      <c r="P172" s="6">
        <f>MATCH($A172,'Draft Engine'!$Q$3:$Q$232,0)</f>
        <v>25</v>
      </c>
    </row>
    <row r="173" spans="1:16" x14ac:dyDescent="0.25">
      <c r="A173">
        <f>171</f>
        <v>171</v>
      </c>
      <c r="B173" t="str">
        <f>INDEX('Draft Engine'!$A$3:$A$232,$P173)</f>
        <v>WR</v>
      </c>
      <c r="C173">
        <f>INDEX('Draft Engine'!$F$3:$F$232,$P173)</f>
        <v>54</v>
      </c>
      <c r="D173" t="str">
        <f>INDEX('Draft Engine'!$B$3:$B$232,$P173)</f>
        <v>Jalen Coker</v>
      </c>
      <c r="E173" s="4">
        <f>INDEX('Draft Engine'!$E$3:$E$232,$P173)</f>
        <v>63.49</v>
      </c>
      <c r="F173" t="str">
        <f t="shared" si="2"/>
        <v>TIER 7</v>
      </c>
      <c r="G173" s="4">
        <f>INDEX('Draft Engine'!$G$3:$G$232,$P173)</f>
        <v>196.7</v>
      </c>
      <c r="H173" s="4">
        <f>INDEX('Draft Engine'!$J$3:$J$232,$P173)</f>
        <v>-42.6</v>
      </c>
      <c r="I173" s="4">
        <f>INDEX('Draft Engine'!$N$3:$N$232,$P173)</f>
        <v>42.251500000000007</v>
      </c>
      <c r="J173" s="4">
        <f>INDEX('Draft Engine'!$R$3:$R$232,$P173)</f>
        <v>127.3</v>
      </c>
      <c r="K173" s="4">
        <f>INDEX('Draft Engine'!$S$3:$S$232,$P173)</f>
        <v>-43.7</v>
      </c>
      <c r="L173" t="str">
        <f>INDEX('Draft Engine'!$T$3:$T$232,$P173)</f>
        <v>C</v>
      </c>
      <c r="M173" t="str">
        <f>INDEX('Draft Engine'!$X$3:$X$232,$P173)</f>
        <v>HISTORY FALLBACK</v>
      </c>
      <c r="N173" t="str">
        <f>INDEX('LIVE SOURCE'!$H$3:$H$232,$P173)</f>
        <v>Late-round bench upside; role growth is required for weekly relevance.</v>
      </c>
      <c r="O173" t="str">
        <f>INDEX('LIVE SOURCE'!$J$3:$J$232,$P173)</f>
        <v>Target competition, quarterback efficiency and touchdown regression are the main downside paths.</v>
      </c>
      <c r="P173" s="6">
        <f>MATCH($A173,'Draft Engine'!$Q$3:$Q$232,0)</f>
        <v>138</v>
      </c>
    </row>
    <row r="174" spans="1:16" x14ac:dyDescent="0.25">
      <c r="A174">
        <f>172</f>
        <v>172</v>
      </c>
      <c r="B174" t="str">
        <f>INDEX('Draft Engine'!$A$3:$A$232,$P174)</f>
        <v>QB</v>
      </c>
      <c r="C174">
        <f>INDEX('Draft Engine'!$F$3:$F$232,$P174)</f>
        <v>26</v>
      </c>
      <c r="D174" t="str">
        <f>INDEX('Draft Engine'!$B$3:$B$232,$P174)</f>
        <v>Cam Ward</v>
      </c>
      <c r="E174" s="4">
        <f>INDEX('Draft Engine'!$E$3:$E$232,$P174)</f>
        <v>72.664599999999993</v>
      </c>
      <c r="F174" t="str">
        <f t="shared" si="2"/>
        <v>TIER 5</v>
      </c>
      <c r="G174" s="4">
        <f>INDEX('Draft Engine'!$G$3:$G$232,$P174)</f>
        <v>297</v>
      </c>
      <c r="H174" s="4">
        <f>INDEX('Draft Engine'!$J$3:$J$232,$P174)</f>
        <v>-54.1</v>
      </c>
      <c r="I174" s="4">
        <f>INDEX('Draft Engine'!$N$3:$N$232,$P174)</f>
        <v>42.227530000000002</v>
      </c>
      <c r="J174" s="4">
        <f>INDEX('Draft Engine'!$R$3:$R$232,$P174)</f>
        <v>175.6</v>
      </c>
      <c r="K174" s="4">
        <f>INDEX('Draft Engine'!$S$3:$S$232,$P174)</f>
        <v>3.5999999999999943</v>
      </c>
      <c r="L174" t="str">
        <f>INDEX('Draft Engine'!$T$3:$T$232,$P174)</f>
        <v>A</v>
      </c>
      <c r="M174" t="str">
        <f>INDEX('Draft Engine'!$X$3:$X$232,$P174)</f>
        <v>RATE-ADJUSTED VETERAN</v>
      </c>
      <c r="N174" t="str">
        <f>INDEX('LIVE SOURCE'!$H$3:$H$232,$P174)</f>
        <v>Deep QB2; waiver-level in a normal 10-team format.</v>
      </c>
      <c r="O174" t="str">
        <f>INDEX('LIVE SOURCE'!$J$3:$J$232,$P174)</f>
        <v>Passing-TD efficiency, rushing volume and supporting-cast health are the main swing factors.</v>
      </c>
      <c r="P174" s="6">
        <f>MATCH($A174,'Draft Engine'!$Q$3:$Q$232,0)</f>
        <v>26</v>
      </c>
    </row>
    <row r="175" spans="1:16" x14ac:dyDescent="0.25">
      <c r="A175">
        <f>173</f>
        <v>173</v>
      </c>
      <c r="B175" t="str">
        <f>INDEX('Draft Engine'!$A$3:$A$232,$P175)</f>
        <v>WR</v>
      </c>
      <c r="C175">
        <f>INDEX('Draft Engine'!$F$3:$F$232,$P175)</f>
        <v>55</v>
      </c>
      <c r="D175" t="str">
        <f>INDEX('Draft Engine'!$B$3:$B$232,$P175)</f>
        <v>Deebo Samuel</v>
      </c>
      <c r="E175" s="4">
        <f>INDEX('Draft Engine'!$E$3:$E$232,$P175)</f>
        <v>63.2</v>
      </c>
      <c r="F175" t="str">
        <f t="shared" si="2"/>
        <v>TIER 7</v>
      </c>
      <c r="G175" s="4">
        <f>INDEX('Draft Engine'!$G$3:$G$232,$P175)</f>
        <v>195.4</v>
      </c>
      <c r="H175" s="4">
        <f>INDEX('Draft Engine'!$J$3:$J$232,$P175)</f>
        <v>-43.9</v>
      </c>
      <c r="I175" s="4">
        <f>INDEX('Draft Engine'!$N$3:$N$232,$P175)</f>
        <v>41.858000000000004</v>
      </c>
      <c r="J175" s="4">
        <f>INDEX('Draft Engine'!$R$3:$R$232,$P175)</f>
        <v>96.2</v>
      </c>
      <c r="K175" s="4">
        <f>INDEX('Draft Engine'!$S$3:$S$232,$P175)</f>
        <v>-76.8</v>
      </c>
      <c r="L175" t="str">
        <f>INDEX('Draft Engine'!$T$3:$T$232,$P175)</f>
        <v>C</v>
      </c>
      <c r="M175" t="str">
        <f>INDEX('Draft Engine'!$X$3:$X$232,$P175)</f>
        <v>ESPN SLOT-IN</v>
      </c>
      <c r="N175" t="str">
        <f>INDEX('LIVE SOURCE'!$H$3:$H$232,$P175)</f>
        <v>Added 2026-08-12 from ESPN consensus (WR54).</v>
      </c>
      <c r="O175" t="str">
        <f>INDEX('LIVE SOURCE'!$J$3:$J$232,$P175)</f>
        <v>No model projection behind this rating; it is market consensus only. Re-rate manually if you have a strong opinion.</v>
      </c>
      <c r="P175" s="6">
        <f>MATCH($A175,'Draft Engine'!$Q$3:$Q$232,0)</f>
        <v>156</v>
      </c>
    </row>
    <row r="176" spans="1:16" x14ac:dyDescent="0.25">
      <c r="A176">
        <f>174</f>
        <v>174</v>
      </c>
      <c r="B176" t="str">
        <f>INDEX('Draft Engine'!$A$3:$A$232,$P176)</f>
        <v>RB</v>
      </c>
      <c r="C176">
        <f>INDEX('Draft Engine'!$F$3:$F$232,$P176)</f>
        <v>46</v>
      </c>
      <c r="D176" t="str">
        <f>INDEX('Draft Engine'!$B$3:$B$232,$P176)</f>
        <v>Jonathon Brooks</v>
      </c>
      <c r="E176" s="4">
        <f>INDEX('Draft Engine'!$E$3:$E$232,$P176)</f>
        <v>62.2</v>
      </c>
      <c r="F176" t="str">
        <f t="shared" si="2"/>
        <v>TIER 7</v>
      </c>
      <c r="G176" s="4">
        <f>INDEX('Draft Engine'!$G$3:$G$232,$P176)</f>
        <v>191.2</v>
      </c>
      <c r="H176" s="4">
        <f>INDEX('Draft Engine'!$J$3:$J$232,$P176)</f>
        <v>-47.8</v>
      </c>
      <c r="I176" s="4">
        <f>INDEX('Draft Engine'!$N$3:$N$232,$P176)</f>
        <v>41.684125000000002</v>
      </c>
      <c r="J176" s="4">
        <f>INDEX('Draft Engine'!$R$3:$R$232,$P176)</f>
        <v>109.4</v>
      </c>
      <c r="K176" s="4">
        <f>INDEX('Draft Engine'!$S$3:$S$232,$P176)</f>
        <v>-64.599999999999994</v>
      </c>
      <c r="L176" t="str">
        <f>INDEX('Draft Engine'!$T$3:$T$232,$P176)</f>
        <v>C</v>
      </c>
      <c r="M176" t="str">
        <f>INDEX('Draft Engine'!$X$3:$X$232,$P176)</f>
        <v>HISTORY FALLBACK</v>
      </c>
      <c r="N176" t="str">
        <f>INDEX('LIVE SOURCE'!$H$3:$H$232,$P176)</f>
        <v>Bench stash/handcuff profile; value is tied to role change or injury ahead.</v>
      </c>
      <c r="O176" t="str">
        <f>INDEX('LIVE SOURCE'!$J$3:$J$232,$P176)</f>
        <v>Evidence is thinner than for established veterans, so camp, depth-chart and role news can move the grade materially.</v>
      </c>
      <c r="P176" s="6">
        <f>MATCH($A176,'Draft Engine'!$Q$3:$Q$232,0)</f>
        <v>78</v>
      </c>
    </row>
    <row r="177" spans="1:16" x14ac:dyDescent="0.25">
      <c r="A177">
        <f>175</f>
        <v>175</v>
      </c>
      <c r="B177" t="str">
        <f>INDEX('Draft Engine'!$A$3:$A$232,$P177)</f>
        <v>WR</v>
      </c>
      <c r="C177">
        <f>INDEX('Draft Engine'!$F$3:$F$232,$P177)</f>
        <v>56</v>
      </c>
      <c r="D177" t="str">
        <f>INDEX('Draft Engine'!$B$3:$B$232,$P177)</f>
        <v>KC Concepcion</v>
      </c>
      <c r="E177" s="4">
        <f>INDEX('Draft Engine'!$E$3:$E$232,$P177)</f>
        <v>62.82</v>
      </c>
      <c r="F177" t="str">
        <f t="shared" si="2"/>
        <v>TIER 7</v>
      </c>
      <c r="G177" s="4">
        <f>INDEX('Draft Engine'!$G$3:$G$232,$P177)</f>
        <v>193.8</v>
      </c>
      <c r="H177" s="4">
        <f>INDEX('Draft Engine'!$J$3:$J$232,$P177)</f>
        <v>-45.5</v>
      </c>
      <c r="I177" s="4">
        <f>INDEX('Draft Engine'!$N$3:$N$232,$P177)</f>
        <v>41.361000000000004</v>
      </c>
      <c r="J177" s="4">
        <f>INDEX('Draft Engine'!$R$3:$R$232,$P177)</f>
        <v>130.69999999999999</v>
      </c>
      <c r="K177" s="4">
        <f>INDEX('Draft Engine'!$S$3:$S$232,$P177)</f>
        <v>-44.300000000000011</v>
      </c>
      <c r="L177" t="str">
        <f>INDEX('Draft Engine'!$T$3:$T$232,$P177)</f>
        <v>C</v>
      </c>
      <c r="M177" t="str">
        <f>INDEX('Draft Engine'!$X$3:$X$232,$P177)</f>
        <v>HISTORY FALLBACK</v>
      </c>
      <c r="N177" t="str">
        <f>INDEX('LIVE SOURCE'!$H$3:$H$232,$P177)</f>
        <v>Late-round bench upside; role growth is required for weekly relevance.</v>
      </c>
      <c r="O177" t="str">
        <f>INDEX('LIVE SOURCE'!$J$3:$J$232,$P177)</f>
        <v>NFL translation and exact weekly role are the main variables; preseason first-team usage can move this rating quickly.</v>
      </c>
      <c r="P177" s="6">
        <f>MATCH($A177,'Draft Engine'!$Q$3:$Q$232,0)</f>
        <v>139</v>
      </c>
    </row>
    <row r="178" spans="1:16" x14ac:dyDescent="0.25">
      <c r="A178">
        <f>176</f>
        <v>176</v>
      </c>
      <c r="B178" t="str">
        <f>INDEX('Draft Engine'!$A$3:$A$232,$P178)</f>
        <v>RB</v>
      </c>
      <c r="C178">
        <f>INDEX('Draft Engine'!$F$3:$F$232,$P178)</f>
        <v>47</v>
      </c>
      <c r="D178" t="str">
        <f>INDEX('Draft Engine'!$B$3:$B$232,$P178)</f>
        <v>Emanuel Wilson</v>
      </c>
      <c r="E178" s="4">
        <f>INDEX('Draft Engine'!$E$3:$E$232,$P178)</f>
        <v>61.982100000000003</v>
      </c>
      <c r="F178" t="str">
        <f t="shared" si="2"/>
        <v>TIER 7</v>
      </c>
      <c r="G178" s="4">
        <f>INDEX('Draft Engine'!$G$3:$G$232,$P178)</f>
        <v>190.3</v>
      </c>
      <c r="H178" s="4">
        <f>INDEX('Draft Engine'!$J$3:$J$232,$P178)</f>
        <v>-48.7</v>
      </c>
      <c r="I178" s="4">
        <f>INDEX('Draft Engine'!$N$3:$N$232,$P178)</f>
        <v>41.042905000000005</v>
      </c>
      <c r="J178" s="4">
        <f>INDEX('Draft Engine'!$R$3:$R$232,$P178)</f>
        <v>195.2</v>
      </c>
      <c r="K178" s="4">
        <f>INDEX('Draft Engine'!$S$3:$S$232,$P178)</f>
        <v>19.199999999999989</v>
      </c>
      <c r="L178" t="str">
        <f>INDEX('Draft Engine'!$T$3:$T$232,$P178)</f>
        <v>A</v>
      </c>
      <c r="M178" t="str">
        <f>INDEX('Draft Engine'!$X$3:$X$232,$P178)</f>
        <v>RATE-ADJUSTED VETERAN</v>
      </c>
      <c r="N178" t="str">
        <f>INDEX('LIVE SOURCE'!$H$3:$H$232,$P178)</f>
        <v>Bench stash/handcuff profile; value is tied to role change or injury ahead.</v>
      </c>
      <c r="O178" t="str">
        <f>INDEX('LIVE SOURCE'!$J$3:$J$232,$P178)</f>
        <v>Touchdown variance, receiving-role changes and backfield competition are the main downside paths.</v>
      </c>
      <c r="P178" s="6">
        <f>MATCH($A178,'Draft Engine'!$Q$3:$Q$232,0)</f>
        <v>79</v>
      </c>
    </row>
    <row r="179" spans="1:16" x14ac:dyDescent="0.25">
      <c r="A179">
        <f>177</f>
        <v>177</v>
      </c>
      <c r="B179" t="str">
        <f>INDEX('Draft Engine'!$A$3:$A$232,$P179)</f>
        <v>TE</v>
      </c>
      <c r="C179">
        <f>INDEX('Draft Engine'!$F$3:$F$232,$P179)</f>
        <v>28</v>
      </c>
      <c r="D179" t="str">
        <f>INDEX('Draft Engine'!$B$3:$B$232,$P179)</f>
        <v>Terrance Ferguson</v>
      </c>
      <c r="E179" s="4">
        <f>INDEX('Draft Engine'!$E$3:$E$232,$P179)</f>
        <v>64.362099999999998</v>
      </c>
      <c r="F179" t="str">
        <f t="shared" si="2"/>
        <v>TIER 7</v>
      </c>
      <c r="G179" s="4">
        <f>INDEX('Draft Engine'!$G$3:$G$232,$P179)</f>
        <v>125.3</v>
      </c>
      <c r="H179" s="4">
        <f>INDEX('Draft Engine'!$J$3:$J$232,$P179)</f>
        <v>-54.4</v>
      </c>
      <c r="I179" s="4">
        <f>INDEX('Draft Engine'!$N$3:$N$232,$P179)</f>
        <v>40.607154999999999</v>
      </c>
      <c r="J179" s="4">
        <f>INDEX('Draft Engine'!$R$3:$R$232,$P179)</f>
        <v>251</v>
      </c>
      <c r="K179" s="4">
        <f>INDEX('Draft Engine'!$S$3:$S$232,$P179)</f>
        <v>74</v>
      </c>
      <c r="L179" t="str">
        <f>INDEX('Draft Engine'!$T$3:$T$232,$P179)</f>
        <v>A</v>
      </c>
      <c r="M179" t="str">
        <f>INDEX('Draft Engine'!$X$3:$X$232,$P179)</f>
        <v>RATE-ADJUSTED VETERAN</v>
      </c>
      <c r="N179" t="str">
        <f>INDEX('LIVE SOURCE'!$H$3:$H$232,$P179)</f>
        <v>Deep TE stash; needs a larger route/target role to matter in 10-team leagues.</v>
      </c>
      <c r="O179" t="str">
        <f>INDEX('LIVE SOURCE'!$J$3:$J$232,$P179)</f>
        <v>Route share, target volume and touchdown volatility are the main swing factors.</v>
      </c>
      <c r="P179" s="6">
        <f>MATCH($A179,'Draft Engine'!$Q$3:$Q$232,0)</f>
        <v>185</v>
      </c>
    </row>
    <row r="180" spans="1:16" x14ac:dyDescent="0.25">
      <c r="A180">
        <f>178</f>
        <v>178</v>
      </c>
      <c r="B180" t="str">
        <f>INDEX('Draft Engine'!$A$3:$A$232,$P180)</f>
        <v>WR</v>
      </c>
      <c r="C180">
        <f>INDEX('Draft Engine'!$F$3:$F$232,$P180)</f>
        <v>57</v>
      </c>
      <c r="D180" t="str">
        <f>INDEX('Draft Engine'!$B$3:$B$232,$P180)</f>
        <v>Rashid Shaheed</v>
      </c>
      <c r="E180" s="4">
        <f>INDEX('Draft Engine'!$E$3:$E$232,$P180)</f>
        <v>62.15</v>
      </c>
      <c r="F180" t="str">
        <f t="shared" si="2"/>
        <v>TIER 7</v>
      </c>
      <c r="G180" s="4">
        <f>INDEX('Draft Engine'!$G$3:$G$232,$P180)</f>
        <v>191</v>
      </c>
      <c r="H180" s="4">
        <f>INDEX('Draft Engine'!$J$3:$J$232,$P180)</f>
        <v>-48.3</v>
      </c>
      <c r="I180" s="4">
        <f>INDEX('Draft Engine'!$N$3:$N$232,$P180)</f>
        <v>40.488500000000002</v>
      </c>
      <c r="J180" s="4">
        <f>INDEX('Draft Engine'!$R$3:$R$232,$P180)</f>
        <v>121.9</v>
      </c>
      <c r="K180" s="4">
        <f>INDEX('Draft Engine'!$S$3:$S$232,$P180)</f>
        <v>-56.099999999999994</v>
      </c>
      <c r="L180" t="str">
        <f>INDEX('Draft Engine'!$T$3:$T$232,$P180)</f>
        <v>C</v>
      </c>
      <c r="M180" t="str">
        <f>INDEX('Draft Engine'!$X$3:$X$232,$P180)</f>
        <v>HISTORY FALLBACK</v>
      </c>
      <c r="N180" t="str">
        <f>INDEX('LIVE SOURCE'!$H$3:$H$232,$P180)</f>
        <v>Late-round bench upside; role growth is required for weekly relevance.</v>
      </c>
      <c r="O180" t="str">
        <f>INDEX('LIVE SOURCE'!$J$3:$J$232,$P180)</f>
        <v>Target competition, quarterback efficiency and touchdown regression are the main downside paths.</v>
      </c>
      <c r="P180" s="6">
        <f>MATCH($A180,'Draft Engine'!$Q$3:$Q$232,0)</f>
        <v>140</v>
      </c>
    </row>
    <row r="181" spans="1:16" x14ac:dyDescent="0.25">
      <c r="A181">
        <f>179</f>
        <v>179</v>
      </c>
      <c r="B181" t="str">
        <f>INDEX('Draft Engine'!$A$3:$A$232,$P181)</f>
        <v>WR</v>
      </c>
      <c r="C181">
        <f>INDEX('Draft Engine'!$F$3:$F$232,$P181)</f>
        <v>58</v>
      </c>
      <c r="D181" t="str">
        <f>INDEX('Draft Engine'!$B$3:$B$232,$P181)</f>
        <v>Jayden Higgins</v>
      </c>
      <c r="E181" s="4">
        <f>INDEX('Draft Engine'!$E$3:$E$232,$P181)</f>
        <v>62.1</v>
      </c>
      <c r="F181" t="str">
        <f t="shared" si="2"/>
        <v>TIER 7</v>
      </c>
      <c r="G181" s="4">
        <f>INDEX('Draft Engine'!$G$3:$G$232,$P181)</f>
        <v>190.8</v>
      </c>
      <c r="H181" s="4">
        <f>INDEX('Draft Engine'!$J$3:$J$232,$P181)</f>
        <v>-48.5</v>
      </c>
      <c r="I181" s="4">
        <f>INDEX('Draft Engine'!$N$3:$N$232,$P181)</f>
        <v>40.425000000000004</v>
      </c>
      <c r="J181" s="4">
        <f>INDEX('Draft Engine'!$R$3:$R$232,$P181)</f>
        <v>137.1</v>
      </c>
      <c r="K181" s="4">
        <f>INDEX('Draft Engine'!$S$3:$S$232,$P181)</f>
        <v>-41.900000000000006</v>
      </c>
      <c r="L181" t="str">
        <f>INDEX('Draft Engine'!$T$3:$T$232,$P181)</f>
        <v>C</v>
      </c>
      <c r="M181" t="str">
        <f>INDEX('Draft Engine'!$X$3:$X$232,$P181)</f>
        <v>ESPN SLOT-IN</v>
      </c>
      <c r="N181" t="str">
        <f>INDEX('LIVE SOURCE'!$H$3:$H$232,$P181)</f>
        <v>Added 2026-08-12 from ESPN consensus (WR56).</v>
      </c>
      <c r="O181" t="str">
        <f>INDEX('LIVE SOURCE'!$J$3:$J$232,$P181)</f>
        <v>No model projection behind this rating; it is market consensus only. Re-rate manually if you have a strong opinion.</v>
      </c>
      <c r="P181" s="6">
        <f>MATCH($A181,'Draft Engine'!$Q$3:$Q$232,0)</f>
        <v>157</v>
      </c>
    </row>
    <row r="182" spans="1:16" x14ac:dyDescent="0.25">
      <c r="A182">
        <f>180</f>
        <v>180</v>
      </c>
      <c r="B182" t="str">
        <f>INDEX('Draft Engine'!$A$3:$A$232,$P182)</f>
        <v>QB</v>
      </c>
      <c r="C182">
        <f>INDEX('Draft Engine'!$F$3:$F$232,$P182)</f>
        <v>27</v>
      </c>
      <c r="D182" t="str">
        <f>INDEX('Draft Engine'!$B$3:$B$232,$P182)</f>
        <v>Jacoby Brissett</v>
      </c>
      <c r="E182" s="4">
        <f>INDEX('Draft Engine'!$E$3:$E$232,$P182)</f>
        <v>71.333399999999997</v>
      </c>
      <c r="F182" t="str">
        <f t="shared" si="2"/>
        <v>TIER 5</v>
      </c>
      <c r="G182" s="4">
        <f>INDEX('Draft Engine'!$G$3:$G$232,$P182)</f>
        <v>291</v>
      </c>
      <c r="H182" s="4">
        <f>INDEX('Draft Engine'!$J$3:$J$232,$P182)</f>
        <v>-60.1</v>
      </c>
      <c r="I182" s="4">
        <f>INDEX('Draft Engine'!$N$3:$N$232,$P182)</f>
        <v>40.415370000000003</v>
      </c>
      <c r="J182" s="4">
        <f>INDEX('Draft Engine'!$R$3:$R$232,$P182)</f>
        <v>167.4</v>
      </c>
      <c r="K182" s="4">
        <f>INDEX('Draft Engine'!$S$3:$S$232,$P182)</f>
        <v>-12.599999999999994</v>
      </c>
      <c r="L182" t="str">
        <f>INDEX('Draft Engine'!$T$3:$T$232,$P182)</f>
        <v>A</v>
      </c>
      <c r="M182" t="str">
        <f>INDEX('Draft Engine'!$X$3:$X$232,$P182)</f>
        <v>RATE-ADJUSTED VETERAN</v>
      </c>
      <c r="N182" t="str">
        <f>INDEX('LIVE SOURCE'!$H$3:$H$232,$P182)</f>
        <v>Deep QB2; waiver-level in a normal 10-team format.</v>
      </c>
      <c r="O182" t="str">
        <f>INDEX('LIVE SOURCE'!$J$3:$J$232,$P182)</f>
        <v>Passing-TD efficiency, rushing volume and supporting-cast health are the main swing factors.</v>
      </c>
      <c r="P182" s="6">
        <f>MATCH($A182,'Draft Engine'!$Q$3:$Q$232,0)</f>
        <v>27</v>
      </c>
    </row>
    <row r="183" spans="1:16" x14ac:dyDescent="0.25">
      <c r="A183">
        <f>181</f>
        <v>181</v>
      </c>
      <c r="B183" t="str">
        <f>INDEX('Draft Engine'!$A$3:$A$232,$P183)</f>
        <v>QB</v>
      </c>
      <c r="C183">
        <f>INDEX('Draft Engine'!$F$3:$F$232,$P183)</f>
        <v>28</v>
      </c>
      <c r="D183" t="str">
        <f>INDEX('Draft Engine'!$B$3:$B$232,$P183)</f>
        <v>Geno Smith</v>
      </c>
      <c r="E183" s="4">
        <f>INDEX('Draft Engine'!$E$3:$E$232,$P183)</f>
        <v>71.098600000000005</v>
      </c>
      <c r="F183" t="str">
        <f t="shared" si="2"/>
        <v>TIER 5</v>
      </c>
      <c r="G183" s="4">
        <f>INDEX('Draft Engine'!$G$3:$G$232,$P183)</f>
        <v>289.89999999999998</v>
      </c>
      <c r="H183" s="4">
        <f>INDEX('Draft Engine'!$J$3:$J$232,$P183)</f>
        <v>-61.2</v>
      </c>
      <c r="I183" s="4">
        <f>INDEX('Draft Engine'!$N$3:$N$232,$P183)</f>
        <v>40.08823000000001</v>
      </c>
      <c r="J183" s="4">
        <f>INDEX('Draft Engine'!$R$3:$R$232,$P183)</f>
        <v>238</v>
      </c>
      <c r="K183" s="4">
        <f>INDEX('Draft Engine'!$S$3:$S$232,$P183)</f>
        <v>57</v>
      </c>
      <c r="L183" t="str">
        <f>INDEX('Draft Engine'!$T$3:$T$232,$P183)</f>
        <v>A</v>
      </c>
      <c r="M183" t="str">
        <f>INDEX('Draft Engine'!$X$3:$X$232,$P183)</f>
        <v>RATE-ADJUSTED VETERAN</v>
      </c>
      <c r="N183" t="str">
        <f>INDEX('LIVE SOURCE'!$H$3:$H$232,$P183)</f>
        <v>Deep QB2; waiver-level in a normal 10-team format.</v>
      </c>
      <c r="O183" t="str">
        <f>INDEX('LIVE SOURCE'!$J$3:$J$232,$P183)</f>
        <v>Passing-TD efficiency, rushing volume and supporting-cast health are the main swing factors.</v>
      </c>
      <c r="P183" s="6">
        <f>MATCH($A183,'Draft Engine'!$Q$3:$Q$232,0)</f>
        <v>28</v>
      </c>
    </row>
    <row r="184" spans="1:16" x14ac:dyDescent="0.25">
      <c r="A184">
        <f>182</f>
        <v>182</v>
      </c>
      <c r="B184" t="str">
        <f>INDEX('Draft Engine'!$A$3:$A$232,$P184)</f>
        <v>QB</v>
      </c>
      <c r="C184">
        <f>INDEX('Draft Engine'!$F$3:$F$232,$P184)</f>
        <v>29</v>
      </c>
      <c r="D184" t="str">
        <f>INDEX('Draft Engine'!$B$3:$B$232,$P184)</f>
        <v>Aaron Rodgers</v>
      </c>
      <c r="E184" s="4">
        <f>INDEX('Draft Engine'!$E$3:$E$232,$P184)</f>
        <v>70.884799999999998</v>
      </c>
      <c r="F184" t="str">
        <f t="shared" si="2"/>
        <v>TIER 5</v>
      </c>
      <c r="G184" s="4">
        <f>INDEX('Draft Engine'!$G$3:$G$232,$P184)</f>
        <v>289</v>
      </c>
      <c r="H184" s="4">
        <f>INDEX('Draft Engine'!$J$3:$J$232,$P184)</f>
        <v>-62.1</v>
      </c>
      <c r="I184" s="4">
        <f>INDEX('Draft Engine'!$N$3:$N$232,$P184)</f>
        <v>39.808640000000004</v>
      </c>
      <c r="J184" s="4">
        <f>INDEX('Draft Engine'!$R$3:$R$232,$P184)</f>
        <v>168.1</v>
      </c>
      <c r="K184" s="4">
        <f>INDEX('Draft Engine'!$S$3:$S$232,$P184)</f>
        <v>-13.900000000000006</v>
      </c>
      <c r="L184" t="str">
        <f>INDEX('Draft Engine'!$T$3:$T$232,$P184)</f>
        <v>A</v>
      </c>
      <c r="M184" t="str">
        <f>INDEX('Draft Engine'!$X$3:$X$232,$P184)</f>
        <v>RATE-ADJUSTED VETERAN</v>
      </c>
      <c r="N184" t="str">
        <f>INDEX('LIVE SOURCE'!$H$3:$H$232,$P184)</f>
        <v>Deep QB2; waiver-level in a normal 10-team format.</v>
      </c>
      <c r="O184" t="str">
        <f>INDEX('LIVE SOURCE'!$J$3:$J$232,$P184)</f>
        <v>Passing-TD efficiency, rushing volume and supporting-cast health are the main swing factors.</v>
      </c>
      <c r="P184" s="6">
        <f>MATCH($A184,'Draft Engine'!$Q$3:$Q$232,0)</f>
        <v>29</v>
      </c>
    </row>
    <row r="185" spans="1:16" x14ac:dyDescent="0.25">
      <c r="A185">
        <f>183</f>
        <v>183</v>
      </c>
      <c r="B185" t="str">
        <f>INDEX('Draft Engine'!$A$3:$A$232,$P185)</f>
        <v>WR</v>
      </c>
      <c r="C185">
        <f>INDEX('Draft Engine'!$F$3:$F$232,$P185)</f>
        <v>59</v>
      </c>
      <c r="D185" t="str">
        <f>INDEX('Draft Engine'!$B$3:$B$232,$P185)</f>
        <v>Calvin Ridley</v>
      </c>
      <c r="E185" s="4">
        <f>INDEX('Draft Engine'!$E$3:$E$232,$P185)</f>
        <v>61.48</v>
      </c>
      <c r="F185" t="str">
        <f t="shared" si="2"/>
        <v>TIER 7</v>
      </c>
      <c r="G185" s="4">
        <f>INDEX('Draft Engine'!$G$3:$G$232,$P185)</f>
        <v>188.2</v>
      </c>
      <c r="H185" s="4">
        <f>INDEX('Draft Engine'!$J$3:$J$232,$P185)</f>
        <v>-51.1</v>
      </c>
      <c r="I185" s="4">
        <f>INDEX('Draft Engine'!$N$3:$N$232,$P185)</f>
        <v>39.616</v>
      </c>
      <c r="J185" s="4">
        <f>INDEX('Draft Engine'!$R$3:$R$232,$P185)</f>
        <v>132.80000000000001</v>
      </c>
      <c r="K185" s="4">
        <f>INDEX('Draft Engine'!$S$3:$S$232,$P185)</f>
        <v>-50.199999999999989</v>
      </c>
      <c r="L185" t="str">
        <f>INDEX('Draft Engine'!$T$3:$T$232,$P185)</f>
        <v>C</v>
      </c>
      <c r="M185" t="str">
        <f>INDEX('Draft Engine'!$X$3:$X$232,$P185)</f>
        <v>HISTORY FALLBACK</v>
      </c>
      <c r="N185" t="str">
        <f>INDEX('LIVE SOURCE'!$H$3:$H$232,$P185)</f>
        <v>Late-round bench upside; role growth is required for weekly relevance.</v>
      </c>
      <c r="O185" t="str">
        <f>INDEX('LIVE SOURCE'!$J$3:$J$232,$P185)</f>
        <v>Evidence is thinner than for established veterans, so camp, depth-chart and role news can move the grade materially.</v>
      </c>
      <c r="P185" s="6">
        <f>MATCH($A185,'Draft Engine'!$Q$3:$Q$232,0)</f>
        <v>141</v>
      </c>
    </row>
    <row r="186" spans="1:16" x14ac:dyDescent="0.25">
      <c r="A186">
        <f>184</f>
        <v>184</v>
      </c>
      <c r="B186" t="str">
        <f>INDEX('Draft Engine'!$A$3:$A$232,$P186)</f>
        <v>WR</v>
      </c>
      <c r="C186">
        <f>INDEX('Draft Engine'!$F$3:$F$232,$P186)</f>
        <v>60</v>
      </c>
      <c r="D186" t="str">
        <f>INDEX('Draft Engine'!$B$3:$B$232,$P186)</f>
        <v>Omar Cooper Jr.</v>
      </c>
      <c r="E186" s="4">
        <f>INDEX('Draft Engine'!$E$3:$E$232,$P186)</f>
        <v>60.81</v>
      </c>
      <c r="F186" t="str">
        <f t="shared" si="2"/>
        <v>TIER 7</v>
      </c>
      <c r="G186" s="4">
        <f>INDEX('Draft Engine'!$G$3:$G$232,$P186)</f>
        <v>185.4</v>
      </c>
      <c r="H186" s="4">
        <f>INDEX('Draft Engine'!$J$3:$J$232,$P186)</f>
        <v>-53.9</v>
      </c>
      <c r="I186" s="4">
        <f>INDEX('Draft Engine'!$N$3:$N$232,$P186)</f>
        <v>38.743500000000004</v>
      </c>
      <c r="J186" s="4">
        <f>INDEX('Draft Engine'!$R$3:$R$232,$P186)</f>
        <v>165.4</v>
      </c>
      <c r="K186" s="4">
        <f>INDEX('Draft Engine'!$S$3:$S$232,$P186)</f>
        <v>-18.599999999999994</v>
      </c>
      <c r="L186" t="str">
        <f>INDEX('Draft Engine'!$T$3:$T$232,$P186)</f>
        <v>C</v>
      </c>
      <c r="M186" t="str">
        <f>INDEX('Draft Engine'!$X$3:$X$232,$P186)</f>
        <v>HISTORY FALLBACK</v>
      </c>
      <c r="N186" t="str">
        <f>INDEX('LIVE SOURCE'!$H$3:$H$232,$P186)</f>
        <v>Late-round bench upside; role growth is required for weekly relevance.</v>
      </c>
      <c r="O186" t="str">
        <f>INDEX('LIVE SOURCE'!$J$3:$J$232,$P186)</f>
        <v>NFL translation and exact weekly role are the main variables; preseason first-team usage can move this rating quickly.</v>
      </c>
      <c r="P186" s="6">
        <f>MATCH($A186,'Draft Engine'!$Q$3:$Q$232,0)</f>
        <v>142</v>
      </c>
    </row>
    <row r="187" spans="1:16" x14ac:dyDescent="0.25">
      <c r="A187">
        <f>185</f>
        <v>185</v>
      </c>
      <c r="B187" t="str">
        <f>INDEX('Draft Engine'!$A$3:$A$232,$P187)</f>
        <v>RB</v>
      </c>
      <c r="C187">
        <f>INDEX('Draft Engine'!$F$3:$F$232,$P187)</f>
        <v>48</v>
      </c>
      <c r="D187" t="str">
        <f>INDEX('Draft Engine'!$B$3:$B$232,$P187)</f>
        <v>Isiah Pacheco</v>
      </c>
      <c r="E187" s="4">
        <f>INDEX('Draft Engine'!$E$3:$E$232,$P187)</f>
        <v>60.0092</v>
      </c>
      <c r="F187" t="str">
        <f t="shared" si="2"/>
        <v>TIER 7</v>
      </c>
      <c r="G187" s="4">
        <f>INDEX('Draft Engine'!$G$3:$G$232,$P187)</f>
        <v>182</v>
      </c>
      <c r="H187" s="4">
        <f>INDEX('Draft Engine'!$J$3:$J$232,$P187)</f>
        <v>-57</v>
      </c>
      <c r="I187" s="4">
        <f>INDEX('Draft Engine'!$N$3:$N$232,$P187)</f>
        <v>38.104435000000002</v>
      </c>
      <c r="J187" s="4">
        <f>INDEX('Draft Engine'!$R$3:$R$232,$P187)</f>
        <v>147.69999999999999</v>
      </c>
      <c r="K187" s="4">
        <f>INDEX('Draft Engine'!$S$3:$S$232,$P187)</f>
        <v>-37.300000000000011</v>
      </c>
      <c r="L187" t="str">
        <f>INDEX('Draft Engine'!$T$3:$T$232,$P187)</f>
        <v>B</v>
      </c>
      <c r="M187" t="str">
        <f>INDEX('Draft Engine'!$X$3:$X$232,$P187)</f>
        <v>HISTORY FALLBACK</v>
      </c>
      <c r="N187" t="str">
        <f>INDEX('LIVE SOURCE'!$H$3:$H$232,$P187)</f>
        <v>Bench stash/handcuff profile; value is tied to role change or injury ahead.</v>
      </c>
      <c r="O187" t="str">
        <f>INDEX('LIVE SOURCE'!$J$3:$J$232,$P187)</f>
        <v>Touchdown variance, receiving-role changes and backfield competition are the main downside paths.</v>
      </c>
      <c r="P187" s="6">
        <f>MATCH($A187,'Draft Engine'!$Q$3:$Q$232,0)</f>
        <v>80</v>
      </c>
    </row>
    <row r="188" spans="1:16" x14ac:dyDescent="0.25">
      <c r="A188">
        <f>186</f>
        <v>186</v>
      </c>
      <c r="B188" t="str">
        <f>INDEX('Draft Engine'!$A$3:$A$232,$P188)</f>
        <v>WR</v>
      </c>
      <c r="C188">
        <f>INDEX('Draft Engine'!$F$3:$F$232,$P188)</f>
        <v>61</v>
      </c>
      <c r="D188" t="str">
        <f>INDEX('Draft Engine'!$B$3:$B$232,$P188)</f>
        <v>Jerry Jeudy</v>
      </c>
      <c r="E188" s="4">
        <f>INDEX('Draft Engine'!$E$3:$E$232,$P188)</f>
        <v>60.14</v>
      </c>
      <c r="F188" t="str">
        <f t="shared" si="2"/>
        <v>TIER 7</v>
      </c>
      <c r="G188" s="4">
        <f>INDEX('Draft Engine'!$G$3:$G$232,$P188)</f>
        <v>182.6</v>
      </c>
      <c r="H188" s="4">
        <f>INDEX('Draft Engine'!$J$3:$J$232,$P188)</f>
        <v>-56.7</v>
      </c>
      <c r="I188" s="4">
        <f>INDEX('Draft Engine'!$N$3:$N$232,$P188)</f>
        <v>37.871000000000002</v>
      </c>
      <c r="J188" s="4">
        <f>INDEX('Draft Engine'!$R$3:$R$232,$P188)</f>
        <v>134.69999999999999</v>
      </c>
      <c r="K188" s="4">
        <f>INDEX('Draft Engine'!$S$3:$S$232,$P188)</f>
        <v>-51.300000000000011</v>
      </c>
      <c r="L188" t="str">
        <f>INDEX('Draft Engine'!$T$3:$T$232,$P188)</f>
        <v>C</v>
      </c>
      <c r="M188" t="str">
        <f>INDEX('Draft Engine'!$X$3:$X$232,$P188)</f>
        <v>HISTORY FALLBACK</v>
      </c>
      <c r="N188" t="str">
        <f>INDEX('LIVE SOURCE'!$H$3:$H$232,$P188)</f>
        <v>Late-round bench upside; role growth is required for weekly relevance.</v>
      </c>
      <c r="O188" t="str">
        <f>INDEX('LIVE SOURCE'!$J$3:$J$232,$P188)</f>
        <v>Target competition, quarterback efficiency and touchdown regression are the main downside paths.</v>
      </c>
      <c r="P188" s="6">
        <f>MATCH($A188,'Draft Engine'!$Q$3:$Q$232,0)</f>
        <v>143</v>
      </c>
    </row>
    <row r="189" spans="1:16" x14ac:dyDescent="0.25">
      <c r="A189">
        <f>187</f>
        <v>187</v>
      </c>
      <c r="B189" t="str">
        <f>INDEX('Draft Engine'!$A$3:$A$232,$P189)</f>
        <v>WR</v>
      </c>
      <c r="C189">
        <f>INDEX('Draft Engine'!$F$3:$F$232,$P189)</f>
        <v>62</v>
      </c>
      <c r="D189" t="str">
        <f>INDEX('Draft Engine'!$B$3:$B$232,$P189)</f>
        <v>Tank Dell</v>
      </c>
      <c r="E189" s="4">
        <f>INDEX('Draft Engine'!$E$3:$E$232,$P189)</f>
        <v>60.1</v>
      </c>
      <c r="F189" t="str">
        <f t="shared" si="2"/>
        <v>TIER 7</v>
      </c>
      <c r="G189" s="4">
        <f>INDEX('Draft Engine'!$G$3:$G$232,$P189)</f>
        <v>182.4</v>
      </c>
      <c r="H189" s="4">
        <f>INDEX('Draft Engine'!$J$3:$J$232,$P189)</f>
        <v>-56.9</v>
      </c>
      <c r="I189" s="4">
        <f>INDEX('Draft Engine'!$N$3:$N$232,$P189)</f>
        <v>37.813000000000009</v>
      </c>
      <c r="J189" s="4">
        <f>INDEX('Draft Engine'!$R$3:$R$232,$P189)</f>
        <v>146.6</v>
      </c>
      <c r="K189" s="4">
        <f>INDEX('Draft Engine'!$S$3:$S$232,$P189)</f>
        <v>-40.400000000000006</v>
      </c>
      <c r="L189" t="str">
        <f>INDEX('Draft Engine'!$T$3:$T$232,$P189)</f>
        <v>C</v>
      </c>
      <c r="M189" t="str">
        <f>INDEX('Draft Engine'!$X$3:$X$232,$P189)</f>
        <v>ESPN SLOT-IN</v>
      </c>
      <c r="N189" t="str">
        <f>INDEX('LIVE SOURCE'!$H$3:$H$232,$P189)</f>
        <v>Added 2026-08-12 from ESPN consensus (WR56).</v>
      </c>
      <c r="O189" t="str">
        <f>INDEX('LIVE SOURCE'!$J$3:$J$232,$P189)</f>
        <v>No model projection behind this rating; it is market consensus only. Re-rate manually if you have a strong opinion.</v>
      </c>
      <c r="P189" s="6">
        <f>MATCH($A189,'Draft Engine'!$Q$3:$Q$232,0)</f>
        <v>158</v>
      </c>
    </row>
    <row r="190" spans="1:16" x14ac:dyDescent="0.25">
      <c r="A190">
        <f>188</f>
        <v>188</v>
      </c>
      <c r="B190" t="str">
        <f>INDEX('Draft Engine'!$A$3:$A$232,$P190)</f>
        <v>WR</v>
      </c>
      <c r="C190">
        <f>INDEX('Draft Engine'!$F$3:$F$232,$P190)</f>
        <v>63</v>
      </c>
      <c r="D190" t="str">
        <f>INDEX('Draft Engine'!$B$3:$B$232,$P190)</f>
        <v>Jalen Nailor</v>
      </c>
      <c r="E190" s="4">
        <f>INDEX('Draft Engine'!$E$3:$E$232,$P190)</f>
        <v>59.47</v>
      </c>
      <c r="F190" t="str">
        <f t="shared" si="2"/>
        <v>TIER 7</v>
      </c>
      <c r="G190" s="4">
        <f>INDEX('Draft Engine'!$G$3:$G$232,$P190)</f>
        <v>179.8</v>
      </c>
      <c r="H190" s="4">
        <f>INDEX('Draft Engine'!$J$3:$J$232,$P190)</f>
        <v>-59.5</v>
      </c>
      <c r="I190" s="4">
        <f>INDEX('Draft Engine'!$N$3:$N$232,$P190)</f>
        <v>36.9985</v>
      </c>
      <c r="J190" s="4">
        <f>INDEX('Draft Engine'!$R$3:$R$232,$P190)</f>
        <v>160.6</v>
      </c>
      <c r="K190" s="4">
        <f>INDEX('Draft Engine'!$S$3:$S$232,$P190)</f>
        <v>-27.400000000000006</v>
      </c>
      <c r="L190" t="str">
        <f>INDEX('Draft Engine'!$T$3:$T$232,$P190)</f>
        <v>C</v>
      </c>
      <c r="M190" t="str">
        <f>INDEX('Draft Engine'!$X$3:$X$232,$P190)</f>
        <v>HISTORY FALLBACK</v>
      </c>
      <c r="N190" t="str">
        <f>INDEX('LIVE SOURCE'!$H$3:$H$232,$P190)</f>
        <v>Late-round bench upside; role growth is required for weekly relevance.</v>
      </c>
      <c r="O190" t="str">
        <f>INDEX('LIVE SOURCE'!$J$3:$J$232,$P190)</f>
        <v>Target competition, quarterback efficiency and touchdown regression are the main downside paths.</v>
      </c>
      <c r="P190" s="6">
        <f>MATCH($A190,'Draft Engine'!$Q$3:$Q$232,0)</f>
        <v>144</v>
      </c>
    </row>
    <row r="191" spans="1:16" x14ac:dyDescent="0.25">
      <c r="A191">
        <f>189</f>
        <v>189</v>
      </c>
      <c r="B191" t="str">
        <f>INDEX('Draft Engine'!$A$3:$A$232,$P191)</f>
        <v>RB</v>
      </c>
      <c r="C191">
        <f>INDEX('Draft Engine'!$F$3:$F$232,$P191)</f>
        <v>49</v>
      </c>
      <c r="D191" t="str">
        <f>INDEX('Draft Engine'!$B$3:$B$232,$P191)</f>
        <v>Alvin Kamara</v>
      </c>
      <c r="E191" s="4">
        <f>INDEX('Draft Engine'!$E$3:$E$232,$P191)</f>
        <v>59.15</v>
      </c>
      <c r="F191" t="str">
        <f t="shared" si="2"/>
        <v>TIER 7</v>
      </c>
      <c r="G191" s="4">
        <f>INDEX('Draft Engine'!$G$3:$G$232,$P191)</f>
        <v>178.4</v>
      </c>
      <c r="H191" s="4">
        <f>INDEX('Draft Engine'!$J$3:$J$232,$P191)</f>
        <v>-60.6</v>
      </c>
      <c r="I191" s="4">
        <f>INDEX('Draft Engine'!$N$3:$N$232,$P191)</f>
        <v>36.624499999999998</v>
      </c>
      <c r="J191" s="4">
        <f>INDEX('Draft Engine'!$R$3:$R$232,$P191)</f>
        <v>134.1</v>
      </c>
      <c r="K191" s="4">
        <f>INDEX('Draft Engine'!$S$3:$S$232,$P191)</f>
        <v>-54.900000000000006</v>
      </c>
      <c r="L191" t="str">
        <f>INDEX('Draft Engine'!$T$3:$T$232,$P191)</f>
        <v>B</v>
      </c>
      <c r="M191" t="str">
        <f>INDEX('Draft Engine'!$X$3:$X$232,$P191)</f>
        <v>HISTORY FALLBACK</v>
      </c>
      <c r="N191" t="str">
        <f>INDEX('LIVE SOURCE'!$H$3:$H$232,$P191)</f>
        <v>Bench stash/handcuff profile; value is tied to role change or injury ahead.</v>
      </c>
      <c r="O191" t="str">
        <f>INDEX('LIVE SOURCE'!$J$3:$J$232,$P191)</f>
        <v>Touchdown variance, receiving-role changes and backfield competition are the main downside paths.</v>
      </c>
      <c r="P191" s="6">
        <f>MATCH($A191,'Draft Engine'!$Q$3:$Q$232,0)</f>
        <v>81</v>
      </c>
    </row>
    <row r="192" spans="1:16" x14ac:dyDescent="0.25">
      <c r="A192">
        <f>190</f>
        <v>190</v>
      </c>
      <c r="B192" t="str">
        <f>INDEX('Draft Engine'!$A$3:$A$232,$P192)</f>
        <v>RB</v>
      </c>
      <c r="C192">
        <f>INDEX('Draft Engine'!$F$3:$F$232,$P192)</f>
        <v>50</v>
      </c>
      <c r="D192" t="str">
        <f>INDEX('Draft Engine'!$B$3:$B$232,$P192)</f>
        <v>Keaton Mitchell</v>
      </c>
      <c r="E192" s="4">
        <f>INDEX('Draft Engine'!$E$3:$E$232,$P192)</f>
        <v>59</v>
      </c>
      <c r="F192" t="str">
        <f t="shared" si="2"/>
        <v>TIER 7</v>
      </c>
      <c r="G192" s="4">
        <f>INDEX('Draft Engine'!$G$3:$G$232,$P192)</f>
        <v>177.8</v>
      </c>
      <c r="H192" s="4">
        <f>INDEX('Draft Engine'!$J$3:$J$232,$P192)</f>
        <v>-61.2</v>
      </c>
      <c r="I192" s="4">
        <f>INDEX('Draft Engine'!$N$3:$N$232,$P192)</f>
        <v>36.434000000000005</v>
      </c>
      <c r="J192" s="4">
        <f>INDEX('Draft Engine'!$R$3:$R$232,$P192)</f>
        <v>160.19999999999999</v>
      </c>
      <c r="K192" s="4">
        <f>INDEX('Draft Engine'!$S$3:$S$232,$P192)</f>
        <v>-29.800000000000011</v>
      </c>
      <c r="L192" t="str">
        <f>INDEX('Draft Engine'!$T$3:$T$232,$P192)</f>
        <v>C</v>
      </c>
      <c r="M192" t="str">
        <f>INDEX('Draft Engine'!$X$3:$X$232,$P192)</f>
        <v>ESPN SLOT-IN</v>
      </c>
      <c r="N192" t="str">
        <f>INDEX('LIVE SOURCE'!$H$3:$H$232,$P192)</f>
        <v>Added 2026-08-12 from ESPN consensus (RB46).</v>
      </c>
      <c r="O192" t="str">
        <f>INDEX('LIVE SOURCE'!$J$3:$J$232,$P192)</f>
        <v>No model projection behind this rating; it is market consensus only. Re-rate manually if you have a strong opinion.</v>
      </c>
      <c r="P192" s="6">
        <f>MATCH($A192,'Draft Engine'!$Q$3:$Q$232,0)</f>
        <v>84</v>
      </c>
    </row>
    <row r="193" spans="1:16" x14ac:dyDescent="0.25">
      <c r="A193">
        <f>191</f>
        <v>191</v>
      </c>
      <c r="B193" t="str">
        <f>INDEX('Draft Engine'!$A$3:$A$232,$P193)</f>
        <v>WR</v>
      </c>
      <c r="C193">
        <f>INDEX('Draft Engine'!$F$3:$F$232,$P193)</f>
        <v>64</v>
      </c>
      <c r="D193" t="str">
        <f>INDEX('Draft Engine'!$B$3:$B$232,$P193)</f>
        <v>Jalen McMillan</v>
      </c>
      <c r="E193" s="4">
        <f>INDEX('Draft Engine'!$E$3:$E$232,$P193)</f>
        <v>58.8</v>
      </c>
      <c r="F193" t="str">
        <f t="shared" si="2"/>
        <v>TIER 7</v>
      </c>
      <c r="G193" s="4">
        <f>INDEX('Draft Engine'!$G$3:$G$232,$P193)</f>
        <v>177</v>
      </c>
      <c r="H193" s="4">
        <f>INDEX('Draft Engine'!$J$3:$J$232,$P193)</f>
        <v>-62.3</v>
      </c>
      <c r="I193" s="4">
        <f>INDEX('Draft Engine'!$N$3:$N$232,$P193)</f>
        <v>36.126000000000005</v>
      </c>
      <c r="J193" s="4">
        <f>INDEX('Draft Engine'!$R$3:$R$232,$P193)</f>
        <v>152.80000000000001</v>
      </c>
      <c r="K193" s="4">
        <f>INDEX('Draft Engine'!$S$3:$S$232,$P193)</f>
        <v>-38.199999999999989</v>
      </c>
      <c r="L193" t="str">
        <f>INDEX('Draft Engine'!$T$3:$T$232,$P193)</f>
        <v>C</v>
      </c>
      <c r="M193" t="str">
        <f>INDEX('Draft Engine'!$X$3:$X$232,$P193)</f>
        <v>HISTORY FALLBACK</v>
      </c>
      <c r="N193" t="str">
        <f>INDEX('LIVE SOURCE'!$H$3:$H$232,$P193)</f>
        <v>Late-round bench upside; role growth is required for weekly relevance.</v>
      </c>
      <c r="O193" t="str">
        <f>INDEX('LIVE SOURCE'!$J$3:$J$232,$P193)</f>
        <v>Evidence is thinner than for established veterans, so camp, depth-chart and role news can move the grade materially.</v>
      </c>
      <c r="P193" s="6">
        <f>MATCH($A193,'Draft Engine'!$Q$3:$Q$232,0)</f>
        <v>145</v>
      </c>
    </row>
    <row r="194" spans="1:16" x14ac:dyDescent="0.25">
      <c r="A194">
        <f>192</f>
        <v>192</v>
      </c>
      <c r="B194" t="str">
        <f>INDEX('Draft Engine'!$A$3:$A$232,$P194)</f>
        <v>QB</v>
      </c>
      <c r="C194">
        <f>INDEX('Draft Engine'!$F$3:$F$232,$P194)</f>
        <v>30</v>
      </c>
      <c r="D194" t="str">
        <f>INDEX('Draft Engine'!$B$3:$B$232,$P194)</f>
        <v>Tua Tagovailoa</v>
      </c>
      <c r="E194" s="4">
        <f>INDEX('Draft Engine'!$E$3:$E$232,$P194)</f>
        <v>67.851200000000006</v>
      </c>
      <c r="F194" t="str">
        <f t="shared" si="2"/>
        <v>TIER 6</v>
      </c>
      <c r="G194" s="4">
        <f>INDEX('Draft Engine'!$G$3:$G$232,$P194)</f>
        <v>275.3</v>
      </c>
      <c r="H194" s="4">
        <f>INDEX('Draft Engine'!$J$3:$J$232,$P194)</f>
        <v>-75.8</v>
      </c>
      <c r="I194" s="4">
        <f>INDEX('Draft Engine'!$N$3:$N$232,$P194)</f>
        <v>35.674160000000008</v>
      </c>
      <c r="J194" s="4">
        <f>INDEX('Draft Engine'!$R$3:$R$232,$P194)</f>
        <v>254</v>
      </c>
      <c r="K194" s="4">
        <f>INDEX('Draft Engine'!$S$3:$S$232,$P194)</f>
        <v>62</v>
      </c>
      <c r="L194" t="str">
        <f>INDEX('Draft Engine'!$T$3:$T$232,$P194)</f>
        <v>A</v>
      </c>
      <c r="M194" t="str">
        <f>INDEX('Draft Engine'!$X$3:$X$232,$P194)</f>
        <v>RATE-ADJUSTED VETERAN</v>
      </c>
      <c r="N194" t="str">
        <f>INDEX('LIVE SOURCE'!$H$3:$H$232,$P194)</f>
        <v>Deep QB2; waiver-level in a normal 10-team format.</v>
      </c>
      <c r="O194" t="str">
        <f>INDEX('LIVE SOURCE'!$J$3:$J$232,$P194)</f>
        <v>Passing-TD efficiency, rushing volume and supporting-cast health are the main swing factors.</v>
      </c>
      <c r="P194" s="6">
        <f>MATCH($A194,'Draft Engine'!$Q$3:$Q$232,0)</f>
        <v>30</v>
      </c>
    </row>
    <row r="195" spans="1:16" x14ac:dyDescent="0.25">
      <c r="A195">
        <f>193</f>
        <v>193</v>
      </c>
      <c r="B195" t="str">
        <f>INDEX('Draft Engine'!$A$3:$A$232,$P195)</f>
        <v>WR</v>
      </c>
      <c r="C195">
        <f>INDEX('Draft Engine'!$F$3:$F$232,$P195)</f>
        <v>65</v>
      </c>
      <c r="D195" t="str">
        <f>INDEX('Draft Engine'!$B$3:$B$232,$P195)</f>
        <v>Adonai Mitchell</v>
      </c>
      <c r="E195" s="4">
        <f>INDEX('Draft Engine'!$E$3:$E$232,$P195)</f>
        <v>58.13</v>
      </c>
      <c r="F195" t="str">
        <f t="shared" ref="F195:F232" si="3">IF($E195&gt;=95,"ELITE",IF($E195&gt;=90,"TIER 1",IF($E195&gt;=85,"TIER 2",IF($E195&gt;=80,"TIER 3",IF($E195&gt;=75,"TIER 4",IF($E195&gt;=70,"TIER 5",IF($E195&gt;=65,"TIER 6","TIER 7")))))))</f>
        <v>TIER 7</v>
      </c>
      <c r="G195" s="4">
        <f>INDEX('Draft Engine'!$G$3:$G$232,$P195)</f>
        <v>174.1</v>
      </c>
      <c r="H195" s="4">
        <f>INDEX('Draft Engine'!$J$3:$J$232,$P195)</f>
        <v>-65.2</v>
      </c>
      <c r="I195" s="4">
        <f>INDEX('Draft Engine'!$N$3:$N$232,$P195)</f>
        <v>35.235500000000002</v>
      </c>
      <c r="J195" s="4">
        <f>INDEX('Draft Engine'!$R$3:$R$232,$P195)</f>
        <v>163.1</v>
      </c>
      <c r="K195" s="4">
        <f>INDEX('Draft Engine'!$S$3:$S$232,$P195)</f>
        <v>-29.900000000000006</v>
      </c>
      <c r="L195" t="str">
        <f>INDEX('Draft Engine'!$T$3:$T$232,$P195)</f>
        <v>C</v>
      </c>
      <c r="M195" t="str">
        <f>INDEX('Draft Engine'!$X$3:$X$232,$P195)</f>
        <v>HISTORY FALLBACK</v>
      </c>
      <c r="N195" t="str">
        <f>INDEX('LIVE SOURCE'!$H$3:$H$232,$P195)</f>
        <v>Late-round bench upside; role growth is required for weekly relevance.</v>
      </c>
      <c r="O195" t="str">
        <f>INDEX('LIVE SOURCE'!$J$3:$J$232,$P195)</f>
        <v>Evidence is thinner than for established veterans, so camp, depth-chart and role news can move the grade materially.</v>
      </c>
      <c r="P195" s="6">
        <f>MATCH($A195,'Draft Engine'!$Q$3:$Q$232,0)</f>
        <v>146</v>
      </c>
    </row>
    <row r="196" spans="1:16" x14ac:dyDescent="0.25">
      <c r="A196">
        <f>194</f>
        <v>194</v>
      </c>
      <c r="B196" t="str">
        <f>INDEX('Draft Engine'!$A$3:$A$232,$P196)</f>
        <v>WR</v>
      </c>
      <c r="C196">
        <f>INDEX('Draft Engine'!$F$3:$F$232,$P196)</f>
        <v>66</v>
      </c>
      <c r="D196" t="str">
        <f>INDEX('Draft Engine'!$B$3:$B$232,$P196)</f>
        <v>Isaac TeSlaa</v>
      </c>
      <c r="E196" s="4">
        <f>INDEX('Draft Engine'!$E$3:$E$232,$P196)</f>
        <v>57.46</v>
      </c>
      <c r="F196" t="str">
        <f t="shared" si="3"/>
        <v>TIER 7</v>
      </c>
      <c r="G196" s="4">
        <f>INDEX('Draft Engine'!$G$3:$G$232,$P196)</f>
        <v>171.3</v>
      </c>
      <c r="H196" s="4">
        <f>INDEX('Draft Engine'!$J$3:$J$232,$P196)</f>
        <v>-68</v>
      </c>
      <c r="I196" s="4">
        <f>INDEX('Draft Engine'!$N$3:$N$232,$P196)</f>
        <v>34.363</v>
      </c>
      <c r="J196" s="4">
        <f>INDEX('Draft Engine'!$R$3:$R$232,$P196)</f>
        <v>176.3</v>
      </c>
      <c r="K196" s="4">
        <f>INDEX('Draft Engine'!$S$3:$S$232,$P196)</f>
        <v>-17.699999999999989</v>
      </c>
      <c r="L196" t="str">
        <f>INDEX('Draft Engine'!$T$3:$T$232,$P196)</f>
        <v>C</v>
      </c>
      <c r="M196" t="str">
        <f>INDEX('Draft Engine'!$X$3:$X$232,$P196)</f>
        <v>HISTORY FALLBACK</v>
      </c>
      <c r="N196" t="str">
        <f>INDEX('LIVE SOURCE'!$H$3:$H$232,$P196)</f>
        <v>Late-round bench upside; role growth is required for weekly relevance.</v>
      </c>
      <c r="O196" t="str">
        <f>INDEX('LIVE SOURCE'!$J$3:$J$232,$P196)</f>
        <v>Target competition, quarterback efficiency and touchdown regression are the main downside paths.</v>
      </c>
      <c r="P196" s="6">
        <f>MATCH($A196,'Draft Engine'!$Q$3:$Q$232,0)</f>
        <v>147</v>
      </c>
    </row>
    <row r="197" spans="1:16" x14ac:dyDescent="0.25">
      <c r="A197">
        <f>195</f>
        <v>195</v>
      </c>
      <c r="B197" t="str">
        <f>INDEX('Draft Engine'!$A$3:$A$232,$P197)</f>
        <v>WR</v>
      </c>
      <c r="C197">
        <f>INDEX('Draft Engine'!$F$3:$F$232,$P197)</f>
        <v>67</v>
      </c>
      <c r="D197" t="str">
        <f>INDEX('Draft Engine'!$B$3:$B$232,$P197)</f>
        <v>Denzel Boston</v>
      </c>
      <c r="E197" s="4">
        <f>INDEX('Draft Engine'!$E$3:$E$232,$P197)</f>
        <v>56.79</v>
      </c>
      <c r="F197" t="str">
        <f t="shared" si="3"/>
        <v>TIER 7</v>
      </c>
      <c r="G197" s="4">
        <f>INDEX('Draft Engine'!$G$3:$G$232,$P197)</f>
        <v>168.5</v>
      </c>
      <c r="H197" s="4">
        <f>INDEX('Draft Engine'!$J$3:$J$232,$P197)</f>
        <v>-70.8</v>
      </c>
      <c r="I197" s="4">
        <f>INDEX('Draft Engine'!$N$3:$N$232,$P197)</f>
        <v>33.490500000000004</v>
      </c>
      <c r="J197" s="4">
        <f>INDEX('Draft Engine'!$R$3:$R$232,$P197)</f>
        <v>155.69999999999999</v>
      </c>
      <c r="K197" s="4">
        <f>INDEX('Draft Engine'!$S$3:$S$232,$P197)</f>
        <v>-39.300000000000011</v>
      </c>
      <c r="L197" t="str">
        <f>INDEX('Draft Engine'!$T$3:$T$232,$P197)</f>
        <v>C</v>
      </c>
      <c r="M197" t="str">
        <f>INDEX('Draft Engine'!$X$3:$X$232,$P197)</f>
        <v>HISTORY FALLBACK</v>
      </c>
      <c r="N197" t="str">
        <f>INDEX('LIVE SOURCE'!$H$3:$H$232,$P197)</f>
        <v>Late-round bench upside; role growth is required for weekly relevance.</v>
      </c>
      <c r="O197" t="str">
        <f>INDEX('LIVE SOURCE'!$J$3:$J$232,$P197)</f>
        <v>NFL translation and exact weekly role are the main variables; preseason first-team usage can move this rating quickly.</v>
      </c>
      <c r="P197" s="6">
        <f>MATCH($A197,'Draft Engine'!$Q$3:$Q$232,0)</f>
        <v>148</v>
      </c>
    </row>
    <row r="198" spans="1:16" x14ac:dyDescent="0.25">
      <c r="A198">
        <f>196</f>
        <v>196</v>
      </c>
      <c r="B198" t="str">
        <f>INDEX('Draft Engine'!$A$3:$A$232,$P198)</f>
        <v>QB</v>
      </c>
      <c r="C198">
        <f>INDEX('Draft Engine'!$F$3:$F$232,$P198)</f>
        <v>31</v>
      </c>
      <c r="D198" t="str">
        <f>INDEX('Draft Engine'!$B$3:$B$232,$P198)</f>
        <v>Kirk Cousins</v>
      </c>
      <c r="E198" s="4">
        <f>INDEX('Draft Engine'!$E$3:$E$232,$P198)</f>
        <v>65.792900000000003</v>
      </c>
      <c r="F198" t="str">
        <f t="shared" si="3"/>
        <v>TIER 6</v>
      </c>
      <c r="G198" s="4">
        <f>INDEX('Draft Engine'!$G$3:$G$232,$P198)</f>
        <v>266.10000000000002</v>
      </c>
      <c r="H198" s="4">
        <f>INDEX('Draft Engine'!$J$3:$J$232,$P198)</f>
        <v>-85</v>
      </c>
      <c r="I198" s="4">
        <f>INDEX('Draft Engine'!$N$3:$N$232,$P198)</f>
        <v>33.186095000000002</v>
      </c>
      <c r="J198" s="4">
        <f>INDEX('Draft Engine'!$R$3:$R$232,$P198)</f>
        <v>262</v>
      </c>
      <c r="K198" s="4">
        <f>INDEX('Draft Engine'!$S$3:$S$232,$P198)</f>
        <v>66</v>
      </c>
      <c r="L198" t="str">
        <f>INDEX('Draft Engine'!$T$3:$T$232,$P198)</f>
        <v>B</v>
      </c>
      <c r="M198" t="str">
        <f>INDEX('Draft Engine'!$X$3:$X$232,$P198)</f>
        <v>RATE-ADJUSTED VETERAN</v>
      </c>
      <c r="N198" t="str">
        <f>INDEX('LIVE SOURCE'!$H$3:$H$232,$P198)</f>
        <v>Deep QB2; waiver-level in a normal 10-team format.</v>
      </c>
      <c r="O198" t="str">
        <f>INDEX('LIVE SOURCE'!$J$3:$J$232,$P198)</f>
        <v>Passing-TD efficiency, rushing volume and supporting-cast health are the main swing factors.</v>
      </c>
      <c r="P198" s="6">
        <f>MATCH($A198,'Draft Engine'!$Q$3:$Q$232,0)</f>
        <v>31</v>
      </c>
    </row>
    <row r="199" spans="1:16" x14ac:dyDescent="0.25">
      <c r="A199">
        <f>197</f>
        <v>197</v>
      </c>
      <c r="B199" t="str">
        <f>INDEX('Draft Engine'!$A$3:$A$232,$P199)</f>
        <v>WR</v>
      </c>
      <c r="C199">
        <f>INDEX('Draft Engine'!$F$3:$F$232,$P199)</f>
        <v>68</v>
      </c>
      <c r="D199" t="str">
        <f>INDEX('Draft Engine'!$B$3:$B$232,$P199)</f>
        <v>Tre Tucker</v>
      </c>
      <c r="E199" s="4">
        <f>INDEX('Draft Engine'!$E$3:$E$232,$P199)</f>
        <v>56.12</v>
      </c>
      <c r="F199" t="str">
        <f t="shared" si="3"/>
        <v>TIER 7</v>
      </c>
      <c r="G199" s="4">
        <f>INDEX('Draft Engine'!$G$3:$G$232,$P199)</f>
        <v>165.7</v>
      </c>
      <c r="H199" s="4">
        <f>INDEX('Draft Engine'!$J$3:$J$232,$P199)</f>
        <v>-73.599999999999994</v>
      </c>
      <c r="I199" s="4">
        <f>INDEX('Draft Engine'!$N$3:$N$232,$P199)</f>
        <v>32.618000000000002</v>
      </c>
      <c r="J199" s="4">
        <f>INDEX('Draft Engine'!$R$3:$R$232,$P199)</f>
        <v>135.5</v>
      </c>
      <c r="K199" s="4">
        <f>INDEX('Draft Engine'!$S$3:$S$232,$P199)</f>
        <v>-61.5</v>
      </c>
      <c r="L199" t="str">
        <f>INDEX('Draft Engine'!$T$3:$T$232,$P199)</f>
        <v>C</v>
      </c>
      <c r="M199" t="str">
        <f>INDEX('Draft Engine'!$X$3:$X$232,$P199)</f>
        <v>HISTORY FALLBACK</v>
      </c>
      <c r="N199" t="str">
        <f>INDEX('LIVE SOURCE'!$H$3:$H$232,$P199)</f>
        <v>Late-round bench upside; role growth is required for weekly relevance.</v>
      </c>
      <c r="O199" t="str">
        <f>INDEX('LIVE SOURCE'!$J$3:$J$232,$P199)</f>
        <v>Target competition, quarterback efficiency and touchdown regression are the main downside paths.</v>
      </c>
      <c r="P199" s="6">
        <f>MATCH($A199,'Draft Engine'!$Q$3:$Q$232,0)</f>
        <v>149</v>
      </c>
    </row>
    <row r="200" spans="1:16" x14ac:dyDescent="0.25">
      <c r="A200">
        <f>198</f>
        <v>198</v>
      </c>
      <c r="B200" t="str">
        <f>INDEX('Draft Engine'!$A$3:$A$232,$P200)</f>
        <v>WR</v>
      </c>
      <c r="C200">
        <f>INDEX('Draft Engine'!$F$3:$F$232,$P200)</f>
        <v>69</v>
      </c>
      <c r="D200" t="str">
        <f>INDEX('Draft Engine'!$B$3:$B$232,$P200)</f>
        <v>Antonio Williams</v>
      </c>
      <c r="E200" s="4">
        <f>INDEX('Draft Engine'!$E$3:$E$232,$P200)</f>
        <v>55.45</v>
      </c>
      <c r="F200" t="str">
        <f t="shared" si="3"/>
        <v>TIER 7</v>
      </c>
      <c r="G200" s="4">
        <f>INDEX('Draft Engine'!$G$3:$G$232,$P200)</f>
        <v>162.9</v>
      </c>
      <c r="H200" s="4">
        <f>INDEX('Draft Engine'!$J$3:$J$232,$P200)</f>
        <v>-76.400000000000006</v>
      </c>
      <c r="I200" s="4">
        <f>INDEX('Draft Engine'!$N$3:$N$232,$P200)</f>
        <v>31.7455</v>
      </c>
      <c r="J200" s="4">
        <f>INDEX('Draft Engine'!$R$3:$R$232,$P200)</f>
        <v>159.6</v>
      </c>
      <c r="K200" s="4">
        <f>INDEX('Draft Engine'!$S$3:$S$232,$P200)</f>
        <v>-38.400000000000006</v>
      </c>
      <c r="L200" t="str">
        <f>INDEX('Draft Engine'!$T$3:$T$232,$P200)</f>
        <v>C</v>
      </c>
      <c r="M200" t="str">
        <f>INDEX('Draft Engine'!$X$3:$X$232,$P200)</f>
        <v>HISTORY FALLBACK</v>
      </c>
      <c r="N200" t="str">
        <f>INDEX('LIVE SOURCE'!$H$3:$H$232,$P200)</f>
        <v>Late-round bench upside; role growth is required for weekly relevance.</v>
      </c>
      <c r="O200" t="str">
        <f>INDEX('LIVE SOURCE'!$J$3:$J$232,$P200)</f>
        <v>Evidence is thinner than for established veterans, so camp, depth-chart and role news can move the grade materially.</v>
      </c>
      <c r="P200" s="6">
        <f>MATCH($A200,'Draft Engine'!$Q$3:$Q$232,0)</f>
        <v>150</v>
      </c>
    </row>
    <row r="201" spans="1:16" x14ac:dyDescent="0.25">
      <c r="A201">
        <f>199</f>
        <v>199</v>
      </c>
      <c r="B201" t="str">
        <f>INDEX('Draft Engine'!$A$3:$A$232,$P201)</f>
        <v>RB</v>
      </c>
      <c r="C201">
        <f>INDEX('Draft Engine'!$F$3:$F$232,$P201)</f>
        <v>51</v>
      </c>
      <c r="D201" t="str">
        <f>INDEX('Draft Engine'!$B$3:$B$232,$P201)</f>
        <v>Justice Hill</v>
      </c>
      <c r="E201" s="4">
        <f>INDEX('Draft Engine'!$E$3:$E$232,$P201)</f>
        <v>54.88</v>
      </c>
      <c r="F201" t="str">
        <f t="shared" si="3"/>
        <v>TIER 7</v>
      </c>
      <c r="G201" s="4">
        <f>INDEX('Draft Engine'!$G$3:$G$232,$P201)</f>
        <v>160.5</v>
      </c>
      <c r="H201" s="4">
        <f>INDEX('Draft Engine'!$J$3:$J$232,$P201)</f>
        <v>-78.5</v>
      </c>
      <c r="I201" s="4">
        <f>INDEX('Draft Engine'!$N$3:$N$232,$P201)</f>
        <v>31.054000000000006</v>
      </c>
      <c r="J201" s="4">
        <f>INDEX('Draft Engine'!$R$3:$R$232,$P201)</f>
        <v>165.6</v>
      </c>
      <c r="K201" s="4">
        <f>INDEX('Draft Engine'!$S$3:$S$232,$P201)</f>
        <v>-33.400000000000006</v>
      </c>
      <c r="L201" t="str">
        <f>INDEX('Draft Engine'!$T$3:$T$232,$P201)</f>
        <v>B</v>
      </c>
      <c r="M201" t="str">
        <f>INDEX('Draft Engine'!$X$3:$X$232,$P201)</f>
        <v>HISTORY FALLBACK</v>
      </c>
      <c r="N201" t="str">
        <f>INDEX('LIVE SOURCE'!$H$3:$H$232,$P201)</f>
        <v>Bench stash/handcuff profile; value is tied to role change or injury ahead.</v>
      </c>
      <c r="O201" t="str">
        <f>INDEX('LIVE SOURCE'!$J$3:$J$232,$P201)</f>
        <v>Touchdown variance, receiving-role changes and backfield competition are the main downside paths.</v>
      </c>
      <c r="P201" s="6">
        <f>MATCH($A201,'Draft Engine'!$Q$3:$Q$232,0)</f>
        <v>82</v>
      </c>
    </row>
    <row r="202" spans="1:16" x14ac:dyDescent="0.25">
      <c r="A202">
        <f>200</f>
        <v>200</v>
      </c>
      <c r="B202" t="str">
        <f>INDEX('Draft Engine'!$A$3:$A$232,$P202)</f>
        <v>WR</v>
      </c>
      <c r="C202">
        <f>INDEX('Draft Engine'!$F$3:$F$232,$P202)</f>
        <v>70</v>
      </c>
      <c r="D202" t="str">
        <f>INDEX('Draft Engine'!$B$3:$B$232,$P202)</f>
        <v>Travis Hunter</v>
      </c>
      <c r="E202" s="4">
        <f>INDEX('Draft Engine'!$E$3:$E$232,$P202)</f>
        <v>54.78</v>
      </c>
      <c r="F202" t="str">
        <f t="shared" si="3"/>
        <v>TIER 7</v>
      </c>
      <c r="G202" s="4">
        <f>INDEX('Draft Engine'!$G$3:$G$232,$P202)</f>
        <v>160.1</v>
      </c>
      <c r="H202" s="4">
        <f>INDEX('Draft Engine'!$J$3:$J$232,$P202)</f>
        <v>-79.2</v>
      </c>
      <c r="I202" s="4">
        <f>INDEX('Draft Engine'!$N$3:$N$232,$P202)</f>
        <v>30.873000000000001</v>
      </c>
      <c r="J202" s="4">
        <f>INDEX('Draft Engine'!$R$3:$R$232,$P202)</f>
        <v>164.4</v>
      </c>
      <c r="K202" s="4">
        <f>INDEX('Draft Engine'!$S$3:$S$232,$P202)</f>
        <v>-35.599999999999994</v>
      </c>
      <c r="L202" t="str">
        <f>INDEX('Draft Engine'!$T$3:$T$232,$P202)</f>
        <v>C</v>
      </c>
      <c r="M202" t="str">
        <f>INDEX('Draft Engine'!$X$3:$X$232,$P202)</f>
        <v>HISTORY FALLBACK</v>
      </c>
      <c r="N202" t="str">
        <f>INDEX('LIVE SOURCE'!$H$3:$H$232,$P202)</f>
        <v>Late-round bench upside; role growth is required for weekly relevance.</v>
      </c>
      <c r="O202" t="str">
        <f>INDEX('LIVE SOURCE'!$J$3:$J$232,$P202)</f>
        <v>Evidence is thinner than for established veterans, so camp, depth-chart and role news can move the grade materially.</v>
      </c>
      <c r="P202" s="6">
        <f>MATCH($A202,'Draft Engine'!$Q$3:$Q$232,0)</f>
        <v>151</v>
      </c>
    </row>
    <row r="203" spans="1:16" x14ac:dyDescent="0.25">
      <c r="A203">
        <f>201</f>
        <v>201</v>
      </c>
      <c r="B203" t="str">
        <f>INDEX('Draft Engine'!$A$3:$A$232,$P203)</f>
        <v>QB</v>
      </c>
      <c r="C203">
        <f>INDEX('Draft Engine'!$F$3:$F$232,$P203)</f>
        <v>32</v>
      </c>
      <c r="D203" t="str">
        <f>INDEX('Draft Engine'!$B$3:$B$232,$P203)</f>
        <v>Deshaun Watson</v>
      </c>
      <c r="E203" s="4">
        <f>INDEX('Draft Engine'!$E$3:$E$232,$P203)</f>
        <v>60.25</v>
      </c>
      <c r="F203" t="str">
        <f t="shared" si="3"/>
        <v>TIER 7</v>
      </c>
      <c r="G203" s="4">
        <f>INDEX('Draft Engine'!$G$3:$G$232,$P203)</f>
        <v>241.1</v>
      </c>
      <c r="H203" s="4">
        <f>INDEX('Draft Engine'!$J$3:$J$232,$P203)</f>
        <v>-110</v>
      </c>
      <c r="I203" s="4">
        <f>INDEX('Draft Engine'!$N$3:$N$232,$P203)</f>
        <v>30.137500000000003</v>
      </c>
      <c r="J203" s="4">
        <f>INDEX('Draft Engine'!$R$3:$R$232,$P203)</f>
        <v>270</v>
      </c>
      <c r="K203" s="4">
        <f>INDEX('Draft Engine'!$S$3:$S$232,$P203)</f>
        <v>69</v>
      </c>
      <c r="L203" t="str">
        <f>INDEX('Draft Engine'!$T$3:$T$232,$P203)</f>
        <v>C</v>
      </c>
      <c r="M203" t="str">
        <f>INDEX('Draft Engine'!$X$3:$X$232,$P203)</f>
        <v>HISTORY FALLBACK</v>
      </c>
      <c r="N203" t="str">
        <f>INDEX('LIVE SOURCE'!$H$3:$H$232,$P203)</f>
        <v>Deep QB2; waiver-level in a normal 10-team format.</v>
      </c>
      <c r="O203" t="str">
        <f>INDEX('LIVE SOURCE'!$J$3:$J$232,$P203)</f>
        <v>Evidence is thinner than for established veterans, so camp, depth-chart and role news can move the grade materially.</v>
      </c>
      <c r="P203" s="6">
        <f>MATCH($A203,'Draft Engine'!$Q$3:$Q$232,0)</f>
        <v>32</v>
      </c>
    </row>
    <row r="204" spans="1:16" x14ac:dyDescent="0.25">
      <c r="A204">
        <f>202</f>
        <v>202</v>
      </c>
      <c r="B204" t="str">
        <f>INDEX('Draft Engine'!$A$3:$A$232,$P204)</f>
        <v>WR</v>
      </c>
      <c r="C204">
        <f>INDEX('Draft Engine'!$F$3:$F$232,$P204)</f>
        <v>71</v>
      </c>
      <c r="D204" t="str">
        <f>INDEX('Draft Engine'!$B$3:$B$232,$P204)</f>
        <v>Ryan Flournoy</v>
      </c>
      <c r="E204" s="4">
        <f>INDEX('Draft Engine'!$E$3:$E$232,$P204)</f>
        <v>54.11</v>
      </c>
      <c r="F204" t="str">
        <f t="shared" si="3"/>
        <v>TIER 7</v>
      </c>
      <c r="G204" s="4">
        <f>INDEX('Draft Engine'!$G$3:$G$232,$P204)</f>
        <v>157.30000000000001</v>
      </c>
      <c r="H204" s="4">
        <f>INDEX('Draft Engine'!$J$3:$J$232,$P204)</f>
        <v>-82</v>
      </c>
      <c r="I204" s="4">
        <f>INDEX('Draft Engine'!$N$3:$N$232,$P204)</f>
        <v>30.000500000000002</v>
      </c>
      <c r="J204" s="4">
        <f>INDEX('Draft Engine'!$R$3:$R$232,$P204)</f>
        <v>176.7</v>
      </c>
      <c r="K204" s="4">
        <f>INDEX('Draft Engine'!$S$3:$S$232,$P204)</f>
        <v>-25.300000000000011</v>
      </c>
      <c r="L204" t="str">
        <f>INDEX('Draft Engine'!$T$3:$T$232,$P204)</f>
        <v>C</v>
      </c>
      <c r="M204" t="str">
        <f>INDEX('Draft Engine'!$X$3:$X$232,$P204)</f>
        <v>HISTORY FALLBACK</v>
      </c>
      <c r="N204" t="str">
        <f>INDEX('LIVE SOURCE'!$H$3:$H$232,$P204)</f>
        <v>Late-round bench upside; role growth is required for weekly relevance.</v>
      </c>
      <c r="O204" t="str">
        <f>INDEX('LIVE SOURCE'!$J$3:$J$232,$P204)</f>
        <v>Target competition, quarterback efficiency and touchdown regression are the main downside paths.</v>
      </c>
      <c r="P204" s="6">
        <f>MATCH($A204,'Draft Engine'!$Q$3:$Q$232,0)</f>
        <v>152</v>
      </c>
    </row>
    <row r="205" spans="1:16" x14ac:dyDescent="0.25">
      <c r="A205">
        <f>203</f>
        <v>203</v>
      </c>
      <c r="B205" t="str">
        <f>INDEX('Draft Engine'!$A$3:$A$232,$P205)</f>
        <v>WR</v>
      </c>
      <c r="C205">
        <f>INDEX('Draft Engine'!$F$3:$F$232,$P205)</f>
        <v>72</v>
      </c>
      <c r="D205" t="str">
        <f>INDEX('Draft Engine'!$B$3:$B$232,$P205)</f>
        <v>Jauan Jennings</v>
      </c>
      <c r="E205" s="4">
        <f>INDEX('Draft Engine'!$E$3:$E$232,$P205)</f>
        <v>53.44</v>
      </c>
      <c r="F205" t="str">
        <f t="shared" si="3"/>
        <v>TIER 7</v>
      </c>
      <c r="G205" s="4">
        <f>INDEX('Draft Engine'!$G$3:$G$232,$P205)</f>
        <v>154.4</v>
      </c>
      <c r="H205" s="4">
        <f>INDEX('Draft Engine'!$J$3:$J$232,$P205)</f>
        <v>-84.9</v>
      </c>
      <c r="I205" s="4">
        <f>INDEX('Draft Engine'!$N$3:$N$232,$P205)</f>
        <v>29.391999999999999</v>
      </c>
      <c r="J205" s="4">
        <f>INDEX('Draft Engine'!$R$3:$R$232,$P205)</f>
        <v>147.69999999999999</v>
      </c>
      <c r="K205" s="4">
        <f>INDEX('Draft Engine'!$S$3:$S$232,$P205)</f>
        <v>-55.300000000000011</v>
      </c>
      <c r="L205" t="str">
        <f>INDEX('Draft Engine'!$T$3:$T$232,$P205)</f>
        <v>C</v>
      </c>
      <c r="M205" t="str">
        <f>INDEX('Draft Engine'!$X$3:$X$232,$P205)</f>
        <v>HISTORY FALLBACK</v>
      </c>
      <c r="N205" t="str">
        <f>INDEX('LIVE SOURCE'!$H$3:$H$232,$P205)</f>
        <v>Late-round bench upside; role growth is required for weekly relevance.</v>
      </c>
      <c r="O205" t="str">
        <f>INDEX('LIVE SOURCE'!$J$3:$J$232,$P205)</f>
        <v>Target competition, quarterback efficiency and touchdown regression are the main downside paths.</v>
      </c>
      <c r="P205" s="6">
        <f>MATCH($A205,'Draft Engine'!$Q$3:$Q$232,0)</f>
        <v>153</v>
      </c>
    </row>
    <row r="206" spans="1:16" x14ac:dyDescent="0.25">
      <c r="A206">
        <f>204</f>
        <v>204</v>
      </c>
      <c r="B206" t="str">
        <f>INDEX('Draft Engine'!$A$3:$A$232,$P206)</f>
        <v>WR</v>
      </c>
      <c r="C206">
        <f>INDEX('Draft Engine'!$F$3:$F$232,$P206)</f>
        <v>73</v>
      </c>
      <c r="D206" t="str">
        <f>INDEX('Draft Engine'!$B$3:$B$232,$P206)</f>
        <v>Darnell Mooney</v>
      </c>
      <c r="E206" s="4">
        <f>INDEX('Draft Engine'!$E$3:$E$232,$P206)</f>
        <v>52.77</v>
      </c>
      <c r="F206" t="str">
        <f t="shared" si="3"/>
        <v>TIER 7</v>
      </c>
      <c r="G206" s="4">
        <f>INDEX('Draft Engine'!$G$3:$G$232,$P206)</f>
        <v>151.6</v>
      </c>
      <c r="H206" s="4">
        <f>INDEX('Draft Engine'!$J$3:$J$232,$P206)</f>
        <v>-87.7</v>
      </c>
      <c r="I206" s="4">
        <f>INDEX('Draft Engine'!$N$3:$N$232,$P206)</f>
        <v>29.023500000000006</v>
      </c>
      <c r="J206" s="4">
        <f>INDEX('Draft Engine'!$R$3:$R$232,$P206)</f>
        <v>185.2</v>
      </c>
      <c r="K206" s="4">
        <f>INDEX('Draft Engine'!$S$3:$S$232,$P206)</f>
        <v>-18.800000000000011</v>
      </c>
      <c r="L206" t="str">
        <f>INDEX('Draft Engine'!$T$3:$T$232,$P206)</f>
        <v>C</v>
      </c>
      <c r="M206" t="str">
        <f>INDEX('Draft Engine'!$X$3:$X$232,$P206)</f>
        <v>HISTORY FALLBACK</v>
      </c>
      <c r="N206" t="str">
        <f>INDEX('LIVE SOURCE'!$H$3:$H$232,$P206)</f>
        <v>Late-round bench upside; role growth is required for weekly relevance.</v>
      </c>
      <c r="O206" t="str">
        <f>INDEX('LIVE SOURCE'!$J$3:$J$232,$P206)</f>
        <v>Evidence is thinner than for established veterans, so camp, depth-chart and role news can move the grade materially.</v>
      </c>
      <c r="P206" s="6">
        <f>MATCH($A206,'Draft Engine'!$Q$3:$Q$232,0)</f>
        <v>154</v>
      </c>
    </row>
    <row r="207" spans="1:16" x14ac:dyDescent="0.25">
      <c r="A207">
        <f>205</f>
        <v>205</v>
      </c>
      <c r="B207" t="str">
        <f>INDEX('Draft Engine'!$A$3:$A$232,$P207)</f>
        <v>RB</v>
      </c>
      <c r="C207">
        <f>INDEX('Draft Engine'!$F$3:$F$232,$P207)</f>
        <v>52</v>
      </c>
      <c r="D207" t="str">
        <f>INDEX('Draft Engine'!$B$3:$B$232,$P207)</f>
        <v>Zach Charbonnet</v>
      </c>
      <c r="E207" s="4">
        <f>INDEX('Draft Engine'!$E$3:$E$232,$P207)</f>
        <v>40</v>
      </c>
      <c r="F207" t="str">
        <f t="shared" si="3"/>
        <v>TIER 7</v>
      </c>
      <c r="G207" s="4">
        <f>INDEX('Draft Engine'!$G$3:$G$232,$P207)</f>
        <v>98</v>
      </c>
      <c r="H207" s="4">
        <f>INDEX('Draft Engine'!$J$3:$J$232,$P207)</f>
        <v>-141</v>
      </c>
      <c r="I207" s="4">
        <f>INDEX('Draft Engine'!$N$3:$N$232,$P207)</f>
        <v>22</v>
      </c>
      <c r="J207" s="4">
        <f>INDEX('Draft Engine'!$R$3:$R$232,$P207)</f>
        <v>139.80000000000001</v>
      </c>
      <c r="K207" s="4">
        <f>INDEX('Draft Engine'!$S$3:$S$232,$P207)</f>
        <v>-65.199999999999989</v>
      </c>
      <c r="L207" t="str">
        <f>INDEX('Draft Engine'!$T$3:$T$232,$P207)</f>
        <v>A</v>
      </c>
      <c r="M207" t="str">
        <f>INDEX('Draft Engine'!$X$3:$X$232,$P207)</f>
        <v>RATE-ADJUSTED VETERAN</v>
      </c>
      <c r="N207" t="str">
        <f>INDEX('LIVE SOURCE'!$H$3:$H$232,$P207)</f>
        <v>Bench stash/handcuff profile; value is tied to role change or injury ahead.</v>
      </c>
      <c r="O207" t="str">
        <f>INDEX('LIVE SOURCE'!$J$3:$J$232,$P207)</f>
        <v>Touchdown variance, receiving-role changes and backfield competition are the main downside paths.</v>
      </c>
      <c r="P207" s="6">
        <f>MATCH($A207,'Draft Engine'!$Q$3:$Q$232,0)</f>
        <v>77</v>
      </c>
    </row>
    <row r="208" spans="1:16" x14ac:dyDescent="0.25">
      <c r="A208">
        <f>206</f>
        <v>206</v>
      </c>
      <c r="B208" t="str">
        <f>INDEX('Draft Engine'!$A$3:$A$232,$P208)</f>
        <v>WR</v>
      </c>
      <c r="C208">
        <f>INDEX('Draft Engine'!$F$3:$F$232,$P208)</f>
        <v>74</v>
      </c>
      <c r="D208" t="str">
        <f>INDEX('Draft Engine'!$B$3:$B$232,$P208)</f>
        <v>Ricky Pearsall</v>
      </c>
      <c r="E208" s="4">
        <f>INDEX('Draft Engine'!$E$3:$E$232,$P208)</f>
        <v>40</v>
      </c>
      <c r="F208" t="str">
        <f t="shared" si="3"/>
        <v>TIER 7</v>
      </c>
      <c r="G208" s="4">
        <f>INDEX('Draft Engine'!$G$3:$G$232,$P208)</f>
        <v>98</v>
      </c>
      <c r="H208" s="4">
        <f>INDEX('Draft Engine'!$J$3:$J$232,$P208)</f>
        <v>-141.30000000000001</v>
      </c>
      <c r="I208" s="4">
        <f>INDEX('Draft Engine'!$N$3:$N$232,$P208)</f>
        <v>22</v>
      </c>
      <c r="J208" s="4">
        <f>INDEX('Draft Engine'!$R$3:$R$232,$P208)</f>
        <v>112.3</v>
      </c>
      <c r="K208" s="4">
        <f>INDEX('Draft Engine'!$S$3:$S$232,$P208)</f>
        <v>-93.7</v>
      </c>
      <c r="L208" t="str">
        <f>INDEX('Draft Engine'!$T$3:$T$232,$P208)</f>
        <v>C</v>
      </c>
      <c r="M208" t="str">
        <f>INDEX('Draft Engine'!$X$3:$X$232,$P208)</f>
        <v>HISTORY FALLBACK</v>
      </c>
      <c r="N208" t="str">
        <f>INDEX('LIVE SOURCE'!$H$3:$H$232,$P208)</f>
        <v>FLEX/bench receiver; needs target growth or efficiency spikes.</v>
      </c>
      <c r="O208" t="str">
        <f>INDEX('LIVE SOURCE'!$J$3:$J$232,$P208)</f>
        <v>Evidence is thinner than for established veterans, so camp, depth-chart and role news can move the grade materially.</v>
      </c>
      <c r="P208" s="6">
        <f>MATCH($A208,'Draft Engine'!$Q$3:$Q$232,0)</f>
        <v>129</v>
      </c>
    </row>
    <row r="209" spans="1:16" x14ac:dyDescent="0.25">
      <c r="A209">
        <f>207</f>
        <v>207</v>
      </c>
      <c r="B209" t="str">
        <f>INDEX('Draft Engine'!$A$3:$A$232,$P209)</f>
        <v>DST</v>
      </c>
      <c r="C209">
        <f>INDEX('Draft Engine'!$F$3:$F$232,$P209)</f>
        <v>11</v>
      </c>
      <c r="D209" t="str">
        <f>INDEX('Draft Engine'!$B$3:$B$232,$P209)</f>
        <v>Baltimore Ravens</v>
      </c>
      <c r="E209" s="4">
        <f>INDEX('Draft Engine'!$E$3:$E$232,$P209)</f>
        <v>82</v>
      </c>
      <c r="F209" t="str">
        <f t="shared" si="3"/>
        <v>TIER 3</v>
      </c>
      <c r="G209" s="4">
        <f>INDEX('Draft Engine'!$G$3:$G$232,$P209)</f>
        <v>97.6</v>
      </c>
      <c r="H209" s="4">
        <f>INDEX('Draft Engine'!$J$3:$J$232,$P209)</f>
        <v>-2</v>
      </c>
      <c r="I209" s="4">
        <f>INDEX('Draft Engine'!$N$3:$N$232,$P209)</f>
        <v>42.24</v>
      </c>
      <c r="J209" s="4">
        <f>INDEX('Draft Engine'!$R$3:$R$232,$P209)</f>
        <v>200</v>
      </c>
      <c r="K209" s="4">
        <f>INDEX('Draft Engine'!$S$3:$S$232,$P209)</f>
        <v>-7</v>
      </c>
      <c r="L209" t="str">
        <f>INDEX('Draft Engine'!$T$3:$T$232,$P209)</f>
        <v>B</v>
      </c>
      <c r="M209" t="str">
        <f>INDEX('Draft Engine'!$X$3:$X$232,$P209)</f>
        <v>DST MODEL</v>
      </c>
      <c r="N209" t="str">
        <f>INDEX('LIVE SOURCE'!$H$3:$H$232,$P209)</f>
        <v>Streaming/late-round defense; matchup matters more than preseason rank.</v>
      </c>
      <c r="O209" t="str">
        <f>INDEX('LIVE SOURCE'!$J$3:$J$232,$P209)</f>
        <v>DST scoring is highly opponent- and turnover-dependent, making season-long rank fragile.</v>
      </c>
      <c r="P209" s="6">
        <f>MATCH($A209,'Draft Engine'!$Q$3:$Q$232,0)</f>
        <v>209</v>
      </c>
    </row>
    <row r="210" spans="1:16" x14ac:dyDescent="0.25">
      <c r="A210">
        <f>208</f>
        <v>208</v>
      </c>
      <c r="B210" t="str">
        <f>INDEX('Draft Engine'!$A$3:$A$232,$P210)</f>
        <v>DST</v>
      </c>
      <c r="C210">
        <f>INDEX('Draft Engine'!$F$3:$F$232,$P210)</f>
        <v>12</v>
      </c>
      <c r="D210" t="str">
        <f>INDEX('Draft Engine'!$B$3:$B$232,$P210)</f>
        <v>Green Bay Packers</v>
      </c>
      <c r="E210" s="4">
        <f>INDEX('Draft Engine'!$E$3:$E$232,$P210)</f>
        <v>80.900000000000006</v>
      </c>
      <c r="F210" t="str">
        <f t="shared" si="3"/>
        <v>TIER 3</v>
      </c>
      <c r="G210" s="4">
        <f>INDEX('Draft Engine'!$G$3:$G$232,$P210)</f>
        <v>95.6</v>
      </c>
      <c r="H210" s="4">
        <f>INDEX('Draft Engine'!$J$3:$J$232,$P210)</f>
        <v>-4</v>
      </c>
      <c r="I210" s="4">
        <f>INDEX('Draft Engine'!$N$3:$N$232,$P210)</f>
        <v>40.775000000000006</v>
      </c>
      <c r="J210" s="4">
        <f>INDEX('Draft Engine'!$R$3:$R$232,$P210)</f>
        <v>204</v>
      </c>
      <c r="K210" s="4">
        <f>INDEX('Draft Engine'!$S$3:$S$232,$P210)</f>
        <v>-4</v>
      </c>
      <c r="L210" t="str">
        <f>INDEX('Draft Engine'!$T$3:$T$232,$P210)</f>
        <v>B</v>
      </c>
      <c r="M210" t="str">
        <f>INDEX('Draft Engine'!$X$3:$X$232,$P210)</f>
        <v>DST MODEL</v>
      </c>
      <c r="N210" t="str">
        <f>INDEX('LIVE SOURCE'!$H$3:$H$232,$P210)</f>
        <v>Streaming/late-round defense; matchup matters more than preseason rank.</v>
      </c>
      <c r="O210" t="str">
        <f>INDEX('LIVE SOURCE'!$J$3:$J$232,$P210)</f>
        <v>DST scoring is highly opponent- and turnover-dependent, making season-long rank fragile.</v>
      </c>
      <c r="P210" s="6">
        <f>MATCH($A210,'Draft Engine'!$Q$3:$Q$232,0)</f>
        <v>210</v>
      </c>
    </row>
    <row r="211" spans="1:16" x14ac:dyDescent="0.25">
      <c r="A211">
        <f>209</f>
        <v>209</v>
      </c>
      <c r="B211" t="str">
        <f>INDEX('Draft Engine'!$A$3:$A$232,$P211)</f>
        <v>DST</v>
      </c>
      <c r="C211">
        <f>INDEX('Draft Engine'!$F$3:$F$232,$P211)</f>
        <v>13</v>
      </c>
      <c r="D211" t="str">
        <f>INDEX('Draft Engine'!$B$3:$B$232,$P211)</f>
        <v>Detroit Lions</v>
      </c>
      <c r="E211" s="4">
        <f>INDEX('Draft Engine'!$E$3:$E$232,$P211)</f>
        <v>79.8</v>
      </c>
      <c r="F211" t="str">
        <f t="shared" si="3"/>
        <v>TIER 4</v>
      </c>
      <c r="G211" s="4">
        <f>INDEX('Draft Engine'!$G$3:$G$232,$P211)</f>
        <v>93.6</v>
      </c>
      <c r="H211" s="4">
        <f>INDEX('Draft Engine'!$J$3:$J$232,$P211)</f>
        <v>-6</v>
      </c>
      <c r="I211" s="4">
        <f>INDEX('Draft Engine'!$N$3:$N$232,$P211)</f>
        <v>39.31</v>
      </c>
      <c r="J211" s="4">
        <f>INDEX('Draft Engine'!$R$3:$R$232,$P211)</f>
        <v>208</v>
      </c>
      <c r="K211" s="4">
        <f>INDEX('Draft Engine'!$S$3:$S$232,$P211)</f>
        <v>-1</v>
      </c>
      <c r="L211" t="str">
        <f>INDEX('Draft Engine'!$T$3:$T$232,$P211)</f>
        <v>B</v>
      </c>
      <c r="M211" t="str">
        <f>INDEX('Draft Engine'!$X$3:$X$232,$P211)</f>
        <v>DST MODEL</v>
      </c>
      <c r="N211" t="str">
        <f>INDEX('LIVE SOURCE'!$H$3:$H$232,$P211)</f>
        <v>Streaming/late-round defense; matchup matters more than preseason rank.</v>
      </c>
      <c r="O211" t="str">
        <f>INDEX('LIVE SOURCE'!$J$3:$J$232,$P211)</f>
        <v>DST scoring is highly opponent- and turnover-dependent, making season-long rank fragile.</v>
      </c>
      <c r="P211" s="6">
        <f>MATCH($A211,'Draft Engine'!$Q$3:$Q$232,0)</f>
        <v>211</v>
      </c>
    </row>
    <row r="212" spans="1:16" x14ac:dyDescent="0.25">
      <c r="A212">
        <f>210</f>
        <v>210</v>
      </c>
      <c r="B212" t="str">
        <f>INDEX('Draft Engine'!$A$3:$A$232,$P212)</f>
        <v>DST</v>
      </c>
      <c r="C212">
        <f>INDEX('Draft Engine'!$F$3:$F$232,$P212)</f>
        <v>14</v>
      </c>
      <c r="D212" t="str">
        <f>INDEX('Draft Engine'!$B$3:$B$232,$P212)</f>
        <v>Buffalo Bills</v>
      </c>
      <c r="E212" s="4">
        <f>INDEX('Draft Engine'!$E$3:$E$232,$P212)</f>
        <v>78.7</v>
      </c>
      <c r="F212" t="str">
        <f t="shared" si="3"/>
        <v>TIER 4</v>
      </c>
      <c r="G212" s="4">
        <f>INDEX('Draft Engine'!$G$3:$G$232,$P212)</f>
        <v>91.7</v>
      </c>
      <c r="H212" s="4">
        <f>INDEX('Draft Engine'!$J$3:$J$232,$P212)</f>
        <v>-7.9</v>
      </c>
      <c r="I212" s="4">
        <f>INDEX('Draft Engine'!$N$3:$N$232,$P212)</f>
        <v>37.863</v>
      </c>
      <c r="J212" s="4">
        <f>INDEX('Draft Engine'!$R$3:$R$232,$P212)</f>
        <v>212</v>
      </c>
      <c r="K212" s="4">
        <f>INDEX('Draft Engine'!$S$3:$S$232,$P212)</f>
        <v>2</v>
      </c>
      <c r="L212" t="str">
        <f>INDEX('Draft Engine'!$T$3:$T$232,$P212)</f>
        <v>B</v>
      </c>
      <c r="M212" t="str">
        <f>INDEX('Draft Engine'!$X$3:$X$232,$P212)</f>
        <v>DST MODEL</v>
      </c>
      <c r="N212" t="str">
        <f>INDEX('LIVE SOURCE'!$H$3:$H$232,$P212)</f>
        <v>Streaming/late-round defense; matchup matters more than preseason rank.</v>
      </c>
      <c r="O212" t="str">
        <f>INDEX('LIVE SOURCE'!$J$3:$J$232,$P212)</f>
        <v>DST scoring is highly opponent- and turnover-dependent, making season-long rank fragile.</v>
      </c>
      <c r="P212" s="6">
        <f>MATCH($A212,'Draft Engine'!$Q$3:$Q$232,0)</f>
        <v>212</v>
      </c>
    </row>
    <row r="213" spans="1:16" x14ac:dyDescent="0.25">
      <c r="A213">
        <f>211</f>
        <v>211</v>
      </c>
      <c r="B213" t="str">
        <f>INDEX('Draft Engine'!$A$3:$A$232,$P213)</f>
        <v>DST</v>
      </c>
      <c r="C213">
        <f>INDEX('Draft Engine'!$F$3:$F$232,$P213)</f>
        <v>15</v>
      </c>
      <c r="D213" t="str">
        <f>INDEX('Draft Engine'!$B$3:$B$232,$P213)</f>
        <v>Kansas City Chiefs</v>
      </c>
      <c r="E213" s="4">
        <f>INDEX('Draft Engine'!$E$3:$E$232,$P213)</f>
        <v>77.599999999999994</v>
      </c>
      <c r="F213" t="str">
        <f t="shared" si="3"/>
        <v>TIER 4</v>
      </c>
      <c r="G213" s="4">
        <f>INDEX('Draft Engine'!$G$3:$G$232,$P213)</f>
        <v>89.7</v>
      </c>
      <c r="H213" s="4">
        <f>INDEX('Draft Engine'!$J$3:$J$232,$P213)</f>
        <v>-9.9</v>
      </c>
      <c r="I213" s="4">
        <f>INDEX('Draft Engine'!$N$3:$N$232,$P213)</f>
        <v>36.397999999999996</v>
      </c>
      <c r="J213" s="4">
        <f>INDEX('Draft Engine'!$R$3:$R$232,$P213)</f>
        <v>216</v>
      </c>
      <c r="K213" s="4">
        <f>INDEX('Draft Engine'!$S$3:$S$232,$P213)</f>
        <v>5</v>
      </c>
      <c r="L213" t="str">
        <f>INDEX('Draft Engine'!$T$3:$T$232,$P213)</f>
        <v>B</v>
      </c>
      <c r="M213" t="str">
        <f>INDEX('Draft Engine'!$X$3:$X$232,$P213)</f>
        <v>DST MODEL</v>
      </c>
      <c r="N213" t="str">
        <f>INDEX('LIVE SOURCE'!$H$3:$H$232,$P213)</f>
        <v>Streaming/late-round defense; matchup matters more than preseason rank.</v>
      </c>
      <c r="O213" t="str">
        <f>INDEX('LIVE SOURCE'!$J$3:$J$232,$P213)</f>
        <v>DST scoring is highly opponent- and turnover-dependent, making season-long rank fragile.</v>
      </c>
      <c r="P213" s="6">
        <f>MATCH($A213,'Draft Engine'!$Q$3:$Q$232,0)</f>
        <v>213</v>
      </c>
    </row>
    <row r="214" spans="1:16" x14ac:dyDescent="0.25">
      <c r="A214">
        <f>212</f>
        <v>212</v>
      </c>
      <c r="B214" t="str">
        <f>INDEX('Draft Engine'!$A$3:$A$232,$P214)</f>
        <v>DST</v>
      </c>
      <c r="C214">
        <f>INDEX('Draft Engine'!$F$3:$F$232,$P214)</f>
        <v>16</v>
      </c>
      <c r="D214" t="str">
        <f>INDEX('Draft Engine'!$B$3:$B$232,$P214)</f>
        <v>Cleveland Browns</v>
      </c>
      <c r="E214" s="4">
        <f>INDEX('Draft Engine'!$E$3:$E$232,$P214)</f>
        <v>76.5</v>
      </c>
      <c r="F214" t="str">
        <f t="shared" si="3"/>
        <v>TIER 4</v>
      </c>
      <c r="G214" s="4">
        <f>INDEX('Draft Engine'!$G$3:$G$232,$P214)</f>
        <v>87.7</v>
      </c>
      <c r="H214" s="4">
        <f>INDEX('Draft Engine'!$J$3:$J$232,$P214)</f>
        <v>-11.9</v>
      </c>
      <c r="I214" s="4">
        <f>INDEX('Draft Engine'!$N$3:$N$232,$P214)</f>
        <v>34.933</v>
      </c>
      <c r="J214" s="4">
        <f>INDEX('Draft Engine'!$R$3:$R$232,$P214)</f>
        <v>220</v>
      </c>
      <c r="K214" s="4">
        <f>INDEX('Draft Engine'!$S$3:$S$232,$P214)</f>
        <v>8</v>
      </c>
      <c r="L214" t="str">
        <f>INDEX('Draft Engine'!$T$3:$T$232,$P214)</f>
        <v>B</v>
      </c>
      <c r="M214" t="str">
        <f>INDEX('Draft Engine'!$X$3:$X$232,$P214)</f>
        <v>DST MODEL</v>
      </c>
      <c r="N214" t="str">
        <f>INDEX('LIVE SOURCE'!$H$3:$H$232,$P214)</f>
        <v>Streaming/late-round defense; matchup matters more than preseason rank.</v>
      </c>
      <c r="O214" t="str">
        <f>INDEX('LIVE SOURCE'!$J$3:$J$232,$P214)</f>
        <v>DST scoring is highly opponent- and turnover-dependent, making season-long rank fragile.</v>
      </c>
      <c r="P214" s="6">
        <f>MATCH($A214,'Draft Engine'!$Q$3:$Q$232,0)</f>
        <v>214</v>
      </c>
    </row>
    <row r="215" spans="1:16" x14ac:dyDescent="0.25">
      <c r="A215">
        <f>213</f>
        <v>213</v>
      </c>
      <c r="B215" t="str">
        <f>INDEX('Draft Engine'!$A$3:$A$232,$P215)</f>
        <v>DST</v>
      </c>
      <c r="C215">
        <f>INDEX('Draft Engine'!$F$3:$F$232,$P215)</f>
        <v>17</v>
      </c>
      <c r="D215" t="str">
        <f>INDEX('Draft Engine'!$B$3:$B$232,$P215)</f>
        <v>San Francisco 49ers</v>
      </c>
      <c r="E215" s="4">
        <f>INDEX('Draft Engine'!$E$3:$E$232,$P215)</f>
        <v>75.400000000000006</v>
      </c>
      <c r="F215" t="str">
        <f t="shared" si="3"/>
        <v>TIER 4</v>
      </c>
      <c r="G215" s="4">
        <f>INDEX('Draft Engine'!$G$3:$G$232,$P215)</f>
        <v>85.7</v>
      </c>
      <c r="H215" s="4">
        <f>INDEX('Draft Engine'!$J$3:$J$232,$P215)</f>
        <v>-13.9</v>
      </c>
      <c r="I215" s="4">
        <f>INDEX('Draft Engine'!$N$3:$N$232,$P215)</f>
        <v>33.968000000000004</v>
      </c>
      <c r="J215" s="4">
        <f>INDEX('Draft Engine'!$R$3:$R$232,$P215)</f>
        <v>224</v>
      </c>
      <c r="K215" s="4">
        <f>INDEX('Draft Engine'!$S$3:$S$232,$P215)</f>
        <v>11</v>
      </c>
      <c r="L215" t="str">
        <f>INDEX('Draft Engine'!$T$3:$T$232,$P215)</f>
        <v>B</v>
      </c>
      <c r="M215" t="str">
        <f>INDEX('Draft Engine'!$X$3:$X$232,$P215)</f>
        <v>DST MODEL</v>
      </c>
      <c r="N215" t="str">
        <f>INDEX('LIVE SOURCE'!$H$3:$H$232,$P215)</f>
        <v>Streaming/late-round defense; matchup matters more than preseason rank.</v>
      </c>
      <c r="O215" t="str">
        <f>INDEX('LIVE SOURCE'!$J$3:$J$232,$P215)</f>
        <v>DST scoring is highly opponent- and turnover-dependent, making season-long rank fragile.</v>
      </c>
      <c r="P215" s="6">
        <f>MATCH($A215,'Draft Engine'!$Q$3:$Q$232,0)</f>
        <v>215</v>
      </c>
    </row>
    <row r="216" spans="1:16" x14ac:dyDescent="0.25">
      <c r="A216">
        <f>214</f>
        <v>214</v>
      </c>
      <c r="B216" t="str">
        <f>INDEX('Draft Engine'!$A$3:$A$232,$P216)</f>
        <v>DST</v>
      </c>
      <c r="C216">
        <f>INDEX('Draft Engine'!$F$3:$F$232,$P216)</f>
        <v>18</v>
      </c>
      <c r="D216" t="str">
        <f>INDEX('Draft Engine'!$B$3:$B$232,$P216)</f>
        <v>New Orleans Saints</v>
      </c>
      <c r="E216" s="4">
        <f>INDEX('Draft Engine'!$E$3:$E$232,$P216)</f>
        <v>74.3</v>
      </c>
      <c r="F216" t="str">
        <f t="shared" si="3"/>
        <v>TIER 5</v>
      </c>
      <c r="G216" s="4">
        <f>INDEX('Draft Engine'!$G$3:$G$232,$P216)</f>
        <v>83.7</v>
      </c>
      <c r="H216" s="4">
        <f>INDEX('Draft Engine'!$J$3:$J$232,$P216)</f>
        <v>-15.9</v>
      </c>
      <c r="I216" s="4">
        <f>INDEX('Draft Engine'!$N$3:$N$232,$P216)</f>
        <v>33.003</v>
      </c>
      <c r="J216" s="4">
        <f>INDEX('Draft Engine'!$R$3:$R$232,$P216)</f>
        <v>228</v>
      </c>
      <c r="K216" s="4">
        <f>INDEX('Draft Engine'!$S$3:$S$232,$P216)</f>
        <v>14</v>
      </c>
      <c r="L216" t="str">
        <f>INDEX('Draft Engine'!$T$3:$T$232,$P216)</f>
        <v>B</v>
      </c>
      <c r="M216" t="str">
        <f>INDEX('Draft Engine'!$X$3:$X$232,$P216)</f>
        <v>DST MODEL</v>
      </c>
      <c r="N216" t="str">
        <f>INDEX('LIVE SOURCE'!$H$3:$H$232,$P216)</f>
        <v>Streaming/late-round defense; matchup matters more than preseason rank.</v>
      </c>
      <c r="O216" t="str">
        <f>INDEX('LIVE SOURCE'!$J$3:$J$232,$P216)</f>
        <v>DST scoring is highly opponent- and turnover-dependent, making season-long rank fragile.</v>
      </c>
      <c r="P216" s="6">
        <f>MATCH($A216,'Draft Engine'!$Q$3:$Q$232,0)</f>
        <v>216</v>
      </c>
    </row>
    <row r="217" spans="1:16" x14ac:dyDescent="0.25">
      <c r="A217">
        <f>215</f>
        <v>215</v>
      </c>
      <c r="B217" t="str">
        <f>INDEX('Draft Engine'!$A$3:$A$232,$P217)</f>
        <v>DST</v>
      </c>
      <c r="C217">
        <f>INDEX('Draft Engine'!$F$3:$F$232,$P217)</f>
        <v>19</v>
      </c>
      <c r="D217" t="str">
        <f>INDEX('Draft Engine'!$B$3:$B$232,$P217)</f>
        <v>Atlanta Falcons</v>
      </c>
      <c r="E217" s="4">
        <f>INDEX('Draft Engine'!$E$3:$E$232,$P217)</f>
        <v>73.2</v>
      </c>
      <c r="F217" t="str">
        <f t="shared" si="3"/>
        <v>TIER 5</v>
      </c>
      <c r="G217" s="4">
        <f>INDEX('Draft Engine'!$G$3:$G$232,$P217)</f>
        <v>81.8</v>
      </c>
      <c r="H217" s="4">
        <f>INDEX('Draft Engine'!$J$3:$J$232,$P217)</f>
        <v>-17.8</v>
      </c>
      <c r="I217" s="4">
        <f>INDEX('Draft Engine'!$N$3:$N$232,$P217)</f>
        <v>32.056000000000004</v>
      </c>
      <c r="J217" s="4">
        <f>INDEX('Draft Engine'!$R$3:$R$232,$P217)</f>
        <v>232</v>
      </c>
      <c r="K217" s="4">
        <f>INDEX('Draft Engine'!$S$3:$S$232,$P217)</f>
        <v>17</v>
      </c>
      <c r="L217" t="str">
        <f>INDEX('Draft Engine'!$T$3:$T$232,$P217)</f>
        <v>B</v>
      </c>
      <c r="M217" t="str">
        <f>INDEX('Draft Engine'!$X$3:$X$232,$P217)</f>
        <v>DST MODEL</v>
      </c>
      <c r="N217" t="str">
        <f>INDEX('LIVE SOURCE'!$H$3:$H$232,$P217)</f>
        <v>Streaming/late-round defense; matchup matters more than preseason rank.</v>
      </c>
      <c r="O217" t="str">
        <f>INDEX('LIVE SOURCE'!$J$3:$J$232,$P217)</f>
        <v>DST scoring is highly opponent- and turnover-dependent, making season-long rank fragile.</v>
      </c>
      <c r="P217" s="6">
        <f>MATCH($A217,'Draft Engine'!$Q$3:$Q$232,0)</f>
        <v>217</v>
      </c>
    </row>
    <row r="218" spans="1:16" x14ac:dyDescent="0.25">
      <c r="A218">
        <f>216</f>
        <v>216</v>
      </c>
      <c r="B218" t="str">
        <f>INDEX('Draft Engine'!$A$3:$A$232,$P218)</f>
        <v>DST</v>
      </c>
      <c r="C218">
        <f>INDEX('Draft Engine'!$F$3:$F$232,$P218)</f>
        <v>20</v>
      </c>
      <c r="D218" t="str">
        <f>INDEX('Draft Engine'!$B$3:$B$232,$P218)</f>
        <v>Chicago Bears</v>
      </c>
      <c r="E218" s="4">
        <f>INDEX('Draft Engine'!$E$3:$E$232,$P218)</f>
        <v>72.099999999999994</v>
      </c>
      <c r="F218" t="str">
        <f t="shared" si="3"/>
        <v>TIER 5</v>
      </c>
      <c r="G218" s="4">
        <f>INDEX('Draft Engine'!$G$3:$G$232,$P218)</f>
        <v>79.8</v>
      </c>
      <c r="H218" s="4">
        <f>INDEX('Draft Engine'!$J$3:$J$232,$P218)</f>
        <v>-19.8</v>
      </c>
      <c r="I218" s="4">
        <f>INDEX('Draft Engine'!$N$3:$N$232,$P218)</f>
        <v>31.091000000000001</v>
      </c>
      <c r="J218" s="4">
        <f>INDEX('Draft Engine'!$R$3:$R$232,$P218)</f>
        <v>236</v>
      </c>
      <c r="K218" s="4">
        <f>INDEX('Draft Engine'!$S$3:$S$232,$P218)</f>
        <v>20</v>
      </c>
      <c r="L218" t="str">
        <f>INDEX('Draft Engine'!$T$3:$T$232,$P218)</f>
        <v>B</v>
      </c>
      <c r="M218" t="str">
        <f>INDEX('Draft Engine'!$X$3:$X$232,$P218)</f>
        <v>DST MODEL</v>
      </c>
      <c r="N218" t="str">
        <f>INDEX('LIVE SOURCE'!$H$3:$H$232,$P218)</f>
        <v>Streaming/late-round defense; matchup matters more than preseason rank.</v>
      </c>
      <c r="O218" t="str">
        <f>INDEX('LIVE SOURCE'!$J$3:$J$232,$P218)</f>
        <v>DST scoring is highly opponent- and turnover-dependent, making season-long rank fragile.</v>
      </c>
      <c r="P218" s="6">
        <f>MATCH($A218,'Draft Engine'!$Q$3:$Q$232,0)</f>
        <v>218</v>
      </c>
    </row>
    <row r="219" spans="1:16" x14ac:dyDescent="0.25">
      <c r="A219">
        <f>217</f>
        <v>217</v>
      </c>
      <c r="B219" t="str">
        <f>INDEX('Draft Engine'!$A$3:$A$232,$P219)</f>
        <v>DST</v>
      </c>
      <c r="C219">
        <f>INDEX('Draft Engine'!$F$3:$F$232,$P219)</f>
        <v>21</v>
      </c>
      <c r="D219" t="str">
        <f>INDEX('Draft Engine'!$B$3:$B$232,$P219)</f>
        <v>Indianapolis Colts</v>
      </c>
      <c r="E219" s="4">
        <f>INDEX('Draft Engine'!$E$3:$E$232,$P219)</f>
        <v>71</v>
      </c>
      <c r="F219" t="str">
        <f t="shared" si="3"/>
        <v>TIER 5</v>
      </c>
      <c r="G219" s="4">
        <f>INDEX('Draft Engine'!$G$3:$G$232,$P219)</f>
        <v>77.8</v>
      </c>
      <c r="H219" s="4">
        <f>INDEX('Draft Engine'!$J$3:$J$232,$P219)</f>
        <v>-21.8</v>
      </c>
      <c r="I219" s="4">
        <f>INDEX('Draft Engine'!$N$3:$N$232,$P219)</f>
        <v>30.126000000000005</v>
      </c>
      <c r="J219" s="4">
        <f>INDEX('Draft Engine'!$R$3:$R$232,$P219)</f>
        <v>240</v>
      </c>
      <c r="K219" s="4">
        <f>INDEX('Draft Engine'!$S$3:$S$232,$P219)</f>
        <v>23</v>
      </c>
      <c r="L219" t="str">
        <f>INDEX('Draft Engine'!$T$3:$T$232,$P219)</f>
        <v>B</v>
      </c>
      <c r="M219" t="str">
        <f>INDEX('Draft Engine'!$X$3:$X$232,$P219)</f>
        <v>DST MODEL</v>
      </c>
      <c r="N219" t="str">
        <f>INDEX('LIVE SOURCE'!$H$3:$H$232,$P219)</f>
        <v>Streaming/late-round defense; matchup matters more than preseason rank.</v>
      </c>
      <c r="O219" t="str">
        <f>INDEX('LIVE SOURCE'!$J$3:$J$232,$P219)</f>
        <v>DST scoring is highly opponent- and turnover-dependent, making season-long rank fragile.</v>
      </c>
      <c r="P219" s="6">
        <f>MATCH($A219,'Draft Engine'!$Q$3:$Q$232,0)</f>
        <v>219</v>
      </c>
    </row>
    <row r="220" spans="1:16" x14ac:dyDescent="0.25">
      <c r="A220">
        <f>218</f>
        <v>218</v>
      </c>
      <c r="B220" t="str">
        <f>INDEX('Draft Engine'!$A$3:$A$232,$P220)</f>
        <v>DST</v>
      </c>
      <c r="C220">
        <f>INDEX('Draft Engine'!$F$3:$F$232,$P220)</f>
        <v>22</v>
      </c>
      <c r="D220" t="str">
        <f>INDEX('Draft Engine'!$B$3:$B$232,$P220)</f>
        <v>New York Giants</v>
      </c>
      <c r="E220" s="4">
        <f>INDEX('Draft Engine'!$E$3:$E$232,$P220)</f>
        <v>69.900000000000006</v>
      </c>
      <c r="F220" t="str">
        <f t="shared" si="3"/>
        <v>TIER 6</v>
      </c>
      <c r="G220" s="4">
        <f>INDEX('Draft Engine'!$G$3:$G$232,$P220)</f>
        <v>75.8</v>
      </c>
      <c r="H220" s="4">
        <f>INDEX('Draft Engine'!$J$3:$J$232,$P220)</f>
        <v>-23.8</v>
      </c>
      <c r="I220" s="4">
        <f>INDEX('Draft Engine'!$N$3:$N$232,$P220)</f>
        <v>29.161000000000008</v>
      </c>
      <c r="J220" s="4">
        <f>INDEX('Draft Engine'!$R$3:$R$232,$P220)</f>
        <v>166.7</v>
      </c>
      <c r="K220" s="4">
        <f>INDEX('Draft Engine'!$S$3:$S$232,$P220)</f>
        <v>-51.300000000000011</v>
      </c>
      <c r="L220" t="str">
        <f>INDEX('Draft Engine'!$T$3:$T$232,$P220)</f>
        <v>B</v>
      </c>
      <c r="M220" t="str">
        <f>INDEX('Draft Engine'!$X$3:$X$232,$P220)</f>
        <v>DST MODEL</v>
      </c>
      <c r="N220" t="str">
        <f>INDEX('LIVE SOURCE'!$H$3:$H$232,$P220)</f>
        <v>Streaming/late-round defense; matchup matters more than preseason rank.</v>
      </c>
      <c r="O220" t="str">
        <f>INDEX('LIVE SOURCE'!$J$3:$J$232,$P220)</f>
        <v>DST scoring is highly opponent- and turnover-dependent, making season-long rank fragile.</v>
      </c>
      <c r="P220" s="6">
        <f>MATCH($A220,'Draft Engine'!$Q$3:$Q$232,0)</f>
        <v>220</v>
      </c>
    </row>
    <row r="221" spans="1:16" x14ac:dyDescent="0.25">
      <c r="A221">
        <f>219</f>
        <v>219</v>
      </c>
      <c r="B221" t="str">
        <f>INDEX('Draft Engine'!$A$3:$A$232,$P221)</f>
        <v>DST</v>
      </c>
      <c r="C221">
        <f>INDEX('Draft Engine'!$F$3:$F$232,$P221)</f>
        <v>23</v>
      </c>
      <c r="D221" t="str">
        <f>INDEX('Draft Engine'!$B$3:$B$232,$P221)</f>
        <v>Tampa Bay Buccaneers</v>
      </c>
      <c r="E221" s="4">
        <f>INDEX('Draft Engine'!$E$3:$E$232,$P221)</f>
        <v>68.8</v>
      </c>
      <c r="F221" t="str">
        <f t="shared" si="3"/>
        <v>TIER 6</v>
      </c>
      <c r="G221" s="4">
        <f>INDEX('Draft Engine'!$G$3:$G$232,$P221)</f>
        <v>73.8</v>
      </c>
      <c r="H221" s="4">
        <f>INDEX('Draft Engine'!$J$3:$J$232,$P221)</f>
        <v>-25.8</v>
      </c>
      <c r="I221" s="4">
        <f>INDEX('Draft Engine'!$N$3:$N$232,$P221)</f>
        <v>28.195999999999998</v>
      </c>
      <c r="J221" s="4">
        <f>INDEX('Draft Engine'!$R$3:$R$232,$P221)</f>
        <v>248</v>
      </c>
      <c r="K221" s="4">
        <f>INDEX('Draft Engine'!$S$3:$S$232,$P221)</f>
        <v>29</v>
      </c>
      <c r="L221" t="str">
        <f>INDEX('Draft Engine'!$T$3:$T$232,$P221)</f>
        <v>B</v>
      </c>
      <c r="M221" t="str">
        <f>INDEX('Draft Engine'!$X$3:$X$232,$P221)</f>
        <v>DST MODEL</v>
      </c>
      <c r="N221" t="str">
        <f>INDEX('LIVE SOURCE'!$H$3:$H$232,$P221)</f>
        <v>Streaming/late-round defense; matchup matters more than preseason rank.</v>
      </c>
      <c r="O221" t="str">
        <f>INDEX('LIVE SOURCE'!$J$3:$J$232,$P221)</f>
        <v>DST scoring is highly opponent- and turnover-dependent, making season-long rank fragile.</v>
      </c>
      <c r="P221" s="6">
        <f>MATCH($A221,'Draft Engine'!$Q$3:$Q$232,0)</f>
        <v>221</v>
      </c>
    </row>
    <row r="222" spans="1:16" x14ac:dyDescent="0.25">
      <c r="A222">
        <f>220</f>
        <v>220</v>
      </c>
      <c r="B222" t="str">
        <f>INDEX('Draft Engine'!$A$3:$A$232,$P222)</f>
        <v>DST</v>
      </c>
      <c r="C222">
        <f>INDEX('Draft Engine'!$F$3:$F$232,$P222)</f>
        <v>24</v>
      </c>
      <c r="D222" t="str">
        <f>INDEX('Draft Engine'!$B$3:$B$232,$P222)</f>
        <v>Dallas Cowboys</v>
      </c>
      <c r="E222" s="4">
        <f>INDEX('Draft Engine'!$E$3:$E$232,$P222)</f>
        <v>67.7</v>
      </c>
      <c r="F222" t="str">
        <f t="shared" si="3"/>
        <v>TIER 6</v>
      </c>
      <c r="G222" s="4">
        <f>INDEX('Draft Engine'!$G$3:$G$232,$P222)</f>
        <v>71.900000000000006</v>
      </c>
      <c r="H222" s="4">
        <f>INDEX('Draft Engine'!$J$3:$J$232,$P222)</f>
        <v>-27.7</v>
      </c>
      <c r="I222" s="4">
        <f>INDEX('Draft Engine'!$N$3:$N$232,$P222)</f>
        <v>27.249000000000009</v>
      </c>
      <c r="J222" s="4">
        <f>INDEX('Draft Engine'!$R$3:$R$232,$P222)</f>
        <v>252</v>
      </c>
      <c r="K222" s="4">
        <f>INDEX('Draft Engine'!$S$3:$S$232,$P222)</f>
        <v>32</v>
      </c>
      <c r="L222" t="str">
        <f>INDEX('Draft Engine'!$T$3:$T$232,$P222)</f>
        <v>B</v>
      </c>
      <c r="M222" t="str">
        <f>INDEX('Draft Engine'!$X$3:$X$232,$P222)</f>
        <v>DST MODEL</v>
      </c>
      <c r="N222" t="str">
        <f>INDEX('LIVE SOURCE'!$H$3:$H$232,$P222)</f>
        <v>Streaming/late-round defense; matchup matters more than preseason rank.</v>
      </c>
      <c r="O222" t="str">
        <f>INDEX('LIVE SOURCE'!$J$3:$J$232,$P222)</f>
        <v>DST scoring is highly opponent- and turnover-dependent, making season-long rank fragile.</v>
      </c>
      <c r="P222" s="6">
        <f>MATCH($A222,'Draft Engine'!$Q$3:$Q$232,0)</f>
        <v>222</v>
      </c>
    </row>
    <row r="223" spans="1:16" x14ac:dyDescent="0.25">
      <c r="A223">
        <f>221</f>
        <v>221</v>
      </c>
      <c r="B223" t="str">
        <f>INDEX('Draft Engine'!$A$3:$A$232,$P223)</f>
        <v>DST</v>
      </c>
      <c r="C223">
        <f>INDEX('Draft Engine'!$F$3:$F$232,$P223)</f>
        <v>25</v>
      </c>
      <c r="D223" t="str">
        <f>INDEX('Draft Engine'!$B$3:$B$232,$P223)</f>
        <v>Carolina Panthers</v>
      </c>
      <c r="E223" s="4">
        <f>INDEX('Draft Engine'!$E$3:$E$232,$P223)</f>
        <v>66.599999999999994</v>
      </c>
      <c r="F223" t="str">
        <f t="shared" si="3"/>
        <v>TIER 6</v>
      </c>
      <c r="G223" s="4">
        <f>INDEX('Draft Engine'!$G$3:$G$232,$P223)</f>
        <v>69.900000000000006</v>
      </c>
      <c r="H223" s="4">
        <f>INDEX('Draft Engine'!$J$3:$J$232,$P223)</f>
        <v>-29.7</v>
      </c>
      <c r="I223" s="4">
        <f>INDEX('Draft Engine'!$N$3:$N$232,$P223)</f>
        <v>26.284000000000006</v>
      </c>
      <c r="J223" s="4">
        <f>INDEX('Draft Engine'!$R$3:$R$232,$P223)</f>
        <v>256</v>
      </c>
      <c r="K223" s="4">
        <f>INDEX('Draft Engine'!$S$3:$S$232,$P223)</f>
        <v>35</v>
      </c>
      <c r="L223" t="str">
        <f>INDEX('Draft Engine'!$T$3:$T$232,$P223)</f>
        <v>B</v>
      </c>
      <c r="M223" t="str">
        <f>INDEX('Draft Engine'!$X$3:$X$232,$P223)</f>
        <v>DST MODEL</v>
      </c>
      <c r="N223" t="str">
        <f>INDEX('LIVE SOURCE'!$H$3:$H$232,$P223)</f>
        <v>Streaming/late-round defense; matchup matters more than preseason rank.</v>
      </c>
      <c r="O223" t="str">
        <f>INDEX('LIVE SOURCE'!$J$3:$J$232,$P223)</f>
        <v>DST scoring is highly opponent- and turnover-dependent, making season-long rank fragile.</v>
      </c>
      <c r="P223" s="6">
        <f>MATCH($A223,'Draft Engine'!$Q$3:$Q$232,0)</f>
        <v>223</v>
      </c>
    </row>
    <row r="224" spans="1:16" x14ac:dyDescent="0.25">
      <c r="A224">
        <f>222</f>
        <v>222</v>
      </c>
      <c r="B224" t="str">
        <f>INDEX('Draft Engine'!$A$3:$A$232,$P224)</f>
        <v>DST</v>
      </c>
      <c r="C224">
        <f>INDEX('Draft Engine'!$F$3:$F$232,$P224)</f>
        <v>26</v>
      </c>
      <c r="D224" t="str">
        <f>INDEX('Draft Engine'!$B$3:$B$232,$P224)</f>
        <v>Tennessee Titans</v>
      </c>
      <c r="E224" s="4">
        <f>INDEX('Draft Engine'!$E$3:$E$232,$P224)</f>
        <v>65.5</v>
      </c>
      <c r="F224" t="str">
        <f t="shared" si="3"/>
        <v>TIER 6</v>
      </c>
      <c r="G224" s="4">
        <f>INDEX('Draft Engine'!$G$3:$G$232,$P224)</f>
        <v>67.900000000000006</v>
      </c>
      <c r="H224" s="4">
        <f>INDEX('Draft Engine'!$J$3:$J$232,$P224)</f>
        <v>-31.7</v>
      </c>
      <c r="I224" s="4">
        <f>INDEX('Draft Engine'!$N$3:$N$232,$P224)</f>
        <v>25.319000000000003</v>
      </c>
      <c r="J224" s="4">
        <f>INDEX('Draft Engine'!$R$3:$R$232,$P224)</f>
        <v>260</v>
      </c>
      <c r="K224" s="4">
        <f>INDEX('Draft Engine'!$S$3:$S$232,$P224)</f>
        <v>38</v>
      </c>
      <c r="L224" t="str">
        <f>INDEX('Draft Engine'!$T$3:$T$232,$P224)</f>
        <v>B</v>
      </c>
      <c r="M224" t="str">
        <f>INDEX('Draft Engine'!$X$3:$X$232,$P224)</f>
        <v>DST MODEL</v>
      </c>
      <c r="N224" t="str">
        <f>INDEX('LIVE SOURCE'!$H$3:$H$232,$P224)</f>
        <v>Streaming/late-round defense; matchup matters more than preseason rank.</v>
      </c>
      <c r="O224" t="str">
        <f>INDEX('LIVE SOURCE'!$J$3:$J$232,$P224)</f>
        <v>DST scoring is highly opponent- and turnover-dependent, making season-long rank fragile.</v>
      </c>
      <c r="P224" s="6">
        <f>MATCH($A224,'Draft Engine'!$Q$3:$Q$232,0)</f>
        <v>224</v>
      </c>
    </row>
    <row r="225" spans="1:16" x14ac:dyDescent="0.25">
      <c r="A225">
        <f>223</f>
        <v>223</v>
      </c>
      <c r="B225" t="str">
        <f>INDEX('Draft Engine'!$A$3:$A$232,$P225)</f>
        <v>DST</v>
      </c>
      <c r="C225">
        <f>INDEX('Draft Engine'!$F$3:$F$232,$P225)</f>
        <v>27</v>
      </c>
      <c r="D225" t="str">
        <f>INDEX('Draft Engine'!$B$3:$B$232,$P225)</f>
        <v>Miami Dolphins</v>
      </c>
      <c r="E225" s="4">
        <f>INDEX('Draft Engine'!$E$3:$E$232,$P225)</f>
        <v>64.400000000000006</v>
      </c>
      <c r="F225" t="str">
        <f t="shared" si="3"/>
        <v>TIER 7</v>
      </c>
      <c r="G225" s="4">
        <f>INDEX('Draft Engine'!$G$3:$G$232,$P225)</f>
        <v>65.900000000000006</v>
      </c>
      <c r="H225" s="4">
        <f>INDEX('Draft Engine'!$J$3:$J$232,$P225)</f>
        <v>-33.700000000000003</v>
      </c>
      <c r="I225" s="4">
        <f>INDEX('Draft Engine'!$N$3:$N$232,$P225)</f>
        <v>24.354000000000006</v>
      </c>
      <c r="J225" s="4">
        <f>INDEX('Draft Engine'!$R$3:$R$232,$P225)</f>
        <v>264</v>
      </c>
      <c r="K225" s="4">
        <f>INDEX('Draft Engine'!$S$3:$S$232,$P225)</f>
        <v>41</v>
      </c>
      <c r="L225" t="str">
        <f>INDEX('Draft Engine'!$T$3:$T$232,$P225)</f>
        <v>B</v>
      </c>
      <c r="M225" t="str">
        <f>INDEX('Draft Engine'!$X$3:$X$232,$P225)</f>
        <v>DST MODEL</v>
      </c>
      <c r="N225" t="str">
        <f>INDEX('LIVE SOURCE'!$H$3:$H$232,$P225)</f>
        <v>Streaming/late-round defense; matchup matters more than preseason rank.</v>
      </c>
      <c r="O225" t="str">
        <f>INDEX('LIVE SOURCE'!$J$3:$J$232,$P225)</f>
        <v>DST scoring is highly opponent- and turnover-dependent, making season-long rank fragile.</v>
      </c>
      <c r="P225" s="6">
        <f>MATCH($A225,'Draft Engine'!$Q$3:$Q$232,0)</f>
        <v>225</v>
      </c>
    </row>
    <row r="226" spans="1:16" x14ac:dyDescent="0.25">
      <c r="A226">
        <f>224</f>
        <v>224</v>
      </c>
      <c r="B226" t="str">
        <f>INDEX('Draft Engine'!$A$3:$A$232,$P226)</f>
        <v>DST</v>
      </c>
      <c r="C226">
        <f>INDEX('Draft Engine'!$F$3:$F$232,$P226)</f>
        <v>28</v>
      </c>
      <c r="D226" t="str">
        <f>INDEX('Draft Engine'!$B$3:$B$232,$P226)</f>
        <v>Washington Commanders</v>
      </c>
      <c r="E226" s="4">
        <f>INDEX('Draft Engine'!$E$3:$E$232,$P226)</f>
        <v>63.3</v>
      </c>
      <c r="F226" t="str">
        <f t="shared" si="3"/>
        <v>TIER 7</v>
      </c>
      <c r="G226" s="4">
        <f>INDEX('Draft Engine'!$G$3:$G$232,$P226)</f>
        <v>63.9</v>
      </c>
      <c r="H226" s="4">
        <f>INDEX('Draft Engine'!$J$3:$J$232,$P226)</f>
        <v>-35.700000000000003</v>
      </c>
      <c r="I226" s="4">
        <f>INDEX('Draft Engine'!$N$3:$N$232,$P226)</f>
        <v>23.388999999999996</v>
      </c>
      <c r="J226" s="4">
        <f>INDEX('Draft Engine'!$R$3:$R$232,$P226)</f>
        <v>268</v>
      </c>
      <c r="K226" s="4">
        <f>INDEX('Draft Engine'!$S$3:$S$232,$P226)</f>
        <v>44</v>
      </c>
      <c r="L226" t="str">
        <f>INDEX('Draft Engine'!$T$3:$T$232,$P226)</f>
        <v>B</v>
      </c>
      <c r="M226" t="str">
        <f>INDEX('Draft Engine'!$X$3:$X$232,$P226)</f>
        <v>DST MODEL</v>
      </c>
      <c r="N226" t="str">
        <f>INDEX('LIVE SOURCE'!$H$3:$H$232,$P226)</f>
        <v>Streaming/late-round defense; matchup matters more than preseason rank.</v>
      </c>
      <c r="O226" t="str">
        <f>INDEX('LIVE SOURCE'!$J$3:$J$232,$P226)</f>
        <v>DST scoring is highly opponent- and turnover-dependent, making season-long rank fragile.</v>
      </c>
      <c r="P226" s="6">
        <f>MATCH($A226,'Draft Engine'!$Q$3:$Q$232,0)</f>
        <v>226</v>
      </c>
    </row>
    <row r="227" spans="1:16" x14ac:dyDescent="0.25">
      <c r="A227">
        <f>225</f>
        <v>225</v>
      </c>
      <c r="B227" t="str">
        <f>INDEX('Draft Engine'!$A$3:$A$232,$P227)</f>
        <v>DST</v>
      </c>
      <c r="C227">
        <f>INDEX('Draft Engine'!$F$3:$F$232,$P227)</f>
        <v>29</v>
      </c>
      <c r="D227" t="str">
        <f>INDEX('Draft Engine'!$B$3:$B$232,$P227)</f>
        <v>New York Jets</v>
      </c>
      <c r="E227" s="4">
        <f>INDEX('Draft Engine'!$E$3:$E$232,$P227)</f>
        <v>62.2</v>
      </c>
      <c r="F227" t="str">
        <f t="shared" si="3"/>
        <v>TIER 7</v>
      </c>
      <c r="G227" s="4">
        <f>INDEX('Draft Engine'!$G$3:$G$232,$P227)</f>
        <v>62</v>
      </c>
      <c r="H227" s="4">
        <f>INDEX('Draft Engine'!$J$3:$J$232,$P227)</f>
        <v>-37.6</v>
      </c>
      <c r="I227" s="4">
        <f>INDEX('Draft Engine'!$N$3:$N$232,$P227)</f>
        <v>22.442</v>
      </c>
      <c r="J227" s="4">
        <f>INDEX('Draft Engine'!$R$3:$R$232,$P227)</f>
        <v>149.9</v>
      </c>
      <c r="K227" s="4">
        <f>INDEX('Draft Engine'!$S$3:$S$232,$P227)</f>
        <v>-75.099999999999994</v>
      </c>
      <c r="L227" t="str">
        <f>INDEX('Draft Engine'!$T$3:$T$232,$P227)</f>
        <v>B</v>
      </c>
      <c r="M227" t="str">
        <f>INDEX('Draft Engine'!$X$3:$X$232,$P227)</f>
        <v>DST MODEL</v>
      </c>
      <c r="N227" t="str">
        <f>INDEX('LIVE SOURCE'!$H$3:$H$232,$P227)</f>
        <v>Streaming/late-round defense; matchup matters more than preseason rank.</v>
      </c>
      <c r="O227" t="str">
        <f>INDEX('LIVE SOURCE'!$J$3:$J$232,$P227)</f>
        <v>DST scoring is highly opponent- and turnover-dependent, making season-long rank fragile.</v>
      </c>
      <c r="P227" s="6">
        <f>MATCH($A227,'Draft Engine'!$Q$3:$Q$232,0)</f>
        <v>227</v>
      </c>
    </row>
    <row r="228" spans="1:16" x14ac:dyDescent="0.25">
      <c r="A228">
        <f>226</f>
        <v>226</v>
      </c>
      <c r="B228" t="str">
        <f>INDEX('Draft Engine'!$A$3:$A$232,$P228)</f>
        <v>DST</v>
      </c>
      <c r="C228">
        <f>INDEX('Draft Engine'!$F$3:$F$232,$P228)</f>
        <v>30</v>
      </c>
      <c r="D228" t="str">
        <f>INDEX('Draft Engine'!$B$3:$B$232,$P228)</f>
        <v>Arizona Cardinals</v>
      </c>
      <c r="E228" s="4">
        <f>INDEX('Draft Engine'!$E$3:$E$232,$P228)</f>
        <v>61.1</v>
      </c>
      <c r="F228" t="str">
        <f t="shared" si="3"/>
        <v>TIER 7</v>
      </c>
      <c r="G228" s="4">
        <f>INDEX('Draft Engine'!$G$3:$G$232,$P228)</f>
        <v>60</v>
      </c>
      <c r="H228" s="4">
        <f>INDEX('Draft Engine'!$J$3:$J$232,$P228)</f>
        <v>-39.6</v>
      </c>
      <c r="I228" s="4">
        <f>INDEX('Draft Engine'!$N$3:$N$232,$P228)</f>
        <v>21.477000000000004</v>
      </c>
      <c r="J228" s="4">
        <f>INDEX('Draft Engine'!$R$3:$R$232,$P228)</f>
        <v>276</v>
      </c>
      <c r="K228" s="4">
        <f>INDEX('Draft Engine'!$S$3:$S$232,$P228)</f>
        <v>50</v>
      </c>
      <c r="L228" t="str">
        <f>INDEX('Draft Engine'!$T$3:$T$232,$P228)</f>
        <v>B</v>
      </c>
      <c r="M228" t="str">
        <f>INDEX('Draft Engine'!$X$3:$X$232,$P228)</f>
        <v>DST MODEL</v>
      </c>
      <c r="N228" t="str">
        <f>INDEX('LIVE SOURCE'!$H$3:$H$232,$P228)</f>
        <v>Streaming/late-round defense; matchup matters more than preseason rank.</v>
      </c>
      <c r="O228" t="str">
        <f>INDEX('LIVE SOURCE'!$J$3:$J$232,$P228)</f>
        <v>DST scoring is highly opponent- and turnover-dependent, making season-long rank fragile.</v>
      </c>
      <c r="P228" s="6">
        <f>MATCH($A228,'Draft Engine'!$Q$3:$Q$232,0)</f>
        <v>228</v>
      </c>
    </row>
    <row r="229" spans="1:16" x14ac:dyDescent="0.25">
      <c r="A229">
        <f>227</f>
        <v>227</v>
      </c>
      <c r="B229" t="str">
        <f>INDEX('Draft Engine'!$A$3:$A$232,$P229)</f>
        <v>DST</v>
      </c>
      <c r="C229">
        <f>INDEX('Draft Engine'!$F$3:$F$232,$P229)</f>
        <v>31</v>
      </c>
      <c r="D229" t="str">
        <f>INDEX('Draft Engine'!$B$3:$B$232,$P229)</f>
        <v>Cincinnati Bengals</v>
      </c>
      <c r="E229" s="4">
        <f>INDEX('Draft Engine'!$E$3:$E$232,$P229)</f>
        <v>60</v>
      </c>
      <c r="F229" t="str">
        <f t="shared" si="3"/>
        <v>TIER 7</v>
      </c>
      <c r="G229" s="4">
        <f>INDEX('Draft Engine'!$G$3:$G$232,$P229)</f>
        <v>58</v>
      </c>
      <c r="H229" s="4">
        <f>INDEX('Draft Engine'!$J$3:$J$232,$P229)</f>
        <v>-41.6</v>
      </c>
      <c r="I229" s="4">
        <f>INDEX('Draft Engine'!$N$3:$N$232,$P229)</f>
        <v>20.512</v>
      </c>
      <c r="J229" s="4">
        <f>INDEX('Draft Engine'!$R$3:$R$232,$P229)</f>
        <v>280</v>
      </c>
      <c r="K229" s="4">
        <f>INDEX('Draft Engine'!$S$3:$S$232,$P229)</f>
        <v>53</v>
      </c>
      <c r="L229" t="str">
        <f>INDEX('Draft Engine'!$T$3:$T$232,$P229)</f>
        <v>B</v>
      </c>
      <c r="M229" t="str">
        <f>INDEX('Draft Engine'!$X$3:$X$232,$P229)</f>
        <v>DST MODEL</v>
      </c>
      <c r="N229" t="str">
        <f>INDEX('LIVE SOURCE'!$H$3:$H$232,$P229)</f>
        <v>Streaming/late-round defense; matchup matters more than preseason rank.</v>
      </c>
      <c r="O229" t="str">
        <f>INDEX('LIVE SOURCE'!$J$3:$J$232,$P229)</f>
        <v>DST scoring is highly opponent- and turnover-dependent, making season-long rank fragile.</v>
      </c>
      <c r="P229" s="6">
        <f>MATCH($A229,'Draft Engine'!$Q$3:$Q$232,0)</f>
        <v>229</v>
      </c>
    </row>
    <row r="230" spans="1:16" x14ac:dyDescent="0.25">
      <c r="A230">
        <f>228</f>
        <v>228</v>
      </c>
      <c r="B230" t="str">
        <f>INDEX('Draft Engine'!$A$3:$A$232,$P230)</f>
        <v>DST</v>
      </c>
      <c r="C230">
        <f>INDEX('Draft Engine'!$F$3:$F$232,$P230)</f>
        <v>32</v>
      </c>
      <c r="D230" t="str">
        <f>INDEX('Draft Engine'!$B$3:$B$232,$P230)</f>
        <v>Las Vegas Raiders</v>
      </c>
      <c r="E230" s="4">
        <f>INDEX('Draft Engine'!$E$3:$E$232,$P230)</f>
        <v>58.9</v>
      </c>
      <c r="F230" t="str">
        <f t="shared" si="3"/>
        <v>TIER 7</v>
      </c>
      <c r="G230" s="4">
        <f>INDEX('Draft Engine'!$G$3:$G$232,$P230)</f>
        <v>56</v>
      </c>
      <c r="H230" s="4">
        <f>INDEX('Draft Engine'!$J$3:$J$232,$P230)</f>
        <v>-43.6</v>
      </c>
      <c r="I230" s="4">
        <f>INDEX('Draft Engine'!$N$3:$N$232,$P230)</f>
        <v>19.547000000000004</v>
      </c>
      <c r="J230" s="4">
        <f>INDEX('Draft Engine'!$R$3:$R$232,$P230)</f>
        <v>284</v>
      </c>
      <c r="K230" s="4">
        <f>INDEX('Draft Engine'!$S$3:$S$232,$P230)</f>
        <v>56</v>
      </c>
      <c r="L230" t="str">
        <f>INDEX('Draft Engine'!$T$3:$T$232,$P230)</f>
        <v>B</v>
      </c>
      <c r="M230" t="str">
        <f>INDEX('Draft Engine'!$X$3:$X$232,$P230)</f>
        <v>DST MODEL</v>
      </c>
      <c r="N230" t="str">
        <f>INDEX('LIVE SOURCE'!$H$3:$H$232,$P230)</f>
        <v>Streaming/late-round defense; matchup matters more than preseason rank.</v>
      </c>
      <c r="O230" t="str">
        <f>INDEX('LIVE SOURCE'!$J$3:$J$232,$P230)</f>
        <v>DST scoring is highly opponent- and turnover-dependent, making season-long rank fragile.</v>
      </c>
      <c r="P230" s="6">
        <f>MATCH($A230,'Draft Engine'!$Q$3:$Q$232,0)</f>
        <v>230</v>
      </c>
    </row>
    <row r="231" spans="1:16" x14ac:dyDescent="0.25">
      <c r="A231">
        <f>229</f>
        <v>229</v>
      </c>
      <c r="B231" t="str">
        <f>INDEX('Draft Engine'!$A$3:$A$232,$P231)</f>
        <v>K</v>
      </c>
      <c r="C231">
        <f>INDEX('Draft Engine'!$F$3:$F$232,$P231)</f>
        <v>11</v>
      </c>
      <c r="D231" t="str">
        <f>INDEX('Draft Engine'!$B$3:$B$232,$P231)</f>
        <v>Andy Borregales</v>
      </c>
      <c r="E231" s="4">
        <f>INDEX('Draft Engine'!$E$3:$E$232,$P231)</f>
        <v>72</v>
      </c>
      <c r="F231" t="str">
        <f t="shared" si="3"/>
        <v>TIER 5</v>
      </c>
      <c r="G231" s="4">
        <f>INDEX('Draft Engine'!$G$3:$G$232,$P231)</f>
        <v>104</v>
      </c>
      <c r="H231" s="4">
        <f>INDEX('Draft Engine'!$J$3:$J$232,$P231)</f>
        <v>-4.4000000000000004</v>
      </c>
      <c r="I231" s="4">
        <f>INDEX('Draft Engine'!$N$3:$N$232,$P231)</f>
        <v>38.558</v>
      </c>
      <c r="J231" s="4">
        <f>INDEX('Draft Engine'!$R$3:$R$232,$P231)</f>
        <v>205</v>
      </c>
      <c r="K231" s="4">
        <f>INDEX('Draft Engine'!$S$3:$S$232,$P231)</f>
        <v>-24</v>
      </c>
      <c r="L231" t="str">
        <f>INDEX('Draft Engine'!$T$3:$T$232,$P231)</f>
        <v>B</v>
      </c>
      <c r="M231" t="str">
        <f>INDEX('Draft Engine'!$X$3:$X$232,$P231)</f>
        <v>KICKER MODEL</v>
      </c>
      <c r="N231" t="str">
        <f>INDEX('LIVE SOURCE'!$H$3:$H$232,$P231)</f>
        <v>Late-round kicker; treat as replaceable unless scoring strongly rewards distance.</v>
      </c>
      <c r="O231" t="str">
        <f>INDEX('LIVE SOURCE'!$J$3:$J$232,$P231)</f>
        <v>Kicker scoring is volatile and replaceable on waivers; do not pay meaningful draft capital.</v>
      </c>
      <c r="P231" s="6">
        <f>MATCH($A231,'Draft Engine'!$Q$3:$Q$232,0)</f>
        <v>197</v>
      </c>
    </row>
    <row r="232" spans="1:16" x14ac:dyDescent="0.25">
      <c r="A232">
        <f>230</f>
        <v>230</v>
      </c>
      <c r="B232" t="str">
        <f>INDEX('Draft Engine'!$A$3:$A$232,$P232)</f>
        <v>K</v>
      </c>
      <c r="C232">
        <f>INDEX('Draft Engine'!$F$3:$F$232,$P232)</f>
        <v>12</v>
      </c>
      <c r="D232" t="str">
        <f>INDEX('Draft Engine'!$B$3:$B$232,$P232)</f>
        <v>Evan McPherson</v>
      </c>
      <c r="E232" s="4">
        <f>INDEX('Draft Engine'!$E$3:$E$232,$P232)</f>
        <v>69.8</v>
      </c>
      <c r="F232" t="str">
        <f t="shared" si="3"/>
        <v>TIER 6</v>
      </c>
      <c r="G232" s="4">
        <f>INDEX('Draft Engine'!$G$3:$G$232,$P232)</f>
        <v>99.6</v>
      </c>
      <c r="H232" s="4">
        <f>INDEX('Draft Engine'!$J$3:$J$232,$P232)</f>
        <v>-8.8000000000000007</v>
      </c>
      <c r="I232" s="4">
        <f>INDEX('Draft Engine'!$N$3:$N$232,$P232)</f>
        <v>36.006</v>
      </c>
      <c r="J232" s="4">
        <f>INDEX('Draft Engine'!$R$3:$R$232,$P232)</f>
        <v>210</v>
      </c>
      <c r="K232" s="4">
        <f>INDEX('Draft Engine'!$S$3:$S$232,$P232)</f>
        <v>-20</v>
      </c>
      <c r="L232" t="str">
        <f>INDEX('Draft Engine'!$T$3:$T$232,$P232)</f>
        <v>B</v>
      </c>
      <c r="M232" t="str">
        <f>INDEX('Draft Engine'!$X$3:$X$232,$P232)</f>
        <v>KICKER MODEL</v>
      </c>
      <c r="N232" t="str">
        <f>INDEX('LIVE SOURCE'!$H$3:$H$232,$P232)</f>
        <v>Late-round kicker; treat as replaceable unless scoring strongly rewards distance.</v>
      </c>
      <c r="O232" t="str">
        <f>INDEX('LIVE SOURCE'!$J$3:$J$232,$P232)</f>
        <v>Kicker scoring is volatile and replaceable on waivers; do not pay meaningful draft capital.</v>
      </c>
      <c r="P232" s="6">
        <f>MATCH($A232,'Draft Engine'!$Q$3:$Q$232,0)</f>
        <v>198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O202"/>
  <sheetViews>
    <sheetView workbookViewId="0">
      <pane ySplit="2" topLeftCell="A3" activePane="bottomLeft" state="frozen"/>
      <selection pane="bottomLeft"/>
    </sheetView>
  </sheetViews>
  <sheetFormatPr defaultRowHeight="15" x14ac:dyDescent="0.25"/>
  <cols>
    <col min="1" max="1" width="8" customWidth="1"/>
    <col min="2" max="2" width="6" customWidth="1"/>
    <col min="3" max="3" width="8" customWidth="1"/>
    <col min="4" max="4" width="22" customWidth="1"/>
    <col min="5" max="5" width="11" customWidth="1"/>
    <col min="6" max="7" width="10" customWidth="1"/>
    <col min="8" max="8" width="8" customWidth="1"/>
    <col min="9" max="9" width="9" customWidth="1"/>
    <col min="10" max="10" width="10" customWidth="1"/>
    <col min="11" max="11" width="9" customWidth="1"/>
    <col min="12" max="13" width="8" customWidth="1"/>
    <col min="14" max="14" width="10" customWidth="1"/>
    <col min="15" max="15" width="6" customWidth="1"/>
  </cols>
  <sheetData>
    <row r="1" spans="1:15" ht="18.75" x14ac:dyDescent="0.3">
      <c r="A1" s="1" t="s">
        <v>593</v>
      </c>
    </row>
    <row r="2" spans="1:15" ht="27.95" customHeight="1" x14ac:dyDescent="0.25">
      <c r="A2" s="3" t="s">
        <v>2</v>
      </c>
      <c r="B2" s="3" t="s">
        <v>3</v>
      </c>
      <c r="C2" s="3" t="s">
        <v>4</v>
      </c>
      <c r="D2" s="3" t="s">
        <v>65</v>
      </c>
      <c r="E2" s="3" t="s">
        <v>8</v>
      </c>
      <c r="F2" s="3" t="s">
        <v>6</v>
      </c>
      <c r="G2" s="3" t="s">
        <v>591</v>
      </c>
      <c r="H2" s="3" t="s">
        <v>592</v>
      </c>
      <c r="I2" s="3" t="s">
        <v>594</v>
      </c>
      <c r="J2" s="3" t="s">
        <v>9</v>
      </c>
      <c r="K2" s="3" t="s">
        <v>10</v>
      </c>
      <c r="L2" s="3" t="s">
        <v>595</v>
      </c>
      <c r="M2" s="3" t="s">
        <v>596</v>
      </c>
      <c r="N2" s="3" t="s">
        <v>80</v>
      </c>
      <c r="O2" s="3" t="s">
        <v>14</v>
      </c>
    </row>
    <row r="3" spans="1:15" x14ac:dyDescent="0.25">
      <c r="A3">
        <f>1</f>
        <v>1</v>
      </c>
      <c r="B3" t="str">
        <f>INDEX('Draft Engine'!$A$3:$A$232,$O3)</f>
        <v>WR</v>
      </c>
      <c r="C3">
        <f>INDEX('Draft Engine'!$F$3:$F$232,$O3)</f>
        <v>1</v>
      </c>
      <c r="D3" t="str">
        <f>INDEX('Draft Engine'!$B$3:$B$232,$O3)</f>
        <v>Puka Nacua</v>
      </c>
      <c r="E3" s="4">
        <f>INDEX('Draft Engine'!$N$3:$N$232,$O3)</f>
        <v>99.167245000000008</v>
      </c>
      <c r="F3" s="4">
        <f>INDEX('Draft Engine'!$E$3:$E$232,$O3)</f>
        <v>98.485900000000001</v>
      </c>
      <c r="G3" s="4">
        <f>INDEX('Draft Engine'!$G$3:$G$232,$O3)</f>
        <v>343.6</v>
      </c>
      <c r="H3" s="4">
        <f>INDEX('Draft Engine'!$J$3:$J$232,$O3)</f>
        <v>104.3</v>
      </c>
      <c r="I3" s="4">
        <f>INDEX('Draft Engine'!$L$3:$L$232,$O3)</f>
        <v>100</v>
      </c>
      <c r="J3" s="4">
        <f>INDEX('Draft Engine'!$R$3:$R$232,$O3)</f>
        <v>2.9</v>
      </c>
      <c r="K3" s="4">
        <f>INDEX('Draft Engine'!$S$3:$S$232,$O3)</f>
        <v>1.9</v>
      </c>
      <c r="L3" s="4">
        <f>INDEX('Draft Engine'!$U$3:$U$232,$O3)</f>
        <v>92.485900000000001</v>
      </c>
      <c r="M3" s="4">
        <f>INDEX('Draft Engine'!$W$3:$W$232,$O3)</f>
        <v>100</v>
      </c>
      <c r="N3" t="str">
        <f>INDEX('Draft Engine'!$T$3:$T$232,$O3)</f>
        <v>A</v>
      </c>
      <c r="O3" s="6">
        <f>MATCH($A3,'Draft Engine'!$Q$3:$Q$232,0)</f>
        <v>86</v>
      </c>
    </row>
    <row r="4" spans="1:15" x14ac:dyDescent="0.25">
      <c r="A4">
        <f>2</f>
        <v>2</v>
      </c>
      <c r="B4" t="str">
        <f>INDEX('Draft Engine'!$A$3:$A$232,$O4)</f>
        <v>RB</v>
      </c>
      <c r="C4">
        <f>INDEX('Draft Engine'!$F$3:$F$232,$O4)</f>
        <v>1</v>
      </c>
      <c r="D4" t="str">
        <f>INDEX('Draft Engine'!$B$3:$B$232,$O4)</f>
        <v>Bijan Robinson</v>
      </c>
      <c r="E4" s="4">
        <f>INDEX('Draft Engine'!$N$3:$N$232,$O4)</f>
        <v>98.552015000000011</v>
      </c>
      <c r="F4" s="4">
        <f>INDEX('Draft Engine'!$E$3:$E$232,$O4)</f>
        <v>97.3673</v>
      </c>
      <c r="G4" s="4">
        <f>INDEX('Draft Engine'!$G$3:$G$232,$O4)</f>
        <v>338.9</v>
      </c>
      <c r="H4" s="4">
        <f>INDEX('Draft Engine'!$J$3:$J$232,$O4)</f>
        <v>99.9</v>
      </c>
      <c r="I4" s="4">
        <f>INDEX('Draft Engine'!$L$3:$L$232,$O4)</f>
        <v>100</v>
      </c>
      <c r="J4" s="4">
        <f>INDEX('Draft Engine'!$R$3:$R$232,$O4)</f>
        <v>1.8</v>
      </c>
      <c r="K4" s="4">
        <f>INDEX('Draft Engine'!$S$3:$S$232,$O4)</f>
        <v>-0.19999999999999996</v>
      </c>
      <c r="L4" s="4">
        <f>INDEX('Draft Engine'!$U$3:$U$232,$O4)</f>
        <v>91.3673</v>
      </c>
      <c r="M4" s="4">
        <f>INDEX('Draft Engine'!$W$3:$W$232,$O4)</f>
        <v>100</v>
      </c>
      <c r="N4" t="str">
        <f>INDEX('Draft Engine'!$T$3:$T$232,$O4)</f>
        <v>A</v>
      </c>
      <c r="O4" s="6">
        <f>MATCH($A4,'Draft Engine'!$Q$3:$Q$232,0)</f>
        <v>33</v>
      </c>
    </row>
    <row r="5" spans="1:15" x14ac:dyDescent="0.25">
      <c r="A5">
        <f>3</f>
        <v>3</v>
      </c>
      <c r="B5" t="str">
        <f>INDEX('Draft Engine'!$A$3:$A$232,$O5)</f>
        <v>WR</v>
      </c>
      <c r="C5">
        <f>INDEX('Draft Engine'!$F$3:$F$232,$O5)</f>
        <v>2</v>
      </c>
      <c r="D5" t="str">
        <f>INDEX('Draft Engine'!$B$3:$B$232,$O5)</f>
        <v>Ja'Marr Chase</v>
      </c>
      <c r="E5" s="4">
        <f>INDEX('Draft Engine'!$N$3:$N$232,$O5)</f>
        <v>98.202764999999999</v>
      </c>
      <c r="F5" s="4">
        <f>INDEX('Draft Engine'!$E$3:$E$232,$O5)</f>
        <v>96.732299999999995</v>
      </c>
      <c r="G5" s="4">
        <f>INDEX('Draft Engine'!$G$3:$G$232,$O5)</f>
        <v>336.3</v>
      </c>
      <c r="H5" s="4">
        <f>INDEX('Draft Engine'!$J$3:$J$232,$O5)</f>
        <v>97</v>
      </c>
      <c r="I5" s="4">
        <f>INDEX('Draft Engine'!$L$3:$L$232,$O5)</f>
        <v>100</v>
      </c>
      <c r="J5" s="4">
        <f>INDEX('Draft Engine'!$R$3:$R$232,$O5)</f>
        <v>3.9</v>
      </c>
      <c r="K5" s="4">
        <f>INDEX('Draft Engine'!$S$3:$S$232,$O5)</f>
        <v>0.89999999999999991</v>
      </c>
      <c r="L5" s="4">
        <f>INDEX('Draft Engine'!$U$3:$U$232,$O5)</f>
        <v>90.732299999999995</v>
      </c>
      <c r="M5" s="4">
        <f>INDEX('Draft Engine'!$W$3:$W$232,$O5)</f>
        <v>100</v>
      </c>
      <c r="N5" t="str">
        <f>INDEX('Draft Engine'!$T$3:$T$232,$O5)</f>
        <v>A</v>
      </c>
      <c r="O5" s="6">
        <f>MATCH($A5,'Draft Engine'!$Q$3:$Q$232,0)</f>
        <v>85</v>
      </c>
    </row>
    <row r="6" spans="1:15" x14ac:dyDescent="0.25">
      <c r="A6">
        <f>4</f>
        <v>4</v>
      </c>
      <c r="B6" t="str">
        <f>INDEX('Draft Engine'!$A$3:$A$232,$O6)</f>
        <v>RB</v>
      </c>
      <c r="C6">
        <f>INDEX('Draft Engine'!$F$3:$F$232,$O6)</f>
        <v>2</v>
      </c>
      <c r="D6" t="str">
        <f>INDEX('Draft Engine'!$B$3:$B$232,$O6)</f>
        <v>Jahmyr Gibbs</v>
      </c>
      <c r="E6" s="4">
        <f>INDEX('Draft Engine'!$N$3:$N$232,$O6)</f>
        <v>97.982765000000001</v>
      </c>
      <c r="F6" s="4">
        <f>INDEX('Draft Engine'!$E$3:$E$232,$O6)</f>
        <v>96.332300000000004</v>
      </c>
      <c r="G6" s="4">
        <f>INDEX('Draft Engine'!$G$3:$G$232,$O6)</f>
        <v>334.6</v>
      </c>
      <c r="H6" s="4">
        <f>INDEX('Draft Engine'!$J$3:$J$232,$O6)</f>
        <v>95.6</v>
      </c>
      <c r="I6" s="4">
        <f>INDEX('Draft Engine'!$L$3:$L$232,$O6)</f>
        <v>100</v>
      </c>
      <c r="J6" s="4">
        <f>INDEX('Draft Engine'!$R$3:$R$232,$O6)</f>
        <v>1.8</v>
      </c>
      <c r="K6" s="4">
        <f>INDEX('Draft Engine'!$S$3:$S$232,$O6)</f>
        <v>-2.2000000000000002</v>
      </c>
      <c r="L6" s="4">
        <f>INDEX('Draft Engine'!$U$3:$U$232,$O6)</f>
        <v>90.332300000000004</v>
      </c>
      <c r="M6" s="4">
        <f>INDEX('Draft Engine'!$W$3:$W$232,$O6)</f>
        <v>100</v>
      </c>
      <c r="N6" t="str">
        <f>INDEX('Draft Engine'!$T$3:$T$232,$O6)</f>
        <v>A</v>
      </c>
      <c r="O6" s="6">
        <f>MATCH($A6,'Draft Engine'!$Q$3:$Q$232,0)</f>
        <v>34</v>
      </c>
    </row>
    <row r="7" spans="1:15" x14ac:dyDescent="0.25">
      <c r="A7">
        <f>5</f>
        <v>5</v>
      </c>
      <c r="B7" t="str">
        <f>INDEX('Draft Engine'!$A$3:$A$232,$O7)</f>
        <v>RB</v>
      </c>
      <c r="C7">
        <f>INDEX('Draft Engine'!$F$3:$F$232,$O7)</f>
        <v>3</v>
      </c>
      <c r="D7" t="str">
        <f>INDEX('Draft Engine'!$B$3:$B$232,$O7)</f>
        <v>Christian McCaffrey</v>
      </c>
      <c r="E7" s="4">
        <f>INDEX('Draft Engine'!$N$3:$N$232,$O7)</f>
        <v>96.834585000000004</v>
      </c>
      <c r="F7" s="4">
        <f>INDEX('Draft Engine'!$E$3:$E$232,$O7)</f>
        <v>94.244699999999995</v>
      </c>
      <c r="G7" s="4">
        <f>INDEX('Draft Engine'!$G$3:$G$232,$O7)</f>
        <v>325.8</v>
      </c>
      <c r="H7" s="4">
        <f>INDEX('Draft Engine'!$J$3:$J$232,$O7)</f>
        <v>86.8</v>
      </c>
      <c r="I7" s="4">
        <f>INDEX('Draft Engine'!$L$3:$L$232,$O7)</f>
        <v>100</v>
      </c>
      <c r="J7" s="4">
        <f>INDEX('Draft Engine'!$R$3:$R$232,$O7)</f>
        <v>5.8</v>
      </c>
      <c r="K7" s="4">
        <f>INDEX('Draft Engine'!$S$3:$S$232,$O7)</f>
        <v>0.79999999999999982</v>
      </c>
      <c r="L7" s="4">
        <f>INDEX('Draft Engine'!$U$3:$U$232,$O7)</f>
        <v>88.244699999999995</v>
      </c>
      <c r="M7" s="4">
        <f>INDEX('Draft Engine'!$W$3:$W$232,$O7)</f>
        <v>100</v>
      </c>
      <c r="N7" t="str">
        <f>INDEX('Draft Engine'!$T$3:$T$232,$O7)</f>
        <v>A</v>
      </c>
      <c r="O7" s="6">
        <f>MATCH($A7,'Draft Engine'!$Q$3:$Q$232,0)</f>
        <v>35</v>
      </c>
    </row>
    <row r="8" spans="1:15" x14ac:dyDescent="0.25">
      <c r="A8">
        <f>6</f>
        <v>6</v>
      </c>
      <c r="B8" t="str">
        <f>INDEX('Draft Engine'!$A$3:$A$232,$O8)</f>
        <v>WR</v>
      </c>
      <c r="C8">
        <f>INDEX('Draft Engine'!$F$3:$F$232,$O8)</f>
        <v>3</v>
      </c>
      <c r="D8" t="str">
        <f>INDEX('Draft Engine'!$B$3:$B$232,$O8)</f>
        <v>Jaxon Smith-Njigba</v>
      </c>
      <c r="E8" s="4">
        <f>INDEX('Draft Engine'!$N$3:$N$232,$O8)</f>
        <v>96.743944999999997</v>
      </c>
      <c r="F8" s="4">
        <f>INDEX('Draft Engine'!$E$3:$E$232,$O8)</f>
        <v>94.079899999999995</v>
      </c>
      <c r="G8" s="4">
        <f>INDEX('Draft Engine'!$G$3:$G$232,$O8)</f>
        <v>325.10000000000002</v>
      </c>
      <c r="H8" s="4">
        <f>INDEX('Draft Engine'!$J$3:$J$232,$O8)</f>
        <v>85.8</v>
      </c>
      <c r="I8" s="4">
        <f>INDEX('Draft Engine'!$L$3:$L$232,$O8)</f>
        <v>100</v>
      </c>
      <c r="J8" s="4">
        <f>INDEX('Draft Engine'!$R$3:$R$232,$O8)</f>
        <v>5.7</v>
      </c>
      <c r="K8" s="4">
        <f>INDEX('Draft Engine'!$S$3:$S$232,$O8)</f>
        <v>-0.29999999999999982</v>
      </c>
      <c r="L8" s="4">
        <f>INDEX('Draft Engine'!$U$3:$U$232,$O8)</f>
        <v>88.079899999999995</v>
      </c>
      <c r="M8" s="4">
        <f>INDEX('Draft Engine'!$W$3:$W$232,$O8)</f>
        <v>100</v>
      </c>
      <c r="N8" t="str">
        <f>INDEX('Draft Engine'!$T$3:$T$232,$O8)</f>
        <v>A</v>
      </c>
      <c r="O8" s="6">
        <f>MATCH($A8,'Draft Engine'!$Q$3:$Q$232,0)</f>
        <v>87</v>
      </c>
    </row>
    <row r="9" spans="1:15" x14ac:dyDescent="0.25">
      <c r="A9">
        <f>7</f>
        <v>7</v>
      </c>
      <c r="B9" t="str">
        <f>INDEX('Draft Engine'!$A$3:$A$232,$O9)</f>
        <v>WR</v>
      </c>
      <c r="C9">
        <f>INDEX('Draft Engine'!$F$3:$F$232,$O9)</f>
        <v>4</v>
      </c>
      <c r="D9" t="str">
        <f>INDEX('Draft Engine'!$B$3:$B$232,$O9)</f>
        <v>Amon-Ra St. Brown</v>
      </c>
      <c r="E9" s="4">
        <f>INDEX('Draft Engine'!$N$3:$N$232,$O9)</f>
        <v>96.127144999999999</v>
      </c>
      <c r="F9" s="4">
        <f>INDEX('Draft Engine'!$E$3:$E$232,$O9)</f>
        <v>93.263900000000007</v>
      </c>
      <c r="G9" s="4">
        <f>INDEX('Draft Engine'!$G$3:$G$232,$O9)</f>
        <v>321.7</v>
      </c>
      <c r="H9" s="4">
        <f>INDEX('Draft Engine'!$J$3:$J$232,$O9)</f>
        <v>82.4</v>
      </c>
      <c r="I9" s="4">
        <f>INDEX('Draft Engine'!$L$3:$L$232,$O9)</f>
        <v>100</v>
      </c>
      <c r="J9" s="4">
        <f>INDEX('Draft Engine'!$R$3:$R$232,$O9)</f>
        <v>7</v>
      </c>
      <c r="K9" s="4">
        <f>INDEX('Draft Engine'!$S$3:$S$232,$O9)</f>
        <v>0</v>
      </c>
      <c r="L9" s="4">
        <f>INDEX('Draft Engine'!$U$3:$U$232,$O9)</f>
        <v>87.263900000000007</v>
      </c>
      <c r="M9" s="4">
        <f>INDEX('Draft Engine'!$W$3:$W$232,$O9)</f>
        <v>99.263900000000007</v>
      </c>
      <c r="N9" t="str">
        <f>INDEX('Draft Engine'!$T$3:$T$232,$O9)</f>
        <v>A</v>
      </c>
      <c r="O9" s="6">
        <f>MATCH($A9,'Draft Engine'!$Q$3:$Q$232,0)</f>
        <v>88</v>
      </c>
    </row>
    <row r="10" spans="1:15" x14ac:dyDescent="0.25">
      <c r="A10">
        <f>8</f>
        <v>8</v>
      </c>
      <c r="B10" t="str">
        <f>INDEX('Draft Engine'!$A$3:$A$232,$O10)</f>
        <v>RB</v>
      </c>
      <c r="C10">
        <f>INDEX('Draft Engine'!$F$3:$F$232,$O10)</f>
        <v>4</v>
      </c>
      <c r="D10" t="str">
        <f>INDEX('Draft Engine'!$B$3:$B$232,$O10)</f>
        <v>Jonathan Taylor</v>
      </c>
      <c r="E10" s="4">
        <f>INDEX('Draft Engine'!$N$3:$N$232,$O10)</f>
        <v>94.720850000000013</v>
      </c>
      <c r="F10" s="4">
        <f>INDEX('Draft Engine'!$E$3:$E$232,$O10)</f>
        <v>92.147000000000006</v>
      </c>
      <c r="G10" s="4">
        <f>INDEX('Draft Engine'!$G$3:$G$232,$O10)</f>
        <v>317</v>
      </c>
      <c r="H10" s="4">
        <f>INDEX('Draft Engine'!$J$3:$J$232,$O10)</f>
        <v>78</v>
      </c>
      <c r="I10" s="4">
        <f>INDEX('Draft Engine'!$L$3:$L$232,$O10)</f>
        <v>100</v>
      </c>
      <c r="J10" s="4">
        <f>INDEX('Draft Engine'!$R$3:$R$232,$O10)</f>
        <v>7.4</v>
      </c>
      <c r="K10" s="4">
        <f>INDEX('Draft Engine'!$S$3:$S$232,$O10)</f>
        <v>-0.59999999999999964</v>
      </c>
      <c r="L10" s="4">
        <f>INDEX('Draft Engine'!$U$3:$U$232,$O10)</f>
        <v>86.147000000000006</v>
      </c>
      <c r="M10" s="4">
        <f>INDEX('Draft Engine'!$W$3:$W$232,$O10)</f>
        <v>98.147000000000006</v>
      </c>
      <c r="N10" t="str">
        <f>INDEX('Draft Engine'!$T$3:$T$232,$O10)</f>
        <v>A</v>
      </c>
      <c r="O10" s="6">
        <f>MATCH($A10,'Draft Engine'!$Q$3:$Q$232,0)</f>
        <v>36</v>
      </c>
    </row>
    <row r="11" spans="1:15" x14ac:dyDescent="0.25">
      <c r="A11">
        <f>9</f>
        <v>9</v>
      </c>
      <c r="B11" t="str">
        <f>INDEX('Draft Engine'!$A$3:$A$232,$O11)</f>
        <v>WR</v>
      </c>
      <c r="C11">
        <f>INDEX('Draft Engine'!$F$3:$F$232,$O11)</f>
        <v>5</v>
      </c>
      <c r="D11" t="str">
        <f>INDEX('Draft Engine'!$B$3:$B$232,$O11)</f>
        <v>Nico Collins</v>
      </c>
      <c r="E11" s="4">
        <f>INDEX('Draft Engine'!$N$3:$N$232,$O11)</f>
        <v>93.820875000000001</v>
      </c>
      <c r="F11" s="4">
        <f>INDEX('Draft Engine'!$E$3:$E$232,$O11)</f>
        <v>91.492500000000007</v>
      </c>
      <c r="G11" s="4">
        <f>INDEX('Draft Engine'!$G$3:$G$232,$O11)</f>
        <v>314.3</v>
      </c>
      <c r="H11" s="4">
        <f>INDEX('Draft Engine'!$J$3:$J$232,$O11)</f>
        <v>75</v>
      </c>
      <c r="I11" s="4">
        <f>INDEX('Draft Engine'!$L$3:$L$232,$O11)</f>
        <v>100</v>
      </c>
      <c r="J11" s="4">
        <f>INDEX('Draft Engine'!$R$3:$R$232,$O11)</f>
        <v>23.8</v>
      </c>
      <c r="K11" s="4">
        <f>INDEX('Draft Engine'!$S$3:$S$232,$O11)</f>
        <v>14.8</v>
      </c>
      <c r="L11" s="4">
        <f>INDEX('Draft Engine'!$U$3:$U$232,$O11)</f>
        <v>82.492500000000007</v>
      </c>
      <c r="M11" s="4">
        <f>INDEX('Draft Engine'!$W$3:$W$232,$O11)</f>
        <v>100</v>
      </c>
      <c r="N11" t="str">
        <f>INDEX('Draft Engine'!$T$3:$T$232,$O11)</f>
        <v>B</v>
      </c>
      <c r="O11" s="6">
        <f>MATCH($A11,'Draft Engine'!$Q$3:$Q$232,0)</f>
        <v>94</v>
      </c>
    </row>
    <row r="12" spans="1:15" x14ac:dyDescent="0.25">
      <c r="A12">
        <f>10</f>
        <v>10</v>
      </c>
      <c r="B12" t="str">
        <f>INDEX('Draft Engine'!$A$3:$A$232,$O12)</f>
        <v>TE</v>
      </c>
      <c r="C12">
        <f>INDEX('Draft Engine'!$F$3:$F$232,$O12)</f>
        <v>1</v>
      </c>
      <c r="D12" t="str">
        <f>INDEX('Draft Engine'!$B$3:$B$232,$O12)</f>
        <v>Trey McBride</v>
      </c>
      <c r="E12" s="4">
        <f>INDEX('Draft Engine'!$N$3:$N$232,$O12)</f>
        <v>93.487404999999995</v>
      </c>
      <c r="F12" s="4">
        <f>INDEX('Draft Engine'!$E$3:$E$232,$O12)</f>
        <v>97.737099999999998</v>
      </c>
      <c r="G12" s="4">
        <f>INDEX('Draft Engine'!$G$3:$G$232,$O12)</f>
        <v>242.1</v>
      </c>
      <c r="H12" s="4">
        <f>INDEX('Draft Engine'!$J$3:$J$232,$O12)</f>
        <v>62.4</v>
      </c>
      <c r="I12" s="4">
        <f>INDEX('Draft Engine'!$L$3:$L$232,$O12)</f>
        <v>90</v>
      </c>
      <c r="J12" s="4">
        <f>INDEX('Draft Engine'!$R$3:$R$232,$O12)</f>
        <v>35.700000000000003</v>
      </c>
      <c r="K12" s="4">
        <f>INDEX('Draft Engine'!$S$3:$S$232,$O12)</f>
        <v>25.700000000000003</v>
      </c>
      <c r="L12" s="4">
        <f>INDEX('Draft Engine'!$U$3:$U$232,$O12)</f>
        <v>91.737099999999998</v>
      </c>
      <c r="M12" s="4">
        <f>INDEX('Draft Engine'!$W$3:$W$232,$O12)</f>
        <v>100</v>
      </c>
      <c r="N12" t="str">
        <f>INDEX('Draft Engine'!$T$3:$T$232,$O12)</f>
        <v>A</v>
      </c>
      <c r="O12" s="6">
        <f>MATCH($A12,'Draft Engine'!$Q$3:$Q$232,0)</f>
        <v>159</v>
      </c>
    </row>
    <row r="13" spans="1:15" x14ac:dyDescent="0.25">
      <c r="A13">
        <f>11</f>
        <v>11</v>
      </c>
      <c r="B13" t="str">
        <f>INDEX('Draft Engine'!$A$3:$A$232,$O13)</f>
        <v>RB</v>
      </c>
      <c r="C13">
        <f>INDEX('Draft Engine'!$F$3:$F$232,$O13)</f>
        <v>5</v>
      </c>
      <c r="D13" t="str">
        <f>INDEX('Draft Engine'!$B$3:$B$232,$O13)</f>
        <v>Jeremiyah Love</v>
      </c>
      <c r="E13" s="4">
        <f>INDEX('Draft Engine'!$N$3:$N$232,$O13)</f>
        <v>93.044245000000004</v>
      </c>
      <c r="F13" s="4">
        <f>INDEX('Draft Engine'!$E$3:$E$232,$O13)</f>
        <v>90.865899999999996</v>
      </c>
      <c r="G13" s="4">
        <f>INDEX('Draft Engine'!$G$3:$G$232,$O13)</f>
        <v>311.60000000000002</v>
      </c>
      <c r="H13" s="4">
        <f>INDEX('Draft Engine'!$J$3:$J$232,$O13)</f>
        <v>72.599999999999994</v>
      </c>
      <c r="I13" s="4">
        <f>INDEX('Draft Engine'!$L$3:$L$232,$O13)</f>
        <v>100</v>
      </c>
      <c r="J13" s="4">
        <f>INDEX('Draft Engine'!$R$3:$R$232,$O13)</f>
        <v>26.2</v>
      </c>
      <c r="K13" s="4">
        <f>INDEX('Draft Engine'!$S$3:$S$232,$O13)</f>
        <v>15.2</v>
      </c>
      <c r="L13" s="4">
        <f>INDEX('Draft Engine'!$U$3:$U$232,$O13)</f>
        <v>81.865899999999996</v>
      </c>
      <c r="M13" s="4">
        <f>INDEX('Draft Engine'!$W$3:$W$232,$O13)</f>
        <v>99.865899999999996</v>
      </c>
      <c r="N13" t="str">
        <f>INDEX('Draft Engine'!$T$3:$T$232,$O13)</f>
        <v>B</v>
      </c>
      <c r="O13" s="6">
        <f>MATCH($A13,'Draft Engine'!$Q$3:$Q$232,0)</f>
        <v>37</v>
      </c>
    </row>
    <row r="14" spans="1:15" x14ac:dyDescent="0.25">
      <c r="A14">
        <f>12</f>
        <v>12</v>
      </c>
      <c r="B14" t="str">
        <f>INDEX('Draft Engine'!$A$3:$A$232,$O14)</f>
        <v>QB</v>
      </c>
      <c r="C14">
        <f>INDEX('Draft Engine'!$F$3:$F$232,$O14)</f>
        <v>1</v>
      </c>
      <c r="D14" t="str">
        <f>INDEX('Draft Engine'!$B$3:$B$232,$O14)</f>
        <v>Josh Allen</v>
      </c>
      <c r="E14" s="4">
        <f>INDEX('Draft Engine'!$N$3:$N$232,$O14)</f>
        <v>90.744444999999999</v>
      </c>
      <c r="F14" s="4">
        <f>INDEX('Draft Engine'!$E$3:$E$232,$O14)</f>
        <v>97.309899999999999</v>
      </c>
      <c r="G14" s="4">
        <f>INDEX('Draft Engine'!$G$3:$G$232,$O14)</f>
        <v>407.9</v>
      </c>
      <c r="H14" s="4">
        <f>INDEX('Draft Engine'!$J$3:$J$232,$O14)</f>
        <v>56.8</v>
      </c>
      <c r="I14" s="4">
        <f>INDEX('Draft Engine'!$L$3:$L$232,$O14)</f>
        <v>100</v>
      </c>
      <c r="J14" s="4">
        <f>INDEX('Draft Engine'!$R$3:$R$232,$O14)</f>
        <v>26.6</v>
      </c>
      <c r="K14" s="4">
        <f>INDEX('Draft Engine'!$S$3:$S$232,$O14)</f>
        <v>14.600000000000001</v>
      </c>
      <c r="L14" s="4">
        <f>INDEX('Draft Engine'!$U$3:$U$232,$O14)</f>
        <v>91.309899999999999</v>
      </c>
      <c r="M14" s="4">
        <f>INDEX('Draft Engine'!$W$3:$W$232,$O14)</f>
        <v>100</v>
      </c>
      <c r="N14" t="str">
        <f>INDEX('Draft Engine'!$T$3:$T$232,$O14)</f>
        <v>A</v>
      </c>
      <c r="O14" s="6">
        <f>MATCH($A14,'Draft Engine'!$Q$3:$Q$232,0)</f>
        <v>1</v>
      </c>
    </row>
    <row r="15" spans="1:15" x14ac:dyDescent="0.25">
      <c r="A15">
        <f>13</f>
        <v>13</v>
      </c>
      <c r="B15" t="str">
        <f>INDEX('Draft Engine'!$A$3:$A$232,$O15)</f>
        <v>WR</v>
      </c>
      <c r="C15">
        <f>INDEX('Draft Engine'!$F$3:$F$232,$O15)</f>
        <v>6</v>
      </c>
      <c r="D15" t="str">
        <f>INDEX('Draft Engine'!$B$3:$B$232,$O15)</f>
        <v>Chris Olave</v>
      </c>
      <c r="E15" s="4">
        <f>INDEX('Draft Engine'!$N$3:$N$232,$O15)</f>
        <v>90.270458333333337</v>
      </c>
      <c r="F15" s="4">
        <f>INDEX('Draft Engine'!$E$3:$E$232,$O15)</f>
        <v>88.907499999999999</v>
      </c>
      <c r="G15" s="4">
        <f>INDEX('Draft Engine'!$G$3:$G$232,$O15)</f>
        <v>303.39999999999998</v>
      </c>
      <c r="H15" s="4">
        <f>INDEX('Draft Engine'!$J$3:$J$232,$O15)</f>
        <v>64.099999999999994</v>
      </c>
      <c r="I15" s="4">
        <f>INDEX('Draft Engine'!$L$3:$L$232,$O15)</f>
        <v>98.8888888888889</v>
      </c>
      <c r="J15" s="4">
        <f>INDEX('Draft Engine'!$R$3:$R$232,$O15)</f>
        <v>20.399999999999999</v>
      </c>
      <c r="K15" s="4">
        <f>INDEX('Draft Engine'!$S$3:$S$232,$O15)</f>
        <v>7.3999999999999986</v>
      </c>
      <c r="L15" s="4">
        <f>INDEX('Draft Engine'!$U$3:$U$232,$O15)</f>
        <v>79.907499999999999</v>
      </c>
      <c r="M15" s="4">
        <f>INDEX('Draft Engine'!$W$3:$W$232,$O15)</f>
        <v>97.907499999999999</v>
      </c>
      <c r="N15" t="str">
        <f>INDEX('Draft Engine'!$T$3:$T$232,$O15)</f>
        <v>B</v>
      </c>
      <c r="O15" s="6">
        <f>MATCH($A15,'Draft Engine'!$Q$3:$Q$232,0)</f>
        <v>96</v>
      </c>
    </row>
    <row r="16" spans="1:15" x14ac:dyDescent="0.25">
      <c r="A16">
        <f>14</f>
        <v>14</v>
      </c>
      <c r="B16" t="str">
        <f>INDEX('Draft Engine'!$A$3:$A$232,$O16)</f>
        <v>RB</v>
      </c>
      <c r="C16">
        <f>INDEX('Draft Engine'!$F$3:$F$232,$O16)</f>
        <v>6</v>
      </c>
      <c r="D16" t="str">
        <f>INDEX('Draft Engine'!$B$3:$B$232,$O16)</f>
        <v>Omarion Hampton</v>
      </c>
      <c r="E16" s="4">
        <f>INDEX('Draft Engine'!$N$3:$N$232,$O16)</f>
        <v>90.147154999999998</v>
      </c>
      <c r="F16" s="4">
        <f>INDEX('Draft Engine'!$E$3:$E$232,$O16)</f>
        <v>88.642099999999999</v>
      </c>
      <c r="G16" s="4">
        <f>INDEX('Draft Engine'!$G$3:$G$232,$O16)</f>
        <v>302.3</v>
      </c>
      <c r="H16" s="4">
        <f>INDEX('Draft Engine'!$J$3:$J$232,$O16)</f>
        <v>63.3</v>
      </c>
      <c r="I16" s="4">
        <f>INDEX('Draft Engine'!$L$3:$L$232,$O16)</f>
        <v>100</v>
      </c>
      <c r="J16" s="4">
        <f>INDEX('Draft Engine'!$R$3:$R$232,$O16)</f>
        <v>19.600000000000001</v>
      </c>
      <c r="K16" s="4">
        <f>INDEX('Draft Engine'!$S$3:$S$232,$O16)</f>
        <v>5.6000000000000014</v>
      </c>
      <c r="L16" s="4">
        <f>INDEX('Draft Engine'!$U$3:$U$232,$O16)</f>
        <v>79.642099999999999</v>
      </c>
      <c r="M16" s="4">
        <f>INDEX('Draft Engine'!$W$3:$W$232,$O16)</f>
        <v>97.642099999999999</v>
      </c>
      <c r="N16" t="str">
        <f>INDEX('Draft Engine'!$T$3:$T$232,$O16)</f>
        <v>B</v>
      </c>
      <c r="O16" s="6">
        <f>MATCH($A16,'Draft Engine'!$Q$3:$Q$232,0)</f>
        <v>38</v>
      </c>
    </row>
    <row r="17" spans="1:15" x14ac:dyDescent="0.25">
      <c r="A17">
        <f>15</f>
        <v>15</v>
      </c>
      <c r="B17" t="str">
        <f>INDEX('Draft Engine'!$A$3:$A$232,$O17)</f>
        <v>TE</v>
      </c>
      <c r="C17">
        <f>INDEX('Draft Engine'!$F$3:$F$232,$O17)</f>
        <v>2</v>
      </c>
      <c r="D17" t="str">
        <f>INDEX('Draft Engine'!$B$3:$B$232,$O17)</f>
        <v>Brock Bowers</v>
      </c>
      <c r="E17" s="4">
        <f>INDEX('Draft Engine'!$N$3:$N$232,$O17)</f>
        <v>89.426222307692314</v>
      </c>
      <c r="F17" s="4">
        <f>INDEX('Draft Engine'!$E$3:$E$232,$O17)</f>
        <v>94.884600000000006</v>
      </c>
      <c r="G17" s="4">
        <f>INDEX('Draft Engine'!$G$3:$G$232,$O17)</f>
        <v>232.1</v>
      </c>
      <c r="H17" s="4">
        <f>INDEX('Draft Engine'!$J$3:$J$232,$O17)</f>
        <v>52.4</v>
      </c>
      <c r="I17" s="4">
        <f>INDEX('Draft Engine'!$L$3:$L$232,$O17)</f>
        <v>85.384615384615373</v>
      </c>
      <c r="J17" s="4">
        <f>INDEX('Draft Engine'!$R$3:$R$232,$O17)</f>
        <v>41.1</v>
      </c>
      <c r="K17" s="4">
        <f>INDEX('Draft Engine'!$S$3:$S$232,$O17)</f>
        <v>26.1</v>
      </c>
      <c r="L17" s="4">
        <f>INDEX('Draft Engine'!$U$3:$U$232,$O17)</f>
        <v>88.884600000000006</v>
      </c>
      <c r="M17" s="4">
        <f>INDEX('Draft Engine'!$W$3:$W$232,$O17)</f>
        <v>100</v>
      </c>
      <c r="N17" t="str">
        <f>INDEX('Draft Engine'!$T$3:$T$232,$O17)</f>
        <v>A</v>
      </c>
      <c r="O17" s="6">
        <f>MATCH($A17,'Draft Engine'!$Q$3:$Q$232,0)</f>
        <v>160</v>
      </c>
    </row>
    <row r="18" spans="1:15" x14ac:dyDescent="0.25">
      <c r="A18">
        <f>16</f>
        <v>16</v>
      </c>
      <c r="B18" t="str">
        <f>INDEX('Draft Engine'!$A$3:$A$232,$O18)</f>
        <v>RB</v>
      </c>
      <c r="C18">
        <f>INDEX('Draft Engine'!$F$3:$F$232,$O18)</f>
        <v>7</v>
      </c>
      <c r="D18" t="str">
        <f>INDEX('Draft Engine'!$B$3:$B$232,$O18)</f>
        <v>De'Von Achane</v>
      </c>
      <c r="E18" s="4">
        <f>INDEX('Draft Engine'!$N$3:$N$232,$O18)</f>
        <v>89.241200000000006</v>
      </c>
      <c r="F18" s="4">
        <f>INDEX('Draft Engine'!$E$3:$E$232,$O18)</f>
        <v>87.944000000000003</v>
      </c>
      <c r="G18" s="4">
        <f>INDEX('Draft Engine'!$G$3:$G$232,$O18)</f>
        <v>299.39999999999998</v>
      </c>
      <c r="H18" s="4">
        <f>INDEX('Draft Engine'!$J$3:$J$232,$O18)</f>
        <v>60.4</v>
      </c>
      <c r="I18" s="4">
        <f>INDEX('Draft Engine'!$L$3:$L$232,$O18)</f>
        <v>100</v>
      </c>
      <c r="J18" s="4">
        <f>INDEX('Draft Engine'!$R$3:$R$232,$O18)</f>
        <v>10.1</v>
      </c>
      <c r="K18" s="4">
        <f>INDEX('Draft Engine'!$S$3:$S$232,$O18)</f>
        <v>-5.9</v>
      </c>
      <c r="L18" s="4">
        <f>INDEX('Draft Engine'!$U$3:$U$232,$O18)</f>
        <v>81.944000000000003</v>
      </c>
      <c r="M18" s="4">
        <f>INDEX('Draft Engine'!$W$3:$W$232,$O18)</f>
        <v>93.944000000000003</v>
      </c>
      <c r="N18" t="str">
        <f>INDEX('Draft Engine'!$T$3:$T$232,$O18)</f>
        <v>A</v>
      </c>
      <c r="O18" s="6">
        <f>MATCH($A18,'Draft Engine'!$Q$3:$Q$232,0)</f>
        <v>39</v>
      </c>
    </row>
    <row r="19" spans="1:15" x14ac:dyDescent="0.25">
      <c r="A19">
        <f>17</f>
        <v>17</v>
      </c>
      <c r="B19" t="str">
        <f>INDEX('Draft Engine'!$A$3:$A$232,$O19)</f>
        <v>RB</v>
      </c>
      <c r="C19">
        <f>INDEX('Draft Engine'!$F$3:$F$232,$O19)</f>
        <v>8</v>
      </c>
      <c r="D19" t="str">
        <f>INDEX('Draft Engine'!$B$3:$B$232,$O19)</f>
        <v>Kenneth Walker III</v>
      </c>
      <c r="E19" s="4">
        <f>INDEX('Draft Engine'!$N$3:$N$232,$O19)</f>
        <v>88.113304999999997</v>
      </c>
      <c r="F19" s="4">
        <f>INDEX('Draft Engine'!$E$3:$E$232,$O19)</f>
        <v>87.292599999999993</v>
      </c>
      <c r="G19" s="4">
        <f>INDEX('Draft Engine'!$G$3:$G$232,$O19)</f>
        <v>296.60000000000002</v>
      </c>
      <c r="H19" s="4">
        <f>INDEX('Draft Engine'!$J$3:$J$232,$O19)</f>
        <v>57.6</v>
      </c>
      <c r="I19" s="4">
        <f>INDEX('Draft Engine'!$L$3:$L$232,$O19)</f>
        <v>98.229166666666643</v>
      </c>
      <c r="J19" s="4">
        <f>INDEX('Draft Engine'!$R$3:$R$232,$O19)</f>
        <v>26.2</v>
      </c>
      <c r="K19" s="4">
        <f>INDEX('Draft Engine'!$S$3:$S$232,$O19)</f>
        <v>9.1999999999999993</v>
      </c>
      <c r="L19" s="4">
        <f>INDEX('Draft Engine'!$U$3:$U$232,$O19)</f>
        <v>81.292599999999993</v>
      </c>
      <c r="M19" s="4">
        <f>INDEX('Draft Engine'!$W$3:$W$232,$O19)</f>
        <v>93.292599999999993</v>
      </c>
      <c r="N19" t="str">
        <f>INDEX('Draft Engine'!$T$3:$T$232,$O19)</f>
        <v>A</v>
      </c>
      <c r="O19" s="6">
        <f>MATCH($A19,'Draft Engine'!$Q$3:$Q$232,0)</f>
        <v>40</v>
      </c>
    </row>
    <row r="20" spans="1:15" x14ac:dyDescent="0.25">
      <c r="A20">
        <f>18</f>
        <v>18</v>
      </c>
      <c r="B20" t="str">
        <f>INDEX('Draft Engine'!$A$3:$A$232,$O20)</f>
        <v>WR</v>
      </c>
      <c r="C20">
        <f>INDEX('Draft Engine'!$F$3:$F$232,$O20)</f>
        <v>7</v>
      </c>
      <c r="D20" t="str">
        <f>INDEX('Draft Engine'!$B$3:$B$232,$O20)</f>
        <v>Drake London</v>
      </c>
      <c r="E20" s="4">
        <f>INDEX('Draft Engine'!$N$3:$N$232,$O20)</f>
        <v>88.106830000000002</v>
      </c>
      <c r="F20" s="4">
        <f>INDEX('Draft Engine'!$E$3:$E$232,$O20)</f>
        <v>87.510599999999997</v>
      </c>
      <c r="G20" s="4">
        <f>INDEX('Draft Engine'!$G$3:$G$232,$O20)</f>
        <v>297.5</v>
      </c>
      <c r="H20" s="4">
        <f>INDEX('Draft Engine'!$J$3:$J$232,$O20)</f>
        <v>58.2</v>
      </c>
      <c r="I20" s="4">
        <f>INDEX('Draft Engine'!$L$3:$L$232,$O20)</f>
        <v>96.666666666666671</v>
      </c>
      <c r="J20" s="4">
        <f>INDEX('Draft Engine'!$R$3:$R$232,$O20)</f>
        <v>10.199999999999999</v>
      </c>
      <c r="K20" s="4">
        <f>INDEX('Draft Engine'!$S$3:$S$232,$O20)</f>
        <v>-7.8000000000000007</v>
      </c>
      <c r="L20" s="4">
        <f>INDEX('Draft Engine'!$U$3:$U$232,$O20)</f>
        <v>81.510599999999997</v>
      </c>
      <c r="M20" s="4">
        <f>INDEX('Draft Engine'!$W$3:$W$232,$O20)</f>
        <v>93.510599999999997</v>
      </c>
      <c r="N20" t="str">
        <f>INDEX('Draft Engine'!$T$3:$T$232,$O20)</f>
        <v>A</v>
      </c>
      <c r="O20" s="6">
        <f>MATCH($A20,'Draft Engine'!$Q$3:$Q$232,0)</f>
        <v>93</v>
      </c>
    </row>
    <row r="21" spans="1:15" x14ac:dyDescent="0.25">
      <c r="A21">
        <f>19</f>
        <v>19</v>
      </c>
      <c r="B21" t="str">
        <f>INDEX('Draft Engine'!$A$3:$A$232,$O21)</f>
        <v>WR</v>
      </c>
      <c r="C21">
        <f>INDEX('Draft Engine'!$F$3:$F$232,$O21)</f>
        <v>8</v>
      </c>
      <c r="D21" t="str">
        <f>INDEX('Draft Engine'!$B$3:$B$232,$O21)</f>
        <v>DeVonta Smith</v>
      </c>
      <c r="E21" s="4">
        <f>INDEX('Draft Engine'!$N$3:$N$232,$O21)</f>
        <v>87.742791666666662</v>
      </c>
      <c r="F21" s="4">
        <f>INDEX('Draft Engine'!$E$3:$E$232,$O21)</f>
        <v>87.487499999999997</v>
      </c>
      <c r="G21" s="4">
        <f>INDEX('Draft Engine'!$G$3:$G$232,$O21)</f>
        <v>297.39999999999998</v>
      </c>
      <c r="H21" s="4">
        <f>INDEX('Draft Engine'!$J$3:$J$232,$O21)</f>
        <v>58.1</v>
      </c>
      <c r="I21" s="4">
        <f>INDEX('Draft Engine'!$L$3:$L$232,$O21)</f>
        <v>94.444444444444443</v>
      </c>
      <c r="J21" s="4">
        <f>INDEX('Draft Engine'!$R$3:$R$232,$O21)</f>
        <v>29.5</v>
      </c>
      <c r="K21" s="4">
        <f>INDEX('Draft Engine'!$S$3:$S$232,$O21)</f>
        <v>10.5</v>
      </c>
      <c r="L21" s="4">
        <f>INDEX('Draft Engine'!$U$3:$U$232,$O21)</f>
        <v>78.487499999999997</v>
      </c>
      <c r="M21" s="4">
        <f>INDEX('Draft Engine'!$W$3:$W$232,$O21)</f>
        <v>96.487499999999997</v>
      </c>
      <c r="N21" t="str">
        <f>INDEX('Draft Engine'!$T$3:$T$232,$O21)</f>
        <v>B</v>
      </c>
      <c r="O21" s="6">
        <f>MATCH($A21,'Draft Engine'!$Q$3:$Q$232,0)</f>
        <v>100</v>
      </c>
    </row>
    <row r="22" spans="1:15" x14ac:dyDescent="0.25">
      <c r="A22">
        <f>20</f>
        <v>20</v>
      </c>
      <c r="B22" t="str">
        <f>INDEX('Draft Engine'!$A$3:$A$232,$O22)</f>
        <v>RB</v>
      </c>
      <c r="C22">
        <f>INDEX('Draft Engine'!$F$3:$F$232,$O22)</f>
        <v>9</v>
      </c>
      <c r="D22" t="str">
        <f>INDEX('Draft Engine'!$B$3:$B$232,$O22)</f>
        <v>James Cook III</v>
      </c>
      <c r="E22" s="4">
        <f>INDEX('Draft Engine'!$N$3:$N$232,$O22)</f>
        <v>87.444900000000018</v>
      </c>
      <c r="F22" s="4">
        <f>INDEX('Draft Engine'!$E$3:$E$232,$O22)</f>
        <v>87.058000000000007</v>
      </c>
      <c r="G22" s="4">
        <f>INDEX('Draft Engine'!$G$3:$G$232,$O22)</f>
        <v>295.60000000000002</v>
      </c>
      <c r="H22" s="4">
        <f>INDEX('Draft Engine'!$J$3:$J$232,$O22)</f>
        <v>56.6</v>
      </c>
      <c r="I22" s="4">
        <f>INDEX('Draft Engine'!$L$3:$L$232,$O22)</f>
        <v>95.833333333333343</v>
      </c>
      <c r="J22" s="4">
        <f>INDEX('Draft Engine'!$R$3:$R$232,$O22)</f>
        <v>14.9</v>
      </c>
      <c r="K22" s="4">
        <f>INDEX('Draft Engine'!$S$3:$S$232,$O22)</f>
        <v>-5.0999999999999996</v>
      </c>
      <c r="L22" s="4">
        <f>INDEX('Draft Engine'!$U$3:$U$232,$O22)</f>
        <v>81.058000000000007</v>
      </c>
      <c r="M22" s="4">
        <f>INDEX('Draft Engine'!$W$3:$W$232,$O22)</f>
        <v>93.058000000000007</v>
      </c>
      <c r="N22" t="str">
        <f>INDEX('Draft Engine'!$T$3:$T$232,$O22)</f>
        <v>A</v>
      </c>
      <c r="O22" s="6">
        <f>MATCH($A22,'Draft Engine'!$Q$3:$Q$232,0)</f>
        <v>41</v>
      </c>
    </row>
    <row r="23" spans="1:15" x14ac:dyDescent="0.25">
      <c r="A23">
        <f>21</f>
        <v>21</v>
      </c>
      <c r="B23" t="str">
        <f>INDEX('Draft Engine'!$A$3:$A$232,$O23)</f>
        <v>WR</v>
      </c>
      <c r="C23">
        <f>INDEX('Draft Engine'!$F$3:$F$232,$O23)</f>
        <v>9</v>
      </c>
      <c r="D23" t="str">
        <f>INDEX('Draft Engine'!$B$3:$B$232,$O23)</f>
        <v>Zay Flowers</v>
      </c>
      <c r="E23" s="4">
        <f>INDEX('Draft Engine'!$N$3:$N$232,$O23)</f>
        <v>86.220833333333331</v>
      </c>
      <c r="F23" s="4">
        <f>INDEX('Draft Engine'!$E$3:$E$232,$O23)</f>
        <v>86.57</v>
      </c>
      <c r="G23" s="4">
        <f>INDEX('Draft Engine'!$G$3:$G$232,$O23)</f>
        <v>293.60000000000002</v>
      </c>
      <c r="H23" s="4">
        <f>INDEX('Draft Engine'!$J$3:$J$232,$O23)</f>
        <v>54.3</v>
      </c>
      <c r="I23" s="4">
        <f>INDEX('Draft Engine'!$L$3:$L$232,$O23)</f>
        <v>92.222222222222229</v>
      </c>
      <c r="J23" s="4">
        <f>INDEX('Draft Engine'!$R$3:$R$232,$O23)</f>
        <v>26.4</v>
      </c>
      <c r="K23" s="4">
        <f>INDEX('Draft Engine'!$S$3:$S$232,$O23)</f>
        <v>5.3999999999999986</v>
      </c>
      <c r="L23" s="4">
        <f>INDEX('Draft Engine'!$U$3:$U$232,$O23)</f>
        <v>77.569999999999993</v>
      </c>
      <c r="M23" s="4">
        <f>INDEX('Draft Engine'!$W$3:$W$232,$O23)</f>
        <v>95.57</v>
      </c>
      <c r="N23" t="str">
        <f>INDEX('Draft Engine'!$T$3:$T$232,$O23)</f>
        <v>B</v>
      </c>
      <c r="O23" s="6">
        <f>MATCH($A23,'Draft Engine'!$Q$3:$Q$232,0)</f>
        <v>101</v>
      </c>
    </row>
    <row r="24" spans="1:15" x14ac:dyDescent="0.25">
      <c r="A24">
        <f>22</f>
        <v>22</v>
      </c>
      <c r="B24" t="str">
        <f>INDEX('Draft Engine'!$A$3:$A$232,$O24)</f>
        <v>RB</v>
      </c>
      <c r="C24">
        <f>INDEX('Draft Engine'!$F$3:$F$232,$O24)</f>
        <v>10</v>
      </c>
      <c r="D24" t="str">
        <f>INDEX('Draft Engine'!$B$3:$B$232,$O24)</f>
        <v>Kyren Williams</v>
      </c>
      <c r="E24" s="4">
        <f>INDEX('Draft Engine'!$N$3:$N$232,$O24)</f>
        <v>85.647355000000005</v>
      </c>
      <c r="F24" s="4">
        <f>INDEX('Draft Engine'!$E$3:$E$232,$O24)</f>
        <v>85.948599999999999</v>
      </c>
      <c r="G24" s="4">
        <f>INDEX('Draft Engine'!$G$3:$G$232,$O24)</f>
        <v>291</v>
      </c>
      <c r="H24" s="4">
        <f>INDEX('Draft Engine'!$J$3:$J$232,$O24)</f>
        <v>52</v>
      </c>
      <c r="I24" s="4">
        <f>INDEX('Draft Engine'!$L$3:$L$232,$O24)</f>
        <v>93.437499999999986</v>
      </c>
      <c r="J24" s="4">
        <f>INDEX('Draft Engine'!$R$3:$R$232,$O24)</f>
        <v>33.1</v>
      </c>
      <c r="K24" s="4">
        <f>INDEX('Draft Engine'!$S$3:$S$232,$O24)</f>
        <v>11.100000000000001</v>
      </c>
      <c r="L24" s="4">
        <f>INDEX('Draft Engine'!$U$3:$U$232,$O24)</f>
        <v>79.948599999999999</v>
      </c>
      <c r="M24" s="4">
        <f>INDEX('Draft Engine'!$W$3:$W$232,$O24)</f>
        <v>91.948599999999999</v>
      </c>
      <c r="N24" t="str">
        <f>INDEX('Draft Engine'!$T$3:$T$232,$O24)</f>
        <v>A</v>
      </c>
      <c r="O24" s="6">
        <f>MATCH($A24,'Draft Engine'!$Q$3:$Q$232,0)</f>
        <v>42</v>
      </c>
    </row>
    <row r="25" spans="1:15" x14ac:dyDescent="0.25">
      <c r="A25">
        <f>23</f>
        <v>23</v>
      </c>
      <c r="B25" t="str">
        <f>INDEX('Draft Engine'!$A$3:$A$232,$O25)</f>
        <v>WR</v>
      </c>
      <c r="C25">
        <f>INDEX('Draft Engine'!$F$3:$F$232,$O25)</f>
        <v>10</v>
      </c>
      <c r="D25" t="str">
        <f>INDEX('Draft Engine'!$B$3:$B$232,$O25)</f>
        <v>Garrett Wilson</v>
      </c>
      <c r="E25" s="4">
        <f>INDEX('Draft Engine'!$N$3:$N$232,$O25)</f>
        <v>85.353250000000003</v>
      </c>
      <c r="F25" s="4">
        <f>INDEX('Draft Engine'!$E$3:$E$232,$O25)</f>
        <v>86.155000000000001</v>
      </c>
      <c r="G25" s="4">
        <f>INDEX('Draft Engine'!$G$3:$G$232,$O25)</f>
        <v>291.89999999999998</v>
      </c>
      <c r="H25" s="4">
        <f>INDEX('Draft Engine'!$J$3:$J$232,$O25)</f>
        <v>52.6</v>
      </c>
      <c r="I25" s="4">
        <f>INDEX('Draft Engine'!$L$3:$L$232,$O25)</f>
        <v>90</v>
      </c>
      <c r="J25" s="4">
        <f>INDEX('Draft Engine'!$R$3:$R$232,$O25)</f>
        <v>29</v>
      </c>
      <c r="K25" s="4">
        <f>INDEX('Draft Engine'!$S$3:$S$232,$O25)</f>
        <v>6</v>
      </c>
      <c r="L25" s="4">
        <f>INDEX('Draft Engine'!$U$3:$U$232,$O25)</f>
        <v>77.155000000000001</v>
      </c>
      <c r="M25" s="4">
        <f>INDEX('Draft Engine'!$W$3:$W$232,$O25)</f>
        <v>95.155000000000001</v>
      </c>
      <c r="N25" t="str">
        <f>INDEX('Draft Engine'!$T$3:$T$232,$O25)</f>
        <v>B</v>
      </c>
      <c r="O25" s="6">
        <f>MATCH($A25,'Draft Engine'!$Q$3:$Q$232,0)</f>
        <v>99</v>
      </c>
    </row>
    <row r="26" spans="1:15" x14ac:dyDescent="0.25">
      <c r="A26">
        <f>24</f>
        <v>24</v>
      </c>
      <c r="B26" t="str">
        <f>INDEX('Draft Engine'!$A$3:$A$232,$O26)</f>
        <v>RB</v>
      </c>
      <c r="C26">
        <f>INDEX('Draft Engine'!$F$3:$F$232,$O26)</f>
        <v>11</v>
      </c>
      <c r="D26" t="str">
        <f>INDEX('Draft Engine'!$B$3:$B$232,$O26)</f>
        <v>Breece Hall</v>
      </c>
      <c r="E26" s="4">
        <f>INDEX('Draft Engine'!$N$3:$N$232,$O26)</f>
        <v>85.222610000000003</v>
      </c>
      <c r="F26" s="4">
        <f>INDEX('Draft Engine'!$E$3:$E$232,$O26)</f>
        <v>85.895200000000003</v>
      </c>
      <c r="G26" s="4">
        <f>INDEX('Draft Engine'!$G$3:$G$232,$O26)</f>
        <v>290.8</v>
      </c>
      <c r="H26" s="4">
        <f>INDEX('Draft Engine'!$J$3:$J$232,$O26)</f>
        <v>51.8</v>
      </c>
      <c r="I26" s="4">
        <f>INDEX('Draft Engine'!$L$3:$L$232,$O26)</f>
        <v>91.041666666666643</v>
      </c>
      <c r="J26" s="4">
        <f>INDEX('Draft Engine'!$R$3:$R$232,$O26)</f>
        <v>27</v>
      </c>
      <c r="K26" s="4">
        <f>INDEX('Draft Engine'!$S$3:$S$232,$O26)</f>
        <v>3</v>
      </c>
      <c r="L26" s="4">
        <f>INDEX('Draft Engine'!$U$3:$U$232,$O26)</f>
        <v>79.895200000000003</v>
      </c>
      <c r="M26" s="4">
        <f>INDEX('Draft Engine'!$W$3:$W$232,$O26)</f>
        <v>91.895200000000003</v>
      </c>
      <c r="N26" t="str">
        <f>INDEX('Draft Engine'!$T$3:$T$232,$O26)</f>
        <v>A</v>
      </c>
      <c r="O26" s="6">
        <f>MATCH($A26,'Draft Engine'!$Q$3:$Q$232,0)</f>
        <v>43</v>
      </c>
    </row>
    <row r="27" spans="1:15" x14ac:dyDescent="0.25">
      <c r="A27">
        <f>25</f>
        <v>25</v>
      </c>
      <c r="B27" t="str">
        <f>INDEX('Draft Engine'!$A$3:$A$232,$O27)</f>
        <v>RB</v>
      </c>
      <c r="C27">
        <f>INDEX('Draft Engine'!$F$3:$F$232,$O27)</f>
        <v>12</v>
      </c>
      <c r="D27" t="str">
        <f>INDEX('Draft Engine'!$B$3:$B$232,$O27)</f>
        <v>Ashton Jeanty</v>
      </c>
      <c r="E27" s="4">
        <f>INDEX('Draft Engine'!$N$3:$N$232,$O27)</f>
        <v>84.780690000000007</v>
      </c>
      <c r="F27" s="4">
        <f>INDEX('Draft Engine'!$E$3:$E$232,$O27)</f>
        <v>85.843299999999999</v>
      </c>
      <c r="G27" s="4">
        <f>INDEX('Draft Engine'!$G$3:$G$232,$O27)</f>
        <v>290.5</v>
      </c>
      <c r="H27" s="4">
        <f>INDEX('Draft Engine'!$J$3:$J$232,$O27)</f>
        <v>51.5</v>
      </c>
      <c r="I27" s="4">
        <f>INDEX('Draft Engine'!$L$3:$L$232,$O27)</f>
        <v>88.645833333333343</v>
      </c>
      <c r="J27" s="4">
        <f>INDEX('Draft Engine'!$R$3:$R$232,$O27)</f>
        <v>13.8</v>
      </c>
      <c r="K27" s="4">
        <f>INDEX('Draft Engine'!$S$3:$S$232,$O27)</f>
        <v>-11.2</v>
      </c>
      <c r="L27" s="4">
        <f>INDEX('Draft Engine'!$U$3:$U$232,$O27)</f>
        <v>79.843299999999999</v>
      </c>
      <c r="M27" s="4">
        <f>INDEX('Draft Engine'!$W$3:$W$232,$O27)</f>
        <v>91.843299999999999</v>
      </c>
      <c r="N27" t="str">
        <f>INDEX('Draft Engine'!$T$3:$T$232,$O27)</f>
        <v>A</v>
      </c>
      <c r="O27" s="6">
        <f>MATCH($A27,'Draft Engine'!$Q$3:$Q$232,0)</f>
        <v>44</v>
      </c>
    </row>
    <row r="28" spans="1:15" x14ac:dyDescent="0.25">
      <c r="A28">
        <f>26</f>
        <v>26</v>
      </c>
      <c r="B28" t="str">
        <f>INDEX('Draft Engine'!$A$3:$A$232,$O28)</f>
        <v>WR</v>
      </c>
      <c r="C28">
        <f>INDEX('Draft Engine'!$F$3:$F$232,$O28)</f>
        <v>11</v>
      </c>
      <c r="D28" t="str">
        <f>INDEX('Draft Engine'!$B$3:$B$232,$O28)</f>
        <v>CeeDee Lamb</v>
      </c>
      <c r="E28" s="4">
        <f>INDEX('Draft Engine'!$N$3:$N$232,$O28)</f>
        <v>84.469096666666672</v>
      </c>
      <c r="F28" s="4">
        <f>INDEX('Draft Engine'!$E$3:$E$232,$O28)</f>
        <v>85.742599999999996</v>
      </c>
      <c r="G28" s="4">
        <f>INDEX('Draft Engine'!$G$3:$G$232,$O28)</f>
        <v>290.10000000000002</v>
      </c>
      <c r="H28" s="4">
        <f>INDEX('Draft Engine'!$J$3:$J$232,$O28)</f>
        <v>50.8</v>
      </c>
      <c r="I28" s="4">
        <f>INDEX('Draft Engine'!$L$3:$L$232,$O28)</f>
        <v>87.7777777777778</v>
      </c>
      <c r="J28" s="4">
        <f>INDEX('Draft Engine'!$R$3:$R$232,$O28)</f>
        <v>11.2</v>
      </c>
      <c r="K28" s="4">
        <f>INDEX('Draft Engine'!$S$3:$S$232,$O28)</f>
        <v>-14.8</v>
      </c>
      <c r="L28" s="4">
        <f>INDEX('Draft Engine'!$U$3:$U$232,$O28)</f>
        <v>79.742599999999996</v>
      </c>
      <c r="M28" s="4">
        <f>INDEX('Draft Engine'!$W$3:$W$232,$O28)</f>
        <v>91.742599999999996</v>
      </c>
      <c r="N28" t="str">
        <f>INDEX('Draft Engine'!$T$3:$T$232,$O28)</f>
        <v>A</v>
      </c>
      <c r="O28" s="6">
        <f>MATCH($A28,'Draft Engine'!$Q$3:$Q$232,0)</f>
        <v>90</v>
      </c>
    </row>
    <row r="29" spans="1:15" x14ac:dyDescent="0.25">
      <c r="A29">
        <f>27</f>
        <v>27</v>
      </c>
      <c r="B29" t="str">
        <f>INDEX('Draft Engine'!$A$3:$A$232,$O29)</f>
        <v>RB</v>
      </c>
      <c r="C29">
        <f>INDEX('Draft Engine'!$F$3:$F$232,$O29)</f>
        <v>13</v>
      </c>
      <c r="D29" t="str">
        <f>INDEX('Draft Engine'!$B$3:$B$232,$O29)</f>
        <v>Derrick Henry</v>
      </c>
      <c r="E29" s="4">
        <f>INDEX('Draft Engine'!$N$3:$N$232,$O29)</f>
        <v>84.198570000000004</v>
      </c>
      <c r="F29" s="4">
        <f>INDEX('Draft Engine'!$E$3:$E$232,$O29)</f>
        <v>85.667400000000001</v>
      </c>
      <c r="G29" s="4">
        <f>INDEX('Draft Engine'!$G$3:$G$232,$O29)</f>
        <v>289.8</v>
      </c>
      <c r="H29" s="4">
        <f>INDEX('Draft Engine'!$J$3:$J$232,$O29)</f>
        <v>50.8</v>
      </c>
      <c r="I29" s="4">
        <f>INDEX('Draft Engine'!$L$3:$L$232,$O29)</f>
        <v>86.25</v>
      </c>
      <c r="J29" s="4">
        <f>INDEX('Draft Engine'!$R$3:$R$232,$O29)</f>
        <v>15.4</v>
      </c>
      <c r="K29" s="4">
        <f>INDEX('Draft Engine'!$S$3:$S$232,$O29)</f>
        <v>-11.6</v>
      </c>
      <c r="L29" s="4">
        <f>INDEX('Draft Engine'!$U$3:$U$232,$O29)</f>
        <v>79.667400000000001</v>
      </c>
      <c r="M29" s="4">
        <f>INDEX('Draft Engine'!$W$3:$W$232,$O29)</f>
        <v>91.667400000000001</v>
      </c>
      <c r="N29" t="str">
        <f>INDEX('Draft Engine'!$T$3:$T$232,$O29)</f>
        <v>A</v>
      </c>
      <c r="O29" s="6">
        <f>MATCH($A29,'Draft Engine'!$Q$3:$Q$232,0)</f>
        <v>45</v>
      </c>
    </row>
    <row r="30" spans="1:15" x14ac:dyDescent="0.25">
      <c r="A30">
        <f>28</f>
        <v>28</v>
      </c>
      <c r="B30" t="str">
        <f>INDEX('Draft Engine'!$A$3:$A$232,$O30)</f>
        <v>WR</v>
      </c>
      <c r="C30">
        <f>INDEX('Draft Engine'!$F$3:$F$232,$O30)</f>
        <v>12</v>
      </c>
      <c r="D30" t="str">
        <f>INDEX('Draft Engine'!$B$3:$B$232,$O30)</f>
        <v>Tetairoa McMillan</v>
      </c>
      <c r="E30" s="4">
        <f>INDEX('Draft Engine'!$N$3:$N$232,$O30)</f>
        <v>84.134333333333331</v>
      </c>
      <c r="F30" s="4">
        <f>INDEX('Draft Engine'!$E$3:$E$232,$O30)</f>
        <v>85.74</v>
      </c>
      <c r="G30" s="4">
        <f>INDEX('Draft Engine'!$G$3:$G$232,$O30)</f>
        <v>290.10000000000002</v>
      </c>
      <c r="H30" s="4">
        <f>INDEX('Draft Engine'!$J$3:$J$232,$O30)</f>
        <v>50.8</v>
      </c>
      <c r="I30" s="4">
        <f>INDEX('Draft Engine'!$L$3:$L$232,$O30)</f>
        <v>85.555555555555571</v>
      </c>
      <c r="J30" s="4">
        <f>INDEX('Draft Engine'!$R$3:$R$232,$O30)</f>
        <v>34.4</v>
      </c>
      <c r="K30" s="4">
        <f>INDEX('Draft Engine'!$S$3:$S$232,$O30)</f>
        <v>6.3999999999999986</v>
      </c>
      <c r="L30" s="4">
        <f>INDEX('Draft Engine'!$U$3:$U$232,$O30)</f>
        <v>76.739999999999995</v>
      </c>
      <c r="M30" s="4">
        <f>INDEX('Draft Engine'!$W$3:$W$232,$O30)</f>
        <v>94.74</v>
      </c>
      <c r="N30" t="str">
        <f>INDEX('Draft Engine'!$T$3:$T$232,$O30)</f>
        <v>B</v>
      </c>
      <c r="O30" s="6">
        <f>MATCH($A30,'Draft Engine'!$Q$3:$Q$232,0)</f>
        <v>97</v>
      </c>
    </row>
    <row r="31" spans="1:15" x14ac:dyDescent="0.25">
      <c r="A31">
        <f>29</f>
        <v>29</v>
      </c>
      <c r="B31" t="str">
        <f>INDEX('Draft Engine'!$A$3:$A$232,$O31)</f>
        <v>RB</v>
      </c>
      <c r="C31">
        <f>INDEX('Draft Engine'!$F$3:$F$232,$O31)</f>
        <v>14</v>
      </c>
      <c r="D31" t="str">
        <f>INDEX('Draft Engine'!$B$3:$B$232,$O31)</f>
        <v>Chase Brown</v>
      </c>
      <c r="E31" s="4">
        <f>INDEX('Draft Engine'!$N$3:$N$232,$O31)</f>
        <v>83.837545000000006</v>
      </c>
      <c r="F31" s="4">
        <f>INDEX('Draft Engine'!$E$3:$E$232,$O31)</f>
        <v>85.664400000000001</v>
      </c>
      <c r="G31" s="4">
        <f>INDEX('Draft Engine'!$G$3:$G$232,$O31)</f>
        <v>289.8</v>
      </c>
      <c r="H31" s="4">
        <f>INDEX('Draft Engine'!$J$3:$J$232,$O31)</f>
        <v>50.8</v>
      </c>
      <c r="I31" s="4">
        <f>INDEX('Draft Engine'!$L$3:$L$232,$O31)</f>
        <v>83.854166666666671</v>
      </c>
      <c r="J31" s="4">
        <f>INDEX('Draft Engine'!$R$3:$R$232,$O31)</f>
        <v>12.1</v>
      </c>
      <c r="K31" s="4">
        <f>INDEX('Draft Engine'!$S$3:$S$232,$O31)</f>
        <v>-16.899999999999999</v>
      </c>
      <c r="L31" s="4">
        <f>INDEX('Draft Engine'!$U$3:$U$232,$O31)</f>
        <v>79.664400000000001</v>
      </c>
      <c r="M31" s="4">
        <f>INDEX('Draft Engine'!$W$3:$W$232,$O31)</f>
        <v>91.664400000000001</v>
      </c>
      <c r="N31" t="str">
        <f>INDEX('Draft Engine'!$T$3:$T$232,$O31)</f>
        <v>A</v>
      </c>
      <c r="O31" s="6">
        <f>MATCH($A31,'Draft Engine'!$Q$3:$Q$232,0)</f>
        <v>46</v>
      </c>
    </row>
    <row r="32" spans="1:15" x14ac:dyDescent="0.25">
      <c r="A32">
        <f>30</f>
        <v>30</v>
      </c>
      <c r="B32" t="str">
        <f>INDEX('Draft Engine'!$A$3:$A$232,$O32)</f>
        <v>QB</v>
      </c>
      <c r="C32">
        <f>INDEX('Draft Engine'!$F$3:$F$232,$O32)</f>
        <v>2</v>
      </c>
      <c r="D32" t="str">
        <f>INDEX('Draft Engine'!$B$3:$B$232,$O32)</f>
        <v>Caleb Williams</v>
      </c>
      <c r="E32" s="4">
        <f>INDEX('Draft Engine'!$N$3:$N$232,$O32)</f>
        <v>83.020754230769228</v>
      </c>
      <c r="F32" s="4">
        <f>INDEX('Draft Engine'!$E$3:$E$232,$O32)</f>
        <v>92.192700000000002</v>
      </c>
      <c r="G32" s="4">
        <f>INDEX('Draft Engine'!$G$3:$G$232,$O32)</f>
        <v>384.9</v>
      </c>
      <c r="H32" s="4">
        <f>INDEX('Draft Engine'!$J$3:$J$232,$O32)</f>
        <v>33.799999999999997</v>
      </c>
      <c r="I32" s="4">
        <f>INDEX('Draft Engine'!$L$3:$L$232,$O32)</f>
        <v>94.871794871794862</v>
      </c>
      <c r="J32" s="4">
        <f>INDEX('Draft Engine'!$R$3:$R$232,$O32)</f>
        <v>107.5</v>
      </c>
      <c r="K32" s="4">
        <f>INDEX('Draft Engine'!$S$3:$S$232,$O32)</f>
        <v>77.5</v>
      </c>
      <c r="L32" s="4">
        <f>INDEX('Draft Engine'!$U$3:$U$232,$O32)</f>
        <v>86.192700000000002</v>
      </c>
      <c r="M32" s="4">
        <f>INDEX('Draft Engine'!$W$3:$W$232,$O32)</f>
        <v>98.192700000000002</v>
      </c>
      <c r="N32" t="str">
        <f>INDEX('Draft Engine'!$T$3:$T$232,$O32)</f>
        <v>A</v>
      </c>
      <c r="O32" s="6">
        <f>MATCH($A32,'Draft Engine'!$Q$3:$Q$232,0)</f>
        <v>2</v>
      </c>
    </row>
    <row r="33" spans="1:15" x14ac:dyDescent="0.25">
      <c r="A33">
        <f>31</f>
        <v>31</v>
      </c>
      <c r="B33" t="str">
        <f>INDEX('Draft Engine'!$A$3:$A$232,$O33)</f>
        <v>WR</v>
      </c>
      <c r="C33">
        <f>INDEX('Draft Engine'!$F$3:$F$232,$O33)</f>
        <v>13</v>
      </c>
      <c r="D33" t="str">
        <f>INDEX('Draft Engine'!$B$3:$B$232,$O33)</f>
        <v>Tee Higgins</v>
      </c>
      <c r="E33" s="4">
        <f>INDEX('Draft Engine'!$N$3:$N$232,$O33)</f>
        <v>82.612375000000014</v>
      </c>
      <c r="F33" s="4">
        <f>INDEX('Draft Engine'!$E$3:$E$232,$O33)</f>
        <v>84.822500000000005</v>
      </c>
      <c r="G33" s="4">
        <f>INDEX('Draft Engine'!$G$3:$G$232,$O33)</f>
        <v>286.3</v>
      </c>
      <c r="H33" s="4">
        <f>INDEX('Draft Engine'!$J$3:$J$232,$O33)</f>
        <v>47</v>
      </c>
      <c r="I33" s="4">
        <f>INDEX('Draft Engine'!$L$3:$L$232,$O33)</f>
        <v>83.333333333333329</v>
      </c>
      <c r="J33" s="4">
        <f>INDEX('Draft Engine'!$R$3:$R$232,$O33)</f>
        <v>38.6</v>
      </c>
      <c r="K33" s="4">
        <f>INDEX('Draft Engine'!$S$3:$S$232,$O33)</f>
        <v>7.6000000000000014</v>
      </c>
      <c r="L33" s="4">
        <f>INDEX('Draft Engine'!$U$3:$U$232,$O33)</f>
        <v>75.822500000000005</v>
      </c>
      <c r="M33" s="4">
        <f>INDEX('Draft Engine'!$W$3:$W$232,$O33)</f>
        <v>93.822500000000005</v>
      </c>
      <c r="N33" t="str">
        <f>INDEX('Draft Engine'!$T$3:$T$232,$O33)</f>
        <v>B</v>
      </c>
      <c r="O33" s="6">
        <f>MATCH($A33,'Draft Engine'!$Q$3:$Q$232,0)</f>
        <v>98</v>
      </c>
    </row>
    <row r="34" spans="1:15" x14ac:dyDescent="0.25">
      <c r="A34">
        <f>32</f>
        <v>32</v>
      </c>
      <c r="B34" t="str">
        <f>INDEX('Draft Engine'!$A$3:$A$232,$O34)</f>
        <v>WR</v>
      </c>
      <c r="C34">
        <f>INDEX('Draft Engine'!$F$3:$F$232,$O34)</f>
        <v>14</v>
      </c>
      <c r="D34" t="str">
        <f>INDEX('Draft Engine'!$B$3:$B$232,$O34)</f>
        <v>Justin Jefferson</v>
      </c>
      <c r="E34" s="4">
        <f>INDEX('Draft Engine'!$N$3:$N$232,$O34)</f>
        <v>82.227146666666684</v>
      </c>
      <c r="F34" s="4">
        <f>INDEX('Draft Engine'!$E$3:$E$232,$O34)</f>
        <v>84.793599999999998</v>
      </c>
      <c r="G34" s="4">
        <f>INDEX('Draft Engine'!$G$3:$G$232,$O34)</f>
        <v>286.10000000000002</v>
      </c>
      <c r="H34" s="4">
        <f>INDEX('Draft Engine'!$J$3:$J$232,$O34)</f>
        <v>46.8</v>
      </c>
      <c r="I34" s="4">
        <f>INDEX('Draft Engine'!$L$3:$L$232,$O34)</f>
        <v>81.111111111111114</v>
      </c>
      <c r="J34" s="4">
        <f>INDEX('Draft Engine'!$R$3:$R$232,$O34)</f>
        <v>14.6</v>
      </c>
      <c r="K34" s="4">
        <f>INDEX('Draft Engine'!$S$3:$S$232,$O34)</f>
        <v>-17.399999999999999</v>
      </c>
      <c r="L34" s="4">
        <f>INDEX('Draft Engine'!$U$3:$U$232,$O34)</f>
        <v>78.793599999999998</v>
      </c>
      <c r="M34" s="4">
        <f>INDEX('Draft Engine'!$W$3:$W$232,$O34)</f>
        <v>90.793599999999998</v>
      </c>
      <c r="N34" t="str">
        <f>INDEX('Draft Engine'!$T$3:$T$232,$O34)</f>
        <v>A</v>
      </c>
      <c r="O34" s="6">
        <f>MATCH($A34,'Draft Engine'!$Q$3:$Q$232,0)</f>
        <v>91</v>
      </c>
    </row>
    <row r="35" spans="1:15" x14ac:dyDescent="0.25">
      <c r="A35">
        <f>33</f>
        <v>33</v>
      </c>
      <c r="B35" t="str">
        <f>INDEX('Draft Engine'!$A$3:$A$232,$O35)</f>
        <v>RB</v>
      </c>
      <c r="C35">
        <f>INDEX('Draft Engine'!$F$3:$F$232,$O35)</f>
        <v>15</v>
      </c>
      <c r="D35" t="str">
        <f>INDEX('Draft Engine'!$B$3:$B$232,$O35)</f>
        <v>Josh Jacobs</v>
      </c>
      <c r="E35" s="4">
        <f>INDEX('Draft Engine'!$N$3:$N$232,$O35)</f>
        <v>81.861270000000005</v>
      </c>
      <c r="F35" s="4">
        <f>INDEX('Draft Engine'!$E$3:$E$232,$O35)</f>
        <v>84.426400000000001</v>
      </c>
      <c r="G35" s="4">
        <f>INDEX('Draft Engine'!$G$3:$G$232,$O35)</f>
        <v>284.60000000000002</v>
      </c>
      <c r="H35" s="4">
        <f>INDEX('Draft Engine'!$J$3:$J$232,$O35)</f>
        <v>45.6</v>
      </c>
      <c r="I35" s="4">
        <f>INDEX('Draft Engine'!$L$3:$L$232,$O35)</f>
        <v>81.458333333333329</v>
      </c>
      <c r="J35" s="4">
        <f>INDEX('Draft Engine'!$R$3:$R$232,$O35)</f>
        <v>24.2</v>
      </c>
      <c r="K35" s="4">
        <f>INDEX('Draft Engine'!$S$3:$S$232,$O35)</f>
        <v>-8.8000000000000007</v>
      </c>
      <c r="L35" s="4">
        <f>INDEX('Draft Engine'!$U$3:$U$232,$O35)</f>
        <v>78.426400000000001</v>
      </c>
      <c r="M35" s="4">
        <f>INDEX('Draft Engine'!$W$3:$W$232,$O35)</f>
        <v>90.426400000000001</v>
      </c>
      <c r="N35" t="str">
        <f>INDEX('Draft Engine'!$T$3:$T$232,$O35)</f>
        <v>A</v>
      </c>
      <c r="O35" s="6">
        <f>MATCH($A35,'Draft Engine'!$Q$3:$Q$232,0)</f>
        <v>47</v>
      </c>
    </row>
    <row r="36" spans="1:15" x14ac:dyDescent="0.25">
      <c r="A36">
        <f>34</f>
        <v>34</v>
      </c>
      <c r="B36" t="str">
        <f>INDEX('Draft Engine'!$A$3:$A$232,$O36)</f>
        <v>TE</v>
      </c>
      <c r="C36">
        <f>INDEX('Draft Engine'!$F$3:$F$232,$O36)</f>
        <v>3</v>
      </c>
      <c r="D36" t="str">
        <f>INDEX('Draft Engine'!$B$3:$B$232,$O36)</f>
        <v>Colston Loveland</v>
      </c>
      <c r="E36" s="4">
        <f>INDEX('Draft Engine'!$N$3:$N$232,$O36)</f>
        <v>81.491589615384612</v>
      </c>
      <c r="F36" s="4">
        <f>INDEX('Draft Engine'!$E$3:$E$232,$O36)</f>
        <v>88.753100000000003</v>
      </c>
      <c r="G36" s="4">
        <f>INDEX('Draft Engine'!$G$3:$G$232,$O36)</f>
        <v>210.6</v>
      </c>
      <c r="H36" s="4">
        <f>INDEX('Draft Engine'!$J$3:$J$232,$O36)</f>
        <v>30.9</v>
      </c>
      <c r="I36" s="4">
        <f>INDEX('Draft Engine'!$L$3:$L$232,$O36)</f>
        <v>80.769230769230774</v>
      </c>
      <c r="J36" s="4">
        <f>INDEX('Draft Engine'!$R$3:$R$232,$O36)</f>
        <v>60.8</v>
      </c>
      <c r="K36" s="4">
        <f>INDEX('Draft Engine'!$S$3:$S$232,$O36)</f>
        <v>26.799999999999997</v>
      </c>
      <c r="L36" s="4">
        <f>INDEX('Draft Engine'!$U$3:$U$232,$O36)</f>
        <v>82.753100000000003</v>
      </c>
      <c r="M36" s="4">
        <f>INDEX('Draft Engine'!$W$3:$W$232,$O36)</f>
        <v>94.753100000000003</v>
      </c>
      <c r="N36" t="str">
        <f>INDEX('Draft Engine'!$T$3:$T$232,$O36)</f>
        <v>A</v>
      </c>
      <c r="O36" s="6">
        <f>MATCH($A36,'Draft Engine'!$Q$3:$Q$232,0)</f>
        <v>161</v>
      </c>
    </row>
    <row r="37" spans="1:15" x14ac:dyDescent="0.25">
      <c r="A37">
        <f>35</f>
        <v>35</v>
      </c>
      <c r="B37" t="str">
        <f>INDEX('Draft Engine'!$A$3:$A$232,$O37)</f>
        <v>WR</v>
      </c>
      <c r="C37">
        <f>INDEX('Draft Engine'!$F$3:$F$232,$O37)</f>
        <v>15</v>
      </c>
      <c r="D37" t="str">
        <f>INDEX('Draft Engine'!$B$3:$B$232,$O37)</f>
        <v>Rashee Rice</v>
      </c>
      <c r="E37" s="4">
        <f>INDEX('Draft Engine'!$N$3:$N$232,$O37)</f>
        <v>80.987418333333338</v>
      </c>
      <c r="F37" s="4">
        <f>INDEX('Draft Engine'!$E$3:$E$232,$O37)</f>
        <v>84.094700000000003</v>
      </c>
      <c r="G37" s="4">
        <f>INDEX('Draft Engine'!$G$3:$G$232,$O37)</f>
        <v>283.2</v>
      </c>
      <c r="H37" s="4">
        <f>INDEX('Draft Engine'!$J$3:$J$232,$O37)</f>
        <v>43.9</v>
      </c>
      <c r="I37" s="4">
        <f>INDEX('Draft Engine'!$L$3:$L$232,$O37)</f>
        <v>78.888888888888886</v>
      </c>
      <c r="J37" s="4">
        <f>INDEX('Draft Engine'!$R$3:$R$232,$O37)</f>
        <v>11.5</v>
      </c>
      <c r="K37" s="4">
        <f>INDEX('Draft Engine'!$S$3:$S$232,$O37)</f>
        <v>-23.5</v>
      </c>
      <c r="L37" s="4">
        <f>INDEX('Draft Engine'!$U$3:$U$232,$O37)</f>
        <v>78.094700000000003</v>
      </c>
      <c r="M37" s="4">
        <f>INDEX('Draft Engine'!$W$3:$W$232,$O37)</f>
        <v>90.094700000000003</v>
      </c>
      <c r="N37" t="str">
        <f>INDEX('Draft Engine'!$T$3:$T$232,$O37)</f>
        <v>A</v>
      </c>
      <c r="O37" s="6">
        <f>MATCH($A37,'Draft Engine'!$Q$3:$Q$232,0)</f>
        <v>95</v>
      </c>
    </row>
    <row r="38" spans="1:15" x14ac:dyDescent="0.25">
      <c r="A38">
        <f>36</f>
        <v>36</v>
      </c>
      <c r="B38" t="str">
        <f>INDEX('Draft Engine'!$A$3:$A$232,$O38)</f>
        <v>RB</v>
      </c>
      <c r="C38">
        <f>INDEX('Draft Engine'!$F$3:$F$232,$O38)</f>
        <v>16</v>
      </c>
      <c r="D38" t="str">
        <f>INDEX('Draft Engine'!$B$3:$B$232,$O38)</f>
        <v>Saquon Barkley</v>
      </c>
      <c r="E38" s="4">
        <f>INDEX('Draft Engine'!$N$3:$N$232,$O38)</f>
        <v>80.980074999999999</v>
      </c>
      <c r="F38" s="4">
        <f>INDEX('Draft Engine'!$E$3:$E$232,$O38)</f>
        <v>84.034000000000006</v>
      </c>
      <c r="G38" s="4">
        <f>INDEX('Draft Engine'!$G$3:$G$232,$O38)</f>
        <v>282.89999999999998</v>
      </c>
      <c r="H38" s="4">
        <f>INDEX('Draft Engine'!$J$3:$J$232,$O38)</f>
        <v>43.9</v>
      </c>
      <c r="I38" s="4">
        <f>INDEX('Draft Engine'!$L$3:$L$232,$O38)</f>
        <v>79.0625</v>
      </c>
      <c r="J38" s="4">
        <f>INDEX('Draft Engine'!$R$3:$R$232,$O38)</f>
        <v>19</v>
      </c>
      <c r="K38" s="4">
        <f>INDEX('Draft Engine'!$S$3:$S$232,$O38)</f>
        <v>-17</v>
      </c>
      <c r="L38" s="4">
        <f>INDEX('Draft Engine'!$U$3:$U$232,$O38)</f>
        <v>78.034000000000006</v>
      </c>
      <c r="M38" s="4">
        <f>INDEX('Draft Engine'!$W$3:$W$232,$O38)</f>
        <v>90.034000000000006</v>
      </c>
      <c r="N38" t="str">
        <f>INDEX('Draft Engine'!$T$3:$T$232,$O38)</f>
        <v>A</v>
      </c>
      <c r="O38" s="6">
        <f>MATCH($A38,'Draft Engine'!$Q$3:$Q$232,0)</f>
        <v>48</v>
      </c>
    </row>
    <row r="39" spans="1:15" x14ac:dyDescent="0.25">
      <c r="A39">
        <f>37</f>
        <v>37</v>
      </c>
      <c r="B39" t="str">
        <f>INDEX('Draft Engine'!$A$3:$A$232,$O39)</f>
        <v>QB</v>
      </c>
      <c r="C39">
        <f>INDEX('Draft Engine'!$F$3:$F$232,$O39)</f>
        <v>3</v>
      </c>
      <c r="D39" t="str">
        <f>INDEX('Draft Engine'!$B$3:$B$232,$O39)</f>
        <v>Drake Maye</v>
      </c>
      <c r="E39" s="4">
        <f>INDEX('Draft Engine'!$N$3:$N$232,$O39)</f>
        <v>80.683188461538478</v>
      </c>
      <c r="F39" s="4">
        <f>INDEX('Draft Engine'!$E$3:$E$232,$O39)</f>
        <v>91.043000000000006</v>
      </c>
      <c r="G39" s="4">
        <f>INDEX('Draft Engine'!$G$3:$G$232,$O39)</f>
        <v>379.7</v>
      </c>
      <c r="H39" s="4">
        <f>INDEX('Draft Engine'!$J$3:$J$232,$O39)</f>
        <v>28.6</v>
      </c>
      <c r="I39" s="4">
        <f>INDEX('Draft Engine'!$L$3:$L$232,$O39)</f>
        <v>89.743589743589752</v>
      </c>
      <c r="J39" s="4">
        <f>INDEX('Draft Engine'!$R$3:$R$232,$O39)</f>
        <v>49.8</v>
      </c>
      <c r="K39" s="4">
        <f>INDEX('Draft Engine'!$S$3:$S$232,$O39)</f>
        <v>12.799999999999997</v>
      </c>
      <c r="L39" s="4">
        <f>INDEX('Draft Engine'!$U$3:$U$232,$O39)</f>
        <v>85.043000000000006</v>
      </c>
      <c r="M39" s="4">
        <f>INDEX('Draft Engine'!$W$3:$W$232,$O39)</f>
        <v>97.043000000000006</v>
      </c>
      <c r="N39" t="str">
        <f>INDEX('Draft Engine'!$T$3:$T$232,$O39)</f>
        <v>A</v>
      </c>
      <c r="O39" s="6">
        <f>MATCH($A39,'Draft Engine'!$Q$3:$Q$232,0)</f>
        <v>3</v>
      </c>
    </row>
    <row r="40" spans="1:15" x14ac:dyDescent="0.25">
      <c r="A40">
        <f>38</f>
        <v>38</v>
      </c>
      <c r="B40" t="str">
        <f>INDEX('Draft Engine'!$A$3:$A$232,$O40)</f>
        <v>RB</v>
      </c>
      <c r="C40">
        <f>INDEX('Draft Engine'!$F$3:$F$232,$O40)</f>
        <v>17</v>
      </c>
      <c r="D40" t="str">
        <f>INDEX('Draft Engine'!$B$3:$B$232,$O40)</f>
        <v>Javonte Williams</v>
      </c>
      <c r="E40" s="4">
        <f>INDEX('Draft Engine'!$N$3:$N$232,$O40)</f>
        <v>80.331760000000003</v>
      </c>
      <c r="F40" s="4">
        <f>INDEX('Draft Engine'!$E$3:$E$232,$O40)</f>
        <v>83.803200000000004</v>
      </c>
      <c r="G40" s="4">
        <f>INDEX('Draft Engine'!$G$3:$G$232,$O40)</f>
        <v>282</v>
      </c>
      <c r="H40" s="4">
        <f>INDEX('Draft Engine'!$J$3:$J$232,$O40)</f>
        <v>43</v>
      </c>
      <c r="I40" s="4">
        <f>INDEX('Draft Engine'!$L$3:$L$232,$O40)</f>
        <v>76.666666666666671</v>
      </c>
      <c r="J40" s="4">
        <f>INDEX('Draft Engine'!$R$3:$R$232,$O40)</f>
        <v>35.799999999999997</v>
      </c>
      <c r="K40" s="4">
        <f>INDEX('Draft Engine'!$S$3:$S$232,$O40)</f>
        <v>-2.2000000000000028</v>
      </c>
      <c r="L40" s="4">
        <f>INDEX('Draft Engine'!$U$3:$U$232,$O40)</f>
        <v>77.803200000000004</v>
      </c>
      <c r="M40" s="4">
        <f>INDEX('Draft Engine'!$W$3:$W$232,$O40)</f>
        <v>89.803200000000004</v>
      </c>
      <c r="N40" t="str">
        <f>INDEX('Draft Engine'!$T$3:$T$232,$O40)</f>
        <v>A</v>
      </c>
      <c r="O40" s="6">
        <f>MATCH($A40,'Draft Engine'!$Q$3:$Q$232,0)</f>
        <v>49</v>
      </c>
    </row>
    <row r="41" spans="1:15" x14ac:dyDescent="0.25">
      <c r="A41">
        <f>39</f>
        <v>39</v>
      </c>
      <c r="B41" t="str">
        <f>INDEX('Draft Engine'!$A$3:$A$232,$O41)</f>
        <v>WR</v>
      </c>
      <c r="C41">
        <f>INDEX('Draft Engine'!$F$3:$F$232,$O41)</f>
        <v>16</v>
      </c>
      <c r="D41" t="str">
        <f>INDEX('Draft Engine'!$B$3:$B$232,$O41)</f>
        <v>A.J. Brown</v>
      </c>
      <c r="E41" s="4">
        <f>INDEX('Draft Engine'!$N$3:$N$232,$O41)</f>
        <v>79.533635000000004</v>
      </c>
      <c r="F41" s="4">
        <f>INDEX('Draft Engine'!$E$3:$E$232,$O41)</f>
        <v>83.235699999999994</v>
      </c>
      <c r="G41" s="4">
        <f>INDEX('Draft Engine'!$G$3:$G$232,$O41)</f>
        <v>279.60000000000002</v>
      </c>
      <c r="H41" s="4">
        <f>INDEX('Draft Engine'!$J$3:$J$232,$O41)</f>
        <v>40.299999999999997</v>
      </c>
      <c r="I41" s="4">
        <f>INDEX('Draft Engine'!$L$3:$L$232,$O41)</f>
        <v>76.666666666666686</v>
      </c>
      <c r="J41" s="4">
        <f>INDEX('Draft Engine'!$R$3:$R$232,$O41)</f>
        <v>17.8</v>
      </c>
      <c r="K41" s="4">
        <f>INDEX('Draft Engine'!$S$3:$S$232,$O41)</f>
        <v>-21.2</v>
      </c>
      <c r="L41" s="4">
        <f>INDEX('Draft Engine'!$U$3:$U$232,$O41)</f>
        <v>77.235699999999994</v>
      </c>
      <c r="M41" s="4">
        <f>INDEX('Draft Engine'!$W$3:$W$232,$O41)</f>
        <v>89.235699999999994</v>
      </c>
      <c r="N41" t="str">
        <f>INDEX('Draft Engine'!$T$3:$T$232,$O41)</f>
        <v>A</v>
      </c>
      <c r="O41" s="6">
        <f>MATCH($A41,'Draft Engine'!$Q$3:$Q$232,0)</f>
        <v>89</v>
      </c>
    </row>
    <row r="42" spans="1:15" x14ac:dyDescent="0.25">
      <c r="A42">
        <f>40</f>
        <v>40</v>
      </c>
      <c r="B42" t="str">
        <f>INDEX('Draft Engine'!$A$3:$A$232,$O42)</f>
        <v>RB</v>
      </c>
      <c r="C42">
        <f>INDEX('Draft Engine'!$F$3:$F$232,$O42)</f>
        <v>18</v>
      </c>
      <c r="D42" t="str">
        <f>INDEX('Draft Engine'!$B$3:$B$232,$O42)</f>
        <v>Travis Etienne Jr.</v>
      </c>
      <c r="E42" s="4">
        <f>INDEX('Draft Engine'!$N$3:$N$232,$O42)</f>
        <v>78.978605000000002</v>
      </c>
      <c r="F42" s="4">
        <f>INDEX('Draft Engine'!$E$3:$E$232,$O42)</f>
        <v>83.043599999999998</v>
      </c>
      <c r="G42" s="4">
        <f>INDEX('Draft Engine'!$G$3:$G$232,$O42)</f>
        <v>278.8</v>
      </c>
      <c r="H42" s="4">
        <f>INDEX('Draft Engine'!$J$3:$J$232,$O42)</f>
        <v>39.799999999999997</v>
      </c>
      <c r="I42" s="4">
        <f>INDEX('Draft Engine'!$L$3:$L$232,$O42)</f>
        <v>74.270833333333329</v>
      </c>
      <c r="J42" s="4">
        <f>INDEX('Draft Engine'!$R$3:$R$232,$O42)</f>
        <v>38.4</v>
      </c>
      <c r="K42" s="4">
        <f>INDEX('Draft Engine'!$S$3:$S$232,$O42)</f>
        <v>-1.6000000000000014</v>
      </c>
      <c r="L42" s="4">
        <f>INDEX('Draft Engine'!$U$3:$U$232,$O42)</f>
        <v>77.043599999999998</v>
      </c>
      <c r="M42" s="4">
        <f>INDEX('Draft Engine'!$W$3:$W$232,$O42)</f>
        <v>89.043599999999998</v>
      </c>
      <c r="N42" t="str">
        <f>INDEX('Draft Engine'!$T$3:$T$232,$O42)</f>
        <v>A</v>
      </c>
      <c r="O42" s="6">
        <f>MATCH($A42,'Draft Engine'!$Q$3:$Q$232,0)</f>
        <v>50</v>
      </c>
    </row>
    <row r="43" spans="1:15" x14ac:dyDescent="0.25">
      <c r="A43">
        <f>41</f>
        <v>41</v>
      </c>
      <c r="B43" t="str">
        <f>INDEX('Draft Engine'!$A$3:$A$232,$O43)</f>
        <v>TE</v>
      </c>
      <c r="C43">
        <f>INDEX('Draft Engine'!$F$3:$F$232,$O43)</f>
        <v>4</v>
      </c>
      <c r="D43" t="str">
        <f>INDEX('Draft Engine'!$B$3:$B$232,$O43)</f>
        <v>Tyler Warren</v>
      </c>
      <c r="E43" s="4">
        <f>INDEX('Draft Engine'!$N$3:$N$232,$O43)</f>
        <v>78.974396923076924</v>
      </c>
      <c r="F43" s="4">
        <f>INDEX('Draft Engine'!$E$3:$E$232,$O43)</f>
        <v>87.202399999999997</v>
      </c>
      <c r="G43" s="4">
        <f>INDEX('Draft Engine'!$G$3:$G$232,$O43)</f>
        <v>205.2</v>
      </c>
      <c r="H43" s="4">
        <f>INDEX('Draft Engine'!$J$3:$J$232,$O43)</f>
        <v>25.5</v>
      </c>
      <c r="I43" s="4">
        <f>INDEX('Draft Engine'!$L$3:$L$232,$O43)</f>
        <v>76.15384615384616</v>
      </c>
      <c r="J43" s="4">
        <f>INDEX('Draft Engine'!$R$3:$R$232,$O43)</f>
        <v>65.400000000000006</v>
      </c>
      <c r="K43" s="4">
        <f>INDEX('Draft Engine'!$S$3:$S$232,$O43)</f>
        <v>24.400000000000006</v>
      </c>
      <c r="L43" s="4">
        <f>INDEX('Draft Engine'!$U$3:$U$232,$O43)</f>
        <v>81.202399999999997</v>
      </c>
      <c r="M43" s="4">
        <f>INDEX('Draft Engine'!$W$3:$W$232,$O43)</f>
        <v>93.202399999999997</v>
      </c>
      <c r="N43" t="str">
        <f>INDEX('Draft Engine'!$T$3:$T$232,$O43)</f>
        <v>A</v>
      </c>
      <c r="O43" s="6">
        <f>MATCH($A43,'Draft Engine'!$Q$3:$Q$232,0)</f>
        <v>162</v>
      </c>
    </row>
    <row r="44" spans="1:15" x14ac:dyDescent="0.25">
      <c r="A44">
        <f>42</f>
        <v>42</v>
      </c>
      <c r="B44" t="str">
        <f>INDEX('Draft Engine'!$A$3:$A$232,$O44)</f>
        <v>QB</v>
      </c>
      <c r="C44">
        <f>INDEX('Draft Engine'!$F$3:$F$232,$O44)</f>
        <v>4</v>
      </c>
      <c r="D44" t="str">
        <f>INDEX('Draft Engine'!$B$3:$B$232,$O44)</f>
        <v>Justin Herbert</v>
      </c>
      <c r="E44" s="4">
        <f>INDEX('Draft Engine'!$N$3:$N$232,$O44)</f>
        <v>78.648602692307691</v>
      </c>
      <c r="F44" s="4">
        <f>INDEX('Draft Engine'!$E$3:$E$232,$O44)</f>
        <v>90.116900000000001</v>
      </c>
      <c r="G44" s="4">
        <f>INDEX('Draft Engine'!$G$3:$G$232,$O44)</f>
        <v>375.5</v>
      </c>
      <c r="H44" s="4">
        <f>INDEX('Draft Engine'!$J$3:$J$232,$O44)</f>
        <v>24.4</v>
      </c>
      <c r="I44" s="4">
        <f>INDEX('Draft Engine'!$L$3:$L$232,$O44)</f>
        <v>84.615384615384613</v>
      </c>
      <c r="J44" s="4">
        <f>INDEX('Draft Engine'!$R$3:$R$232,$O44)</f>
        <v>104.2</v>
      </c>
      <c r="K44" s="4">
        <f>INDEX('Draft Engine'!$S$3:$S$232,$O44)</f>
        <v>62.2</v>
      </c>
      <c r="L44" s="4">
        <f>INDEX('Draft Engine'!$U$3:$U$232,$O44)</f>
        <v>84.116900000000001</v>
      </c>
      <c r="M44" s="4">
        <f>INDEX('Draft Engine'!$W$3:$W$232,$O44)</f>
        <v>96.116900000000001</v>
      </c>
      <c r="N44" t="str">
        <f>INDEX('Draft Engine'!$T$3:$T$232,$O44)</f>
        <v>A</v>
      </c>
      <c r="O44" s="6">
        <f>MATCH($A44,'Draft Engine'!$Q$3:$Q$232,0)</f>
        <v>4</v>
      </c>
    </row>
    <row r="45" spans="1:15" x14ac:dyDescent="0.25">
      <c r="A45">
        <f>43</f>
        <v>43</v>
      </c>
      <c r="B45" t="str">
        <f>INDEX('Draft Engine'!$A$3:$A$232,$O45)</f>
        <v>WR</v>
      </c>
      <c r="C45">
        <f>INDEX('Draft Engine'!$F$3:$F$232,$O45)</f>
        <v>17</v>
      </c>
      <c r="D45" t="str">
        <f>INDEX('Draft Engine'!$B$3:$B$232,$O45)</f>
        <v>Ladd McConkey</v>
      </c>
      <c r="E45" s="4">
        <f>INDEX('Draft Engine'!$N$3:$N$232,$O45)</f>
        <v>78.545541666666679</v>
      </c>
      <c r="F45" s="4">
        <f>INDEX('Draft Engine'!$E$3:$E$232,$O45)</f>
        <v>82.732500000000002</v>
      </c>
      <c r="G45" s="4">
        <f>INDEX('Draft Engine'!$G$3:$G$232,$O45)</f>
        <v>277.5</v>
      </c>
      <c r="H45" s="4">
        <f>INDEX('Draft Engine'!$J$3:$J$232,$O45)</f>
        <v>38.200000000000003</v>
      </c>
      <c r="I45" s="4">
        <f>INDEX('Draft Engine'!$L$3:$L$232,$O45)</f>
        <v>74.444444444444443</v>
      </c>
      <c r="J45" s="4">
        <f>INDEX('Draft Engine'!$R$3:$R$232,$O45)</f>
        <v>44.3</v>
      </c>
      <c r="K45" s="4">
        <f>INDEX('Draft Engine'!$S$3:$S$232,$O45)</f>
        <v>1.2999999999999972</v>
      </c>
      <c r="L45" s="4">
        <f>INDEX('Draft Engine'!$U$3:$U$232,$O45)</f>
        <v>73.732500000000002</v>
      </c>
      <c r="M45" s="4">
        <f>INDEX('Draft Engine'!$W$3:$W$232,$O45)</f>
        <v>91.732500000000002</v>
      </c>
      <c r="N45" t="str">
        <f>INDEX('Draft Engine'!$T$3:$T$232,$O45)</f>
        <v>B</v>
      </c>
      <c r="O45" s="6">
        <f>MATCH($A45,'Draft Engine'!$Q$3:$Q$232,0)</f>
        <v>106</v>
      </c>
    </row>
    <row r="46" spans="1:15" x14ac:dyDescent="0.25">
      <c r="A46">
        <f>44</f>
        <v>44</v>
      </c>
      <c r="B46" t="str">
        <f>INDEX('Draft Engine'!$A$3:$A$232,$O46)</f>
        <v>WR</v>
      </c>
      <c r="C46">
        <f>INDEX('Draft Engine'!$F$3:$F$232,$O46)</f>
        <v>18</v>
      </c>
      <c r="D46" t="str">
        <f>INDEX('Draft Engine'!$B$3:$B$232,$O46)</f>
        <v>Jaylen Waddle</v>
      </c>
      <c r="E46" s="4">
        <f>INDEX('Draft Engine'!$N$3:$N$232,$O46)</f>
        <v>77.659958333333336</v>
      </c>
      <c r="F46" s="4">
        <f>INDEX('Draft Engine'!$E$3:$E$232,$O46)</f>
        <v>82.317499999999995</v>
      </c>
      <c r="G46" s="4">
        <f>INDEX('Draft Engine'!$G$3:$G$232,$O46)</f>
        <v>275.7</v>
      </c>
      <c r="H46" s="4">
        <f>INDEX('Draft Engine'!$J$3:$J$232,$O46)</f>
        <v>36.4</v>
      </c>
      <c r="I46" s="4">
        <f>INDEX('Draft Engine'!$L$3:$L$232,$O46)</f>
        <v>72.222222222222229</v>
      </c>
      <c r="J46" s="4">
        <f>INDEX('Draft Engine'!$R$3:$R$232,$O46)</f>
        <v>48.9</v>
      </c>
      <c r="K46" s="4">
        <f>INDEX('Draft Engine'!$S$3:$S$232,$O46)</f>
        <v>4.8999999999999986</v>
      </c>
      <c r="L46" s="4">
        <f>INDEX('Draft Engine'!$U$3:$U$232,$O46)</f>
        <v>70.317499999999995</v>
      </c>
      <c r="M46" s="4">
        <f>INDEX('Draft Engine'!$W$3:$W$232,$O46)</f>
        <v>94.317499999999995</v>
      </c>
      <c r="N46" t="str">
        <f>INDEX('Draft Engine'!$T$3:$T$232,$O46)</f>
        <v>C</v>
      </c>
      <c r="O46" s="6">
        <f>MATCH($A46,'Draft Engine'!$Q$3:$Q$232,0)</f>
        <v>104</v>
      </c>
    </row>
    <row r="47" spans="1:15" x14ac:dyDescent="0.25">
      <c r="A47">
        <f>45</f>
        <v>45</v>
      </c>
      <c r="B47" t="str">
        <f>INDEX('Draft Engine'!$A$3:$A$232,$O47)</f>
        <v>TE</v>
      </c>
      <c r="C47">
        <f>INDEX('Draft Engine'!$F$3:$F$232,$O47)</f>
        <v>5</v>
      </c>
      <c r="D47" t="str">
        <f>INDEX('Draft Engine'!$B$3:$B$232,$O47)</f>
        <v>George Kittle</v>
      </c>
      <c r="E47" s="4">
        <f>INDEX('Draft Engine'!$N$3:$N$232,$O47)</f>
        <v>77.173289230769228</v>
      </c>
      <c r="F47" s="4">
        <f>INDEX('Draft Engine'!$E$3:$E$232,$O47)</f>
        <v>86.266400000000004</v>
      </c>
      <c r="G47" s="4">
        <f>INDEX('Draft Engine'!$G$3:$G$232,$O47)</f>
        <v>201.9</v>
      </c>
      <c r="H47" s="4">
        <f>INDEX('Draft Engine'!$J$3:$J$232,$O47)</f>
        <v>22.2</v>
      </c>
      <c r="I47" s="4">
        <f>INDEX('Draft Engine'!$L$3:$L$232,$O47)</f>
        <v>71.538461538461547</v>
      </c>
      <c r="J47" s="4">
        <f>INDEX('Draft Engine'!$R$3:$R$232,$O47)</f>
        <v>115.1</v>
      </c>
      <c r="K47" s="4">
        <f>INDEX('Draft Engine'!$S$3:$S$232,$O47)</f>
        <v>70.099999999999994</v>
      </c>
      <c r="L47" s="4">
        <f>INDEX('Draft Engine'!$U$3:$U$232,$O47)</f>
        <v>77.266400000000004</v>
      </c>
      <c r="M47" s="4">
        <f>INDEX('Draft Engine'!$W$3:$W$232,$O47)</f>
        <v>95.266400000000004</v>
      </c>
      <c r="N47" t="str">
        <f>INDEX('Draft Engine'!$T$3:$T$232,$O47)</f>
        <v>B</v>
      </c>
      <c r="O47" s="6">
        <f>MATCH($A47,'Draft Engine'!$Q$3:$Q$232,0)</f>
        <v>163</v>
      </c>
    </row>
    <row r="48" spans="1:15" x14ac:dyDescent="0.25">
      <c r="A48">
        <f>46</f>
        <v>46</v>
      </c>
      <c r="B48" t="str">
        <f>INDEX('Draft Engine'!$A$3:$A$232,$O48)</f>
        <v>RB</v>
      </c>
      <c r="C48">
        <f>INDEX('Draft Engine'!$F$3:$F$232,$O48)</f>
        <v>19</v>
      </c>
      <c r="D48" t="str">
        <f>INDEX('Draft Engine'!$B$3:$B$232,$O48)</f>
        <v>Cam Skattebo</v>
      </c>
      <c r="E48" s="4">
        <f>INDEX('Draft Engine'!$N$3:$N$232,$O48)</f>
        <v>77.101870000000005</v>
      </c>
      <c r="F48" s="4">
        <f>INDEX('Draft Engine'!$E$3:$E$232,$O48)</f>
        <v>81.888400000000004</v>
      </c>
      <c r="G48" s="4">
        <f>INDEX('Draft Engine'!$G$3:$G$232,$O48)</f>
        <v>273.89999999999998</v>
      </c>
      <c r="H48" s="4">
        <f>INDEX('Draft Engine'!$J$3:$J$232,$O48)</f>
        <v>34.9</v>
      </c>
      <c r="I48" s="4">
        <f>INDEX('Draft Engine'!$L$3:$L$232,$O48)</f>
        <v>71.875</v>
      </c>
      <c r="J48" s="4">
        <f>INDEX('Draft Engine'!$R$3:$R$232,$O48)</f>
        <v>30.8</v>
      </c>
      <c r="K48" s="4">
        <f>INDEX('Draft Engine'!$S$3:$S$232,$O48)</f>
        <v>-15.2</v>
      </c>
      <c r="L48" s="4">
        <f>INDEX('Draft Engine'!$U$3:$U$232,$O48)</f>
        <v>72.888400000000004</v>
      </c>
      <c r="M48" s="4">
        <f>INDEX('Draft Engine'!$W$3:$W$232,$O48)</f>
        <v>90.888400000000004</v>
      </c>
      <c r="N48" t="str">
        <f>INDEX('Draft Engine'!$T$3:$T$232,$O48)</f>
        <v>B</v>
      </c>
      <c r="O48" s="6">
        <f>MATCH($A48,'Draft Engine'!$Q$3:$Q$232,0)</f>
        <v>51</v>
      </c>
    </row>
    <row r="49" spans="1:15" x14ac:dyDescent="0.25">
      <c r="A49">
        <f>47</f>
        <v>47</v>
      </c>
      <c r="B49" t="str">
        <f>INDEX('Draft Engine'!$A$3:$A$232,$O49)</f>
        <v>WR</v>
      </c>
      <c r="C49">
        <f>INDEX('Draft Engine'!$F$3:$F$232,$O49)</f>
        <v>19</v>
      </c>
      <c r="D49" t="str">
        <f>INDEX('Draft Engine'!$B$3:$B$232,$O49)</f>
        <v>George Pickens</v>
      </c>
      <c r="E49" s="4">
        <f>INDEX('Draft Engine'!$N$3:$N$232,$O49)</f>
        <v>76.702130000000011</v>
      </c>
      <c r="F49" s="4">
        <f>INDEX('Draft Engine'!$E$3:$E$232,$O49)</f>
        <v>81.836600000000004</v>
      </c>
      <c r="G49" s="4">
        <f>INDEX('Draft Engine'!$G$3:$G$232,$O49)</f>
        <v>273.7</v>
      </c>
      <c r="H49" s="4">
        <f>INDEX('Draft Engine'!$J$3:$J$232,$O49)</f>
        <v>34.4</v>
      </c>
      <c r="I49" s="4">
        <f>INDEX('Draft Engine'!$L$3:$L$232,$O49)</f>
        <v>70</v>
      </c>
      <c r="J49" s="4">
        <f>INDEX('Draft Engine'!$R$3:$R$232,$O49)</f>
        <v>21.1</v>
      </c>
      <c r="K49" s="4">
        <f>INDEX('Draft Engine'!$S$3:$S$232,$O49)</f>
        <v>-25.9</v>
      </c>
      <c r="L49" s="4">
        <f>INDEX('Draft Engine'!$U$3:$U$232,$O49)</f>
        <v>75.836600000000004</v>
      </c>
      <c r="M49" s="4">
        <f>INDEX('Draft Engine'!$W$3:$W$232,$O49)</f>
        <v>87.836600000000004</v>
      </c>
      <c r="N49" t="str">
        <f>INDEX('Draft Engine'!$T$3:$T$232,$O49)</f>
        <v>A</v>
      </c>
      <c r="O49" s="6">
        <f>MATCH($A49,'Draft Engine'!$Q$3:$Q$232,0)</f>
        <v>92</v>
      </c>
    </row>
    <row r="50" spans="1:15" x14ac:dyDescent="0.25">
      <c r="A50">
        <f>48</f>
        <v>48</v>
      </c>
      <c r="B50" t="str">
        <f>INDEX('Draft Engine'!$A$3:$A$232,$O50)</f>
        <v>WR</v>
      </c>
      <c r="C50">
        <f>INDEX('Draft Engine'!$F$3:$F$232,$O50)</f>
        <v>20</v>
      </c>
      <c r="D50" t="str">
        <f>INDEX('Draft Engine'!$B$3:$B$232,$O50)</f>
        <v>Emeka Egbuka</v>
      </c>
      <c r="E50" s="4">
        <f>INDEX('Draft Engine'!$N$3:$N$232,$O50)</f>
        <v>76.240916666666678</v>
      </c>
      <c r="F50" s="4">
        <f>INDEX('Draft Engine'!$E$3:$E$232,$O50)</f>
        <v>81.734999999999999</v>
      </c>
      <c r="G50" s="4">
        <f>INDEX('Draft Engine'!$G$3:$G$232,$O50)</f>
        <v>273.3</v>
      </c>
      <c r="H50" s="4">
        <f>INDEX('Draft Engine'!$J$3:$J$232,$O50)</f>
        <v>34</v>
      </c>
      <c r="I50" s="4">
        <f>INDEX('Draft Engine'!$L$3:$L$232,$O50)</f>
        <v>67.777777777777786</v>
      </c>
      <c r="J50" s="4">
        <f>INDEX('Draft Engine'!$R$3:$R$232,$O50)</f>
        <v>34.4</v>
      </c>
      <c r="K50" s="4">
        <f>INDEX('Draft Engine'!$S$3:$S$232,$O50)</f>
        <v>-13.600000000000001</v>
      </c>
      <c r="L50" s="4">
        <f>INDEX('Draft Engine'!$U$3:$U$232,$O50)</f>
        <v>69.734999999999999</v>
      </c>
      <c r="M50" s="4">
        <f>INDEX('Draft Engine'!$W$3:$W$232,$O50)</f>
        <v>93.734999999999999</v>
      </c>
      <c r="N50" t="str">
        <f>INDEX('Draft Engine'!$T$3:$T$232,$O50)</f>
        <v>C</v>
      </c>
      <c r="O50" s="6">
        <f>MATCH($A50,'Draft Engine'!$Q$3:$Q$232,0)</f>
        <v>103</v>
      </c>
    </row>
    <row r="51" spans="1:15" x14ac:dyDescent="0.25">
      <c r="A51">
        <f>49</f>
        <v>49</v>
      </c>
      <c r="B51" t="str">
        <f>INDEX('Draft Engine'!$A$3:$A$232,$O51)</f>
        <v>QB</v>
      </c>
      <c r="C51">
        <f>INDEX('Draft Engine'!$F$3:$F$232,$O51)</f>
        <v>5</v>
      </c>
      <c r="D51" t="str">
        <f>INDEX('Draft Engine'!$B$3:$B$232,$O51)</f>
        <v>Lamar Jackson</v>
      </c>
      <c r="E51" s="4">
        <f>INDEX('Draft Engine'!$N$3:$N$232,$O51)</f>
        <v>75.97223692307692</v>
      </c>
      <c r="F51" s="4">
        <f>INDEX('Draft Engine'!$E$3:$E$232,$O51)</f>
        <v>88.711200000000005</v>
      </c>
      <c r="G51" s="4">
        <f>INDEX('Draft Engine'!$G$3:$G$232,$O51)</f>
        <v>369.2</v>
      </c>
      <c r="H51" s="4">
        <f>INDEX('Draft Engine'!$J$3:$J$232,$O51)</f>
        <v>18.100000000000001</v>
      </c>
      <c r="I51" s="4">
        <f>INDEX('Draft Engine'!$L$3:$L$232,$O51)</f>
        <v>79.487179487179489</v>
      </c>
      <c r="J51" s="4">
        <f>INDEX('Draft Engine'!$R$3:$R$232,$O51)</f>
        <v>52.6</v>
      </c>
      <c r="K51" s="4">
        <f>INDEX('Draft Engine'!$S$3:$S$232,$O51)</f>
        <v>3.6000000000000014</v>
      </c>
      <c r="L51" s="4">
        <f>INDEX('Draft Engine'!$U$3:$U$232,$O51)</f>
        <v>82.711200000000005</v>
      </c>
      <c r="M51" s="4">
        <f>INDEX('Draft Engine'!$W$3:$W$232,$O51)</f>
        <v>94.711200000000005</v>
      </c>
      <c r="N51" t="str">
        <f>INDEX('Draft Engine'!$T$3:$T$232,$O51)</f>
        <v>A</v>
      </c>
      <c r="O51" s="6">
        <f>MATCH($A51,'Draft Engine'!$Q$3:$Q$232,0)</f>
        <v>5</v>
      </c>
    </row>
    <row r="52" spans="1:15" x14ac:dyDescent="0.25">
      <c r="A52">
        <f>50</f>
        <v>50</v>
      </c>
      <c r="B52" t="str">
        <f>INDEX('Draft Engine'!$A$3:$A$232,$O52)</f>
        <v>TE</v>
      </c>
      <c r="C52">
        <f>INDEX('Draft Engine'!$F$3:$F$232,$O52)</f>
        <v>6</v>
      </c>
      <c r="D52" t="str">
        <f>INDEX('Draft Engine'!$B$3:$B$232,$O52)</f>
        <v>Kyle Pitts Sr.</v>
      </c>
      <c r="E52" s="4">
        <f>INDEX('Draft Engine'!$N$3:$N$232,$O52)</f>
        <v>75.35793653846153</v>
      </c>
      <c r="F52" s="4">
        <f>INDEX('Draft Engine'!$E$3:$E$232,$O52)</f>
        <v>85.304500000000004</v>
      </c>
      <c r="G52" s="4">
        <f>INDEX('Draft Engine'!$G$3:$G$232,$O52)</f>
        <v>198.6</v>
      </c>
      <c r="H52" s="4">
        <f>INDEX('Draft Engine'!$J$3:$J$232,$O52)</f>
        <v>18.899999999999999</v>
      </c>
      <c r="I52" s="4">
        <f>INDEX('Draft Engine'!$L$3:$L$232,$O52)</f>
        <v>66.923076923076934</v>
      </c>
      <c r="J52" s="4">
        <f>INDEX('Draft Engine'!$R$3:$R$232,$O52)</f>
        <v>78.3</v>
      </c>
      <c r="K52" s="4">
        <f>INDEX('Draft Engine'!$S$3:$S$232,$O52)</f>
        <v>28.299999999999997</v>
      </c>
      <c r="L52" s="4">
        <f>INDEX('Draft Engine'!$U$3:$U$232,$O52)</f>
        <v>79.304500000000004</v>
      </c>
      <c r="M52" s="4">
        <f>INDEX('Draft Engine'!$W$3:$W$232,$O52)</f>
        <v>91.304500000000004</v>
      </c>
      <c r="N52" t="str">
        <f>INDEX('Draft Engine'!$T$3:$T$232,$O52)</f>
        <v>A</v>
      </c>
      <c r="O52" s="6">
        <f>MATCH($A52,'Draft Engine'!$Q$3:$Q$232,0)</f>
        <v>164</v>
      </c>
    </row>
    <row r="53" spans="1:15" x14ac:dyDescent="0.25">
      <c r="A53">
        <f>51</f>
        <v>51</v>
      </c>
      <c r="B53" t="str">
        <f>INDEX('Draft Engine'!$A$3:$A$232,$O53)</f>
        <v>WR</v>
      </c>
      <c r="C53">
        <f>INDEX('Draft Engine'!$F$3:$F$232,$O53)</f>
        <v>21</v>
      </c>
      <c r="D53" t="str">
        <f>INDEX('Draft Engine'!$B$3:$B$232,$O53)</f>
        <v>Malik Nabers</v>
      </c>
      <c r="E53" s="4">
        <f>INDEX('Draft Engine'!$N$3:$N$232,$O53)</f>
        <v>75.137208333333334</v>
      </c>
      <c r="F53" s="4">
        <f>INDEX('Draft Engine'!$E$3:$E$232,$O53)</f>
        <v>81.152500000000003</v>
      </c>
      <c r="G53" s="4">
        <f>INDEX('Draft Engine'!$G$3:$G$232,$O53)</f>
        <v>270.8</v>
      </c>
      <c r="H53" s="4">
        <f>INDEX('Draft Engine'!$J$3:$J$232,$O53)</f>
        <v>31.5</v>
      </c>
      <c r="I53" s="4">
        <f>INDEX('Draft Engine'!$L$3:$L$232,$O53)</f>
        <v>65.555555555555557</v>
      </c>
      <c r="J53" s="4">
        <f>INDEX('Draft Engine'!$R$3:$R$232,$O53)</f>
        <v>31.9</v>
      </c>
      <c r="K53" s="4">
        <f>INDEX('Draft Engine'!$S$3:$S$232,$O53)</f>
        <v>-19.100000000000001</v>
      </c>
      <c r="L53" s="4">
        <f>INDEX('Draft Engine'!$U$3:$U$232,$O53)</f>
        <v>69.152500000000003</v>
      </c>
      <c r="M53" s="4">
        <f>INDEX('Draft Engine'!$W$3:$W$232,$O53)</f>
        <v>93.152500000000003</v>
      </c>
      <c r="N53" t="str">
        <f>INDEX('Draft Engine'!$T$3:$T$232,$O53)</f>
        <v>C</v>
      </c>
      <c r="O53" s="6">
        <f>MATCH($A53,'Draft Engine'!$Q$3:$Q$232,0)</f>
        <v>102</v>
      </c>
    </row>
    <row r="54" spans="1:15" x14ac:dyDescent="0.25">
      <c r="A54">
        <f>52</f>
        <v>52</v>
      </c>
      <c r="B54" t="str">
        <f>INDEX('Draft Engine'!$A$3:$A$232,$O54)</f>
        <v>QB</v>
      </c>
      <c r="C54">
        <f>INDEX('Draft Engine'!$F$3:$F$232,$O54)</f>
        <v>6</v>
      </c>
      <c r="D54" t="str">
        <f>INDEX('Draft Engine'!$B$3:$B$232,$O54)</f>
        <v>Jalen Hurts</v>
      </c>
      <c r="E54" s="4">
        <f>INDEX('Draft Engine'!$N$3:$N$232,$O54)</f>
        <v>74.843291153846167</v>
      </c>
      <c r="F54" s="4">
        <f>INDEX('Draft Engine'!$E$3:$E$232,$O54)</f>
        <v>88.4499</v>
      </c>
      <c r="G54" s="4">
        <f>INDEX('Draft Engine'!$G$3:$G$232,$O54)</f>
        <v>368</v>
      </c>
      <c r="H54" s="4">
        <f>INDEX('Draft Engine'!$J$3:$J$232,$O54)</f>
        <v>16.899999999999999</v>
      </c>
      <c r="I54" s="4">
        <f>INDEX('Draft Engine'!$L$3:$L$232,$O54)</f>
        <v>74.358974358974365</v>
      </c>
      <c r="J54" s="4">
        <f>INDEX('Draft Engine'!$R$3:$R$232,$O54)</f>
        <v>73.7</v>
      </c>
      <c r="K54" s="4">
        <f>INDEX('Draft Engine'!$S$3:$S$232,$O54)</f>
        <v>21.700000000000003</v>
      </c>
      <c r="L54" s="4">
        <f>INDEX('Draft Engine'!$U$3:$U$232,$O54)</f>
        <v>82.4499</v>
      </c>
      <c r="M54" s="4">
        <f>INDEX('Draft Engine'!$W$3:$W$232,$O54)</f>
        <v>94.4499</v>
      </c>
      <c r="N54" t="str">
        <f>INDEX('Draft Engine'!$T$3:$T$232,$O54)</f>
        <v>A</v>
      </c>
      <c r="O54" s="6">
        <f>MATCH($A54,'Draft Engine'!$Q$3:$Q$232,0)</f>
        <v>6</v>
      </c>
    </row>
    <row r="55" spans="1:15" x14ac:dyDescent="0.25">
      <c r="A55">
        <f>53</f>
        <v>53</v>
      </c>
      <c r="B55" t="str">
        <f>INDEX('Draft Engine'!$A$3:$A$232,$O55)</f>
        <v>RB</v>
      </c>
      <c r="C55">
        <f>INDEX('Draft Engine'!$F$3:$F$232,$O55)</f>
        <v>20</v>
      </c>
      <c r="D55" t="str">
        <f>INDEX('Draft Engine'!$B$3:$B$232,$O55)</f>
        <v>D'Andre Swift</v>
      </c>
      <c r="E55" s="4">
        <f>INDEX('Draft Engine'!$N$3:$N$232,$O55)</f>
        <v>74.255955</v>
      </c>
      <c r="F55" s="4">
        <f>INDEX('Draft Engine'!$E$3:$E$232,$O55)</f>
        <v>79.985600000000005</v>
      </c>
      <c r="G55" s="4">
        <f>INDEX('Draft Engine'!$G$3:$G$232,$O55)</f>
        <v>265.89999999999998</v>
      </c>
      <c r="H55" s="4">
        <f>INDEX('Draft Engine'!$J$3:$J$232,$O55)</f>
        <v>26.9</v>
      </c>
      <c r="I55" s="4">
        <f>INDEX('Draft Engine'!$L$3:$L$232,$O55)</f>
        <v>69.479166666666671</v>
      </c>
      <c r="J55" s="4">
        <f>INDEX('Draft Engine'!$R$3:$R$232,$O55)</f>
        <v>43.9</v>
      </c>
      <c r="K55" s="4">
        <f>INDEX('Draft Engine'!$S$3:$S$232,$O55)</f>
        <v>-9.1000000000000014</v>
      </c>
      <c r="L55" s="4">
        <f>INDEX('Draft Engine'!$U$3:$U$232,$O55)</f>
        <v>73.985600000000005</v>
      </c>
      <c r="M55" s="4">
        <f>INDEX('Draft Engine'!$W$3:$W$232,$O55)</f>
        <v>85.985600000000005</v>
      </c>
      <c r="N55" t="str">
        <f>INDEX('Draft Engine'!$T$3:$T$232,$O55)</f>
        <v>A</v>
      </c>
      <c r="O55" s="6">
        <f>MATCH($A55,'Draft Engine'!$Q$3:$Q$232,0)</f>
        <v>52</v>
      </c>
    </row>
    <row r="56" spans="1:15" x14ac:dyDescent="0.25">
      <c r="A56">
        <f>54</f>
        <v>54</v>
      </c>
      <c r="B56" t="str">
        <f>INDEX('Draft Engine'!$A$3:$A$232,$O56)</f>
        <v>RB</v>
      </c>
      <c r="C56">
        <f>INDEX('Draft Engine'!$F$3:$F$232,$O56)</f>
        <v>21</v>
      </c>
      <c r="D56" t="str">
        <f>INDEX('Draft Engine'!$B$3:$B$232,$O56)</f>
        <v>Bucky Irving</v>
      </c>
      <c r="E56" s="4">
        <f>INDEX('Draft Engine'!$N$3:$N$232,$O56)</f>
        <v>73.833025000000006</v>
      </c>
      <c r="F56" s="4">
        <f>INDEX('Draft Engine'!$E$3:$E$232,$O56)</f>
        <v>79.935500000000005</v>
      </c>
      <c r="G56" s="4">
        <f>INDEX('Draft Engine'!$G$3:$G$232,$O56)</f>
        <v>265.7</v>
      </c>
      <c r="H56" s="4">
        <f>INDEX('Draft Engine'!$J$3:$J$232,$O56)</f>
        <v>26.7</v>
      </c>
      <c r="I56" s="4">
        <f>INDEX('Draft Engine'!$L$3:$L$232,$O56)</f>
        <v>67.083333333333329</v>
      </c>
      <c r="J56" s="4">
        <f>INDEX('Draft Engine'!$R$3:$R$232,$O56)</f>
        <v>43</v>
      </c>
      <c r="K56" s="4">
        <f>INDEX('Draft Engine'!$S$3:$S$232,$O56)</f>
        <v>-11</v>
      </c>
      <c r="L56" s="4">
        <f>INDEX('Draft Engine'!$U$3:$U$232,$O56)</f>
        <v>70.935500000000005</v>
      </c>
      <c r="M56" s="4">
        <f>INDEX('Draft Engine'!$W$3:$W$232,$O56)</f>
        <v>88.935500000000005</v>
      </c>
      <c r="N56" t="str">
        <f>INDEX('Draft Engine'!$T$3:$T$232,$O56)</f>
        <v>B</v>
      </c>
      <c r="O56" s="6">
        <f>MATCH($A56,'Draft Engine'!$Q$3:$Q$232,0)</f>
        <v>53</v>
      </c>
    </row>
    <row r="57" spans="1:15" x14ac:dyDescent="0.25">
      <c r="A57">
        <f>55</f>
        <v>55</v>
      </c>
      <c r="B57" t="str">
        <f>INDEX('Draft Engine'!$A$3:$A$232,$O57)</f>
        <v>TE</v>
      </c>
      <c r="C57">
        <f>INDEX('Draft Engine'!$F$3:$F$232,$O57)</f>
        <v>7</v>
      </c>
      <c r="D57" t="str">
        <f>INDEX('Draft Engine'!$B$3:$B$232,$O57)</f>
        <v>Harold Fannin Jr.</v>
      </c>
      <c r="E57" s="4">
        <f>INDEX('Draft Engine'!$N$3:$N$232,$O57)</f>
        <v>73.561888846153849</v>
      </c>
      <c r="F57" s="4">
        <f>INDEX('Draft Engine'!$E$3:$E$232,$O57)</f>
        <v>84.377700000000004</v>
      </c>
      <c r="G57" s="4">
        <f>INDEX('Draft Engine'!$G$3:$G$232,$O57)</f>
        <v>195.3</v>
      </c>
      <c r="H57" s="4">
        <f>INDEX('Draft Engine'!$J$3:$J$232,$O57)</f>
        <v>15.6</v>
      </c>
      <c r="I57" s="4">
        <f>INDEX('Draft Engine'!$L$3:$L$232,$O57)</f>
        <v>62.307692307692307</v>
      </c>
      <c r="J57" s="4">
        <f>INDEX('Draft Engine'!$R$3:$R$232,$O57)</f>
        <v>82.8</v>
      </c>
      <c r="K57" s="4">
        <f>INDEX('Draft Engine'!$S$3:$S$232,$O57)</f>
        <v>27.799999999999997</v>
      </c>
      <c r="L57" s="4">
        <f>INDEX('Draft Engine'!$U$3:$U$232,$O57)</f>
        <v>78.377700000000004</v>
      </c>
      <c r="M57" s="4">
        <f>INDEX('Draft Engine'!$W$3:$W$232,$O57)</f>
        <v>90.377700000000004</v>
      </c>
      <c r="N57" t="str">
        <f>INDEX('Draft Engine'!$T$3:$T$232,$O57)</f>
        <v>A</v>
      </c>
      <c r="O57" s="6">
        <f>MATCH($A57,'Draft Engine'!$Q$3:$Q$232,0)</f>
        <v>165</v>
      </c>
    </row>
    <row r="58" spans="1:15" x14ac:dyDescent="0.25">
      <c r="A58">
        <f>56</f>
        <v>56</v>
      </c>
      <c r="B58" t="str">
        <f>INDEX('Draft Engine'!$A$3:$A$232,$O58)</f>
        <v>RB</v>
      </c>
      <c r="C58">
        <f>INDEX('Draft Engine'!$F$3:$F$232,$O58)</f>
        <v>22</v>
      </c>
      <c r="D58" t="str">
        <f>INDEX('Draft Engine'!$B$3:$B$232,$O58)</f>
        <v>Quinshon Judkins</v>
      </c>
      <c r="E58" s="4">
        <f>INDEX('Draft Engine'!$N$3:$N$232,$O58)</f>
        <v>73.470789999999994</v>
      </c>
      <c r="F58" s="4">
        <f>INDEX('Draft Engine'!$E$3:$E$232,$O58)</f>
        <v>79.930300000000003</v>
      </c>
      <c r="G58" s="4">
        <f>INDEX('Draft Engine'!$G$3:$G$232,$O58)</f>
        <v>265.7</v>
      </c>
      <c r="H58" s="4">
        <f>INDEX('Draft Engine'!$J$3:$J$232,$O58)</f>
        <v>26.7</v>
      </c>
      <c r="I58" s="4">
        <f>INDEX('Draft Engine'!$L$3:$L$232,$O58)</f>
        <v>64.6875</v>
      </c>
      <c r="J58" s="4">
        <f>INDEX('Draft Engine'!$R$3:$R$232,$O58)</f>
        <v>49.9</v>
      </c>
      <c r="K58" s="4">
        <f>INDEX('Draft Engine'!$S$3:$S$232,$O58)</f>
        <v>-6.1000000000000014</v>
      </c>
      <c r="L58" s="4">
        <f>INDEX('Draft Engine'!$U$3:$U$232,$O58)</f>
        <v>73.930300000000003</v>
      </c>
      <c r="M58" s="4">
        <f>INDEX('Draft Engine'!$W$3:$W$232,$O58)</f>
        <v>85.930300000000003</v>
      </c>
      <c r="N58" t="str">
        <f>INDEX('Draft Engine'!$T$3:$T$232,$O58)</f>
        <v>A</v>
      </c>
      <c r="O58" s="6">
        <f>MATCH($A58,'Draft Engine'!$Q$3:$Q$232,0)</f>
        <v>54</v>
      </c>
    </row>
    <row r="59" spans="1:15" x14ac:dyDescent="0.25">
      <c r="A59">
        <f>57</f>
        <v>57</v>
      </c>
      <c r="B59" t="str">
        <f>INDEX('Draft Engine'!$A$3:$A$232,$O59)</f>
        <v>WR</v>
      </c>
      <c r="C59">
        <f>INDEX('Draft Engine'!$F$3:$F$232,$O59)</f>
        <v>22</v>
      </c>
      <c r="D59" t="str">
        <f>INDEX('Draft Engine'!$B$3:$B$232,$O59)</f>
        <v>Terry McLaurin</v>
      </c>
      <c r="E59" s="4">
        <f>INDEX('Draft Engine'!$N$3:$N$232,$O59)</f>
        <v>73.179000000000002</v>
      </c>
      <c r="F59" s="4">
        <f>INDEX('Draft Engine'!$E$3:$E$232,$O59)</f>
        <v>79.900000000000006</v>
      </c>
      <c r="G59" s="4">
        <f>INDEX('Draft Engine'!$G$3:$G$232,$O59)</f>
        <v>265.60000000000002</v>
      </c>
      <c r="H59" s="4">
        <f>INDEX('Draft Engine'!$J$3:$J$232,$O59)</f>
        <v>26.3</v>
      </c>
      <c r="I59" s="4">
        <f>INDEX('Draft Engine'!$L$3:$L$232,$O59)</f>
        <v>63.333333333333336</v>
      </c>
      <c r="J59" s="4">
        <f>INDEX('Draft Engine'!$R$3:$R$232,$O59)</f>
        <v>43</v>
      </c>
      <c r="K59" s="4">
        <f>INDEX('Draft Engine'!$S$3:$S$232,$O59)</f>
        <v>-14</v>
      </c>
      <c r="L59" s="4">
        <f>INDEX('Draft Engine'!$U$3:$U$232,$O59)</f>
        <v>67.900000000000006</v>
      </c>
      <c r="M59" s="4">
        <f>INDEX('Draft Engine'!$W$3:$W$232,$O59)</f>
        <v>91.9</v>
      </c>
      <c r="N59" t="str">
        <f>INDEX('Draft Engine'!$T$3:$T$232,$O59)</f>
        <v>C</v>
      </c>
      <c r="O59" s="6">
        <f>MATCH($A59,'Draft Engine'!$Q$3:$Q$232,0)</f>
        <v>105</v>
      </c>
    </row>
    <row r="60" spans="1:15" x14ac:dyDescent="0.25">
      <c r="A60">
        <f>58</f>
        <v>58</v>
      </c>
      <c r="B60" t="str">
        <f>INDEX('Draft Engine'!$A$3:$A$232,$O60)</f>
        <v>TE</v>
      </c>
      <c r="C60">
        <f>INDEX('Draft Engine'!$F$3:$F$232,$O60)</f>
        <v>8</v>
      </c>
      <c r="D60" t="str">
        <f>INDEX('Draft Engine'!$B$3:$B$232,$O60)</f>
        <v>Jake Ferguson</v>
      </c>
      <c r="E60" s="4">
        <f>INDEX('Draft Engine'!$N$3:$N$232,$O60)</f>
        <v>72.521996153846146</v>
      </c>
      <c r="F60" s="4">
        <f>INDEX('Draft Engine'!$E$3:$E$232,$O60)</f>
        <v>84.072999999999993</v>
      </c>
      <c r="G60" s="4">
        <f>INDEX('Draft Engine'!$G$3:$G$232,$O60)</f>
        <v>194.3</v>
      </c>
      <c r="H60" s="4">
        <f>INDEX('Draft Engine'!$J$3:$J$232,$O60)</f>
        <v>14.6</v>
      </c>
      <c r="I60" s="4">
        <f>INDEX('Draft Engine'!$L$3:$L$232,$O60)</f>
        <v>57.692307692307693</v>
      </c>
      <c r="J60" s="4">
        <f>INDEX('Draft Engine'!$R$3:$R$232,$O60)</f>
        <v>140.80000000000001</v>
      </c>
      <c r="K60" s="4">
        <f>INDEX('Draft Engine'!$S$3:$S$232,$O60)</f>
        <v>82.800000000000011</v>
      </c>
      <c r="L60" s="4">
        <f>INDEX('Draft Engine'!$U$3:$U$232,$O60)</f>
        <v>78.072999999999993</v>
      </c>
      <c r="M60" s="4">
        <f>INDEX('Draft Engine'!$W$3:$W$232,$O60)</f>
        <v>90.072999999999993</v>
      </c>
      <c r="N60" t="str">
        <f>INDEX('Draft Engine'!$T$3:$T$232,$O60)</f>
        <v>A</v>
      </c>
      <c r="O60" s="6">
        <f>MATCH($A60,'Draft Engine'!$Q$3:$Q$232,0)</f>
        <v>166</v>
      </c>
    </row>
    <row r="61" spans="1:15" x14ac:dyDescent="0.25">
      <c r="A61">
        <f>59</f>
        <v>59</v>
      </c>
      <c r="B61" t="str">
        <f>INDEX('Draft Engine'!$A$3:$A$232,$O61)</f>
        <v>QB</v>
      </c>
      <c r="C61">
        <f>INDEX('Draft Engine'!$F$3:$F$232,$O61)</f>
        <v>7</v>
      </c>
      <c r="D61" t="str">
        <f>INDEX('Draft Engine'!$B$3:$B$232,$O61)</f>
        <v>Patrick Mahomes II</v>
      </c>
      <c r="E61" s="4">
        <f>INDEX('Draft Engine'!$N$3:$N$232,$O61)</f>
        <v>72.110080384615387</v>
      </c>
      <c r="F61" s="4">
        <f>INDEX('Draft Engine'!$E$3:$E$232,$O61)</f>
        <v>87.006299999999996</v>
      </c>
      <c r="G61" s="4">
        <f>INDEX('Draft Engine'!$G$3:$G$232,$O61)</f>
        <v>361.5</v>
      </c>
      <c r="H61" s="4">
        <f>INDEX('Draft Engine'!$J$3:$J$232,$O61)</f>
        <v>10.4</v>
      </c>
      <c r="I61" s="4">
        <f>INDEX('Draft Engine'!$L$3:$L$232,$O61)</f>
        <v>69.230769230769226</v>
      </c>
      <c r="J61" s="4">
        <f>INDEX('Draft Engine'!$R$3:$R$232,$O61)</f>
        <v>97.4</v>
      </c>
      <c r="K61" s="4">
        <f>INDEX('Draft Engine'!$S$3:$S$232,$O61)</f>
        <v>38.400000000000006</v>
      </c>
      <c r="L61" s="4">
        <f>INDEX('Draft Engine'!$U$3:$U$232,$O61)</f>
        <v>81.006299999999996</v>
      </c>
      <c r="M61" s="4">
        <f>INDEX('Draft Engine'!$W$3:$W$232,$O61)</f>
        <v>93.006299999999996</v>
      </c>
      <c r="N61" t="str">
        <f>INDEX('Draft Engine'!$T$3:$T$232,$O61)</f>
        <v>A</v>
      </c>
      <c r="O61" s="6">
        <f>MATCH($A61,'Draft Engine'!$Q$3:$Q$232,0)</f>
        <v>7</v>
      </c>
    </row>
    <row r="62" spans="1:15" x14ac:dyDescent="0.25">
      <c r="A62">
        <f>60</f>
        <v>60</v>
      </c>
      <c r="B62" t="str">
        <f>INDEX('Draft Engine'!$A$3:$A$232,$O62)</f>
        <v>TE</v>
      </c>
      <c r="C62">
        <f>INDEX('Draft Engine'!$F$3:$F$232,$O62)</f>
        <v>9</v>
      </c>
      <c r="D62" t="str">
        <f>INDEX('Draft Engine'!$B$3:$B$232,$O62)</f>
        <v>Tucker Kraft</v>
      </c>
      <c r="E62" s="4">
        <f>INDEX('Draft Engine'!$N$3:$N$232,$O62)</f>
        <v>71.504268461538473</v>
      </c>
      <c r="F62" s="4">
        <f>INDEX('Draft Engine'!$E$3:$E$232,$O62)</f>
        <v>83.808599999999998</v>
      </c>
      <c r="G62" s="4">
        <f>INDEX('Draft Engine'!$G$3:$G$232,$O62)</f>
        <v>193.3</v>
      </c>
      <c r="H62" s="4">
        <f>INDEX('Draft Engine'!$J$3:$J$232,$O62)</f>
        <v>13.6</v>
      </c>
      <c r="I62" s="4">
        <f>INDEX('Draft Engine'!$L$3:$L$232,$O62)</f>
        <v>53.07692307692308</v>
      </c>
      <c r="J62" s="4">
        <f>INDEX('Draft Engine'!$R$3:$R$232,$O62)</f>
        <v>108.3</v>
      </c>
      <c r="K62" s="4">
        <f>INDEX('Draft Engine'!$S$3:$S$232,$O62)</f>
        <v>48.3</v>
      </c>
      <c r="L62" s="4">
        <f>INDEX('Draft Engine'!$U$3:$U$232,$O62)</f>
        <v>74.808599999999998</v>
      </c>
      <c r="M62" s="4">
        <f>INDEX('Draft Engine'!$W$3:$W$232,$O62)</f>
        <v>92.808599999999998</v>
      </c>
      <c r="N62" t="str">
        <f>INDEX('Draft Engine'!$T$3:$T$232,$O62)</f>
        <v>B</v>
      </c>
      <c r="O62" s="6">
        <f>MATCH($A62,'Draft Engine'!$Q$3:$Q$232,0)</f>
        <v>167</v>
      </c>
    </row>
    <row r="63" spans="1:15" x14ac:dyDescent="0.25">
      <c r="A63">
        <f>61</f>
        <v>61</v>
      </c>
      <c r="B63" t="str">
        <f>INDEX('Draft Engine'!$A$3:$A$232,$O63)</f>
        <v>WR</v>
      </c>
      <c r="C63">
        <f>INDEX('Draft Engine'!$F$3:$F$232,$O63)</f>
        <v>23</v>
      </c>
      <c r="D63" t="str">
        <f>INDEX('Draft Engine'!$B$3:$B$232,$O63)</f>
        <v>Luther Burden III</v>
      </c>
      <c r="E63" s="4">
        <f>INDEX('Draft Engine'!$N$3:$N$232,$O63)</f>
        <v>71.20279166666667</v>
      </c>
      <c r="F63" s="4">
        <f>INDEX('Draft Engine'!$E$3:$E$232,$O63)</f>
        <v>78.647499999999994</v>
      </c>
      <c r="G63" s="4">
        <f>INDEX('Draft Engine'!$G$3:$G$232,$O63)</f>
        <v>260.3</v>
      </c>
      <c r="H63" s="4">
        <f>INDEX('Draft Engine'!$J$3:$J$232,$O63)</f>
        <v>21</v>
      </c>
      <c r="I63" s="4">
        <f>INDEX('Draft Engine'!$L$3:$L$232,$O63)</f>
        <v>61.111111111111114</v>
      </c>
      <c r="J63" s="4">
        <f>INDEX('Draft Engine'!$R$3:$R$232,$O63)</f>
        <v>53.1</v>
      </c>
      <c r="K63" s="4">
        <f>INDEX('Draft Engine'!$S$3:$S$232,$O63)</f>
        <v>-7.8999999999999986</v>
      </c>
      <c r="L63" s="4">
        <f>INDEX('Draft Engine'!$U$3:$U$232,$O63)</f>
        <v>66.647499999999994</v>
      </c>
      <c r="M63" s="4">
        <f>INDEX('Draft Engine'!$W$3:$W$232,$O63)</f>
        <v>90.647499999999994</v>
      </c>
      <c r="N63" t="str">
        <f>INDEX('Draft Engine'!$T$3:$T$232,$O63)</f>
        <v>C</v>
      </c>
      <c r="O63" s="6">
        <f>MATCH($A63,'Draft Engine'!$Q$3:$Q$232,0)</f>
        <v>108</v>
      </c>
    </row>
    <row r="64" spans="1:15" x14ac:dyDescent="0.25">
      <c r="A64">
        <f>62</f>
        <v>62</v>
      </c>
      <c r="B64" t="str">
        <f>INDEX('Draft Engine'!$A$3:$A$232,$O64)</f>
        <v>QB</v>
      </c>
      <c r="C64">
        <f>INDEX('Draft Engine'!$F$3:$F$232,$O64)</f>
        <v>8</v>
      </c>
      <c r="D64" t="str">
        <f>INDEX('Draft Engine'!$B$3:$B$232,$O64)</f>
        <v>Jayden Daniels</v>
      </c>
      <c r="E64" s="4">
        <f>INDEX('Draft Engine'!$N$3:$N$232,$O64)</f>
        <v>70.938549615384616</v>
      </c>
      <c r="F64" s="4">
        <f>INDEX('Draft Engine'!$E$3:$E$232,$O64)</f>
        <v>86.700299999999999</v>
      </c>
      <c r="G64" s="4">
        <f>INDEX('Draft Engine'!$G$3:$G$232,$O64)</f>
        <v>360.2</v>
      </c>
      <c r="H64" s="4">
        <f>INDEX('Draft Engine'!$J$3:$J$232,$O64)</f>
        <v>9.1</v>
      </c>
      <c r="I64" s="4">
        <f>INDEX('Draft Engine'!$L$3:$L$232,$O64)</f>
        <v>64.102564102564102</v>
      </c>
      <c r="J64" s="4">
        <f>INDEX('Draft Engine'!$R$3:$R$232,$O64)</f>
        <v>67</v>
      </c>
      <c r="K64" s="4">
        <f>INDEX('Draft Engine'!$S$3:$S$232,$O64)</f>
        <v>5</v>
      </c>
      <c r="L64" s="4">
        <f>INDEX('Draft Engine'!$U$3:$U$232,$O64)</f>
        <v>77.700299999999999</v>
      </c>
      <c r="M64" s="4">
        <f>INDEX('Draft Engine'!$W$3:$W$232,$O64)</f>
        <v>95.700299999999999</v>
      </c>
      <c r="N64" t="str">
        <f>INDEX('Draft Engine'!$T$3:$T$232,$O64)</f>
        <v>B</v>
      </c>
      <c r="O64" s="6">
        <f>MATCH($A64,'Draft Engine'!$Q$3:$Q$232,0)</f>
        <v>8</v>
      </c>
    </row>
    <row r="65" spans="1:15" x14ac:dyDescent="0.25">
      <c r="A65">
        <f>63</f>
        <v>63</v>
      </c>
      <c r="B65" t="str">
        <f>INDEX('Draft Engine'!$A$3:$A$232,$O65)</f>
        <v>RB</v>
      </c>
      <c r="C65">
        <f>INDEX('Draft Engine'!$F$3:$F$232,$O65)</f>
        <v>23</v>
      </c>
      <c r="D65" t="str">
        <f>INDEX('Draft Engine'!$B$3:$B$232,$O65)</f>
        <v>David Montgomery</v>
      </c>
      <c r="E65" s="4">
        <f>INDEX('Draft Engine'!$N$3:$N$232,$O65)</f>
        <v>70.470359999999999</v>
      </c>
      <c r="F65" s="4">
        <f>INDEX('Draft Engine'!$E$3:$E$232,$O65)</f>
        <v>77.910200000000003</v>
      </c>
      <c r="G65" s="4">
        <f>INDEX('Draft Engine'!$G$3:$G$232,$O65)</f>
        <v>257.2</v>
      </c>
      <c r="H65" s="4">
        <f>INDEX('Draft Engine'!$J$3:$J$232,$O65)</f>
        <v>18.2</v>
      </c>
      <c r="I65" s="4">
        <f>INDEX('Draft Engine'!$L$3:$L$232,$O65)</f>
        <v>62.291666666666664</v>
      </c>
      <c r="J65" s="4">
        <f>INDEX('Draft Engine'!$R$3:$R$232,$O65)</f>
        <v>66.400000000000006</v>
      </c>
      <c r="K65" s="4">
        <f>INDEX('Draft Engine'!$S$3:$S$232,$O65)</f>
        <v>3.4000000000000057</v>
      </c>
      <c r="L65" s="4">
        <f>INDEX('Draft Engine'!$U$3:$U$232,$O65)</f>
        <v>71.910200000000003</v>
      </c>
      <c r="M65" s="4">
        <f>INDEX('Draft Engine'!$W$3:$W$232,$O65)</f>
        <v>83.910200000000003</v>
      </c>
      <c r="N65" t="str">
        <f>INDEX('Draft Engine'!$T$3:$T$232,$O65)</f>
        <v>A</v>
      </c>
      <c r="O65" s="6">
        <f>MATCH($A65,'Draft Engine'!$Q$3:$Q$232,0)</f>
        <v>55</v>
      </c>
    </row>
    <row r="66" spans="1:15" x14ac:dyDescent="0.25">
      <c r="A66">
        <f>64</f>
        <v>64</v>
      </c>
      <c r="B66" t="str">
        <f>INDEX('Draft Engine'!$A$3:$A$232,$O66)</f>
        <v>WR</v>
      </c>
      <c r="C66">
        <f>INDEX('Draft Engine'!$F$3:$F$232,$O66)</f>
        <v>24</v>
      </c>
      <c r="D66" t="str">
        <f>INDEX('Draft Engine'!$B$3:$B$232,$O66)</f>
        <v>Davante Adams</v>
      </c>
      <c r="E66" s="4">
        <f>INDEX('Draft Engine'!$N$3:$N$232,$O66)</f>
        <v>70.117083333333326</v>
      </c>
      <c r="F66" s="4">
        <f>INDEX('Draft Engine'!$E$3:$E$232,$O66)</f>
        <v>78.064999999999998</v>
      </c>
      <c r="G66" s="4">
        <f>INDEX('Draft Engine'!$G$3:$G$232,$O66)</f>
        <v>257.89999999999998</v>
      </c>
      <c r="H66" s="4">
        <f>INDEX('Draft Engine'!$J$3:$J$232,$O66)</f>
        <v>18.600000000000001</v>
      </c>
      <c r="I66" s="4">
        <f>INDEX('Draft Engine'!$L$3:$L$232,$O66)</f>
        <v>58.888888888888893</v>
      </c>
      <c r="J66" s="4">
        <f>INDEX('Draft Engine'!$R$3:$R$232,$O66)</f>
        <v>41.5</v>
      </c>
      <c r="K66" s="4">
        <f>INDEX('Draft Engine'!$S$3:$S$232,$O66)</f>
        <v>-22.5</v>
      </c>
      <c r="L66" s="4">
        <f>INDEX('Draft Engine'!$U$3:$U$232,$O66)</f>
        <v>66.064999999999998</v>
      </c>
      <c r="M66" s="4">
        <f>INDEX('Draft Engine'!$W$3:$W$232,$O66)</f>
        <v>90.064999999999998</v>
      </c>
      <c r="N66" t="str">
        <f>INDEX('Draft Engine'!$T$3:$T$232,$O66)</f>
        <v>C</v>
      </c>
      <c r="O66" s="6">
        <f>MATCH($A66,'Draft Engine'!$Q$3:$Q$232,0)</f>
        <v>107</v>
      </c>
    </row>
    <row r="67" spans="1:15" x14ac:dyDescent="0.25">
      <c r="A67">
        <f>65</f>
        <v>65</v>
      </c>
      <c r="B67" t="str">
        <f>INDEX('Draft Engine'!$A$3:$A$232,$O67)</f>
        <v>RB</v>
      </c>
      <c r="C67">
        <f>INDEX('Draft Engine'!$F$3:$F$232,$O67)</f>
        <v>24</v>
      </c>
      <c r="D67" t="str">
        <f>INDEX('Draft Engine'!$B$3:$B$232,$O67)</f>
        <v>TreVeyon Henderson</v>
      </c>
      <c r="E67" s="4">
        <f>INDEX('Draft Engine'!$N$3:$N$232,$O67)</f>
        <v>70.014250000000004</v>
      </c>
      <c r="F67" s="4">
        <f>INDEX('Draft Engine'!$E$3:$E$232,$O67)</f>
        <v>77.832499999999996</v>
      </c>
      <c r="G67" s="4">
        <f>INDEX('Draft Engine'!$G$3:$G$232,$O67)</f>
        <v>256.89999999999998</v>
      </c>
      <c r="H67" s="4">
        <f>INDEX('Draft Engine'!$J$3:$J$232,$O67)</f>
        <v>17.899999999999999</v>
      </c>
      <c r="I67" s="4">
        <f>INDEX('Draft Engine'!$L$3:$L$232,$O67)</f>
        <v>59.895833333333321</v>
      </c>
      <c r="J67" s="4">
        <f>INDEX('Draft Engine'!$R$3:$R$232,$O67)</f>
        <v>55.4</v>
      </c>
      <c r="K67" s="4">
        <f>INDEX('Draft Engine'!$S$3:$S$232,$O67)</f>
        <v>-9.6000000000000014</v>
      </c>
      <c r="L67" s="4">
        <f>INDEX('Draft Engine'!$U$3:$U$232,$O67)</f>
        <v>71.832499999999996</v>
      </c>
      <c r="M67" s="4">
        <f>INDEX('Draft Engine'!$W$3:$W$232,$O67)</f>
        <v>83.832499999999996</v>
      </c>
      <c r="N67" t="str">
        <f>INDEX('Draft Engine'!$T$3:$T$232,$O67)</f>
        <v>A</v>
      </c>
      <c r="O67" s="6">
        <f>MATCH($A67,'Draft Engine'!$Q$3:$Q$232,0)</f>
        <v>56</v>
      </c>
    </row>
    <row r="68" spans="1:15" x14ac:dyDescent="0.25">
      <c r="A68">
        <f>66</f>
        <v>66</v>
      </c>
      <c r="B68" t="str">
        <f>INDEX('Draft Engine'!$A$3:$A$232,$O68)</f>
        <v>TE</v>
      </c>
      <c r="C68">
        <f>INDEX('Draft Engine'!$F$3:$F$232,$O68)</f>
        <v>10</v>
      </c>
      <c r="D68" t="str">
        <f>INDEX('Draft Engine'!$B$3:$B$232,$O68)</f>
        <v>Sam LaPorta</v>
      </c>
      <c r="E68" s="4">
        <f>INDEX('Draft Engine'!$N$3:$N$232,$O68)</f>
        <v>69.699145769230782</v>
      </c>
      <c r="F68" s="4">
        <f>INDEX('Draft Engine'!$E$3:$E$232,$O68)</f>
        <v>82.865300000000005</v>
      </c>
      <c r="G68" s="4">
        <f>INDEX('Draft Engine'!$G$3:$G$232,$O68)</f>
        <v>190</v>
      </c>
      <c r="H68" s="4">
        <f>INDEX('Draft Engine'!$J$3:$J$232,$O68)</f>
        <v>10.3</v>
      </c>
      <c r="I68" s="4">
        <f>INDEX('Draft Engine'!$L$3:$L$232,$O68)</f>
        <v>48.46153846153846</v>
      </c>
      <c r="J68" s="4">
        <f>INDEX('Draft Engine'!$R$3:$R$232,$O68)</f>
        <v>88.7</v>
      </c>
      <c r="K68" s="4">
        <f>INDEX('Draft Engine'!$S$3:$S$232,$O68)</f>
        <v>22.700000000000003</v>
      </c>
      <c r="L68" s="4">
        <f>INDEX('Draft Engine'!$U$3:$U$232,$O68)</f>
        <v>73.865300000000005</v>
      </c>
      <c r="M68" s="4">
        <f>INDEX('Draft Engine'!$W$3:$W$232,$O68)</f>
        <v>91.865300000000005</v>
      </c>
      <c r="N68" t="str">
        <f>INDEX('Draft Engine'!$T$3:$T$232,$O68)</f>
        <v>B</v>
      </c>
      <c r="O68" s="6">
        <f>MATCH($A68,'Draft Engine'!$Q$3:$Q$232,0)</f>
        <v>168</v>
      </c>
    </row>
    <row r="69" spans="1:15" x14ac:dyDescent="0.25">
      <c r="A69">
        <f>67</f>
        <v>67</v>
      </c>
      <c r="B69" t="str">
        <f>INDEX('Draft Engine'!$A$3:$A$232,$O69)</f>
        <v>QB</v>
      </c>
      <c r="C69">
        <f>INDEX('Draft Engine'!$F$3:$F$232,$O69)</f>
        <v>9</v>
      </c>
      <c r="D69" t="str">
        <f>INDEX('Draft Engine'!$B$3:$B$232,$O69)</f>
        <v>Joe Burrow</v>
      </c>
      <c r="E69" s="4">
        <f>INDEX('Draft Engine'!$N$3:$N$232,$O69)</f>
        <v>68.659368846153853</v>
      </c>
      <c r="F69" s="4">
        <f>INDEX('Draft Engine'!$E$3:$E$232,$O69)</f>
        <v>85.591300000000004</v>
      </c>
      <c r="G69" s="4">
        <f>INDEX('Draft Engine'!$G$3:$G$232,$O69)</f>
        <v>355.2</v>
      </c>
      <c r="H69" s="4">
        <f>INDEX('Draft Engine'!$J$3:$J$232,$O69)</f>
        <v>4.0999999999999996</v>
      </c>
      <c r="I69" s="4">
        <f>INDEX('Draft Engine'!$L$3:$L$232,$O69)</f>
        <v>58.974358974358978</v>
      </c>
      <c r="J69" s="4">
        <f>INDEX('Draft Engine'!$R$3:$R$232,$O69)</f>
        <v>57.3</v>
      </c>
      <c r="K69" s="4">
        <f>INDEX('Draft Engine'!$S$3:$S$232,$O69)</f>
        <v>-9.7000000000000028</v>
      </c>
      <c r="L69" s="4">
        <f>INDEX('Draft Engine'!$U$3:$U$232,$O69)</f>
        <v>76.591300000000004</v>
      </c>
      <c r="M69" s="4">
        <f>INDEX('Draft Engine'!$W$3:$W$232,$O69)</f>
        <v>94.591300000000004</v>
      </c>
      <c r="N69" t="str">
        <f>INDEX('Draft Engine'!$T$3:$T$232,$O69)</f>
        <v>B</v>
      </c>
      <c r="O69" s="6">
        <f>MATCH($A69,'Draft Engine'!$Q$3:$Q$232,0)</f>
        <v>9</v>
      </c>
    </row>
    <row r="70" spans="1:15" x14ac:dyDescent="0.25">
      <c r="A70">
        <f>68</f>
        <v>68</v>
      </c>
      <c r="B70" t="str">
        <f>INDEX('Draft Engine'!$A$3:$A$232,$O70)</f>
        <v>RB</v>
      </c>
      <c r="C70">
        <f>INDEX('Draft Engine'!$F$3:$F$232,$O70)</f>
        <v>25</v>
      </c>
      <c r="D70" t="str">
        <f>INDEX('Draft Engine'!$B$3:$B$232,$O70)</f>
        <v>Jadarian Price</v>
      </c>
      <c r="E70" s="4">
        <f>INDEX('Draft Engine'!$N$3:$N$232,$O70)</f>
        <v>68.12921</v>
      </c>
      <c r="F70" s="4">
        <f>INDEX('Draft Engine'!$E$3:$E$232,$O70)</f>
        <v>76.662199999999999</v>
      </c>
      <c r="G70" s="4">
        <f>INDEX('Draft Engine'!$G$3:$G$232,$O70)</f>
        <v>252</v>
      </c>
      <c r="H70" s="4">
        <f>INDEX('Draft Engine'!$J$3:$J$232,$O70)</f>
        <v>13</v>
      </c>
      <c r="I70" s="4">
        <f>INDEX('Draft Engine'!$L$3:$L$232,$O70)</f>
        <v>57.499999999999993</v>
      </c>
      <c r="J70" s="4">
        <f>INDEX('Draft Engine'!$R$3:$R$232,$O70)</f>
        <v>63</v>
      </c>
      <c r="K70" s="4">
        <f>INDEX('Draft Engine'!$S$3:$S$232,$O70)</f>
        <v>-5</v>
      </c>
      <c r="L70" s="4">
        <f>INDEX('Draft Engine'!$U$3:$U$232,$O70)</f>
        <v>67.662199999999999</v>
      </c>
      <c r="M70" s="4">
        <f>INDEX('Draft Engine'!$W$3:$W$232,$O70)</f>
        <v>85.662199999999999</v>
      </c>
      <c r="N70" t="str">
        <f>INDEX('Draft Engine'!$T$3:$T$232,$O70)</f>
        <v>B</v>
      </c>
      <c r="O70" s="6">
        <f>MATCH($A70,'Draft Engine'!$Q$3:$Q$232,0)</f>
        <v>57</v>
      </c>
    </row>
    <row r="71" spans="1:15" x14ac:dyDescent="0.25">
      <c r="A71">
        <f>69</f>
        <v>69</v>
      </c>
      <c r="B71" t="str">
        <f>INDEX('Draft Engine'!$A$3:$A$232,$O71)</f>
        <v>TE</v>
      </c>
      <c r="C71">
        <f>INDEX('Draft Engine'!$F$3:$F$232,$O71)</f>
        <v>11</v>
      </c>
      <c r="D71" t="str">
        <f>INDEX('Draft Engine'!$B$3:$B$232,$O71)</f>
        <v>Dalton Kincaid</v>
      </c>
      <c r="E71" s="4">
        <f>INDEX('Draft Engine'!$N$3:$N$232,$O71)</f>
        <v>67.88967807692309</v>
      </c>
      <c r="F71" s="4">
        <f>INDEX('Draft Engine'!$E$3:$E$232,$O71)</f>
        <v>81.914100000000005</v>
      </c>
      <c r="G71" s="4">
        <f>INDEX('Draft Engine'!$G$3:$G$232,$O71)</f>
        <v>186.7</v>
      </c>
      <c r="H71" s="4">
        <f>INDEX('Draft Engine'!$J$3:$J$232,$O71)</f>
        <v>7</v>
      </c>
      <c r="I71" s="4">
        <f>INDEX('Draft Engine'!$L$3:$L$232,$O71)</f>
        <v>43.846153846153854</v>
      </c>
      <c r="J71" s="4">
        <f>INDEX('Draft Engine'!$R$3:$R$232,$O71)</f>
        <v>152</v>
      </c>
      <c r="K71" s="4">
        <f>INDEX('Draft Engine'!$S$3:$S$232,$O71)</f>
        <v>83</v>
      </c>
      <c r="L71" s="4">
        <f>INDEX('Draft Engine'!$U$3:$U$232,$O71)</f>
        <v>75.914100000000005</v>
      </c>
      <c r="M71" s="4">
        <f>INDEX('Draft Engine'!$W$3:$W$232,$O71)</f>
        <v>87.914100000000005</v>
      </c>
      <c r="N71" t="str">
        <f>INDEX('Draft Engine'!$T$3:$T$232,$O71)</f>
        <v>A</v>
      </c>
      <c r="O71" s="6">
        <f>MATCH($A71,'Draft Engine'!$Q$3:$Q$232,0)</f>
        <v>169</v>
      </c>
    </row>
    <row r="72" spans="1:15" x14ac:dyDescent="0.25">
      <c r="A72">
        <f>70</f>
        <v>70</v>
      </c>
      <c r="B72" t="str">
        <f>INDEX('Draft Engine'!$A$3:$A$232,$O72)</f>
        <v>WR</v>
      </c>
      <c r="C72">
        <f>INDEX('Draft Engine'!$F$3:$F$232,$O72)</f>
        <v>25</v>
      </c>
      <c r="D72" t="str">
        <f>INDEX('Draft Engine'!$B$3:$B$232,$O72)</f>
        <v>Mike Evans</v>
      </c>
      <c r="E72" s="4">
        <f>INDEX('Draft Engine'!$N$3:$N$232,$O72)</f>
        <v>67.704625000000007</v>
      </c>
      <c r="F72" s="4">
        <f>INDEX('Draft Engine'!$E$3:$E$232,$O72)</f>
        <v>76.477500000000006</v>
      </c>
      <c r="G72" s="4">
        <f>INDEX('Draft Engine'!$G$3:$G$232,$O72)</f>
        <v>251.2</v>
      </c>
      <c r="H72" s="4">
        <f>INDEX('Draft Engine'!$J$3:$J$232,$O72)</f>
        <v>11.9</v>
      </c>
      <c r="I72" s="4">
        <f>INDEX('Draft Engine'!$L$3:$L$232,$O72)</f>
        <v>56.666666666666671</v>
      </c>
      <c r="J72" s="4">
        <f>INDEX('Draft Engine'!$R$3:$R$232,$O72)</f>
        <v>59.4</v>
      </c>
      <c r="K72" s="4">
        <f>INDEX('Draft Engine'!$S$3:$S$232,$O72)</f>
        <v>-10.600000000000001</v>
      </c>
      <c r="L72" s="4">
        <f>INDEX('Draft Engine'!$U$3:$U$232,$O72)</f>
        <v>64.477500000000006</v>
      </c>
      <c r="M72" s="4">
        <f>INDEX('Draft Engine'!$W$3:$W$232,$O72)</f>
        <v>88.477500000000006</v>
      </c>
      <c r="N72" t="str">
        <f>INDEX('Draft Engine'!$T$3:$T$232,$O72)</f>
        <v>C</v>
      </c>
      <c r="O72" s="6">
        <f>MATCH($A72,'Draft Engine'!$Q$3:$Q$232,0)</f>
        <v>112</v>
      </c>
    </row>
    <row r="73" spans="1:15" x14ac:dyDescent="0.25">
      <c r="A73">
        <f>71</f>
        <v>71</v>
      </c>
      <c r="B73" t="str">
        <f>INDEX('Draft Engine'!$A$3:$A$232,$O73)</f>
        <v>QB</v>
      </c>
      <c r="C73">
        <f>INDEX('Draft Engine'!$F$3:$F$232,$O73)</f>
        <v>10</v>
      </c>
      <c r="D73" t="str">
        <f>INDEX('Draft Engine'!$B$3:$B$232,$O73)</f>
        <v>Matthew Stafford</v>
      </c>
      <c r="E73" s="4">
        <f>INDEX('Draft Engine'!$N$3:$N$232,$O73)</f>
        <v>67.651758076923088</v>
      </c>
      <c r="F73" s="4">
        <f>INDEX('Draft Engine'!$E$3:$E$232,$O73)</f>
        <v>85.419700000000006</v>
      </c>
      <c r="G73" s="4">
        <f>INDEX('Draft Engine'!$G$3:$G$232,$O73)</f>
        <v>354.4</v>
      </c>
      <c r="H73" s="4">
        <f>INDEX('Draft Engine'!$J$3:$J$232,$O73)</f>
        <v>3.3</v>
      </c>
      <c r="I73" s="4">
        <f>INDEX('Draft Engine'!$L$3:$L$232,$O73)</f>
        <v>53.846153846153847</v>
      </c>
      <c r="J73" s="4">
        <f>INDEX('Draft Engine'!$R$3:$R$232,$O73)</f>
        <v>83.7</v>
      </c>
      <c r="K73" s="4">
        <f>INDEX('Draft Engine'!$S$3:$S$232,$O73)</f>
        <v>12.700000000000003</v>
      </c>
      <c r="L73" s="4">
        <f>INDEX('Draft Engine'!$U$3:$U$232,$O73)</f>
        <v>79.419700000000006</v>
      </c>
      <c r="M73" s="4">
        <f>INDEX('Draft Engine'!$W$3:$W$232,$O73)</f>
        <v>91.419700000000006</v>
      </c>
      <c r="N73" t="str">
        <f>INDEX('Draft Engine'!$T$3:$T$232,$O73)</f>
        <v>A</v>
      </c>
      <c r="O73" s="6">
        <f>MATCH($A73,'Draft Engine'!$Q$3:$Q$232,0)</f>
        <v>10</v>
      </c>
    </row>
    <row r="74" spans="1:15" x14ac:dyDescent="0.25">
      <c r="A74">
        <f>72</f>
        <v>72</v>
      </c>
      <c r="B74" t="str">
        <f>INDEX('Draft Engine'!$A$3:$A$232,$O74)</f>
        <v>WR</v>
      </c>
      <c r="C74">
        <f>INDEX('Draft Engine'!$F$3:$F$232,$O74)</f>
        <v>26</v>
      </c>
      <c r="D74" t="str">
        <f>INDEX('Draft Engine'!$B$3:$B$232,$O74)</f>
        <v>Jordyn Tyson</v>
      </c>
      <c r="E74" s="4">
        <f>INDEX('Draft Engine'!$N$3:$N$232,$O74)</f>
        <v>67.031666666666666</v>
      </c>
      <c r="F74" s="4">
        <f>INDEX('Draft Engine'!$E$3:$E$232,$O74)</f>
        <v>76.22</v>
      </c>
      <c r="G74" s="4">
        <f>INDEX('Draft Engine'!$G$3:$G$232,$O74)</f>
        <v>250.1</v>
      </c>
      <c r="H74" s="4">
        <f>INDEX('Draft Engine'!$J$3:$J$232,$O74)</f>
        <v>10.8</v>
      </c>
      <c r="I74" s="4">
        <f>INDEX('Draft Engine'!$L$3:$L$232,$O74)</f>
        <v>54.44444444444445</v>
      </c>
      <c r="J74" s="4">
        <f>INDEX('Draft Engine'!$R$3:$R$232,$O74)</f>
        <v>87.1</v>
      </c>
      <c r="K74" s="4">
        <f>INDEX('Draft Engine'!$S$3:$S$232,$O74)</f>
        <v>15.099999999999994</v>
      </c>
      <c r="L74" s="4">
        <f>INDEX('Draft Engine'!$U$3:$U$232,$O74)</f>
        <v>64.22</v>
      </c>
      <c r="M74" s="4">
        <f>INDEX('Draft Engine'!$W$3:$W$232,$O74)</f>
        <v>88.22</v>
      </c>
      <c r="N74" t="str">
        <f>INDEX('Draft Engine'!$T$3:$T$232,$O74)</f>
        <v>C</v>
      </c>
      <c r="O74" s="6">
        <f>MATCH($A74,'Draft Engine'!$Q$3:$Q$232,0)</f>
        <v>119</v>
      </c>
    </row>
    <row r="75" spans="1:15" x14ac:dyDescent="0.25">
      <c r="A75">
        <f>73</f>
        <v>73</v>
      </c>
      <c r="B75" t="str">
        <f>INDEX('Draft Engine'!$A$3:$A$232,$O75)</f>
        <v>RB</v>
      </c>
      <c r="C75">
        <f>INDEX('Draft Engine'!$F$3:$F$232,$O75)</f>
        <v>26</v>
      </c>
      <c r="D75" t="str">
        <f>INDEX('Draft Engine'!$B$3:$B$232,$O75)</f>
        <v>Jaylen Warren</v>
      </c>
      <c r="E75" s="4">
        <f>INDEX('Draft Engine'!$N$3:$N$232,$O75)</f>
        <v>67.024115000000009</v>
      </c>
      <c r="F75" s="4">
        <f>INDEX('Draft Engine'!$E$3:$E$232,$O75)</f>
        <v>76.091800000000006</v>
      </c>
      <c r="G75" s="4">
        <f>INDEX('Draft Engine'!$G$3:$G$232,$O75)</f>
        <v>249.6</v>
      </c>
      <c r="H75" s="4">
        <f>INDEX('Draft Engine'!$J$3:$J$232,$O75)</f>
        <v>10.6</v>
      </c>
      <c r="I75" s="4">
        <f>INDEX('Draft Engine'!$L$3:$L$232,$O75)</f>
        <v>55.104166666666657</v>
      </c>
      <c r="J75" s="4">
        <f>INDEX('Draft Engine'!$R$3:$R$232,$O75)</f>
        <v>68.8</v>
      </c>
      <c r="K75" s="4">
        <f>INDEX('Draft Engine'!$S$3:$S$232,$O75)</f>
        <v>-4.2000000000000028</v>
      </c>
      <c r="L75" s="4">
        <f>INDEX('Draft Engine'!$U$3:$U$232,$O75)</f>
        <v>70.091800000000006</v>
      </c>
      <c r="M75" s="4">
        <f>INDEX('Draft Engine'!$W$3:$W$232,$O75)</f>
        <v>82.091800000000006</v>
      </c>
      <c r="N75" t="str">
        <f>INDEX('Draft Engine'!$T$3:$T$232,$O75)</f>
        <v>A</v>
      </c>
      <c r="O75" s="6">
        <f>MATCH($A75,'Draft Engine'!$Q$3:$Q$232,0)</f>
        <v>58</v>
      </c>
    </row>
    <row r="76" spans="1:15" x14ac:dyDescent="0.25">
      <c r="A76">
        <f>74</f>
        <v>74</v>
      </c>
      <c r="B76" t="str">
        <f>INDEX('Draft Engine'!$A$3:$A$232,$O76)</f>
        <v>TE</v>
      </c>
      <c r="C76">
        <f>INDEX('Draft Engine'!$F$3:$F$232,$O76)</f>
        <v>12</v>
      </c>
      <c r="D76" t="str">
        <f>INDEX('Draft Engine'!$B$3:$B$232,$O76)</f>
        <v>Travis Kelce</v>
      </c>
      <c r="E76" s="4">
        <f>INDEX('Draft Engine'!$N$3:$N$232,$O76)</f>
        <v>66.997905384615393</v>
      </c>
      <c r="F76" s="4">
        <f>INDEX('Draft Engine'!$E$3:$E$232,$O76)</f>
        <v>81.747799999999998</v>
      </c>
      <c r="G76" s="4">
        <f>INDEX('Draft Engine'!$G$3:$G$232,$O76)</f>
        <v>186.1</v>
      </c>
      <c r="H76" s="4">
        <f>INDEX('Draft Engine'!$J$3:$J$232,$O76)</f>
        <v>6.4</v>
      </c>
      <c r="I76" s="4">
        <f>INDEX('Draft Engine'!$L$3:$L$232,$O76)</f>
        <v>39.230769230769234</v>
      </c>
      <c r="J76" s="4">
        <f>INDEX('Draft Engine'!$R$3:$R$232,$O76)</f>
        <v>108.7</v>
      </c>
      <c r="K76" s="4">
        <f>INDEX('Draft Engine'!$S$3:$S$232,$O76)</f>
        <v>34.700000000000003</v>
      </c>
      <c r="L76" s="4">
        <f>INDEX('Draft Engine'!$U$3:$U$232,$O76)</f>
        <v>75.747799999999998</v>
      </c>
      <c r="M76" s="4">
        <f>INDEX('Draft Engine'!$W$3:$W$232,$O76)</f>
        <v>87.747799999999998</v>
      </c>
      <c r="N76" t="str">
        <f>INDEX('Draft Engine'!$T$3:$T$232,$O76)</f>
        <v>A</v>
      </c>
      <c r="O76" s="6">
        <f>MATCH($A76,'Draft Engine'!$Q$3:$Q$232,0)</f>
        <v>170</v>
      </c>
    </row>
    <row r="77" spans="1:15" x14ac:dyDescent="0.25">
      <c r="A77">
        <f>75</f>
        <v>75</v>
      </c>
      <c r="B77" t="str">
        <f>INDEX('Draft Engine'!$A$3:$A$232,$O77)</f>
        <v>QB</v>
      </c>
      <c r="C77">
        <f>INDEX('Draft Engine'!$F$3:$F$232,$O77)</f>
        <v>11</v>
      </c>
      <c r="D77" t="str">
        <f>INDEX('Draft Engine'!$B$3:$B$232,$O77)</f>
        <v>Bo Nix</v>
      </c>
      <c r="E77" s="4">
        <f>INDEX('Draft Engine'!$N$3:$N$232,$O77)</f>
        <v>66.64436730769232</v>
      </c>
      <c r="F77" s="4">
        <f>INDEX('Draft Engine'!$E$3:$E$232,$O77)</f>
        <v>85.248500000000007</v>
      </c>
      <c r="G77" s="4">
        <f>INDEX('Draft Engine'!$G$3:$G$232,$O77)</f>
        <v>353.6</v>
      </c>
      <c r="H77" s="4">
        <f>INDEX('Draft Engine'!$J$3:$J$232,$O77)</f>
        <v>2.5</v>
      </c>
      <c r="I77" s="4">
        <f>INDEX('Draft Engine'!$L$3:$L$232,$O77)</f>
        <v>48.717948717948723</v>
      </c>
      <c r="J77" s="4">
        <f>INDEX('Draft Engine'!$R$3:$R$232,$O77)</f>
        <v>121.5</v>
      </c>
      <c r="K77" s="4">
        <f>INDEX('Draft Engine'!$S$3:$S$232,$O77)</f>
        <v>46.5</v>
      </c>
      <c r="L77" s="4">
        <f>INDEX('Draft Engine'!$U$3:$U$232,$O77)</f>
        <v>79.248500000000007</v>
      </c>
      <c r="M77" s="4">
        <f>INDEX('Draft Engine'!$W$3:$W$232,$O77)</f>
        <v>91.248500000000007</v>
      </c>
      <c r="N77" t="str">
        <f>INDEX('Draft Engine'!$T$3:$T$232,$O77)</f>
        <v>A</v>
      </c>
      <c r="O77" s="6">
        <f>MATCH($A77,'Draft Engine'!$Q$3:$Q$232,0)</f>
        <v>11</v>
      </c>
    </row>
    <row r="78" spans="1:15" x14ac:dyDescent="0.25">
      <c r="A78">
        <f>76</f>
        <v>76</v>
      </c>
      <c r="B78" t="str">
        <f>INDEX('Draft Engine'!$A$3:$A$232,$O78)</f>
        <v>WR</v>
      </c>
      <c r="C78">
        <f>INDEX('Draft Engine'!$F$3:$F$232,$O78)</f>
        <v>27</v>
      </c>
      <c r="D78" t="str">
        <f>INDEX('Draft Engine'!$B$3:$B$232,$O78)</f>
        <v>Jameson Williams</v>
      </c>
      <c r="E78" s="4">
        <f>INDEX('Draft Engine'!$N$3:$N$232,$O78)</f>
        <v>66.503708333333336</v>
      </c>
      <c r="F78" s="4">
        <f>INDEX('Draft Engine'!$E$3:$E$232,$O78)</f>
        <v>76.0625</v>
      </c>
      <c r="G78" s="4">
        <f>INDEX('Draft Engine'!$G$3:$G$232,$O78)</f>
        <v>249.5</v>
      </c>
      <c r="H78" s="4">
        <f>INDEX('Draft Engine'!$J$3:$J$232,$O78)</f>
        <v>10.199999999999999</v>
      </c>
      <c r="I78" s="4">
        <f>INDEX('Draft Engine'!$L$3:$L$232,$O78)</f>
        <v>52.222222222222214</v>
      </c>
      <c r="J78" s="4">
        <f>INDEX('Draft Engine'!$R$3:$R$232,$O78)</f>
        <v>45.8</v>
      </c>
      <c r="K78" s="4">
        <f>INDEX('Draft Engine'!$S$3:$S$232,$O78)</f>
        <v>-30.200000000000003</v>
      </c>
      <c r="L78" s="4">
        <f>INDEX('Draft Engine'!$U$3:$U$232,$O78)</f>
        <v>64.0625</v>
      </c>
      <c r="M78" s="4">
        <f>INDEX('Draft Engine'!$W$3:$W$232,$O78)</f>
        <v>88.0625</v>
      </c>
      <c r="N78" t="str">
        <f>INDEX('Draft Engine'!$T$3:$T$232,$O78)</f>
        <v>C</v>
      </c>
      <c r="O78" s="6">
        <f>MATCH($A78,'Draft Engine'!$Q$3:$Q$232,0)</f>
        <v>110</v>
      </c>
    </row>
    <row r="79" spans="1:15" x14ac:dyDescent="0.25">
      <c r="A79">
        <f>77</f>
        <v>77</v>
      </c>
      <c r="B79" t="str">
        <f>INDEX('Draft Engine'!$A$3:$A$232,$O79)</f>
        <v>RB</v>
      </c>
      <c r="C79">
        <f>INDEX('Draft Engine'!$F$3:$F$232,$O79)</f>
        <v>27</v>
      </c>
      <c r="D79" t="str">
        <f>INDEX('Draft Engine'!$B$3:$B$232,$O79)</f>
        <v>Rico Dowdle</v>
      </c>
      <c r="E79" s="4">
        <f>INDEX('Draft Engine'!$N$3:$N$232,$O79)</f>
        <v>66.262439999999998</v>
      </c>
      <c r="F79" s="4">
        <f>INDEX('Draft Engine'!$E$3:$E$232,$O79)</f>
        <v>75.785799999999995</v>
      </c>
      <c r="G79" s="4">
        <f>INDEX('Draft Engine'!$G$3:$G$232,$O79)</f>
        <v>248.3</v>
      </c>
      <c r="H79" s="4">
        <f>INDEX('Draft Engine'!$J$3:$J$232,$O79)</f>
        <v>9.3000000000000007</v>
      </c>
      <c r="I79" s="4">
        <f>INDEX('Draft Engine'!$L$3:$L$232,$O79)</f>
        <v>52.708333333333329</v>
      </c>
      <c r="J79" s="4">
        <f>INDEX('Draft Engine'!$R$3:$R$232,$O79)</f>
        <v>64.8</v>
      </c>
      <c r="K79" s="4">
        <f>INDEX('Draft Engine'!$S$3:$S$232,$O79)</f>
        <v>-12.200000000000003</v>
      </c>
      <c r="L79" s="4">
        <f>INDEX('Draft Engine'!$U$3:$U$232,$O79)</f>
        <v>69.785799999999995</v>
      </c>
      <c r="M79" s="4">
        <f>INDEX('Draft Engine'!$W$3:$W$232,$O79)</f>
        <v>81.785799999999995</v>
      </c>
      <c r="N79" t="str">
        <f>INDEX('Draft Engine'!$T$3:$T$232,$O79)</f>
        <v>A</v>
      </c>
      <c r="O79" s="6">
        <f>MATCH($A79,'Draft Engine'!$Q$3:$Q$232,0)</f>
        <v>59</v>
      </c>
    </row>
    <row r="80" spans="1:15" x14ac:dyDescent="0.25">
      <c r="A80">
        <f>78</f>
        <v>78</v>
      </c>
      <c r="B80" t="str">
        <f>INDEX('Draft Engine'!$A$3:$A$232,$O80)</f>
        <v>QB</v>
      </c>
      <c r="C80">
        <f>INDEX('Draft Engine'!$F$3:$F$232,$O80)</f>
        <v>12</v>
      </c>
      <c r="D80" t="str">
        <f>INDEX('Draft Engine'!$B$3:$B$232,$O80)</f>
        <v>Dak Prescott</v>
      </c>
      <c r="E80" s="4">
        <f>INDEX('Draft Engine'!$N$3:$N$232,$O80)</f>
        <v>65.694041538461533</v>
      </c>
      <c r="F80" s="4">
        <f>INDEX('Draft Engine'!$E$3:$E$232,$O80)</f>
        <v>85.115600000000001</v>
      </c>
      <c r="G80" s="4">
        <f>INDEX('Draft Engine'!$G$3:$G$232,$O80)</f>
        <v>353</v>
      </c>
      <c r="H80" s="4">
        <f>INDEX('Draft Engine'!$J$3:$J$232,$O80)</f>
        <v>1.9</v>
      </c>
      <c r="I80" s="4">
        <f>INDEX('Draft Engine'!$L$3:$L$232,$O80)</f>
        <v>43.589743589743591</v>
      </c>
      <c r="J80" s="4">
        <f>INDEX('Draft Engine'!$R$3:$R$232,$O80)</f>
        <v>65.400000000000006</v>
      </c>
      <c r="K80" s="4">
        <f>INDEX('Draft Engine'!$S$3:$S$232,$O80)</f>
        <v>-12.599999999999994</v>
      </c>
      <c r="L80" s="4">
        <f>INDEX('Draft Engine'!$U$3:$U$232,$O80)</f>
        <v>79.115600000000001</v>
      </c>
      <c r="M80" s="4">
        <f>INDEX('Draft Engine'!$W$3:$W$232,$O80)</f>
        <v>91.115600000000001</v>
      </c>
      <c r="N80" t="str">
        <f>INDEX('Draft Engine'!$T$3:$T$232,$O80)</f>
        <v>A</v>
      </c>
      <c r="O80" s="6">
        <f>MATCH($A80,'Draft Engine'!$Q$3:$Q$232,0)</f>
        <v>12</v>
      </c>
    </row>
    <row r="81" spans="1:15" x14ac:dyDescent="0.25">
      <c r="A81">
        <f>79</f>
        <v>79</v>
      </c>
      <c r="B81" t="str">
        <f>INDEX('Draft Engine'!$A$3:$A$232,$O81)</f>
        <v>WR</v>
      </c>
      <c r="C81">
        <f>INDEX('Draft Engine'!$F$3:$F$232,$O81)</f>
        <v>28</v>
      </c>
      <c r="D81" t="str">
        <f>INDEX('Draft Engine'!$B$3:$B$232,$O81)</f>
        <v>Michael Pittman Jr.</v>
      </c>
      <c r="E81" s="4">
        <f>INDEX('Draft Engine'!$N$3:$N$232,$O81)</f>
        <v>65.492500000000007</v>
      </c>
      <c r="F81" s="4">
        <f>INDEX('Draft Engine'!$E$3:$E$232,$O81)</f>
        <v>75.55</v>
      </c>
      <c r="G81" s="4">
        <f>INDEX('Draft Engine'!$G$3:$G$232,$O81)</f>
        <v>247.3</v>
      </c>
      <c r="H81" s="4">
        <f>INDEX('Draft Engine'!$J$3:$J$232,$O81)</f>
        <v>8</v>
      </c>
      <c r="I81" s="4">
        <f>INDEX('Draft Engine'!$L$3:$L$232,$O81)</f>
        <v>50.000000000000007</v>
      </c>
      <c r="J81" s="4">
        <f>INDEX('Draft Engine'!$R$3:$R$232,$O81)</f>
        <v>72.2</v>
      </c>
      <c r="K81" s="4">
        <f>INDEX('Draft Engine'!$S$3:$S$232,$O81)</f>
        <v>-6.7999999999999972</v>
      </c>
      <c r="L81" s="4">
        <f>INDEX('Draft Engine'!$U$3:$U$232,$O81)</f>
        <v>63.55</v>
      </c>
      <c r="M81" s="4">
        <f>INDEX('Draft Engine'!$W$3:$W$232,$O81)</f>
        <v>87.55</v>
      </c>
      <c r="N81" t="str">
        <f>INDEX('Draft Engine'!$T$3:$T$232,$O81)</f>
        <v>C</v>
      </c>
      <c r="O81" s="6">
        <f>MATCH($A81,'Draft Engine'!$Q$3:$Q$232,0)</f>
        <v>120</v>
      </c>
    </row>
    <row r="82" spans="1:15" x14ac:dyDescent="0.25">
      <c r="A82">
        <f>80</f>
        <v>80</v>
      </c>
      <c r="B82" t="str">
        <f>INDEX('Draft Engine'!$A$3:$A$232,$O82)</f>
        <v>WR</v>
      </c>
      <c r="C82">
        <f>INDEX('Draft Engine'!$F$3:$F$232,$O82)</f>
        <v>29</v>
      </c>
      <c r="D82" t="str">
        <f>INDEX('Draft Engine'!$B$3:$B$232,$O82)</f>
        <v>DJ Moore</v>
      </c>
      <c r="E82" s="4">
        <f>INDEX('Draft Engine'!$N$3:$N$232,$O82)</f>
        <v>65.066666666666677</v>
      </c>
      <c r="F82" s="4">
        <f>INDEX('Draft Engine'!$E$3:$E$232,$O82)</f>
        <v>75.48</v>
      </c>
      <c r="G82" s="4">
        <f>INDEX('Draft Engine'!$G$3:$G$232,$O82)</f>
        <v>247</v>
      </c>
      <c r="H82" s="4">
        <f>INDEX('Draft Engine'!$J$3:$J$232,$O82)</f>
        <v>7.7</v>
      </c>
      <c r="I82" s="4">
        <f>INDEX('Draft Engine'!$L$3:$L$232,$O82)</f>
        <v>47.777777777777786</v>
      </c>
      <c r="J82" s="4">
        <f>INDEX('Draft Engine'!$R$3:$R$232,$O82)</f>
        <v>52.9</v>
      </c>
      <c r="K82" s="4">
        <f>INDEX('Draft Engine'!$S$3:$S$232,$O82)</f>
        <v>-27.1</v>
      </c>
      <c r="L82" s="4">
        <f>INDEX('Draft Engine'!$U$3:$U$232,$O82)</f>
        <v>63.480000000000004</v>
      </c>
      <c r="M82" s="4">
        <f>INDEX('Draft Engine'!$W$3:$W$232,$O82)</f>
        <v>87.48</v>
      </c>
      <c r="N82" t="str">
        <f>INDEX('Draft Engine'!$T$3:$T$232,$O82)</f>
        <v>C</v>
      </c>
      <c r="O82" s="6">
        <f>MATCH($A82,'Draft Engine'!$Q$3:$Q$232,0)</f>
        <v>109</v>
      </c>
    </row>
    <row r="83" spans="1:15" x14ac:dyDescent="0.25">
      <c r="A83">
        <f>81</f>
        <v>81</v>
      </c>
      <c r="B83" t="str">
        <f>INDEX('Draft Engine'!$A$3:$A$232,$O83)</f>
        <v>RB</v>
      </c>
      <c r="C83">
        <f>INDEX('Draft Engine'!$F$3:$F$232,$O83)</f>
        <v>28</v>
      </c>
      <c r="D83" t="str">
        <f>INDEX('Draft Engine'!$B$3:$B$232,$O83)</f>
        <v>Tony Pollard</v>
      </c>
      <c r="E83" s="4">
        <f>INDEX('Draft Engine'!$N$3:$N$232,$O83)</f>
        <v>65.003105000000005</v>
      </c>
      <c r="F83" s="4">
        <f>INDEX('Draft Engine'!$E$3:$E$232,$O83)</f>
        <v>75.098600000000005</v>
      </c>
      <c r="G83" s="4">
        <f>INDEX('Draft Engine'!$G$3:$G$232,$O83)</f>
        <v>245.4</v>
      </c>
      <c r="H83" s="4">
        <f>INDEX('Draft Engine'!$J$3:$J$232,$O83)</f>
        <v>6.4</v>
      </c>
      <c r="I83" s="4">
        <f>INDEX('Draft Engine'!$L$3:$L$232,$O83)</f>
        <v>50.312499999999993</v>
      </c>
      <c r="J83" s="4">
        <f>INDEX('Draft Engine'!$R$3:$R$232,$O83)</f>
        <v>65.5</v>
      </c>
      <c r="K83" s="4">
        <f>INDEX('Draft Engine'!$S$3:$S$232,$O83)</f>
        <v>-15.5</v>
      </c>
      <c r="L83" s="4">
        <f>INDEX('Draft Engine'!$U$3:$U$232,$O83)</f>
        <v>69.098600000000005</v>
      </c>
      <c r="M83" s="4">
        <f>INDEX('Draft Engine'!$W$3:$W$232,$O83)</f>
        <v>81.098600000000005</v>
      </c>
      <c r="N83" t="str">
        <f>INDEX('Draft Engine'!$T$3:$T$232,$O83)</f>
        <v>A</v>
      </c>
      <c r="O83" s="6">
        <f>MATCH($A83,'Draft Engine'!$Q$3:$Q$232,0)</f>
        <v>60</v>
      </c>
    </row>
    <row r="84" spans="1:15" x14ac:dyDescent="0.25">
      <c r="A84">
        <f>82</f>
        <v>82</v>
      </c>
      <c r="B84" t="str">
        <f>INDEX('Draft Engine'!$A$3:$A$232,$O84)</f>
        <v>QB</v>
      </c>
      <c r="C84">
        <f>INDEX('Draft Engine'!$F$3:$F$232,$O84)</f>
        <v>13</v>
      </c>
      <c r="D84" t="str">
        <f>INDEX('Draft Engine'!$B$3:$B$232,$O84)</f>
        <v>Trevor Lawrence</v>
      </c>
      <c r="E84" s="4">
        <f>INDEX('Draft Engine'!$N$3:$N$232,$O84)</f>
        <v>64.349885769230767</v>
      </c>
      <c r="F84" s="4">
        <f>INDEX('Draft Engine'!$E$3:$E$232,$O84)</f>
        <v>84.692099999999996</v>
      </c>
      <c r="G84" s="4">
        <f>INDEX('Draft Engine'!$G$3:$G$232,$O84)</f>
        <v>351.1</v>
      </c>
      <c r="H84" s="4">
        <f>INDEX('Draft Engine'!$J$3:$J$232,$O84)</f>
        <v>0</v>
      </c>
      <c r="I84" s="4">
        <f>INDEX('Draft Engine'!$L$3:$L$232,$O84)</f>
        <v>38.46153846153846</v>
      </c>
      <c r="J84" s="4">
        <f>INDEX('Draft Engine'!$R$3:$R$232,$O84)</f>
        <v>89.6</v>
      </c>
      <c r="K84" s="4">
        <f>INDEX('Draft Engine'!$S$3:$S$232,$O84)</f>
        <v>7.5999999999999943</v>
      </c>
      <c r="L84" s="4">
        <f>INDEX('Draft Engine'!$U$3:$U$232,$O84)</f>
        <v>78.692099999999996</v>
      </c>
      <c r="M84" s="4">
        <f>INDEX('Draft Engine'!$W$3:$W$232,$O84)</f>
        <v>90.692099999999996</v>
      </c>
      <c r="N84" t="str">
        <f>INDEX('Draft Engine'!$T$3:$T$232,$O84)</f>
        <v>A</v>
      </c>
      <c r="O84" s="6">
        <f>MATCH($A84,'Draft Engine'!$Q$3:$Q$232,0)</f>
        <v>13</v>
      </c>
    </row>
    <row r="85" spans="1:15" x14ac:dyDescent="0.25">
      <c r="A85">
        <f>83</f>
        <v>83</v>
      </c>
      <c r="B85" t="str">
        <f>INDEX('Draft Engine'!$A$3:$A$232,$O85)</f>
        <v>TE</v>
      </c>
      <c r="C85">
        <f>INDEX('Draft Engine'!$F$3:$F$232,$O85)</f>
        <v>13</v>
      </c>
      <c r="D85" t="str">
        <f>INDEX('Draft Engine'!$B$3:$B$232,$O85)</f>
        <v>Dallas Goedert</v>
      </c>
      <c r="E85" s="4">
        <f>INDEX('Draft Engine'!$N$3:$N$232,$O85)</f>
        <v>64.147262692307692</v>
      </c>
      <c r="F85" s="4">
        <f>INDEX('Draft Engine'!$E$3:$E$232,$O85)</f>
        <v>79.918099999999995</v>
      </c>
      <c r="G85" s="4">
        <f>INDEX('Draft Engine'!$G$3:$G$232,$O85)</f>
        <v>179.7</v>
      </c>
      <c r="H85" s="4">
        <f>INDEX('Draft Engine'!$J$3:$J$232,$O85)</f>
        <v>0</v>
      </c>
      <c r="I85" s="4">
        <f>INDEX('Draft Engine'!$L$3:$L$232,$O85)</f>
        <v>34.615384615384613</v>
      </c>
      <c r="J85" s="4">
        <f>INDEX('Draft Engine'!$R$3:$R$232,$O85)</f>
        <v>103.9</v>
      </c>
      <c r="K85" s="4">
        <f>INDEX('Draft Engine'!$S$3:$S$232,$O85)</f>
        <v>20.900000000000006</v>
      </c>
      <c r="L85" s="4">
        <f>INDEX('Draft Engine'!$U$3:$U$232,$O85)</f>
        <v>73.918099999999995</v>
      </c>
      <c r="M85" s="4">
        <f>INDEX('Draft Engine'!$W$3:$W$232,$O85)</f>
        <v>85.918099999999995</v>
      </c>
      <c r="N85" t="str">
        <f>INDEX('Draft Engine'!$T$3:$T$232,$O85)</f>
        <v>A</v>
      </c>
      <c r="O85" s="6">
        <f>MATCH($A85,'Draft Engine'!$Q$3:$Q$232,0)</f>
        <v>171</v>
      </c>
    </row>
    <row r="86" spans="1:15" x14ac:dyDescent="0.25">
      <c r="A86">
        <f>84</f>
        <v>84</v>
      </c>
      <c r="B86" t="str">
        <f>INDEX('Draft Engine'!$A$3:$A$232,$O86)</f>
        <v>RB</v>
      </c>
      <c r="C86">
        <f>INDEX('Draft Engine'!$F$3:$F$232,$O86)</f>
        <v>29</v>
      </c>
      <c r="D86" t="str">
        <f>INDEX('Draft Engine'!$B$3:$B$232,$O86)</f>
        <v>Rhamondre Stevenson</v>
      </c>
      <c r="E86" s="4">
        <f>INDEX('Draft Engine'!$N$3:$N$232,$O86)</f>
        <v>63.984954999999999</v>
      </c>
      <c r="F86" s="4">
        <f>INDEX('Draft Engine'!$E$3:$E$232,$O86)</f>
        <v>74.588099999999997</v>
      </c>
      <c r="G86" s="4">
        <f>INDEX('Draft Engine'!$G$3:$G$232,$O86)</f>
        <v>243.3</v>
      </c>
      <c r="H86" s="4">
        <f>INDEX('Draft Engine'!$J$3:$J$232,$O86)</f>
        <v>4.3</v>
      </c>
      <c r="I86" s="4">
        <f>INDEX('Draft Engine'!$L$3:$L$232,$O86)</f>
        <v>47.916666666666657</v>
      </c>
      <c r="J86" s="4">
        <f>INDEX('Draft Engine'!$R$3:$R$232,$O86)</f>
        <v>72.3</v>
      </c>
      <c r="K86" s="4">
        <f>INDEX('Draft Engine'!$S$3:$S$232,$O86)</f>
        <v>-11.700000000000003</v>
      </c>
      <c r="L86" s="4">
        <f>INDEX('Draft Engine'!$U$3:$U$232,$O86)</f>
        <v>68.588099999999997</v>
      </c>
      <c r="M86" s="4">
        <f>INDEX('Draft Engine'!$W$3:$W$232,$O86)</f>
        <v>80.588099999999997</v>
      </c>
      <c r="N86" t="str">
        <f>INDEX('Draft Engine'!$T$3:$T$232,$O86)</f>
        <v>A</v>
      </c>
      <c r="O86" s="6">
        <f>MATCH($A86,'Draft Engine'!$Q$3:$Q$232,0)</f>
        <v>61</v>
      </c>
    </row>
    <row r="87" spans="1:15" x14ac:dyDescent="0.25">
      <c r="A87">
        <f>85</f>
        <v>85</v>
      </c>
      <c r="B87" t="str">
        <f>INDEX('Draft Engine'!$A$3:$A$232,$O87)</f>
        <v>WR</v>
      </c>
      <c r="C87">
        <f>INDEX('Draft Engine'!$F$3:$F$232,$O87)</f>
        <v>30</v>
      </c>
      <c r="D87" t="str">
        <f>INDEX('Draft Engine'!$B$3:$B$232,$O87)</f>
        <v>Jakobi Meyers</v>
      </c>
      <c r="E87" s="4">
        <f>INDEX('Draft Engine'!$N$3:$N$232,$O87)</f>
        <v>63.953333333333333</v>
      </c>
      <c r="F87" s="4">
        <f>INDEX('Draft Engine'!$E$3:$E$232,$O87)</f>
        <v>74.88</v>
      </c>
      <c r="G87" s="4">
        <f>INDEX('Draft Engine'!$G$3:$G$232,$O87)</f>
        <v>244.5</v>
      </c>
      <c r="H87" s="4">
        <f>INDEX('Draft Engine'!$J$3:$J$232,$O87)</f>
        <v>5.2</v>
      </c>
      <c r="I87" s="4">
        <f>INDEX('Draft Engine'!$L$3:$L$232,$O87)</f>
        <v>45.555555555555557</v>
      </c>
      <c r="J87" s="4">
        <f>INDEX('Draft Engine'!$R$3:$R$232,$O87)</f>
        <v>75.599999999999994</v>
      </c>
      <c r="K87" s="4">
        <f>INDEX('Draft Engine'!$S$3:$S$232,$O87)</f>
        <v>-9.4000000000000057</v>
      </c>
      <c r="L87" s="4">
        <f>INDEX('Draft Engine'!$U$3:$U$232,$O87)</f>
        <v>62.879999999999995</v>
      </c>
      <c r="M87" s="4">
        <f>INDEX('Draft Engine'!$W$3:$W$232,$O87)</f>
        <v>86.88</v>
      </c>
      <c r="N87" t="str">
        <f>INDEX('Draft Engine'!$T$3:$T$232,$O87)</f>
        <v>C</v>
      </c>
      <c r="O87" s="6">
        <f>MATCH($A87,'Draft Engine'!$Q$3:$Q$232,0)</f>
        <v>121</v>
      </c>
    </row>
    <row r="88" spans="1:15" x14ac:dyDescent="0.25">
      <c r="A88">
        <f>86</f>
        <v>86</v>
      </c>
      <c r="B88" t="str">
        <f>INDEX('Draft Engine'!$A$3:$A$232,$O88)</f>
        <v>RB</v>
      </c>
      <c r="C88">
        <f>INDEX('Draft Engine'!$F$3:$F$232,$O88)</f>
        <v>30</v>
      </c>
      <c r="D88" t="str">
        <f>INDEX('Draft Engine'!$B$3:$B$232,$O88)</f>
        <v>Kenneth Gainwell</v>
      </c>
      <c r="E88" s="4">
        <f>INDEX('Draft Engine'!$N$3:$N$232,$O88)</f>
        <v>63.507820000000002</v>
      </c>
      <c r="F88" s="4">
        <f>INDEX('Draft Engine'!$E$3:$E$232,$O88)</f>
        <v>74.504900000000006</v>
      </c>
      <c r="G88" s="4">
        <f>INDEX('Draft Engine'!$G$3:$G$232,$O88)</f>
        <v>242.9</v>
      </c>
      <c r="H88" s="4">
        <f>INDEX('Draft Engine'!$J$3:$J$232,$O88)</f>
        <v>3.9</v>
      </c>
      <c r="I88" s="4">
        <f>INDEX('Draft Engine'!$L$3:$L$232,$O88)</f>
        <v>45.520833333333336</v>
      </c>
      <c r="J88" s="4">
        <f>INDEX('Draft Engine'!$R$3:$R$232,$O88)</f>
        <v>123.8</v>
      </c>
      <c r="K88" s="4">
        <f>INDEX('Draft Engine'!$S$3:$S$232,$O88)</f>
        <v>37.799999999999997</v>
      </c>
      <c r="L88" s="4">
        <f>INDEX('Draft Engine'!$U$3:$U$232,$O88)</f>
        <v>68.504900000000006</v>
      </c>
      <c r="M88" s="4">
        <f>INDEX('Draft Engine'!$W$3:$W$232,$O88)</f>
        <v>80.504900000000006</v>
      </c>
      <c r="N88" t="str">
        <f>INDEX('Draft Engine'!$T$3:$T$232,$O88)</f>
        <v>A</v>
      </c>
      <c r="O88" s="6">
        <f>MATCH($A88,'Draft Engine'!$Q$3:$Q$232,0)</f>
        <v>62</v>
      </c>
    </row>
    <row r="89" spans="1:15" x14ac:dyDescent="0.25">
      <c r="A89">
        <f>87</f>
        <v>87</v>
      </c>
      <c r="B89" t="str">
        <f>INDEX('Draft Engine'!$A$3:$A$232,$O89)</f>
        <v>RB</v>
      </c>
      <c r="C89">
        <f>INDEX('Draft Engine'!$F$3:$F$232,$O89)</f>
        <v>31</v>
      </c>
      <c r="D89" t="str">
        <f>INDEX('Draft Engine'!$B$3:$B$232,$O89)</f>
        <v>Bhayshul Tuten</v>
      </c>
      <c r="E89" s="4">
        <f>INDEX('Draft Engine'!$N$3:$N$232,$O89)</f>
        <v>63.109984999999995</v>
      </c>
      <c r="F89" s="4">
        <f>INDEX('Draft Engine'!$E$3:$E$232,$O89)</f>
        <v>74.467699999999994</v>
      </c>
      <c r="G89" s="4">
        <f>INDEX('Draft Engine'!$G$3:$G$232,$O89)</f>
        <v>242.8</v>
      </c>
      <c r="H89" s="4">
        <f>INDEX('Draft Engine'!$J$3:$J$232,$O89)</f>
        <v>3.8</v>
      </c>
      <c r="I89" s="4">
        <f>INDEX('Draft Engine'!$L$3:$L$232,$O89)</f>
        <v>43.125</v>
      </c>
      <c r="J89" s="4">
        <f>INDEX('Draft Engine'!$R$3:$R$232,$O89)</f>
        <v>52.3</v>
      </c>
      <c r="K89" s="4">
        <f>INDEX('Draft Engine'!$S$3:$S$232,$O89)</f>
        <v>-34.700000000000003</v>
      </c>
      <c r="L89" s="4">
        <f>INDEX('Draft Engine'!$U$3:$U$232,$O89)</f>
        <v>68.467699999999994</v>
      </c>
      <c r="M89" s="4">
        <f>INDEX('Draft Engine'!$W$3:$W$232,$O89)</f>
        <v>80.467699999999994</v>
      </c>
      <c r="N89" t="str">
        <f>INDEX('Draft Engine'!$T$3:$T$232,$O89)</f>
        <v>A</v>
      </c>
      <c r="O89" s="6">
        <f>MATCH($A89,'Draft Engine'!$Q$3:$Q$232,0)</f>
        <v>63</v>
      </c>
    </row>
    <row r="90" spans="1:15" x14ac:dyDescent="0.25">
      <c r="A90">
        <f>88</f>
        <v>88</v>
      </c>
      <c r="B90" t="str">
        <f>INDEX('Draft Engine'!$A$3:$A$232,$O90)</f>
        <v>WR</v>
      </c>
      <c r="C90">
        <f>INDEX('Draft Engine'!$F$3:$F$232,$O90)</f>
        <v>31</v>
      </c>
      <c r="D90" t="str">
        <f>INDEX('Draft Engine'!$B$3:$B$232,$O90)</f>
        <v>Jordan Addison</v>
      </c>
      <c r="E90" s="4">
        <f>INDEX('Draft Engine'!$N$3:$N$232,$O90)</f>
        <v>62.747500000000002</v>
      </c>
      <c r="F90" s="4">
        <f>INDEX('Draft Engine'!$E$3:$E$232,$O90)</f>
        <v>74.209999999999994</v>
      </c>
      <c r="G90" s="4">
        <f>INDEX('Draft Engine'!$G$3:$G$232,$O90)</f>
        <v>241.7</v>
      </c>
      <c r="H90" s="4">
        <f>INDEX('Draft Engine'!$J$3:$J$232,$O90)</f>
        <v>2.4</v>
      </c>
      <c r="I90" s="4">
        <f>INDEX('Draft Engine'!$L$3:$L$232,$O90)</f>
        <v>43.333333333333336</v>
      </c>
      <c r="J90" s="4">
        <f>INDEX('Draft Engine'!$R$3:$R$232,$O90)</f>
        <v>103.3</v>
      </c>
      <c r="K90" s="4">
        <f>INDEX('Draft Engine'!$S$3:$S$232,$O90)</f>
        <v>15.299999999999997</v>
      </c>
      <c r="L90" s="4">
        <f>INDEX('Draft Engine'!$U$3:$U$232,$O90)</f>
        <v>62.209999999999994</v>
      </c>
      <c r="M90" s="4">
        <f>INDEX('Draft Engine'!$W$3:$W$232,$O90)</f>
        <v>86.21</v>
      </c>
      <c r="N90" t="str">
        <f>INDEX('Draft Engine'!$T$3:$T$232,$O90)</f>
        <v>C</v>
      </c>
      <c r="O90" s="6">
        <f>MATCH($A90,'Draft Engine'!$Q$3:$Q$232,0)</f>
        <v>122</v>
      </c>
    </row>
    <row r="91" spans="1:15" x14ac:dyDescent="0.25">
      <c r="A91">
        <f>89</f>
        <v>89</v>
      </c>
      <c r="B91" t="str">
        <f>INDEX('Draft Engine'!$A$3:$A$232,$O91)</f>
        <v>TE</v>
      </c>
      <c r="C91">
        <f>INDEX('Draft Engine'!$F$3:$F$232,$O91)</f>
        <v>14</v>
      </c>
      <c r="D91" t="str">
        <f>INDEX('Draft Engine'!$B$3:$B$232,$O91)</f>
        <v>Mark Andrews</v>
      </c>
      <c r="E91" s="4">
        <f>INDEX('Draft Engine'!$N$3:$N$232,$O91)</f>
        <v>62.445970000000003</v>
      </c>
      <c r="F91" s="4">
        <f>INDEX('Draft Engine'!$E$3:$E$232,$O91)</f>
        <v>79.065399999999997</v>
      </c>
      <c r="G91" s="4">
        <f>INDEX('Draft Engine'!$G$3:$G$232,$O91)</f>
        <v>176.7</v>
      </c>
      <c r="H91" s="4">
        <f>INDEX('Draft Engine'!$J$3:$J$232,$O91)</f>
        <v>-3</v>
      </c>
      <c r="I91" s="4">
        <f>INDEX('Draft Engine'!$L$3:$L$232,$O91)</f>
        <v>30.000000000000004</v>
      </c>
      <c r="J91" s="4">
        <f>INDEX('Draft Engine'!$R$3:$R$232,$O91)</f>
        <v>145</v>
      </c>
      <c r="K91" s="4">
        <f>INDEX('Draft Engine'!$S$3:$S$232,$O91)</f>
        <v>56</v>
      </c>
      <c r="L91" s="4">
        <f>INDEX('Draft Engine'!$U$3:$U$232,$O91)</f>
        <v>73.065399999999997</v>
      </c>
      <c r="M91" s="4">
        <f>INDEX('Draft Engine'!$W$3:$W$232,$O91)</f>
        <v>85.065399999999997</v>
      </c>
      <c r="N91" t="str">
        <f>INDEX('Draft Engine'!$T$3:$T$232,$O91)</f>
        <v>A</v>
      </c>
      <c r="O91" s="6">
        <f>MATCH($A91,'Draft Engine'!$Q$3:$Q$232,0)</f>
        <v>172</v>
      </c>
    </row>
    <row r="92" spans="1:15" x14ac:dyDescent="0.25">
      <c r="A92">
        <f>90</f>
        <v>90</v>
      </c>
      <c r="B92" t="str">
        <f>INDEX('Draft Engine'!$A$3:$A$232,$O92)</f>
        <v>QB</v>
      </c>
      <c r="C92">
        <f>INDEX('Draft Engine'!$F$3:$F$232,$O92)</f>
        <v>14</v>
      </c>
      <c r="D92" t="str">
        <f>INDEX('Draft Engine'!$B$3:$B$232,$O92)</f>
        <v>Brock Purdy</v>
      </c>
      <c r="E92" s="4">
        <f>INDEX('Draft Engine'!$N$3:$N$232,$O92)</f>
        <v>62.427230000000009</v>
      </c>
      <c r="F92" s="4">
        <f>INDEX('Draft Engine'!$E$3:$E$232,$O92)</f>
        <v>83.8386</v>
      </c>
      <c r="G92" s="4">
        <f>INDEX('Draft Engine'!$G$3:$G$232,$O92)</f>
        <v>347.3</v>
      </c>
      <c r="H92" s="4">
        <f>INDEX('Draft Engine'!$J$3:$J$232,$O92)</f>
        <v>-3.8</v>
      </c>
      <c r="I92" s="4">
        <f>INDEX('Draft Engine'!$L$3:$L$232,$O92)</f>
        <v>33.333333333333336</v>
      </c>
      <c r="J92" s="4">
        <f>INDEX('Draft Engine'!$R$3:$R$232,$O92)</f>
        <v>75.7</v>
      </c>
      <c r="K92" s="4">
        <f>INDEX('Draft Engine'!$S$3:$S$232,$O92)</f>
        <v>-14.299999999999997</v>
      </c>
      <c r="L92" s="4">
        <f>INDEX('Draft Engine'!$U$3:$U$232,$O92)</f>
        <v>74.8386</v>
      </c>
      <c r="M92" s="4">
        <f>INDEX('Draft Engine'!$W$3:$W$232,$O92)</f>
        <v>92.8386</v>
      </c>
      <c r="N92" t="str">
        <f>INDEX('Draft Engine'!$T$3:$T$232,$O92)</f>
        <v>B</v>
      </c>
      <c r="O92" s="6">
        <f>MATCH($A92,'Draft Engine'!$Q$3:$Q$232,0)</f>
        <v>14</v>
      </c>
    </row>
    <row r="93" spans="1:15" x14ac:dyDescent="0.25">
      <c r="A93">
        <f>91</f>
        <v>91</v>
      </c>
      <c r="B93" t="str">
        <f>INDEX('Draft Engine'!$A$3:$A$232,$O93)</f>
        <v>WR</v>
      </c>
      <c r="C93">
        <f>INDEX('Draft Engine'!$F$3:$F$232,$O93)</f>
        <v>32</v>
      </c>
      <c r="D93" t="str">
        <f>INDEX('Draft Engine'!$B$3:$B$232,$O93)</f>
        <v>Christian Watson</v>
      </c>
      <c r="E93" s="4">
        <f>INDEX('Draft Engine'!$N$3:$N$232,$O93)</f>
        <v>61.987541666666665</v>
      </c>
      <c r="F93" s="4">
        <f>INDEX('Draft Engine'!$E$3:$E$232,$O93)</f>
        <v>73.892499999999998</v>
      </c>
      <c r="G93" s="4">
        <f>INDEX('Draft Engine'!$G$3:$G$232,$O93)</f>
        <v>240.3</v>
      </c>
      <c r="H93" s="4">
        <f>INDEX('Draft Engine'!$J$3:$J$232,$O93)</f>
        <v>1</v>
      </c>
      <c r="I93" s="4">
        <f>INDEX('Draft Engine'!$L$3:$L$232,$O93)</f>
        <v>41.111111111111107</v>
      </c>
      <c r="J93" s="4">
        <f>INDEX('Draft Engine'!$R$3:$R$232,$O93)</f>
        <v>70.900000000000006</v>
      </c>
      <c r="K93" s="4">
        <f>INDEX('Draft Engine'!$S$3:$S$232,$O93)</f>
        <v>-20.099999999999994</v>
      </c>
      <c r="L93" s="4">
        <f>INDEX('Draft Engine'!$U$3:$U$232,$O93)</f>
        <v>61.892499999999998</v>
      </c>
      <c r="M93" s="4">
        <f>INDEX('Draft Engine'!$W$3:$W$232,$O93)</f>
        <v>85.892499999999998</v>
      </c>
      <c r="N93" t="str">
        <f>INDEX('Draft Engine'!$T$3:$T$232,$O93)</f>
        <v>C</v>
      </c>
      <c r="O93" s="6">
        <f>MATCH($A93,'Draft Engine'!$Q$3:$Q$232,0)</f>
        <v>114</v>
      </c>
    </row>
    <row r="94" spans="1:15" x14ac:dyDescent="0.25">
      <c r="A94">
        <f>92</f>
        <v>92</v>
      </c>
      <c r="B94" t="str">
        <f>INDEX('Draft Engine'!$A$3:$A$232,$O94)</f>
        <v>RB</v>
      </c>
      <c r="C94">
        <f>INDEX('Draft Engine'!$F$3:$F$232,$O94)</f>
        <v>32</v>
      </c>
      <c r="D94" t="str">
        <f>INDEX('Draft Engine'!$B$3:$B$232,$O94)</f>
        <v>RJ Harvey</v>
      </c>
      <c r="E94" s="4">
        <f>INDEX('Draft Engine'!$N$3:$N$232,$O94)</f>
        <v>61.571665000000003</v>
      </c>
      <c r="F94" s="4">
        <f>INDEX('Draft Engine'!$E$3:$E$232,$O94)</f>
        <v>73.567800000000005</v>
      </c>
      <c r="G94" s="4">
        <f>INDEX('Draft Engine'!$G$3:$G$232,$O94)</f>
        <v>239</v>
      </c>
      <c r="H94" s="4">
        <f>INDEX('Draft Engine'!$J$3:$J$232,$O94)</f>
        <v>0</v>
      </c>
      <c r="I94" s="4">
        <f>INDEX('Draft Engine'!$L$3:$L$232,$O94)</f>
        <v>40.729166666666664</v>
      </c>
      <c r="J94" s="4">
        <f>INDEX('Draft Engine'!$R$3:$R$232,$O94)</f>
        <v>82.6</v>
      </c>
      <c r="K94" s="4">
        <f>INDEX('Draft Engine'!$S$3:$S$232,$O94)</f>
        <v>-9.4000000000000057</v>
      </c>
      <c r="L94" s="4">
        <f>INDEX('Draft Engine'!$U$3:$U$232,$O94)</f>
        <v>67.567800000000005</v>
      </c>
      <c r="M94" s="4">
        <f>INDEX('Draft Engine'!$W$3:$W$232,$O94)</f>
        <v>79.567800000000005</v>
      </c>
      <c r="N94" t="str">
        <f>INDEX('Draft Engine'!$T$3:$T$232,$O94)</f>
        <v>A</v>
      </c>
      <c r="O94" s="6">
        <f>MATCH($A94,'Draft Engine'!$Q$3:$Q$232,0)</f>
        <v>64</v>
      </c>
    </row>
    <row r="95" spans="1:15" x14ac:dyDescent="0.25">
      <c r="A95">
        <f>93</f>
        <v>93</v>
      </c>
      <c r="B95" t="str">
        <f>INDEX('Draft Engine'!$A$3:$A$232,$O95)</f>
        <v>WR</v>
      </c>
      <c r="C95">
        <f>INDEX('Draft Engine'!$F$3:$F$232,$O95)</f>
        <v>33</v>
      </c>
      <c r="D95" t="str">
        <f>INDEX('Draft Engine'!$B$3:$B$232,$O95)</f>
        <v>Rome Odunze</v>
      </c>
      <c r="E95" s="4">
        <f>INDEX('Draft Engine'!$N$3:$N$232,$O95)</f>
        <v>61.338083333333337</v>
      </c>
      <c r="F95" s="4">
        <f>INDEX('Draft Engine'!$E$3:$E$232,$O95)</f>
        <v>73.644999999999996</v>
      </c>
      <c r="G95" s="4">
        <f>INDEX('Draft Engine'!$G$3:$G$232,$O95)</f>
        <v>239.3</v>
      </c>
      <c r="H95" s="4">
        <f>INDEX('Draft Engine'!$J$3:$J$232,$O95)</f>
        <v>0</v>
      </c>
      <c r="I95" s="4">
        <f>INDEX('Draft Engine'!$L$3:$L$232,$O95)</f>
        <v>38.888888888888886</v>
      </c>
      <c r="J95" s="4">
        <f>INDEX('Draft Engine'!$R$3:$R$232,$O95)</f>
        <v>49.3</v>
      </c>
      <c r="K95" s="4">
        <f>INDEX('Draft Engine'!$S$3:$S$232,$O95)</f>
        <v>-43.7</v>
      </c>
      <c r="L95" s="4">
        <f>INDEX('Draft Engine'!$U$3:$U$232,$O95)</f>
        <v>61.644999999999996</v>
      </c>
      <c r="M95" s="4">
        <f>INDEX('Draft Engine'!$W$3:$W$232,$O95)</f>
        <v>85.644999999999996</v>
      </c>
      <c r="N95" t="str">
        <f>INDEX('Draft Engine'!$T$3:$T$232,$O95)</f>
        <v>C</v>
      </c>
      <c r="O95" s="6">
        <f>MATCH($A95,'Draft Engine'!$Q$3:$Q$232,0)</f>
        <v>111</v>
      </c>
    </row>
    <row r="96" spans="1:15" x14ac:dyDescent="0.25">
      <c r="A96">
        <f>94</f>
        <v>94</v>
      </c>
      <c r="B96" t="str">
        <f>INDEX('Draft Engine'!$A$3:$A$232,$O96)</f>
        <v>TE</v>
      </c>
      <c r="C96">
        <f>INDEX('Draft Engine'!$F$3:$F$232,$O96)</f>
        <v>15</v>
      </c>
      <c r="D96" t="str">
        <f>INDEX('Draft Engine'!$B$3:$B$232,$O96)</f>
        <v>Isaiah Likely</v>
      </c>
      <c r="E96" s="4">
        <f>INDEX('Draft Engine'!$N$3:$N$232,$O96)</f>
        <v>61.180417307692309</v>
      </c>
      <c r="F96" s="4">
        <f>INDEX('Draft Engine'!$E$3:$E$232,$O96)</f>
        <v>78.579499999999996</v>
      </c>
      <c r="G96" s="4">
        <f>INDEX('Draft Engine'!$G$3:$G$232,$O96)</f>
        <v>175</v>
      </c>
      <c r="H96" s="4">
        <f>INDEX('Draft Engine'!$J$3:$J$232,$O96)</f>
        <v>-4.7</v>
      </c>
      <c r="I96" s="4">
        <f>INDEX('Draft Engine'!$L$3:$L$232,$O96)</f>
        <v>25.384615384615383</v>
      </c>
      <c r="J96" s="4">
        <f>INDEX('Draft Engine'!$R$3:$R$232,$O96)</f>
        <v>133.1</v>
      </c>
      <c r="K96" s="4">
        <f>INDEX('Draft Engine'!$S$3:$S$232,$O96)</f>
        <v>39.099999999999994</v>
      </c>
      <c r="L96" s="4">
        <f>INDEX('Draft Engine'!$U$3:$U$232,$O96)</f>
        <v>72.579499999999996</v>
      </c>
      <c r="M96" s="4">
        <f>INDEX('Draft Engine'!$W$3:$W$232,$O96)</f>
        <v>84.579499999999996</v>
      </c>
      <c r="N96" t="str">
        <f>INDEX('Draft Engine'!$T$3:$T$232,$O96)</f>
        <v>A</v>
      </c>
      <c r="O96" s="6">
        <f>MATCH($A96,'Draft Engine'!$Q$3:$Q$232,0)</f>
        <v>173</v>
      </c>
    </row>
    <row r="97" spans="1:15" x14ac:dyDescent="0.25">
      <c r="A97">
        <f>95</f>
        <v>95</v>
      </c>
      <c r="B97" t="str">
        <f>INDEX('Draft Engine'!$A$3:$A$232,$O97)</f>
        <v>WR</v>
      </c>
      <c r="C97">
        <f>INDEX('Draft Engine'!$F$3:$F$232,$O97)</f>
        <v>34</v>
      </c>
      <c r="D97" t="str">
        <f>INDEX('Draft Engine'!$B$3:$B$232,$O97)</f>
        <v>Wan'Dale Robinson</v>
      </c>
      <c r="E97" s="4">
        <f>INDEX('Draft Engine'!$N$3:$N$232,$O97)</f>
        <v>60.875000000000007</v>
      </c>
      <c r="F97" s="4">
        <f>INDEX('Draft Engine'!$E$3:$E$232,$O97)</f>
        <v>73.540000000000006</v>
      </c>
      <c r="G97" s="4">
        <f>INDEX('Draft Engine'!$G$3:$G$232,$O97)</f>
        <v>238.9</v>
      </c>
      <c r="H97" s="4">
        <f>INDEX('Draft Engine'!$J$3:$J$232,$O97)</f>
        <v>-0.4</v>
      </c>
      <c r="I97" s="4">
        <f>INDEX('Draft Engine'!$L$3:$L$232,$O97)</f>
        <v>36.666666666666671</v>
      </c>
      <c r="J97" s="4">
        <f>INDEX('Draft Engine'!$R$3:$R$232,$O97)</f>
        <v>71</v>
      </c>
      <c r="K97" s="4">
        <f>INDEX('Draft Engine'!$S$3:$S$232,$O97)</f>
        <v>-24</v>
      </c>
      <c r="L97" s="4">
        <f>INDEX('Draft Engine'!$U$3:$U$232,$O97)</f>
        <v>61.540000000000006</v>
      </c>
      <c r="M97" s="4">
        <f>INDEX('Draft Engine'!$W$3:$W$232,$O97)</f>
        <v>85.54</v>
      </c>
      <c r="N97" t="str">
        <f>INDEX('Draft Engine'!$T$3:$T$232,$O97)</f>
        <v>C</v>
      </c>
      <c r="O97" s="6">
        <f>MATCH($A97,'Draft Engine'!$Q$3:$Q$232,0)</f>
        <v>123</v>
      </c>
    </row>
    <row r="98" spans="1:15" x14ac:dyDescent="0.25">
      <c r="A98">
        <f>96</f>
        <v>96</v>
      </c>
      <c r="B98" t="str">
        <f>INDEX('Draft Engine'!$A$3:$A$232,$O98)</f>
        <v>QB</v>
      </c>
      <c r="C98">
        <f>INDEX('Draft Engine'!$F$3:$F$232,$O98)</f>
        <v>15</v>
      </c>
      <c r="D98" t="str">
        <f>INDEX('Draft Engine'!$B$3:$B$232,$O98)</f>
        <v>Jaxson Dart</v>
      </c>
      <c r="E98" s="4">
        <f>INDEX('Draft Engine'!$N$3:$N$232,$O98)</f>
        <v>60.600154230769235</v>
      </c>
      <c r="F98" s="4">
        <f>INDEX('Draft Engine'!$E$3:$E$232,$O98)</f>
        <v>83.060699999999997</v>
      </c>
      <c r="G98" s="4">
        <f>INDEX('Draft Engine'!$G$3:$G$232,$O98)</f>
        <v>343.8</v>
      </c>
      <c r="H98" s="4">
        <f>INDEX('Draft Engine'!$J$3:$J$232,$O98)</f>
        <v>-7.3</v>
      </c>
      <c r="I98" s="4">
        <f>INDEX('Draft Engine'!$L$3:$L$232,$O98)</f>
        <v>28.205128205128204</v>
      </c>
      <c r="J98" s="4">
        <f>INDEX('Draft Engine'!$R$3:$R$232,$O98)</f>
        <v>100.4</v>
      </c>
      <c r="K98" s="4">
        <f>INDEX('Draft Engine'!$S$3:$S$232,$O98)</f>
        <v>4.4000000000000057</v>
      </c>
      <c r="L98" s="4">
        <f>INDEX('Draft Engine'!$U$3:$U$232,$O98)</f>
        <v>77.060699999999997</v>
      </c>
      <c r="M98" s="4">
        <f>INDEX('Draft Engine'!$W$3:$W$232,$O98)</f>
        <v>89.060699999999997</v>
      </c>
      <c r="N98" t="str">
        <f>INDEX('Draft Engine'!$T$3:$T$232,$O98)</f>
        <v>A</v>
      </c>
      <c r="O98" s="6">
        <f>MATCH($A98,'Draft Engine'!$Q$3:$Q$232,0)</f>
        <v>15</v>
      </c>
    </row>
    <row r="99" spans="1:15" x14ac:dyDescent="0.25">
      <c r="A99">
        <f>97</f>
        <v>97</v>
      </c>
      <c r="B99" t="str">
        <f>INDEX('Draft Engine'!$A$3:$A$232,$O99)</f>
        <v>TE</v>
      </c>
      <c r="C99">
        <f>INDEX('Draft Engine'!$F$3:$F$232,$O99)</f>
        <v>16</v>
      </c>
      <c r="D99" t="str">
        <f>INDEX('Draft Engine'!$B$3:$B$232,$O99)</f>
        <v>Juwan Johnson</v>
      </c>
      <c r="E99" s="4">
        <f>INDEX('Draft Engine'!$N$3:$N$232,$O99)</f>
        <v>60.183549615384614</v>
      </c>
      <c r="F99" s="4">
        <f>INDEX('Draft Engine'!$E$3:$E$232,$O99)</f>
        <v>78.320300000000003</v>
      </c>
      <c r="G99" s="4">
        <f>INDEX('Draft Engine'!$G$3:$G$232,$O99)</f>
        <v>174.1</v>
      </c>
      <c r="H99" s="4">
        <f>INDEX('Draft Engine'!$J$3:$J$232,$O99)</f>
        <v>-5.6</v>
      </c>
      <c r="I99" s="4">
        <f>INDEX('Draft Engine'!$L$3:$L$232,$O99)</f>
        <v>20.769230769230766</v>
      </c>
      <c r="J99" s="4">
        <f>INDEX('Draft Engine'!$R$3:$R$232,$O99)</f>
        <v>159.19999999999999</v>
      </c>
      <c r="K99" s="4">
        <f>INDEX('Draft Engine'!$S$3:$S$232,$O99)</f>
        <v>62.199999999999989</v>
      </c>
      <c r="L99" s="4">
        <f>INDEX('Draft Engine'!$U$3:$U$232,$O99)</f>
        <v>72.320300000000003</v>
      </c>
      <c r="M99" s="4">
        <f>INDEX('Draft Engine'!$W$3:$W$232,$O99)</f>
        <v>84.320300000000003</v>
      </c>
      <c r="N99" t="str">
        <f>INDEX('Draft Engine'!$T$3:$T$232,$O99)</f>
        <v>A</v>
      </c>
      <c r="O99" s="6">
        <f>MATCH($A99,'Draft Engine'!$Q$3:$Q$232,0)</f>
        <v>174</v>
      </c>
    </row>
    <row r="100" spans="1:15" x14ac:dyDescent="0.25">
      <c r="A100">
        <f>98</f>
        <v>98</v>
      </c>
      <c r="B100" t="str">
        <f>INDEX('Draft Engine'!$A$3:$A$232,$O100)</f>
        <v>RB</v>
      </c>
      <c r="C100">
        <f>INDEX('Draft Engine'!$F$3:$F$232,$O100)</f>
        <v>33</v>
      </c>
      <c r="D100" t="str">
        <f>INDEX('Draft Engine'!$B$3:$B$232,$O100)</f>
        <v>Kyle Monangai</v>
      </c>
      <c r="E100" s="4">
        <f>INDEX('Draft Engine'!$N$3:$N$232,$O100)</f>
        <v>59.965610000000005</v>
      </c>
      <c r="F100" s="4">
        <f>INDEX('Draft Engine'!$E$3:$E$232,$O100)</f>
        <v>72.610200000000006</v>
      </c>
      <c r="G100" s="4">
        <f>INDEX('Draft Engine'!$G$3:$G$232,$O100)</f>
        <v>235</v>
      </c>
      <c r="H100" s="4">
        <f>INDEX('Draft Engine'!$J$3:$J$232,$O100)</f>
        <v>-4</v>
      </c>
      <c r="I100" s="4">
        <f>INDEX('Draft Engine'!$L$3:$L$232,$O100)</f>
        <v>38.333333333333336</v>
      </c>
      <c r="J100" s="4">
        <f>INDEX('Draft Engine'!$R$3:$R$232,$O100)</f>
        <v>100.3</v>
      </c>
      <c r="K100" s="4">
        <f>INDEX('Draft Engine'!$S$3:$S$232,$O100)</f>
        <v>2.2999999999999972</v>
      </c>
      <c r="L100" s="4">
        <f>INDEX('Draft Engine'!$U$3:$U$232,$O100)</f>
        <v>66.610200000000006</v>
      </c>
      <c r="M100" s="4">
        <f>INDEX('Draft Engine'!$W$3:$W$232,$O100)</f>
        <v>78.610200000000006</v>
      </c>
      <c r="N100" t="str">
        <f>INDEX('Draft Engine'!$T$3:$T$232,$O100)</f>
        <v>A</v>
      </c>
      <c r="O100" s="6">
        <f>MATCH($A100,'Draft Engine'!$Q$3:$Q$232,0)</f>
        <v>65</v>
      </c>
    </row>
    <row r="101" spans="1:15" x14ac:dyDescent="0.25">
      <c r="A101">
        <f>99</f>
        <v>99</v>
      </c>
      <c r="B101" t="str">
        <f>INDEX('Draft Engine'!$A$3:$A$232,$O101)</f>
        <v>QB</v>
      </c>
      <c r="C101">
        <f>INDEX('Draft Engine'!$F$3:$F$232,$O101)</f>
        <v>16</v>
      </c>
      <c r="D101" t="str">
        <f>INDEX('Draft Engine'!$B$3:$B$232,$O101)</f>
        <v>Jared Goff</v>
      </c>
      <c r="E101" s="4">
        <f>INDEX('Draft Engine'!$N$3:$N$232,$O101)</f>
        <v>59.258913461538462</v>
      </c>
      <c r="F101" s="4">
        <f>INDEX('Draft Engine'!$E$3:$E$232,$O101)</f>
        <v>82.642499999999998</v>
      </c>
      <c r="G101" s="4">
        <f>INDEX('Draft Engine'!$G$3:$G$232,$O101)</f>
        <v>341.9</v>
      </c>
      <c r="H101" s="4">
        <f>INDEX('Draft Engine'!$J$3:$J$232,$O101)</f>
        <v>-9.1999999999999993</v>
      </c>
      <c r="I101" s="4">
        <f>INDEX('Draft Engine'!$L$3:$L$232,$O101)</f>
        <v>23.076923076923073</v>
      </c>
      <c r="J101" s="4">
        <f>INDEX('Draft Engine'!$R$3:$R$232,$O101)</f>
        <v>107.9</v>
      </c>
      <c r="K101" s="4">
        <f>INDEX('Draft Engine'!$S$3:$S$232,$O101)</f>
        <v>8.9000000000000057</v>
      </c>
      <c r="L101" s="4">
        <f>INDEX('Draft Engine'!$U$3:$U$232,$O101)</f>
        <v>76.642499999999998</v>
      </c>
      <c r="M101" s="4">
        <f>INDEX('Draft Engine'!$W$3:$W$232,$O101)</f>
        <v>88.642499999999998</v>
      </c>
      <c r="N101" t="str">
        <f>INDEX('Draft Engine'!$T$3:$T$232,$O101)</f>
        <v>A</v>
      </c>
      <c r="O101" s="6">
        <f>MATCH($A101,'Draft Engine'!$Q$3:$Q$232,0)</f>
        <v>16</v>
      </c>
    </row>
    <row r="102" spans="1:15" x14ac:dyDescent="0.25">
      <c r="A102">
        <f>100</f>
        <v>100</v>
      </c>
      <c r="B102" t="str">
        <f>INDEX('Draft Engine'!$A$3:$A$232,$O102)</f>
        <v>RB</v>
      </c>
      <c r="C102">
        <f>INDEX('Draft Engine'!$F$3:$F$232,$O102)</f>
        <v>34</v>
      </c>
      <c r="D102" t="str">
        <f>INDEX('Draft Engine'!$B$3:$B$232,$O102)</f>
        <v>Chuba Hubbard</v>
      </c>
      <c r="E102" s="4">
        <f>INDEX('Draft Engine'!$N$3:$N$232,$O102)</f>
        <v>58.621310000000001</v>
      </c>
      <c r="F102" s="4">
        <f>INDEX('Draft Engine'!$E$3:$E$232,$O102)</f>
        <v>71.866699999999994</v>
      </c>
      <c r="G102" s="4">
        <f>INDEX('Draft Engine'!$G$3:$G$232,$O102)</f>
        <v>231.8</v>
      </c>
      <c r="H102" s="4">
        <f>INDEX('Draft Engine'!$J$3:$J$232,$O102)</f>
        <v>-7.2</v>
      </c>
      <c r="I102" s="4">
        <f>INDEX('Draft Engine'!$L$3:$L$232,$O102)</f>
        <v>35.9375</v>
      </c>
      <c r="J102" s="4">
        <f>INDEX('Draft Engine'!$R$3:$R$232,$O102)</f>
        <v>75.900000000000006</v>
      </c>
      <c r="K102" s="4">
        <f>INDEX('Draft Engine'!$S$3:$S$232,$O102)</f>
        <v>-24.099999999999994</v>
      </c>
      <c r="L102" s="4">
        <f>INDEX('Draft Engine'!$U$3:$U$232,$O102)</f>
        <v>65.866699999999994</v>
      </c>
      <c r="M102" s="4">
        <f>INDEX('Draft Engine'!$W$3:$W$232,$O102)</f>
        <v>77.866699999999994</v>
      </c>
      <c r="N102" t="str">
        <f>INDEX('Draft Engine'!$T$3:$T$232,$O102)</f>
        <v>A</v>
      </c>
      <c r="O102" s="6">
        <f>MATCH($A102,'Draft Engine'!$Q$3:$Q$232,0)</f>
        <v>66</v>
      </c>
    </row>
    <row r="103" spans="1:15" x14ac:dyDescent="0.25">
      <c r="A103">
        <f>101</f>
        <v>101</v>
      </c>
      <c r="B103" t="str">
        <f>INDEX('Draft Engine'!$A$3:$A$232,$O103)</f>
        <v>WR</v>
      </c>
      <c r="C103">
        <f>INDEX('Draft Engine'!$F$3:$F$232,$O103)</f>
        <v>35</v>
      </c>
      <c r="D103" t="str">
        <f>INDEX('Draft Engine'!$B$3:$B$232,$O103)</f>
        <v>Carnell Tate</v>
      </c>
      <c r="E103" s="4">
        <f>INDEX('Draft Engine'!$N$3:$N$232,$O103)</f>
        <v>58.374166666666667</v>
      </c>
      <c r="F103" s="4">
        <f>INDEX('Draft Engine'!$E$3:$E$232,$O103)</f>
        <v>71.89</v>
      </c>
      <c r="G103" s="4">
        <f>INDEX('Draft Engine'!$G$3:$G$232,$O103)</f>
        <v>231.9</v>
      </c>
      <c r="H103" s="4">
        <f>INDEX('Draft Engine'!$J$3:$J$232,$O103)</f>
        <v>-7.4</v>
      </c>
      <c r="I103" s="4">
        <f>INDEX('Draft Engine'!$L$3:$L$232,$O103)</f>
        <v>34.44444444444445</v>
      </c>
      <c r="J103" s="4">
        <f>INDEX('Draft Engine'!$R$3:$R$232,$O103)</f>
        <v>77.400000000000006</v>
      </c>
      <c r="K103" s="4">
        <f>INDEX('Draft Engine'!$S$3:$S$232,$O103)</f>
        <v>-23.599999999999994</v>
      </c>
      <c r="L103" s="4">
        <f>INDEX('Draft Engine'!$U$3:$U$232,$O103)</f>
        <v>59.89</v>
      </c>
      <c r="M103" s="4">
        <f>INDEX('Draft Engine'!$W$3:$W$232,$O103)</f>
        <v>83.89</v>
      </c>
      <c r="N103" t="str">
        <f>INDEX('Draft Engine'!$T$3:$T$232,$O103)</f>
        <v>C</v>
      </c>
      <c r="O103" s="6">
        <f>MATCH($A103,'Draft Engine'!$Q$3:$Q$232,0)</f>
        <v>117</v>
      </c>
    </row>
    <row r="104" spans="1:15" x14ac:dyDescent="0.25">
      <c r="A104">
        <f>102</f>
        <v>102</v>
      </c>
      <c r="B104" t="str">
        <f>INDEX('Draft Engine'!$A$3:$A$232,$O104)</f>
        <v>RB</v>
      </c>
      <c r="C104">
        <f>INDEX('Draft Engine'!$F$3:$F$232,$O104)</f>
        <v>35</v>
      </c>
      <c r="D104" t="str">
        <f>INDEX('Draft Engine'!$B$3:$B$232,$O104)</f>
        <v>Aaron Jones Sr.</v>
      </c>
      <c r="E104" s="4">
        <f>INDEX('Draft Engine'!$N$3:$N$232,$O104)</f>
        <v>58.042985000000002</v>
      </c>
      <c r="F104" s="4">
        <f>INDEX('Draft Engine'!$E$3:$E$232,$O104)</f>
        <v>71.697699999999998</v>
      </c>
      <c r="G104" s="4">
        <f>INDEX('Draft Engine'!$G$3:$G$232,$O104)</f>
        <v>231.1</v>
      </c>
      <c r="H104" s="4">
        <f>INDEX('Draft Engine'!$J$3:$J$232,$O104)</f>
        <v>-7.9</v>
      </c>
      <c r="I104" s="4">
        <f>INDEX('Draft Engine'!$L$3:$L$232,$O104)</f>
        <v>33.541666666666664</v>
      </c>
      <c r="J104" s="4">
        <f>INDEX('Draft Engine'!$R$3:$R$232,$O104)</f>
        <v>90.7</v>
      </c>
      <c r="K104" s="4">
        <f>INDEX('Draft Engine'!$S$3:$S$232,$O104)</f>
        <v>-11.299999999999997</v>
      </c>
      <c r="L104" s="4">
        <f>INDEX('Draft Engine'!$U$3:$U$232,$O104)</f>
        <v>65.697699999999998</v>
      </c>
      <c r="M104" s="4">
        <f>INDEX('Draft Engine'!$W$3:$W$232,$O104)</f>
        <v>77.697699999999998</v>
      </c>
      <c r="N104" t="str">
        <f>INDEX('Draft Engine'!$T$3:$T$232,$O104)</f>
        <v>A</v>
      </c>
      <c r="O104" s="6">
        <f>MATCH($A104,'Draft Engine'!$Q$3:$Q$232,0)</f>
        <v>67</v>
      </c>
    </row>
    <row r="105" spans="1:15" x14ac:dyDescent="0.25">
      <c r="A105">
        <f>103</f>
        <v>103</v>
      </c>
      <c r="B105" t="str">
        <f>INDEX('Draft Engine'!$A$3:$A$232,$O105)</f>
        <v>WR</v>
      </c>
      <c r="C105">
        <f>INDEX('Draft Engine'!$F$3:$F$232,$O105)</f>
        <v>36</v>
      </c>
      <c r="D105" t="str">
        <f>INDEX('Draft Engine'!$B$3:$B$232,$O105)</f>
        <v>Marvin Harrison Jr.</v>
      </c>
      <c r="E105" s="4">
        <f>INDEX('Draft Engine'!$N$3:$N$232,$O105)</f>
        <v>57.942833333333347</v>
      </c>
      <c r="F105" s="4">
        <f>INDEX('Draft Engine'!$E$3:$E$232,$O105)</f>
        <v>71.81</v>
      </c>
      <c r="G105" s="4">
        <f>INDEX('Draft Engine'!$G$3:$G$232,$O105)</f>
        <v>231.6</v>
      </c>
      <c r="H105" s="4">
        <f>INDEX('Draft Engine'!$J$3:$J$232,$O105)</f>
        <v>-7.7</v>
      </c>
      <c r="I105" s="4">
        <f>INDEX('Draft Engine'!$L$3:$L$232,$O105)</f>
        <v>32.222222222222229</v>
      </c>
      <c r="J105" s="4">
        <f>INDEX('Draft Engine'!$R$3:$R$232,$O105)</f>
        <v>63.9</v>
      </c>
      <c r="K105" s="4">
        <f>INDEX('Draft Engine'!$S$3:$S$232,$O105)</f>
        <v>-39.1</v>
      </c>
      <c r="L105" s="4">
        <f>INDEX('Draft Engine'!$U$3:$U$232,$O105)</f>
        <v>59.81</v>
      </c>
      <c r="M105" s="4">
        <f>INDEX('Draft Engine'!$W$3:$W$232,$O105)</f>
        <v>83.81</v>
      </c>
      <c r="N105" t="str">
        <f>INDEX('Draft Engine'!$T$3:$T$232,$O105)</f>
        <v>C</v>
      </c>
      <c r="O105" s="6">
        <f>MATCH($A105,'Draft Engine'!$Q$3:$Q$232,0)</f>
        <v>113</v>
      </c>
    </row>
    <row r="106" spans="1:15" x14ac:dyDescent="0.25">
      <c r="A106">
        <f>104</f>
        <v>104</v>
      </c>
      <c r="B106" t="str">
        <f>INDEX('Draft Engine'!$A$3:$A$232,$O106)</f>
        <v>WR</v>
      </c>
      <c r="C106">
        <f>INDEX('Draft Engine'!$F$3:$F$232,$O106)</f>
        <v>37</v>
      </c>
      <c r="D106" t="str">
        <f>INDEX('Draft Engine'!$B$3:$B$232,$O106)</f>
        <v>Parker Washington</v>
      </c>
      <c r="E106" s="4">
        <f>INDEX('Draft Engine'!$N$3:$N$232,$O106)</f>
        <v>57.2395</v>
      </c>
      <c r="F106" s="4">
        <f>INDEX('Draft Engine'!$E$3:$E$232,$O106)</f>
        <v>71.53</v>
      </c>
      <c r="G106" s="4">
        <f>INDEX('Draft Engine'!$G$3:$G$232,$O106)</f>
        <v>230.4</v>
      </c>
      <c r="H106" s="4">
        <f>INDEX('Draft Engine'!$J$3:$J$232,$O106)</f>
        <v>-8.9</v>
      </c>
      <c r="I106" s="4">
        <f>INDEX('Draft Engine'!$L$3:$L$232,$O106)</f>
        <v>30</v>
      </c>
      <c r="J106" s="4">
        <f>INDEX('Draft Engine'!$R$3:$R$232,$O106)</f>
        <v>72.3</v>
      </c>
      <c r="K106" s="4">
        <f>INDEX('Draft Engine'!$S$3:$S$232,$O106)</f>
        <v>-31.700000000000003</v>
      </c>
      <c r="L106" s="4">
        <f>INDEX('Draft Engine'!$U$3:$U$232,$O106)</f>
        <v>59.53</v>
      </c>
      <c r="M106" s="4">
        <f>INDEX('Draft Engine'!$W$3:$W$232,$O106)</f>
        <v>83.53</v>
      </c>
      <c r="N106" t="str">
        <f>INDEX('Draft Engine'!$T$3:$T$232,$O106)</f>
        <v>C</v>
      </c>
      <c r="O106" s="6">
        <f>MATCH($A106,'Draft Engine'!$Q$3:$Q$232,0)</f>
        <v>126</v>
      </c>
    </row>
    <row r="107" spans="1:15" x14ac:dyDescent="0.25">
      <c r="A107">
        <f>105</f>
        <v>105</v>
      </c>
      <c r="B107" t="str">
        <f>INDEX('Draft Engine'!$A$3:$A$232,$O107)</f>
        <v>TE</v>
      </c>
      <c r="C107">
        <f>INDEX('Draft Engine'!$F$3:$F$232,$O107)</f>
        <v>17</v>
      </c>
      <c r="D107" t="str">
        <f>INDEX('Draft Engine'!$B$3:$B$232,$O107)</f>
        <v>Hunter Henry</v>
      </c>
      <c r="E107" s="4">
        <f>INDEX('Draft Engine'!$N$3:$N$232,$O107)</f>
        <v>57.058006923076931</v>
      </c>
      <c r="F107" s="4">
        <f>INDEX('Draft Engine'!$E$3:$E$232,$O107)</f>
        <v>76.252600000000001</v>
      </c>
      <c r="G107" s="4">
        <f>INDEX('Draft Engine'!$G$3:$G$232,$O107)</f>
        <v>166.9</v>
      </c>
      <c r="H107" s="4">
        <f>INDEX('Draft Engine'!$J$3:$J$232,$O107)</f>
        <v>-12.8</v>
      </c>
      <c r="I107" s="4">
        <f>INDEX('Draft Engine'!$L$3:$L$232,$O107)</f>
        <v>16.153846153846157</v>
      </c>
      <c r="J107" s="4">
        <f>INDEX('Draft Engine'!$R$3:$R$232,$O107)</f>
        <v>156.6</v>
      </c>
      <c r="K107" s="4">
        <f>INDEX('Draft Engine'!$S$3:$S$232,$O107)</f>
        <v>51.599999999999994</v>
      </c>
      <c r="L107" s="4">
        <f>INDEX('Draft Engine'!$U$3:$U$232,$O107)</f>
        <v>70.252600000000001</v>
      </c>
      <c r="M107" s="4">
        <f>INDEX('Draft Engine'!$W$3:$W$232,$O107)</f>
        <v>82.252600000000001</v>
      </c>
      <c r="N107" t="str">
        <f>INDEX('Draft Engine'!$T$3:$T$232,$O107)</f>
        <v>A</v>
      </c>
      <c r="O107" s="6">
        <f>MATCH($A107,'Draft Engine'!$Q$3:$Q$232,0)</f>
        <v>175</v>
      </c>
    </row>
    <row r="108" spans="1:15" x14ac:dyDescent="0.25">
      <c r="A108">
        <f>106</f>
        <v>106</v>
      </c>
      <c r="B108" t="str">
        <f>INDEX('Draft Engine'!$A$3:$A$232,$O108)</f>
        <v>RB</v>
      </c>
      <c r="C108">
        <f>INDEX('Draft Engine'!$F$3:$F$232,$O108)</f>
        <v>36</v>
      </c>
      <c r="D108" t="str">
        <f>INDEX('Draft Engine'!$B$3:$B$232,$O108)</f>
        <v>J.K. Dobbins</v>
      </c>
      <c r="E108" s="4">
        <f>INDEX('Draft Engine'!$N$3:$N$232,$O108)</f>
        <v>56.995505000000009</v>
      </c>
      <c r="F108" s="4">
        <f>INDEX('Draft Engine'!$E$3:$E$232,$O108)</f>
        <v>71.166600000000003</v>
      </c>
      <c r="G108" s="4">
        <f>INDEX('Draft Engine'!$G$3:$G$232,$O108)</f>
        <v>228.9</v>
      </c>
      <c r="H108" s="4">
        <f>INDEX('Draft Engine'!$J$3:$J$232,$O108)</f>
        <v>-10.1</v>
      </c>
      <c r="I108" s="4">
        <f>INDEX('Draft Engine'!$L$3:$L$232,$O108)</f>
        <v>31.145833333333332</v>
      </c>
      <c r="J108" s="4">
        <f>INDEX('Draft Engine'!$R$3:$R$232,$O108)</f>
        <v>91.9</v>
      </c>
      <c r="K108" s="4">
        <f>INDEX('Draft Engine'!$S$3:$S$232,$O108)</f>
        <v>-14.099999999999994</v>
      </c>
      <c r="L108" s="4">
        <f>INDEX('Draft Engine'!$U$3:$U$232,$O108)</f>
        <v>62.166600000000003</v>
      </c>
      <c r="M108" s="4">
        <f>INDEX('Draft Engine'!$W$3:$W$232,$O108)</f>
        <v>80.166600000000003</v>
      </c>
      <c r="N108" t="str">
        <f>INDEX('Draft Engine'!$T$3:$T$232,$O108)</f>
        <v>B</v>
      </c>
      <c r="O108" s="6">
        <f>MATCH($A108,'Draft Engine'!$Q$3:$Q$232,0)</f>
        <v>68</v>
      </c>
    </row>
    <row r="109" spans="1:15" x14ac:dyDescent="0.25">
      <c r="A109">
        <f>107</f>
        <v>107</v>
      </c>
      <c r="B109" t="str">
        <f>INDEX('Draft Engine'!$A$3:$A$232,$O109)</f>
        <v>WR</v>
      </c>
      <c r="C109">
        <f>INDEX('Draft Engine'!$F$3:$F$232,$O109)</f>
        <v>38</v>
      </c>
      <c r="D109" t="str">
        <f>INDEX('Draft Engine'!$B$3:$B$232,$O109)</f>
        <v>Stefon Diggs</v>
      </c>
      <c r="E109" s="4">
        <f>INDEX('Draft Engine'!$N$3:$N$232,$O109)</f>
        <v>56.472666666666669</v>
      </c>
      <c r="F109" s="4">
        <f>INDEX('Draft Engine'!$E$3:$E$232,$O109)</f>
        <v>71.2</v>
      </c>
      <c r="G109" s="4">
        <f>INDEX('Draft Engine'!$G$3:$G$232,$O109)</f>
        <v>229</v>
      </c>
      <c r="H109" s="4">
        <f>INDEX('Draft Engine'!$J$3:$J$232,$O109)</f>
        <v>-10.3</v>
      </c>
      <c r="I109" s="4">
        <f>INDEX('Draft Engine'!$L$3:$L$232,$O109)</f>
        <v>27.777777777777775</v>
      </c>
      <c r="J109" s="4">
        <f>INDEX('Draft Engine'!$R$3:$R$232,$O109)</f>
        <v>90.5</v>
      </c>
      <c r="K109" s="4">
        <f>INDEX('Draft Engine'!$S$3:$S$232,$O109)</f>
        <v>-16.5</v>
      </c>
      <c r="L109" s="4">
        <f>INDEX('Draft Engine'!$U$3:$U$232,$O109)</f>
        <v>59.2</v>
      </c>
      <c r="M109" s="4">
        <f>INDEX('Draft Engine'!$W$3:$W$232,$O109)</f>
        <v>83.2</v>
      </c>
      <c r="N109" t="str">
        <f>INDEX('Draft Engine'!$T$3:$T$232,$O109)</f>
        <v>C</v>
      </c>
      <c r="O109" s="6">
        <f>MATCH($A109,'Draft Engine'!$Q$3:$Q$232,0)</f>
        <v>155</v>
      </c>
    </row>
    <row r="110" spans="1:15" x14ac:dyDescent="0.25">
      <c r="A110">
        <f>108</f>
        <v>108</v>
      </c>
      <c r="B110" t="str">
        <f>INDEX('Draft Engine'!$A$3:$A$232,$O110)</f>
        <v>TE</v>
      </c>
      <c r="C110">
        <f>INDEX('Draft Engine'!$F$3:$F$232,$O110)</f>
        <v>18</v>
      </c>
      <c r="D110" t="str">
        <f>INDEX('Draft Engine'!$B$3:$B$232,$O110)</f>
        <v>Brenton Strange</v>
      </c>
      <c r="E110" s="4">
        <f>INDEX('Draft Engine'!$N$3:$N$232,$O110)</f>
        <v>56.100424230769235</v>
      </c>
      <c r="F110" s="4">
        <f>INDEX('Draft Engine'!$E$3:$E$232,$O110)</f>
        <v>76.0321</v>
      </c>
      <c r="G110" s="4">
        <f>INDEX('Draft Engine'!$G$3:$G$232,$O110)</f>
        <v>166.1</v>
      </c>
      <c r="H110" s="4">
        <f>INDEX('Draft Engine'!$J$3:$J$232,$O110)</f>
        <v>-13.6</v>
      </c>
      <c r="I110" s="4">
        <f>INDEX('Draft Engine'!$L$3:$L$232,$O110)</f>
        <v>11.538461538461538</v>
      </c>
      <c r="J110" s="4">
        <f>INDEX('Draft Engine'!$R$3:$R$232,$O110)</f>
        <v>165</v>
      </c>
      <c r="K110" s="4">
        <f>INDEX('Draft Engine'!$S$3:$S$232,$O110)</f>
        <v>57</v>
      </c>
      <c r="L110" s="4">
        <f>INDEX('Draft Engine'!$U$3:$U$232,$O110)</f>
        <v>70.0321</v>
      </c>
      <c r="M110" s="4">
        <f>INDEX('Draft Engine'!$W$3:$W$232,$O110)</f>
        <v>82.0321</v>
      </c>
      <c r="N110" t="str">
        <f>INDEX('Draft Engine'!$T$3:$T$232,$O110)</f>
        <v>A</v>
      </c>
      <c r="O110" s="6">
        <f>MATCH($A110,'Draft Engine'!$Q$3:$Q$232,0)</f>
        <v>176</v>
      </c>
    </row>
    <row r="111" spans="1:15" x14ac:dyDescent="0.25">
      <c r="A111">
        <f>109</f>
        <v>109</v>
      </c>
      <c r="B111" t="str">
        <f>INDEX('Draft Engine'!$A$3:$A$232,$O111)</f>
        <v>QB</v>
      </c>
      <c r="C111">
        <f>INDEX('Draft Engine'!$F$3:$F$232,$O111)</f>
        <v>17</v>
      </c>
      <c r="D111" t="str">
        <f>INDEX('Draft Engine'!$B$3:$B$232,$O111)</f>
        <v>Kyler Murray</v>
      </c>
      <c r="E111" s="4">
        <f>INDEX('Draft Engine'!$N$3:$N$232,$O111)</f>
        <v>55.860862692307691</v>
      </c>
      <c r="F111" s="4">
        <f>INDEX('Draft Engine'!$E$3:$E$232,$O111)</f>
        <v>80.710099999999997</v>
      </c>
      <c r="G111" s="4">
        <f>INDEX('Draft Engine'!$G$3:$G$232,$O111)</f>
        <v>333.2</v>
      </c>
      <c r="H111" s="4">
        <f>INDEX('Draft Engine'!$J$3:$J$232,$O111)</f>
        <v>-17.899999999999999</v>
      </c>
      <c r="I111" s="4">
        <f>INDEX('Draft Engine'!$L$3:$L$232,$O111)</f>
        <v>17.948717948717952</v>
      </c>
      <c r="J111" s="4">
        <f>INDEX('Draft Engine'!$R$3:$R$232,$O111)</f>
        <v>146.6</v>
      </c>
      <c r="K111" s="4">
        <f>INDEX('Draft Engine'!$S$3:$S$232,$O111)</f>
        <v>37.599999999999994</v>
      </c>
      <c r="L111" s="4">
        <f>INDEX('Draft Engine'!$U$3:$U$232,$O111)</f>
        <v>71.710099999999997</v>
      </c>
      <c r="M111" s="4">
        <f>INDEX('Draft Engine'!$W$3:$W$232,$O111)</f>
        <v>89.710099999999997</v>
      </c>
      <c r="N111" t="str">
        <f>INDEX('Draft Engine'!$T$3:$T$232,$O111)</f>
        <v>B</v>
      </c>
      <c r="O111" s="6">
        <f>MATCH($A111,'Draft Engine'!$Q$3:$Q$232,0)</f>
        <v>17</v>
      </c>
    </row>
    <row r="112" spans="1:15" x14ac:dyDescent="0.25">
      <c r="A112">
        <f>110</f>
        <v>110</v>
      </c>
      <c r="B112" t="str">
        <f>INDEX('Draft Engine'!$A$3:$A$232,$O112)</f>
        <v>WR</v>
      </c>
      <c r="C112">
        <f>INDEX('Draft Engine'!$F$3:$F$232,$O112)</f>
        <v>39</v>
      </c>
      <c r="D112" t="str">
        <f>INDEX('Draft Engine'!$B$3:$B$232,$O112)</f>
        <v>Chris Godwin Jr.</v>
      </c>
      <c r="E112" s="4">
        <f>INDEX('Draft Engine'!$N$3:$N$232,$O112)</f>
        <v>55.70033333333334</v>
      </c>
      <c r="F112" s="4">
        <f>INDEX('Draft Engine'!$E$3:$E$232,$O112)</f>
        <v>70.86</v>
      </c>
      <c r="G112" s="4">
        <f>INDEX('Draft Engine'!$G$3:$G$232,$O112)</f>
        <v>227.6</v>
      </c>
      <c r="H112" s="4">
        <f>INDEX('Draft Engine'!$J$3:$J$232,$O112)</f>
        <v>-11.7</v>
      </c>
      <c r="I112" s="4">
        <f>INDEX('Draft Engine'!$L$3:$L$232,$O112)</f>
        <v>25.555555555555564</v>
      </c>
      <c r="J112" s="4">
        <f>INDEX('Draft Engine'!$R$3:$R$232,$O112)</f>
        <v>92.4</v>
      </c>
      <c r="K112" s="4">
        <f>INDEX('Draft Engine'!$S$3:$S$232,$O112)</f>
        <v>-17.599999999999994</v>
      </c>
      <c r="L112" s="4">
        <f>INDEX('Draft Engine'!$U$3:$U$232,$O112)</f>
        <v>58.86</v>
      </c>
      <c r="M112" s="4">
        <f>INDEX('Draft Engine'!$W$3:$W$232,$O112)</f>
        <v>82.86</v>
      </c>
      <c r="N112" t="str">
        <f>INDEX('Draft Engine'!$T$3:$T$232,$O112)</f>
        <v>C</v>
      </c>
      <c r="O112" s="6">
        <f>MATCH($A112,'Draft Engine'!$Q$3:$Q$232,0)</f>
        <v>127</v>
      </c>
    </row>
    <row r="113" spans="1:15" x14ac:dyDescent="0.25">
      <c r="A113">
        <f>111</f>
        <v>111</v>
      </c>
      <c r="B113" t="str">
        <f>INDEX('Draft Engine'!$A$3:$A$232,$O113)</f>
        <v>WR</v>
      </c>
      <c r="C113">
        <f>INDEX('Draft Engine'!$F$3:$F$232,$O113)</f>
        <v>40</v>
      </c>
      <c r="D113" t="str">
        <f>INDEX('Draft Engine'!$B$3:$B$232,$O113)</f>
        <v>Alec Pierce</v>
      </c>
      <c r="E113" s="4">
        <f>INDEX('Draft Engine'!$N$3:$N$232,$O113)</f>
        <v>55.184750000000001</v>
      </c>
      <c r="F113" s="4">
        <f>INDEX('Draft Engine'!$E$3:$E$232,$O113)</f>
        <v>70.724999999999994</v>
      </c>
      <c r="G113" s="4">
        <f>INDEX('Draft Engine'!$G$3:$G$232,$O113)</f>
        <v>227</v>
      </c>
      <c r="H113" s="4">
        <f>INDEX('Draft Engine'!$J$3:$J$232,$O113)</f>
        <v>-12.3</v>
      </c>
      <c r="I113" s="4">
        <f>INDEX('Draft Engine'!$L$3:$L$232,$O113)</f>
        <v>23.333333333333339</v>
      </c>
      <c r="J113" s="4">
        <f>INDEX('Draft Engine'!$R$3:$R$232,$O113)</f>
        <v>55.3</v>
      </c>
      <c r="K113" s="4">
        <f>INDEX('Draft Engine'!$S$3:$S$232,$O113)</f>
        <v>-55.7</v>
      </c>
      <c r="L113" s="4">
        <f>INDEX('Draft Engine'!$U$3:$U$232,$O113)</f>
        <v>58.724999999999994</v>
      </c>
      <c r="M113" s="4">
        <f>INDEX('Draft Engine'!$W$3:$W$232,$O113)</f>
        <v>82.724999999999994</v>
      </c>
      <c r="N113" t="str">
        <f>INDEX('Draft Engine'!$T$3:$T$232,$O113)</f>
        <v>C</v>
      </c>
      <c r="O113" s="6">
        <f>MATCH($A113,'Draft Engine'!$Q$3:$Q$232,0)</f>
        <v>115</v>
      </c>
    </row>
    <row r="114" spans="1:15" x14ac:dyDescent="0.25">
      <c r="A114">
        <f>112</f>
        <v>112</v>
      </c>
      <c r="B114" t="str">
        <f>INDEX('Draft Engine'!$A$3:$A$232,$O114)</f>
        <v>TE</v>
      </c>
      <c r="C114">
        <f>INDEX('Draft Engine'!$F$3:$F$232,$O114)</f>
        <v>19</v>
      </c>
      <c r="D114" t="str">
        <f>INDEX('Draft Engine'!$B$3:$B$232,$O114)</f>
        <v>Chig Okonkwo</v>
      </c>
      <c r="E114" s="4">
        <f>INDEX('Draft Engine'!$N$3:$N$232,$O114)</f>
        <v>54.798721538461542</v>
      </c>
      <c r="F114" s="4">
        <f>INDEX('Draft Engine'!$E$3:$E$232,$O114)</f>
        <v>75.513199999999998</v>
      </c>
      <c r="G114" s="4">
        <f>INDEX('Draft Engine'!$G$3:$G$232,$O114)</f>
        <v>164.3</v>
      </c>
      <c r="H114" s="4">
        <f>INDEX('Draft Engine'!$J$3:$J$232,$O114)</f>
        <v>-15.4</v>
      </c>
      <c r="I114" s="4">
        <f>INDEX('Draft Engine'!$L$3:$L$232,$O114)</f>
        <v>6.9230769230769189</v>
      </c>
      <c r="J114" s="4">
        <f>INDEX('Draft Engine'!$R$3:$R$232,$O114)</f>
        <v>162.19999999999999</v>
      </c>
      <c r="K114" s="4">
        <f>INDEX('Draft Engine'!$S$3:$S$232,$O114)</f>
        <v>50.199999999999989</v>
      </c>
      <c r="L114" s="4">
        <f>INDEX('Draft Engine'!$U$3:$U$232,$O114)</f>
        <v>69.513199999999998</v>
      </c>
      <c r="M114" s="4">
        <f>INDEX('Draft Engine'!$W$3:$W$232,$O114)</f>
        <v>81.513199999999998</v>
      </c>
      <c r="N114" t="str">
        <f>INDEX('Draft Engine'!$T$3:$T$232,$O114)</f>
        <v>A</v>
      </c>
      <c r="O114" s="6">
        <f>MATCH($A114,'Draft Engine'!$Q$3:$Q$232,0)</f>
        <v>177</v>
      </c>
    </row>
    <row r="115" spans="1:15" x14ac:dyDescent="0.25">
      <c r="A115">
        <f>113</f>
        <v>113</v>
      </c>
      <c r="B115" t="str">
        <f>INDEX('Draft Engine'!$A$3:$A$232,$O115)</f>
        <v>RB</v>
      </c>
      <c r="C115">
        <f>INDEX('Draft Engine'!$F$3:$F$232,$O115)</f>
        <v>37</v>
      </c>
      <c r="D115" t="str">
        <f>INDEX('Draft Engine'!$B$3:$B$232,$O115)</f>
        <v>Blake Corum</v>
      </c>
      <c r="E115" s="4">
        <f>INDEX('Draft Engine'!$N$3:$N$232,$O115)</f>
        <v>54.488279999999996</v>
      </c>
      <c r="F115" s="4">
        <f>INDEX('Draft Engine'!$E$3:$E$232,$O115)</f>
        <v>69.519599999999997</v>
      </c>
      <c r="G115" s="4">
        <f>INDEX('Draft Engine'!$G$3:$G$232,$O115)</f>
        <v>222</v>
      </c>
      <c r="H115" s="4">
        <f>INDEX('Draft Engine'!$J$3:$J$232,$O115)</f>
        <v>-17</v>
      </c>
      <c r="I115" s="4">
        <f>INDEX('Draft Engine'!$L$3:$L$232,$O115)</f>
        <v>28.749999999999996</v>
      </c>
      <c r="J115" s="4">
        <f>INDEX('Draft Engine'!$R$3:$R$232,$O115)</f>
        <v>122.4</v>
      </c>
      <c r="K115" s="4">
        <f>INDEX('Draft Engine'!$S$3:$S$232,$O115)</f>
        <v>9.4000000000000057</v>
      </c>
      <c r="L115" s="4">
        <f>INDEX('Draft Engine'!$U$3:$U$232,$O115)</f>
        <v>63.519599999999997</v>
      </c>
      <c r="M115" s="4">
        <f>INDEX('Draft Engine'!$W$3:$W$232,$O115)</f>
        <v>75.519599999999997</v>
      </c>
      <c r="N115" t="str">
        <f>INDEX('Draft Engine'!$T$3:$T$232,$O115)</f>
        <v>A</v>
      </c>
      <c r="O115" s="6">
        <f>MATCH($A115,'Draft Engine'!$Q$3:$Q$232,0)</f>
        <v>69</v>
      </c>
    </row>
    <row r="116" spans="1:15" x14ac:dyDescent="0.25">
      <c r="A116">
        <f>114</f>
        <v>114</v>
      </c>
      <c r="B116" t="str">
        <f>INDEX('Draft Engine'!$A$3:$A$232,$O116)</f>
        <v>QB</v>
      </c>
      <c r="C116">
        <f>INDEX('Draft Engine'!$F$3:$F$232,$O116)</f>
        <v>18</v>
      </c>
      <c r="D116" t="str">
        <f>INDEX('Draft Engine'!$B$3:$B$232,$O116)</f>
        <v>Jordan Love</v>
      </c>
      <c r="E116" s="4">
        <f>INDEX('Draft Engine'!$N$3:$N$232,$O116)</f>
        <v>54.183516923076922</v>
      </c>
      <c r="F116" s="4">
        <f>INDEX('Draft Engine'!$E$3:$E$232,$O116)</f>
        <v>80.040800000000004</v>
      </c>
      <c r="G116" s="4">
        <f>INDEX('Draft Engine'!$G$3:$G$232,$O116)</f>
        <v>330.2</v>
      </c>
      <c r="H116" s="4">
        <f>INDEX('Draft Engine'!$J$3:$J$232,$O116)</f>
        <v>-20.9</v>
      </c>
      <c r="I116" s="4">
        <f>INDEX('Draft Engine'!$L$3:$L$232,$O116)</f>
        <v>12.820512820512819</v>
      </c>
      <c r="J116" s="4">
        <f>INDEX('Draft Engine'!$R$3:$R$232,$O116)</f>
        <v>150.5</v>
      </c>
      <c r="K116" s="4">
        <f>INDEX('Draft Engine'!$S$3:$S$232,$O116)</f>
        <v>36.5</v>
      </c>
      <c r="L116" s="4">
        <f>INDEX('Draft Engine'!$U$3:$U$232,$O116)</f>
        <v>74.040800000000004</v>
      </c>
      <c r="M116" s="4">
        <f>INDEX('Draft Engine'!$W$3:$W$232,$O116)</f>
        <v>86.040800000000004</v>
      </c>
      <c r="N116" t="str">
        <f>INDEX('Draft Engine'!$T$3:$T$232,$O116)</f>
        <v>A</v>
      </c>
      <c r="O116" s="6">
        <f>MATCH($A116,'Draft Engine'!$Q$3:$Q$232,0)</f>
        <v>18</v>
      </c>
    </row>
    <row r="117" spans="1:15" x14ac:dyDescent="0.25">
      <c r="A117">
        <f>115</f>
        <v>115</v>
      </c>
      <c r="B117" t="str">
        <f>INDEX('Draft Engine'!$A$3:$A$232,$O117)</f>
        <v>WR</v>
      </c>
      <c r="C117">
        <f>INDEX('Draft Engine'!$F$3:$F$232,$O117)</f>
        <v>41</v>
      </c>
      <c r="D117" t="str">
        <f>INDEX('Draft Engine'!$B$3:$B$232,$O117)</f>
        <v>Quentin Johnston</v>
      </c>
      <c r="E117" s="4">
        <f>INDEX('Draft Engine'!$N$3:$N$232,$O117)</f>
        <v>54.161166666666666</v>
      </c>
      <c r="F117" s="4">
        <f>INDEX('Draft Engine'!$E$3:$E$232,$O117)</f>
        <v>70.19</v>
      </c>
      <c r="G117" s="4">
        <f>INDEX('Draft Engine'!$G$3:$G$232,$O117)</f>
        <v>224.8</v>
      </c>
      <c r="H117" s="4">
        <f>INDEX('Draft Engine'!$J$3:$J$232,$O117)</f>
        <v>-14.5</v>
      </c>
      <c r="I117" s="4">
        <f>INDEX('Draft Engine'!$L$3:$L$232,$O117)</f>
        <v>21.111111111111114</v>
      </c>
      <c r="J117" s="4">
        <f>INDEX('Draft Engine'!$R$3:$R$232,$O117)</f>
        <v>95.6</v>
      </c>
      <c r="K117" s="4">
        <f>INDEX('Draft Engine'!$S$3:$S$232,$O117)</f>
        <v>-19.400000000000006</v>
      </c>
      <c r="L117" s="4">
        <f>INDEX('Draft Engine'!$U$3:$U$232,$O117)</f>
        <v>58.19</v>
      </c>
      <c r="M117" s="4">
        <f>INDEX('Draft Engine'!$W$3:$W$232,$O117)</f>
        <v>82.19</v>
      </c>
      <c r="N117" t="str">
        <f>INDEX('Draft Engine'!$T$3:$T$232,$O117)</f>
        <v>C</v>
      </c>
      <c r="O117" s="6">
        <f>MATCH($A117,'Draft Engine'!$Q$3:$Q$232,0)</f>
        <v>128</v>
      </c>
    </row>
    <row r="118" spans="1:15" x14ac:dyDescent="0.25">
      <c r="A118">
        <f>116</f>
        <v>116</v>
      </c>
      <c r="B118" t="str">
        <f>INDEX('Draft Engine'!$A$3:$A$232,$O118)</f>
        <v>RB</v>
      </c>
      <c r="C118">
        <f>INDEX('Draft Engine'!$F$3:$F$232,$O118)</f>
        <v>38</v>
      </c>
      <c r="D118" t="str">
        <f>INDEX('Draft Engine'!$B$3:$B$232,$O118)</f>
        <v>Rachaad White</v>
      </c>
      <c r="E118" s="4">
        <f>INDEX('Draft Engine'!$N$3:$N$232,$O118)</f>
        <v>53.721159999999998</v>
      </c>
      <c r="F118" s="4">
        <f>INDEX('Draft Engine'!$E$3:$E$232,$O118)</f>
        <v>69.203699999999998</v>
      </c>
      <c r="G118" s="4">
        <f>INDEX('Draft Engine'!$G$3:$G$232,$O118)</f>
        <v>220.7</v>
      </c>
      <c r="H118" s="4">
        <f>INDEX('Draft Engine'!$J$3:$J$232,$O118)</f>
        <v>-18.3</v>
      </c>
      <c r="I118" s="4">
        <f>INDEX('Draft Engine'!$L$3:$L$232,$O118)</f>
        <v>26.354166666666661</v>
      </c>
      <c r="J118" s="4">
        <f>INDEX('Draft Engine'!$R$3:$R$232,$O118)</f>
        <v>99.9</v>
      </c>
      <c r="K118" s="4">
        <f>INDEX('Draft Engine'!$S$3:$S$232,$O118)</f>
        <v>-16.099999999999994</v>
      </c>
      <c r="L118" s="4">
        <f>INDEX('Draft Engine'!$U$3:$U$232,$O118)</f>
        <v>63.203699999999998</v>
      </c>
      <c r="M118" s="4">
        <f>INDEX('Draft Engine'!$W$3:$W$232,$O118)</f>
        <v>75.203699999999998</v>
      </c>
      <c r="N118" t="str">
        <f>INDEX('Draft Engine'!$T$3:$T$232,$O118)</f>
        <v>A</v>
      </c>
      <c r="O118" s="6">
        <f>MATCH($A118,'Draft Engine'!$Q$3:$Q$232,0)</f>
        <v>70</v>
      </c>
    </row>
    <row r="119" spans="1:15" x14ac:dyDescent="0.25">
      <c r="A119">
        <f>117</f>
        <v>117</v>
      </c>
      <c r="B119" t="str">
        <f>INDEX('Draft Engine'!$A$3:$A$232,$O119)</f>
        <v>WR</v>
      </c>
      <c r="C119">
        <f>INDEX('Draft Engine'!$F$3:$F$232,$O119)</f>
        <v>42</v>
      </c>
      <c r="D119" t="str">
        <f>INDEX('Draft Engine'!$B$3:$B$232,$O119)</f>
        <v>DK Metcalf</v>
      </c>
      <c r="E119" s="4">
        <f>INDEX('Draft Engine'!$N$3:$N$232,$O119)</f>
        <v>53.329458333333342</v>
      </c>
      <c r="F119" s="4">
        <f>INDEX('Draft Engine'!$E$3:$E$232,$O119)</f>
        <v>69.807500000000005</v>
      </c>
      <c r="G119" s="4">
        <f>INDEX('Draft Engine'!$G$3:$G$232,$O119)</f>
        <v>223.2</v>
      </c>
      <c r="H119" s="4">
        <f>INDEX('Draft Engine'!$J$3:$J$232,$O119)</f>
        <v>-16.100000000000001</v>
      </c>
      <c r="I119" s="4">
        <f>INDEX('Draft Engine'!$L$3:$L$232,$O119)</f>
        <v>18.888888888888889</v>
      </c>
      <c r="J119" s="4">
        <f>INDEX('Draft Engine'!$R$3:$R$232,$O119)</f>
        <v>65.900000000000006</v>
      </c>
      <c r="K119" s="4">
        <f>INDEX('Draft Engine'!$S$3:$S$232,$O119)</f>
        <v>-51.099999999999994</v>
      </c>
      <c r="L119" s="4">
        <f>INDEX('Draft Engine'!$U$3:$U$232,$O119)</f>
        <v>57.807500000000005</v>
      </c>
      <c r="M119" s="4">
        <f>INDEX('Draft Engine'!$W$3:$W$232,$O119)</f>
        <v>81.807500000000005</v>
      </c>
      <c r="N119" t="str">
        <f>INDEX('Draft Engine'!$T$3:$T$232,$O119)</f>
        <v>C</v>
      </c>
      <c r="O119" s="6">
        <f>MATCH($A119,'Draft Engine'!$Q$3:$Q$232,0)</f>
        <v>116</v>
      </c>
    </row>
    <row r="120" spans="1:15" x14ac:dyDescent="0.25">
      <c r="A120">
        <f>118</f>
        <v>118</v>
      </c>
      <c r="B120" t="str">
        <f>INDEX('Draft Engine'!$A$3:$A$232,$O120)</f>
        <v>QB</v>
      </c>
      <c r="C120">
        <f>INDEX('Draft Engine'!$F$3:$F$232,$O120)</f>
        <v>19</v>
      </c>
      <c r="D120" t="str">
        <f>INDEX('Draft Engine'!$B$3:$B$232,$O120)</f>
        <v>Baker Mayfield</v>
      </c>
      <c r="E120" s="4">
        <f>INDEX('Draft Engine'!$N$3:$N$232,$O120)</f>
        <v>53.116146153846152</v>
      </c>
      <c r="F120" s="4">
        <f>INDEX('Draft Engine'!$E$3:$E$232,$O120)</f>
        <v>79.825999999999993</v>
      </c>
      <c r="G120" s="4">
        <f>INDEX('Draft Engine'!$G$3:$G$232,$O120)</f>
        <v>329.2</v>
      </c>
      <c r="H120" s="4">
        <f>INDEX('Draft Engine'!$J$3:$J$232,$O120)</f>
        <v>-21.9</v>
      </c>
      <c r="I120" s="4">
        <f>INDEX('Draft Engine'!$L$3:$L$232,$O120)</f>
        <v>7.6923076923076872</v>
      </c>
      <c r="J120" s="4">
        <f>INDEX('Draft Engine'!$R$3:$R$232,$O120)</f>
        <v>128.6</v>
      </c>
      <c r="K120" s="4">
        <f>INDEX('Draft Engine'!$S$3:$S$232,$O120)</f>
        <v>10.599999999999994</v>
      </c>
      <c r="L120" s="4">
        <f>INDEX('Draft Engine'!$U$3:$U$232,$O120)</f>
        <v>73.825999999999993</v>
      </c>
      <c r="M120" s="4">
        <f>INDEX('Draft Engine'!$W$3:$W$232,$O120)</f>
        <v>85.825999999999993</v>
      </c>
      <c r="N120" t="str">
        <f>INDEX('Draft Engine'!$T$3:$T$232,$O120)</f>
        <v>A</v>
      </c>
      <c r="O120" s="6">
        <f>MATCH($A120,'Draft Engine'!$Q$3:$Q$232,0)</f>
        <v>19</v>
      </c>
    </row>
    <row r="121" spans="1:15" x14ac:dyDescent="0.25">
      <c r="A121">
        <f>119</f>
        <v>119</v>
      </c>
      <c r="B121" t="str">
        <f>INDEX('Draft Engine'!$A$3:$A$232,$O121)</f>
        <v>RB</v>
      </c>
      <c r="C121">
        <f>INDEX('Draft Engine'!$F$3:$F$232,$O121)</f>
        <v>39</v>
      </c>
      <c r="D121" t="str">
        <f>INDEX('Draft Engine'!$B$3:$B$232,$O121)</f>
        <v>Jacory Croskey-Merritt</v>
      </c>
      <c r="E121" s="4">
        <f>INDEX('Draft Engine'!$N$3:$N$232,$O121)</f>
        <v>53.083460000000002</v>
      </c>
      <c r="F121" s="4">
        <f>INDEX('Draft Engine'!$E$3:$E$232,$O121)</f>
        <v>68.992199999999997</v>
      </c>
      <c r="G121" s="4">
        <f>INDEX('Draft Engine'!$G$3:$G$232,$O121)</f>
        <v>219.8</v>
      </c>
      <c r="H121" s="4">
        <f>INDEX('Draft Engine'!$J$3:$J$232,$O121)</f>
        <v>-19.2</v>
      </c>
      <c r="I121" s="4">
        <f>INDEX('Draft Engine'!$L$3:$L$232,$O121)</f>
        <v>23.958333333333336</v>
      </c>
      <c r="J121" s="4">
        <f>INDEX('Draft Engine'!$R$3:$R$232,$O121)</f>
        <v>111.3</v>
      </c>
      <c r="K121" s="4">
        <f>INDEX('Draft Engine'!$S$3:$S$232,$O121)</f>
        <v>-7.7000000000000028</v>
      </c>
      <c r="L121" s="4">
        <f>INDEX('Draft Engine'!$U$3:$U$232,$O121)</f>
        <v>62.992199999999997</v>
      </c>
      <c r="M121" s="4">
        <f>INDEX('Draft Engine'!$W$3:$W$232,$O121)</f>
        <v>74.992199999999997</v>
      </c>
      <c r="N121" t="str">
        <f>INDEX('Draft Engine'!$T$3:$T$232,$O121)</f>
        <v>A</v>
      </c>
      <c r="O121" s="6">
        <f>MATCH($A121,'Draft Engine'!$Q$3:$Q$232,0)</f>
        <v>71</v>
      </c>
    </row>
    <row r="122" spans="1:15" x14ac:dyDescent="0.25">
      <c r="A122">
        <f>120</f>
        <v>120</v>
      </c>
      <c r="B122" t="str">
        <f>INDEX('Draft Engine'!$A$3:$A$232,$O122)</f>
        <v>TE</v>
      </c>
      <c r="C122">
        <f>INDEX('Draft Engine'!$F$3:$F$232,$O122)</f>
        <v>20</v>
      </c>
      <c r="D122" t="str">
        <f>INDEX('Draft Engine'!$B$3:$B$232,$O122)</f>
        <v>Kenyon Sadiq</v>
      </c>
      <c r="E122" s="4">
        <f>INDEX('Draft Engine'!$N$3:$N$232,$O122)</f>
        <v>52.425743846153857</v>
      </c>
      <c r="F122" s="4">
        <f>INDEX('Draft Engine'!$E$3:$E$232,$O122)</f>
        <v>74.093800000000002</v>
      </c>
      <c r="G122" s="4">
        <f>INDEX('Draft Engine'!$G$3:$G$232,$O122)</f>
        <v>159.30000000000001</v>
      </c>
      <c r="H122" s="4">
        <f>INDEX('Draft Engine'!$J$3:$J$232,$O122)</f>
        <v>-20.399999999999999</v>
      </c>
      <c r="I122" s="4">
        <f>INDEX('Draft Engine'!$L$3:$L$232,$O122)</f>
        <v>2.3076923076923097</v>
      </c>
      <c r="J122" s="4">
        <f>INDEX('Draft Engine'!$R$3:$R$232,$O122)</f>
        <v>158.80000000000001</v>
      </c>
      <c r="K122" s="4">
        <f>INDEX('Draft Engine'!$S$3:$S$232,$O122)</f>
        <v>38.800000000000011</v>
      </c>
      <c r="L122" s="4">
        <f>INDEX('Draft Engine'!$U$3:$U$232,$O122)</f>
        <v>65.093800000000002</v>
      </c>
      <c r="M122" s="4">
        <f>INDEX('Draft Engine'!$W$3:$W$232,$O122)</f>
        <v>83.093800000000002</v>
      </c>
      <c r="N122" t="str">
        <f>INDEX('Draft Engine'!$T$3:$T$232,$O122)</f>
        <v>B</v>
      </c>
      <c r="O122" s="6">
        <f>MATCH($A122,'Draft Engine'!$Q$3:$Q$232,0)</f>
        <v>178</v>
      </c>
    </row>
    <row r="123" spans="1:15" x14ac:dyDescent="0.25">
      <c r="A123">
        <f>121</f>
        <v>121</v>
      </c>
      <c r="B123" t="str">
        <f>INDEX('Draft Engine'!$A$3:$A$232,$O123)</f>
        <v>WR</v>
      </c>
      <c r="C123">
        <f>INDEX('Draft Engine'!$F$3:$F$232,$O123)</f>
        <v>43</v>
      </c>
      <c r="D123" t="str">
        <f>INDEX('Draft Engine'!$B$3:$B$232,$O123)</f>
        <v>Makai Lemon</v>
      </c>
      <c r="E123" s="4">
        <f>INDEX('Draft Engine'!$N$3:$N$232,$O123)</f>
        <v>52.194000000000003</v>
      </c>
      <c r="F123" s="4">
        <f>INDEX('Draft Engine'!$E$3:$E$232,$O123)</f>
        <v>69.2</v>
      </c>
      <c r="G123" s="4">
        <f>INDEX('Draft Engine'!$G$3:$G$232,$O123)</f>
        <v>220.6</v>
      </c>
      <c r="H123" s="4">
        <f>INDEX('Draft Engine'!$J$3:$J$232,$O123)</f>
        <v>-18.7</v>
      </c>
      <c r="I123" s="4">
        <f>INDEX('Draft Engine'!$L$3:$L$232,$O123)</f>
        <v>16.666666666666664</v>
      </c>
      <c r="J123" s="4">
        <f>INDEX('Draft Engine'!$R$3:$R$232,$O123)</f>
        <v>108.5</v>
      </c>
      <c r="K123" s="4">
        <f>INDEX('Draft Engine'!$S$3:$S$232,$O123)</f>
        <v>-12.5</v>
      </c>
      <c r="L123" s="4">
        <f>INDEX('Draft Engine'!$U$3:$U$232,$O123)</f>
        <v>57.2</v>
      </c>
      <c r="M123" s="4">
        <f>INDEX('Draft Engine'!$W$3:$W$232,$O123)</f>
        <v>81.2</v>
      </c>
      <c r="N123" t="str">
        <f>INDEX('Draft Engine'!$T$3:$T$232,$O123)</f>
        <v>C</v>
      </c>
      <c r="O123" s="6">
        <f>MATCH($A123,'Draft Engine'!$Q$3:$Q$232,0)</f>
        <v>125</v>
      </c>
    </row>
    <row r="124" spans="1:15" x14ac:dyDescent="0.25">
      <c r="A124">
        <f>122</f>
        <v>122</v>
      </c>
      <c r="B124" t="str">
        <f>INDEX('Draft Engine'!$A$3:$A$232,$O124)</f>
        <v>TE</v>
      </c>
      <c r="C124">
        <f>INDEX('Draft Engine'!$F$3:$F$232,$O124)</f>
        <v>21</v>
      </c>
      <c r="D124" t="str">
        <f>INDEX('Draft Engine'!$B$3:$B$232,$O124)</f>
        <v>T.J. Hockenson</v>
      </c>
      <c r="E124" s="4">
        <f>INDEX('Draft Engine'!$N$3:$N$232,$O124)</f>
        <v>51.802985</v>
      </c>
      <c r="F124" s="4">
        <f>INDEX('Draft Engine'!$E$3:$E$232,$O124)</f>
        <v>73.852699999999999</v>
      </c>
      <c r="G124" s="4">
        <f>INDEX('Draft Engine'!$G$3:$G$232,$O124)</f>
        <v>158.5</v>
      </c>
      <c r="H124" s="4">
        <f>INDEX('Draft Engine'!$J$3:$J$232,$O124)</f>
        <v>-21.2</v>
      </c>
      <c r="I124" s="4">
        <f>INDEX('Draft Engine'!$L$3:$L$232,$O124)</f>
        <v>0</v>
      </c>
      <c r="J124" s="4">
        <f>INDEX('Draft Engine'!$R$3:$R$232,$O124)</f>
        <v>146.5</v>
      </c>
      <c r="K124" s="4">
        <f>INDEX('Draft Engine'!$S$3:$S$232,$O124)</f>
        <v>24.5</v>
      </c>
      <c r="L124" s="4">
        <f>INDEX('Draft Engine'!$U$3:$U$232,$O124)</f>
        <v>67.852699999999999</v>
      </c>
      <c r="M124" s="4">
        <f>INDEX('Draft Engine'!$W$3:$W$232,$O124)</f>
        <v>79.852699999999999</v>
      </c>
      <c r="N124" t="str">
        <f>INDEX('Draft Engine'!$T$3:$T$232,$O124)</f>
        <v>A</v>
      </c>
      <c r="O124" s="6">
        <f>MATCH($A124,'Draft Engine'!$Q$3:$Q$232,0)</f>
        <v>179</v>
      </c>
    </row>
    <row r="125" spans="1:15" x14ac:dyDescent="0.25">
      <c r="A125">
        <f>123</f>
        <v>123</v>
      </c>
      <c r="B125" t="str">
        <f>INDEX('Draft Engine'!$A$3:$A$232,$O125)</f>
        <v>WR</v>
      </c>
      <c r="C125">
        <f>INDEX('Draft Engine'!$F$3:$F$232,$O125)</f>
        <v>44</v>
      </c>
      <c r="D125" t="str">
        <f>INDEX('Draft Engine'!$B$3:$B$232,$O125)</f>
        <v>Michael Wilson</v>
      </c>
      <c r="E125" s="4">
        <f>INDEX('Draft Engine'!$N$3:$N$232,$O125)</f>
        <v>51.416166666666662</v>
      </c>
      <c r="F125" s="4">
        <f>INDEX('Draft Engine'!$E$3:$E$232,$O125)</f>
        <v>68.849999999999994</v>
      </c>
      <c r="G125" s="4">
        <f>INDEX('Draft Engine'!$G$3:$G$232,$O125)</f>
        <v>219.2</v>
      </c>
      <c r="H125" s="4">
        <f>INDEX('Draft Engine'!$J$3:$J$232,$O125)</f>
        <v>-20.100000000000001</v>
      </c>
      <c r="I125" s="4">
        <f>INDEX('Draft Engine'!$L$3:$L$232,$O125)</f>
        <v>14.444444444444441</v>
      </c>
      <c r="J125" s="4">
        <f>INDEX('Draft Engine'!$R$3:$R$232,$O125)</f>
        <v>88.6</v>
      </c>
      <c r="K125" s="4">
        <f>INDEX('Draft Engine'!$S$3:$S$232,$O125)</f>
        <v>-34.400000000000006</v>
      </c>
      <c r="L125" s="4">
        <f>INDEX('Draft Engine'!$U$3:$U$232,$O125)</f>
        <v>56.849999999999994</v>
      </c>
      <c r="M125" s="4">
        <f>INDEX('Draft Engine'!$W$3:$W$232,$O125)</f>
        <v>80.849999999999994</v>
      </c>
      <c r="N125" t="str">
        <f>INDEX('Draft Engine'!$T$3:$T$232,$O125)</f>
        <v>C</v>
      </c>
      <c r="O125" s="6">
        <f>MATCH($A125,'Draft Engine'!$Q$3:$Q$232,0)</f>
        <v>130</v>
      </c>
    </row>
    <row r="126" spans="1:15" x14ac:dyDescent="0.25">
      <c r="A126">
        <f>124</f>
        <v>124</v>
      </c>
      <c r="B126" t="str">
        <f>INDEX('Draft Engine'!$A$3:$A$232,$O126)</f>
        <v>TE</v>
      </c>
      <c r="C126">
        <f>INDEX('Draft Engine'!$F$3:$F$232,$O126)</f>
        <v>22</v>
      </c>
      <c r="D126" t="str">
        <f>INDEX('Draft Engine'!$B$3:$B$232,$O126)</f>
        <v>Dalton Schultz</v>
      </c>
      <c r="E126" s="4">
        <f>INDEX('Draft Engine'!$N$3:$N$232,$O126)</f>
        <v>51.127724999999998</v>
      </c>
      <c r="F126" s="4">
        <f>INDEX('Draft Engine'!$E$3:$E$232,$O126)</f>
        <v>73.279499999999999</v>
      </c>
      <c r="G126" s="4">
        <f>INDEX('Draft Engine'!$G$3:$G$232,$O126)</f>
        <v>156.5</v>
      </c>
      <c r="H126" s="4">
        <f>INDEX('Draft Engine'!$J$3:$J$232,$O126)</f>
        <v>-23.2</v>
      </c>
      <c r="I126" s="4">
        <f>INDEX('Draft Engine'!$L$3:$L$232,$O126)</f>
        <v>0</v>
      </c>
      <c r="J126" s="4">
        <f>INDEX('Draft Engine'!$R$3:$R$232,$O126)</f>
        <v>157.5</v>
      </c>
      <c r="K126" s="4">
        <f>INDEX('Draft Engine'!$S$3:$S$232,$O126)</f>
        <v>33.5</v>
      </c>
      <c r="L126" s="4">
        <f>INDEX('Draft Engine'!$U$3:$U$232,$O126)</f>
        <v>67.279499999999999</v>
      </c>
      <c r="M126" s="4">
        <f>INDEX('Draft Engine'!$W$3:$W$232,$O126)</f>
        <v>79.279499999999999</v>
      </c>
      <c r="N126" t="str">
        <f>INDEX('Draft Engine'!$T$3:$T$232,$O126)</f>
        <v>A</v>
      </c>
      <c r="O126" s="6">
        <f>MATCH($A126,'Draft Engine'!$Q$3:$Q$232,0)</f>
        <v>180</v>
      </c>
    </row>
    <row r="127" spans="1:15" x14ac:dyDescent="0.25">
      <c r="A127">
        <f>125</f>
        <v>125</v>
      </c>
      <c r="B127" t="str">
        <f>INDEX('Draft Engine'!$A$3:$A$232,$O127)</f>
        <v>RB</v>
      </c>
      <c r="C127">
        <f>INDEX('Draft Engine'!$F$3:$F$232,$O127)</f>
        <v>40</v>
      </c>
      <c r="D127" t="str">
        <f>INDEX('Draft Engine'!$B$3:$B$232,$O127)</f>
        <v>Jordan Mason</v>
      </c>
      <c r="E127" s="4">
        <f>INDEX('Draft Engine'!$N$3:$N$232,$O127)</f>
        <v>50.981945000000003</v>
      </c>
      <c r="F127" s="4">
        <f>INDEX('Draft Engine'!$E$3:$E$232,$O127)</f>
        <v>67.657399999999996</v>
      </c>
      <c r="G127" s="4">
        <f>INDEX('Draft Engine'!$G$3:$G$232,$O127)</f>
        <v>214.2</v>
      </c>
      <c r="H127" s="4">
        <f>INDEX('Draft Engine'!$J$3:$J$232,$O127)</f>
        <v>-24.8</v>
      </c>
      <c r="I127" s="4">
        <f>INDEX('Draft Engine'!$L$3:$L$232,$O127)</f>
        <v>21.5625</v>
      </c>
      <c r="J127" s="4">
        <f>INDEX('Draft Engine'!$R$3:$R$232,$O127)</f>
        <v>122.8</v>
      </c>
      <c r="K127" s="4">
        <f>INDEX('Draft Engine'!$S$3:$S$232,$O127)</f>
        <v>-2.2000000000000028</v>
      </c>
      <c r="L127" s="4">
        <f>INDEX('Draft Engine'!$U$3:$U$232,$O127)</f>
        <v>61.657399999999996</v>
      </c>
      <c r="M127" s="4">
        <f>INDEX('Draft Engine'!$W$3:$W$232,$O127)</f>
        <v>73.657399999999996</v>
      </c>
      <c r="N127" t="str">
        <f>INDEX('Draft Engine'!$T$3:$T$232,$O127)</f>
        <v>A</v>
      </c>
      <c r="O127" s="6">
        <f>MATCH($A127,'Draft Engine'!$Q$3:$Q$232,0)</f>
        <v>72</v>
      </c>
    </row>
    <row r="128" spans="1:15" x14ac:dyDescent="0.25">
      <c r="A128">
        <f>126</f>
        <v>126</v>
      </c>
      <c r="B128" t="str">
        <f>INDEX('Draft Engine'!$A$3:$A$232,$O128)</f>
        <v>WR</v>
      </c>
      <c r="C128">
        <f>INDEX('Draft Engine'!$F$3:$F$232,$O128)</f>
        <v>45</v>
      </c>
      <c r="D128" t="str">
        <f>INDEX('Draft Engine'!$B$3:$B$232,$O128)</f>
        <v>Courtland Sutton</v>
      </c>
      <c r="E128" s="4">
        <f>INDEX('Draft Engine'!$N$3:$N$232,$O128)</f>
        <v>50.904708333333339</v>
      </c>
      <c r="F128" s="4">
        <f>INDEX('Draft Engine'!$E$3:$E$232,$O128)</f>
        <v>68.722499999999997</v>
      </c>
      <c r="G128" s="4">
        <f>INDEX('Draft Engine'!$G$3:$G$232,$O128)</f>
        <v>218.6</v>
      </c>
      <c r="H128" s="4">
        <f>INDEX('Draft Engine'!$J$3:$J$232,$O128)</f>
        <v>-20.7</v>
      </c>
      <c r="I128" s="4">
        <f>INDEX('Draft Engine'!$L$3:$L$232,$O128)</f>
        <v>12.222222222222229</v>
      </c>
      <c r="J128" s="4">
        <f>INDEX('Draft Engine'!$R$3:$R$232,$O128)</f>
        <v>59.6</v>
      </c>
      <c r="K128" s="4">
        <f>INDEX('Draft Engine'!$S$3:$S$232,$O128)</f>
        <v>-66.400000000000006</v>
      </c>
      <c r="L128" s="4">
        <f>INDEX('Draft Engine'!$U$3:$U$232,$O128)</f>
        <v>56.722499999999997</v>
      </c>
      <c r="M128" s="4">
        <f>INDEX('Draft Engine'!$W$3:$W$232,$O128)</f>
        <v>80.722499999999997</v>
      </c>
      <c r="N128" t="str">
        <f>INDEX('Draft Engine'!$T$3:$T$232,$O128)</f>
        <v>C</v>
      </c>
      <c r="O128" s="6">
        <f>MATCH($A128,'Draft Engine'!$Q$3:$Q$232,0)</f>
        <v>118</v>
      </c>
    </row>
    <row r="129" spans="1:15" x14ac:dyDescent="0.25">
      <c r="A129">
        <f>127</f>
        <v>127</v>
      </c>
      <c r="B129" t="str">
        <f>INDEX('Draft Engine'!$A$3:$A$232,$O129)</f>
        <v>TE</v>
      </c>
      <c r="C129">
        <f>INDEX('Draft Engine'!$F$3:$F$232,$O129)</f>
        <v>23</v>
      </c>
      <c r="D129" t="str">
        <f>INDEX('Draft Engine'!$B$3:$B$232,$O129)</f>
        <v>Oronde Gadsden II</v>
      </c>
      <c r="E129" s="4">
        <f>INDEX('Draft Engine'!$N$3:$N$232,$O129)</f>
        <v>50.220590000000009</v>
      </c>
      <c r="F129" s="4">
        <f>INDEX('Draft Engine'!$E$3:$E$232,$O129)</f>
        <v>72.513800000000003</v>
      </c>
      <c r="G129" s="4">
        <f>INDEX('Draft Engine'!$G$3:$G$232,$O129)</f>
        <v>153.80000000000001</v>
      </c>
      <c r="H129" s="4">
        <f>INDEX('Draft Engine'!$J$3:$J$232,$O129)</f>
        <v>-25.9</v>
      </c>
      <c r="I129" s="4">
        <f>INDEX('Draft Engine'!$L$3:$L$232,$O129)</f>
        <v>0</v>
      </c>
      <c r="J129" s="4">
        <f>INDEX('Draft Engine'!$R$3:$R$232,$O129)</f>
        <v>150.69999999999999</v>
      </c>
      <c r="K129" s="4">
        <f>INDEX('Draft Engine'!$S$3:$S$232,$O129)</f>
        <v>23.699999999999989</v>
      </c>
      <c r="L129" s="4">
        <f>INDEX('Draft Engine'!$U$3:$U$232,$O129)</f>
        <v>66.513800000000003</v>
      </c>
      <c r="M129" s="4">
        <f>INDEX('Draft Engine'!$W$3:$W$232,$O129)</f>
        <v>78.513800000000003</v>
      </c>
      <c r="N129" t="str">
        <f>INDEX('Draft Engine'!$T$3:$T$232,$O129)</f>
        <v>A</v>
      </c>
      <c r="O129" s="6">
        <f>MATCH($A129,'Draft Engine'!$Q$3:$Q$232,0)</f>
        <v>181</v>
      </c>
    </row>
    <row r="130" spans="1:15" x14ac:dyDescent="0.25">
      <c r="A130">
        <f>128</f>
        <v>128</v>
      </c>
      <c r="B130" t="str">
        <f>INDEX('Draft Engine'!$A$3:$A$232,$O130)</f>
        <v>WR</v>
      </c>
      <c r="C130">
        <f>INDEX('Draft Engine'!$F$3:$F$232,$O130)</f>
        <v>46</v>
      </c>
      <c r="D130" t="str">
        <f>INDEX('Draft Engine'!$B$3:$B$232,$O130)</f>
        <v>Xavier Worthy</v>
      </c>
      <c r="E130" s="4">
        <f>INDEX('Draft Engine'!$N$3:$N$232,$O130)</f>
        <v>49.87700000000001</v>
      </c>
      <c r="F130" s="4">
        <f>INDEX('Draft Engine'!$E$3:$E$232,$O130)</f>
        <v>68.180000000000007</v>
      </c>
      <c r="G130" s="4">
        <f>INDEX('Draft Engine'!$G$3:$G$232,$O130)</f>
        <v>216.4</v>
      </c>
      <c r="H130" s="4">
        <f>INDEX('Draft Engine'!$J$3:$J$232,$O130)</f>
        <v>-22.9</v>
      </c>
      <c r="I130" s="4">
        <f>INDEX('Draft Engine'!$L$3:$L$232,$O130)</f>
        <v>10.000000000000004</v>
      </c>
      <c r="J130" s="4">
        <f>INDEX('Draft Engine'!$R$3:$R$232,$O130)</f>
        <v>105.9</v>
      </c>
      <c r="K130" s="4">
        <f>INDEX('Draft Engine'!$S$3:$S$232,$O130)</f>
        <v>-22.099999999999994</v>
      </c>
      <c r="L130" s="4">
        <f>INDEX('Draft Engine'!$U$3:$U$232,$O130)</f>
        <v>56.180000000000007</v>
      </c>
      <c r="M130" s="4">
        <f>INDEX('Draft Engine'!$W$3:$W$232,$O130)</f>
        <v>80.180000000000007</v>
      </c>
      <c r="N130" t="str">
        <f>INDEX('Draft Engine'!$T$3:$T$232,$O130)</f>
        <v>C</v>
      </c>
      <c r="O130" s="6">
        <f>MATCH($A130,'Draft Engine'!$Q$3:$Q$232,0)</f>
        <v>131</v>
      </c>
    </row>
    <row r="131" spans="1:15" x14ac:dyDescent="0.25">
      <c r="A131">
        <f>129</f>
        <v>129</v>
      </c>
      <c r="B131" t="str">
        <f>INDEX('Draft Engine'!$A$3:$A$232,$O131)</f>
        <v>RB</v>
      </c>
      <c r="C131">
        <f>INDEX('Draft Engine'!$F$3:$F$232,$O131)</f>
        <v>41</v>
      </c>
      <c r="D131" t="str">
        <f>INDEX('Draft Engine'!$B$3:$B$232,$O131)</f>
        <v>Woody Marks</v>
      </c>
      <c r="E131" s="4">
        <f>INDEX('Draft Engine'!$N$3:$N$232,$O131)</f>
        <v>49.575410000000005</v>
      </c>
      <c r="F131" s="4">
        <f>INDEX('Draft Engine'!$E$3:$E$232,$O131)</f>
        <v>66.866200000000006</v>
      </c>
      <c r="G131" s="4">
        <f>INDEX('Draft Engine'!$G$3:$G$232,$O131)</f>
        <v>210.8</v>
      </c>
      <c r="H131" s="4">
        <f>INDEX('Draft Engine'!$J$3:$J$232,$O131)</f>
        <v>-28.2</v>
      </c>
      <c r="I131" s="4">
        <f>INDEX('Draft Engine'!$L$3:$L$232,$O131)</f>
        <v>19.166666666666661</v>
      </c>
      <c r="J131" s="4">
        <f>INDEX('Draft Engine'!$R$3:$R$232,$O131)</f>
        <v>149.19999999999999</v>
      </c>
      <c r="K131" s="4">
        <f>INDEX('Draft Engine'!$S$3:$S$232,$O131)</f>
        <v>20.199999999999989</v>
      </c>
      <c r="L131" s="4">
        <f>INDEX('Draft Engine'!$U$3:$U$232,$O131)</f>
        <v>60.866200000000006</v>
      </c>
      <c r="M131" s="4">
        <f>INDEX('Draft Engine'!$W$3:$W$232,$O131)</f>
        <v>72.866200000000006</v>
      </c>
      <c r="N131" t="str">
        <f>INDEX('Draft Engine'!$T$3:$T$232,$O131)</f>
        <v>A</v>
      </c>
      <c r="O131" s="6">
        <f>MATCH($A131,'Draft Engine'!$Q$3:$Q$232,0)</f>
        <v>73</v>
      </c>
    </row>
    <row r="132" spans="1:15" x14ac:dyDescent="0.25">
      <c r="A132">
        <f>130</f>
        <v>130</v>
      </c>
      <c r="B132" t="str">
        <f>INDEX('Draft Engine'!$A$3:$A$232,$O132)</f>
        <v>QB</v>
      </c>
      <c r="C132">
        <f>INDEX('Draft Engine'!$F$3:$F$232,$O132)</f>
        <v>20</v>
      </c>
      <c r="D132" t="str">
        <f>INDEX('Draft Engine'!$B$3:$B$232,$O132)</f>
        <v>Tyler Shough</v>
      </c>
      <c r="E132" s="4">
        <f>INDEX('Draft Engine'!$N$3:$N$232,$O132)</f>
        <v>48.995695384615388</v>
      </c>
      <c r="F132" s="4">
        <f>INDEX('Draft Engine'!$E$3:$E$232,$O132)</f>
        <v>77.365600000000001</v>
      </c>
      <c r="G132" s="4">
        <f>INDEX('Draft Engine'!$G$3:$G$232,$O132)</f>
        <v>318.10000000000002</v>
      </c>
      <c r="H132" s="4">
        <f>INDEX('Draft Engine'!$J$3:$J$232,$O132)</f>
        <v>-33</v>
      </c>
      <c r="I132" s="4">
        <f>INDEX('Draft Engine'!$L$3:$L$232,$O132)</f>
        <v>2.5641025641025661</v>
      </c>
      <c r="J132" s="4">
        <f>INDEX('Draft Engine'!$R$3:$R$232,$O132)</f>
        <v>137.69999999999999</v>
      </c>
      <c r="K132" s="4">
        <f>INDEX('Draft Engine'!$S$3:$S$232,$O132)</f>
        <v>7.6999999999999886</v>
      </c>
      <c r="L132" s="4">
        <f>INDEX('Draft Engine'!$U$3:$U$232,$O132)</f>
        <v>68.365600000000001</v>
      </c>
      <c r="M132" s="4">
        <f>INDEX('Draft Engine'!$W$3:$W$232,$O132)</f>
        <v>86.365600000000001</v>
      </c>
      <c r="N132" t="str">
        <f>INDEX('Draft Engine'!$T$3:$T$232,$O132)</f>
        <v>B</v>
      </c>
      <c r="O132" s="6">
        <f>MATCH($A132,'Draft Engine'!$Q$3:$Q$232,0)</f>
        <v>20</v>
      </c>
    </row>
    <row r="133" spans="1:15" x14ac:dyDescent="0.25">
      <c r="A133">
        <f>131</f>
        <v>131</v>
      </c>
      <c r="B133" t="str">
        <f>INDEX('Draft Engine'!$A$3:$A$232,$O133)</f>
        <v>DST</v>
      </c>
      <c r="C133">
        <f>INDEX('Draft Engine'!$F$3:$F$232,$O133)</f>
        <v>1</v>
      </c>
      <c r="D133" t="str">
        <f>INDEX('Draft Engine'!$B$3:$B$232,$O133)</f>
        <v>Houston Texans</v>
      </c>
      <c r="E133" s="4">
        <f>INDEX('Draft Engine'!$N$3:$N$232,$O133)</f>
        <v>56.854000000000013</v>
      </c>
      <c r="F133" s="4">
        <f>INDEX('Draft Engine'!$E$3:$E$232,$O133)</f>
        <v>93</v>
      </c>
      <c r="G133" s="4">
        <f>INDEX('Draft Engine'!$G$3:$G$232,$O133)</f>
        <v>117.4</v>
      </c>
      <c r="H133" s="4">
        <f>INDEX('Draft Engine'!$J$3:$J$232,$O133)</f>
        <v>17.8</v>
      </c>
      <c r="I133" s="4">
        <f>INDEX('Draft Engine'!$L$3:$L$232,$O133)</f>
        <v>50</v>
      </c>
      <c r="J133" s="4">
        <f>INDEX('Draft Engine'!$R$3:$R$232,$O133)</f>
        <v>160</v>
      </c>
      <c r="K133" s="4">
        <f>INDEX('Draft Engine'!$S$3:$S$232,$O133)</f>
        <v>29</v>
      </c>
      <c r="L133" s="4">
        <f>INDEX('Draft Engine'!$U$3:$U$232,$O133)</f>
        <v>84</v>
      </c>
      <c r="M133" s="4">
        <f>INDEX('Draft Engine'!$W$3:$W$232,$O133)</f>
        <v>100</v>
      </c>
      <c r="N133" t="str">
        <f>INDEX('Draft Engine'!$T$3:$T$232,$O133)</f>
        <v>B</v>
      </c>
      <c r="O133" s="6">
        <f>MATCH($A133,'Draft Engine'!$Q$3:$Q$232,0)</f>
        <v>199</v>
      </c>
    </row>
    <row r="134" spans="1:15" x14ac:dyDescent="0.25">
      <c r="A134">
        <f>132</f>
        <v>132</v>
      </c>
      <c r="B134" t="str">
        <f>INDEX('Draft Engine'!$A$3:$A$232,$O134)</f>
        <v>DST</v>
      </c>
      <c r="C134">
        <f>INDEX('Draft Engine'!$F$3:$F$232,$O134)</f>
        <v>2</v>
      </c>
      <c r="D134" t="str">
        <f>INDEX('Draft Engine'!$B$3:$B$232,$O134)</f>
        <v>Denver Broncos</v>
      </c>
      <c r="E134" s="4">
        <f>INDEX('Draft Engine'!$N$3:$N$232,$O134)</f>
        <v>55.38900000000001</v>
      </c>
      <c r="F134" s="4">
        <f>INDEX('Draft Engine'!$E$3:$E$232,$O134)</f>
        <v>91.9</v>
      </c>
      <c r="G134" s="4">
        <f>INDEX('Draft Engine'!$G$3:$G$232,$O134)</f>
        <v>115.4</v>
      </c>
      <c r="H134" s="4">
        <f>INDEX('Draft Engine'!$J$3:$J$232,$O134)</f>
        <v>15.8</v>
      </c>
      <c r="I134" s="4">
        <f>INDEX('Draft Engine'!$L$3:$L$232,$O134)</f>
        <v>46.666666666666664</v>
      </c>
      <c r="J134" s="4">
        <f>INDEX('Draft Engine'!$R$3:$R$232,$O134)</f>
        <v>164</v>
      </c>
      <c r="K134" s="4">
        <f>INDEX('Draft Engine'!$S$3:$S$232,$O134)</f>
        <v>32</v>
      </c>
      <c r="L134" s="4">
        <f>INDEX('Draft Engine'!$U$3:$U$232,$O134)</f>
        <v>82.9</v>
      </c>
      <c r="M134" s="4">
        <f>INDEX('Draft Engine'!$W$3:$W$232,$O134)</f>
        <v>100</v>
      </c>
      <c r="N134" t="str">
        <f>INDEX('Draft Engine'!$T$3:$T$232,$O134)</f>
        <v>B</v>
      </c>
      <c r="O134" s="6">
        <f>MATCH($A134,'Draft Engine'!$Q$3:$Q$232,0)</f>
        <v>200</v>
      </c>
    </row>
    <row r="135" spans="1:15" x14ac:dyDescent="0.25">
      <c r="A135">
        <f>133</f>
        <v>133</v>
      </c>
      <c r="B135" t="str">
        <f>INDEX('Draft Engine'!$A$3:$A$232,$O135)</f>
        <v>DST</v>
      </c>
      <c r="C135">
        <f>INDEX('Draft Engine'!$F$3:$F$232,$O135)</f>
        <v>3</v>
      </c>
      <c r="D135" t="str">
        <f>INDEX('Draft Engine'!$B$3:$B$232,$O135)</f>
        <v>Seattle Seahawks</v>
      </c>
      <c r="E135" s="4">
        <f>INDEX('Draft Engine'!$N$3:$N$232,$O135)</f>
        <v>53.924000000000007</v>
      </c>
      <c r="F135" s="4">
        <f>INDEX('Draft Engine'!$E$3:$E$232,$O135)</f>
        <v>90.8</v>
      </c>
      <c r="G135" s="4">
        <f>INDEX('Draft Engine'!$G$3:$G$232,$O135)</f>
        <v>113.4</v>
      </c>
      <c r="H135" s="4">
        <f>INDEX('Draft Engine'!$J$3:$J$232,$O135)</f>
        <v>13.8</v>
      </c>
      <c r="I135" s="4">
        <f>INDEX('Draft Engine'!$L$3:$L$232,$O135)</f>
        <v>43.333333333333336</v>
      </c>
      <c r="J135" s="4">
        <f>INDEX('Draft Engine'!$R$3:$R$232,$O135)</f>
        <v>168</v>
      </c>
      <c r="K135" s="4">
        <f>INDEX('Draft Engine'!$S$3:$S$232,$O135)</f>
        <v>35</v>
      </c>
      <c r="L135" s="4">
        <f>INDEX('Draft Engine'!$U$3:$U$232,$O135)</f>
        <v>81.8</v>
      </c>
      <c r="M135" s="4">
        <f>INDEX('Draft Engine'!$W$3:$W$232,$O135)</f>
        <v>99.8</v>
      </c>
      <c r="N135" t="str">
        <f>INDEX('Draft Engine'!$T$3:$T$232,$O135)</f>
        <v>B</v>
      </c>
      <c r="O135" s="6">
        <f>MATCH($A135,'Draft Engine'!$Q$3:$Q$232,0)</f>
        <v>201</v>
      </c>
    </row>
    <row r="136" spans="1:15" x14ac:dyDescent="0.25">
      <c r="A136">
        <f>134</f>
        <v>134</v>
      </c>
      <c r="B136" t="str">
        <f>INDEX('Draft Engine'!$A$3:$A$232,$O136)</f>
        <v>DST</v>
      </c>
      <c r="C136">
        <f>INDEX('Draft Engine'!$F$3:$F$232,$O136)</f>
        <v>4</v>
      </c>
      <c r="D136" t="str">
        <f>INDEX('Draft Engine'!$B$3:$B$232,$O136)</f>
        <v>Los Angeles Rams</v>
      </c>
      <c r="E136" s="4">
        <f>INDEX('Draft Engine'!$N$3:$N$232,$O136)</f>
        <v>52.477000000000004</v>
      </c>
      <c r="F136" s="4">
        <f>INDEX('Draft Engine'!$E$3:$E$232,$O136)</f>
        <v>89.7</v>
      </c>
      <c r="G136" s="4">
        <f>INDEX('Draft Engine'!$G$3:$G$232,$O136)</f>
        <v>111.5</v>
      </c>
      <c r="H136" s="4">
        <f>INDEX('Draft Engine'!$J$3:$J$232,$O136)</f>
        <v>11.9</v>
      </c>
      <c r="I136" s="4">
        <f>INDEX('Draft Engine'!$L$3:$L$232,$O136)</f>
        <v>40</v>
      </c>
      <c r="J136" s="4">
        <f>INDEX('Draft Engine'!$R$3:$R$232,$O136)</f>
        <v>134.1</v>
      </c>
      <c r="K136" s="4">
        <f>INDEX('Draft Engine'!$S$3:$S$232,$O136)</f>
        <v>9.9999999999994316E-2</v>
      </c>
      <c r="L136" s="4">
        <f>INDEX('Draft Engine'!$U$3:$U$232,$O136)</f>
        <v>80.7</v>
      </c>
      <c r="M136" s="4">
        <f>INDEX('Draft Engine'!$W$3:$W$232,$O136)</f>
        <v>98.7</v>
      </c>
      <c r="N136" t="str">
        <f>INDEX('Draft Engine'!$T$3:$T$232,$O136)</f>
        <v>B</v>
      </c>
      <c r="O136" s="6">
        <f>MATCH($A136,'Draft Engine'!$Q$3:$Q$232,0)</f>
        <v>202</v>
      </c>
    </row>
    <row r="137" spans="1:15" x14ac:dyDescent="0.25">
      <c r="A137">
        <f>135</f>
        <v>135</v>
      </c>
      <c r="B137" t="str">
        <f>INDEX('Draft Engine'!$A$3:$A$232,$O137)</f>
        <v>DST</v>
      </c>
      <c r="C137">
        <f>INDEX('Draft Engine'!$F$3:$F$232,$O137)</f>
        <v>5</v>
      </c>
      <c r="D137" t="str">
        <f>INDEX('Draft Engine'!$B$3:$B$232,$O137)</f>
        <v>Philadelphia Eagles</v>
      </c>
      <c r="E137" s="4">
        <f>INDEX('Draft Engine'!$N$3:$N$232,$O137)</f>
        <v>51.012</v>
      </c>
      <c r="F137" s="4">
        <f>INDEX('Draft Engine'!$E$3:$E$232,$O137)</f>
        <v>88.6</v>
      </c>
      <c r="G137" s="4">
        <f>INDEX('Draft Engine'!$G$3:$G$232,$O137)</f>
        <v>109.5</v>
      </c>
      <c r="H137" s="4">
        <f>INDEX('Draft Engine'!$J$3:$J$232,$O137)</f>
        <v>9.9</v>
      </c>
      <c r="I137" s="4">
        <f>INDEX('Draft Engine'!$L$3:$L$232,$O137)</f>
        <v>36.666666666666671</v>
      </c>
      <c r="J137" s="4">
        <f>INDEX('Draft Engine'!$R$3:$R$232,$O137)</f>
        <v>176</v>
      </c>
      <c r="K137" s="4">
        <f>INDEX('Draft Engine'!$S$3:$S$232,$O137)</f>
        <v>41</v>
      </c>
      <c r="L137" s="4">
        <f>INDEX('Draft Engine'!$U$3:$U$232,$O137)</f>
        <v>79.599999999999994</v>
      </c>
      <c r="M137" s="4">
        <f>INDEX('Draft Engine'!$W$3:$W$232,$O137)</f>
        <v>97.6</v>
      </c>
      <c r="N137" t="str">
        <f>INDEX('Draft Engine'!$T$3:$T$232,$O137)</f>
        <v>B</v>
      </c>
      <c r="O137" s="6">
        <f>MATCH($A137,'Draft Engine'!$Q$3:$Q$232,0)</f>
        <v>203</v>
      </c>
    </row>
    <row r="138" spans="1:15" x14ac:dyDescent="0.25">
      <c r="A138">
        <f>136</f>
        <v>136</v>
      </c>
      <c r="B138" t="str">
        <f>INDEX('Draft Engine'!$A$3:$A$232,$O138)</f>
        <v>DST</v>
      </c>
      <c r="C138">
        <f>INDEX('Draft Engine'!$F$3:$F$232,$O138)</f>
        <v>6</v>
      </c>
      <c r="D138" t="str">
        <f>INDEX('Draft Engine'!$B$3:$B$232,$O138)</f>
        <v>Minnesota Vikings</v>
      </c>
      <c r="E138" s="4">
        <f>INDEX('Draft Engine'!$N$3:$N$232,$O138)</f>
        <v>49.547000000000011</v>
      </c>
      <c r="F138" s="4">
        <f>INDEX('Draft Engine'!$E$3:$E$232,$O138)</f>
        <v>87.5</v>
      </c>
      <c r="G138" s="4">
        <f>INDEX('Draft Engine'!$G$3:$G$232,$O138)</f>
        <v>107.5</v>
      </c>
      <c r="H138" s="4">
        <f>INDEX('Draft Engine'!$J$3:$J$232,$O138)</f>
        <v>7.9</v>
      </c>
      <c r="I138" s="4">
        <f>INDEX('Draft Engine'!$L$3:$L$232,$O138)</f>
        <v>33.333333333333336</v>
      </c>
      <c r="J138" s="4">
        <f>INDEX('Draft Engine'!$R$3:$R$232,$O138)</f>
        <v>180</v>
      </c>
      <c r="K138" s="4">
        <f>INDEX('Draft Engine'!$S$3:$S$232,$O138)</f>
        <v>44</v>
      </c>
      <c r="L138" s="4">
        <f>INDEX('Draft Engine'!$U$3:$U$232,$O138)</f>
        <v>78.5</v>
      </c>
      <c r="M138" s="4">
        <f>INDEX('Draft Engine'!$W$3:$W$232,$O138)</f>
        <v>96.5</v>
      </c>
      <c r="N138" t="str">
        <f>INDEX('Draft Engine'!$T$3:$T$232,$O138)</f>
        <v>B</v>
      </c>
      <c r="O138" s="6">
        <f>MATCH($A138,'Draft Engine'!$Q$3:$Q$232,0)</f>
        <v>204</v>
      </c>
    </row>
    <row r="139" spans="1:15" x14ac:dyDescent="0.25">
      <c r="A139">
        <f>137</f>
        <v>137</v>
      </c>
      <c r="B139" t="str">
        <f>INDEX('Draft Engine'!$A$3:$A$232,$O139)</f>
        <v>DST</v>
      </c>
      <c r="C139">
        <f>INDEX('Draft Engine'!$F$3:$F$232,$O139)</f>
        <v>7</v>
      </c>
      <c r="D139" t="str">
        <f>INDEX('Draft Engine'!$B$3:$B$232,$O139)</f>
        <v>New England Patriots</v>
      </c>
      <c r="E139" s="4">
        <f>INDEX('Draft Engine'!$N$3:$N$232,$O139)</f>
        <v>48.082000000000008</v>
      </c>
      <c r="F139" s="4">
        <f>INDEX('Draft Engine'!$E$3:$E$232,$O139)</f>
        <v>86.4</v>
      </c>
      <c r="G139" s="4">
        <f>INDEX('Draft Engine'!$G$3:$G$232,$O139)</f>
        <v>105.5</v>
      </c>
      <c r="H139" s="4">
        <f>INDEX('Draft Engine'!$J$3:$J$232,$O139)</f>
        <v>5.9</v>
      </c>
      <c r="I139" s="4">
        <f>INDEX('Draft Engine'!$L$3:$L$232,$O139)</f>
        <v>30</v>
      </c>
      <c r="J139" s="4">
        <f>INDEX('Draft Engine'!$R$3:$R$232,$O139)</f>
        <v>184</v>
      </c>
      <c r="K139" s="4">
        <f>INDEX('Draft Engine'!$S$3:$S$232,$O139)</f>
        <v>47</v>
      </c>
      <c r="L139" s="4">
        <f>INDEX('Draft Engine'!$U$3:$U$232,$O139)</f>
        <v>77.400000000000006</v>
      </c>
      <c r="M139" s="4">
        <f>INDEX('Draft Engine'!$W$3:$W$232,$O139)</f>
        <v>95.4</v>
      </c>
      <c r="N139" t="str">
        <f>INDEX('Draft Engine'!$T$3:$T$232,$O139)</f>
        <v>B</v>
      </c>
      <c r="O139" s="6">
        <f>MATCH($A139,'Draft Engine'!$Q$3:$Q$232,0)</f>
        <v>205</v>
      </c>
    </row>
    <row r="140" spans="1:15" x14ac:dyDescent="0.25">
      <c r="A140">
        <f>138</f>
        <v>138</v>
      </c>
      <c r="B140" t="str">
        <f>INDEX('Draft Engine'!$A$3:$A$232,$O140)</f>
        <v>DST</v>
      </c>
      <c r="C140">
        <f>INDEX('Draft Engine'!$F$3:$F$232,$O140)</f>
        <v>8</v>
      </c>
      <c r="D140" t="str">
        <f>INDEX('Draft Engine'!$B$3:$B$232,$O140)</f>
        <v>Jacksonville Jaguars</v>
      </c>
      <c r="E140" s="4">
        <f>INDEX('Draft Engine'!$N$3:$N$232,$O140)</f>
        <v>46.61699999999999</v>
      </c>
      <c r="F140" s="4">
        <f>INDEX('Draft Engine'!$E$3:$E$232,$O140)</f>
        <v>85.3</v>
      </c>
      <c r="G140" s="4">
        <f>INDEX('Draft Engine'!$G$3:$G$232,$O140)</f>
        <v>103.5</v>
      </c>
      <c r="H140" s="4">
        <f>INDEX('Draft Engine'!$J$3:$J$232,$O140)</f>
        <v>3.9</v>
      </c>
      <c r="I140" s="4">
        <f>INDEX('Draft Engine'!$L$3:$L$232,$O140)</f>
        <v>26.666666666666668</v>
      </c>
      <c r="J140" s="4">
        <f>INDEX('Draft Engine'!$R$3:$R$232,$O140)</f>
        <v>188</v>
      </c>
      <c r="K140" s="4">
        <f>INDEX('Draft Engine'!$S$3:$S$232,$O140)</f>
        <v>50</v>
      </c>
      <c r="L140" s="4">
        <f>INDEX('Draft Engine'!$U$3:$U$232,$O140)</f>
        <v>76.3</v>
      </c>
      <c r="M140" s="4">
        <f>INDEX('Draft Engine'!$W$3:$W$232,$O140)</f>
        <v>94.3</v>
      </c>
      <c r="N140" t="str">
        <f>INDEX('Draft Engine'!$T$3:$T$232,$O140)</f>
        <v>B</v>
      </c>
      <c r="O140" s="6">
        <f>MATCH($A140,'Draft Engine'!$Q$3:$Q$232,0)</f>
        <v>206</v>
      </c>
    </row>
    <row r="141" spans="1:15" x14ac:dyDescent="0.25">
      <c r="A141">
        <f>139</f>
        <v>139</v>
      </c>
      <c r="B141" t="str">
        <f>INDEX('Draft Engine'!$A$3:$A$232,$O141)</f>
        <v>DST</v>
      </c>
      <c r="C141">
        <f>INDEX('Draft Engine'!$F$3:$F$232,$O141)</f>
        <v>9</v>
      </c>
      <c r="D141" t="str">
        <f>INDEX('Draft Engine'!$B$3:$B$232,$O141)</f>
        <v>Pittsburgh Steelers</v>
      </c>
      <c r="E141" s="4">
        <f>INDEX('Draft Engine'!$N$3:$N$232,$O141)</f>
        <v>45.17</v>
      </c>
      <c r="F141" s="4">
        <f>INDEX('Draft Engine'!$E$3:$E$232,$O141)</f>
        <v>84.2</v>
      </c>
      <c r="G141" s="4">
        <f>INDEX('Draft Engine'!$G$3:$G$232,$O141)</f>
        <v>101.6</v>
      </c>
      <c r="H141" s="4">
        <f>INDEX('Draft Engine'!$J$3:$J$232,$O141)</f>
        <v>2</v>
      </c>
      <c r="I141" s="4">
        <f>INDEX('Draft Engine'!$L$3:$L$232,$O141)</f>
        <v>23.333333333333332</v>
      </c>
      <c r="J141" s="4">
        <f>INDEX('Draft Engine'!$R$3:$R$232,$O141)</f>
        <v>192</v>
      </c>
      <c r="K141" s="4">
        <f>INDEX('Draft Engine'!$S$3:$S$232,$O141)</f>
        <v>53</v>
      </c>
      <c r="L141" s="4">
        <f>INDEX('Draft Engine'!$U$3:$U$232,$O141)</f>
        <v>75.2</v>
      </c>
      <c r="M141" s="4">
        <f>INDEX('Draft Engine'!$W$3:$W$232,$O141)</f>
        <v>93.2</v>
      </c>
      <c r="N141" t="str">
        <f>INDEX('Draft Engine'!$T$3:$T$232,$O141)</f>
        <v>B</v>
      </c>
      <c r="O141" s="6">
        <f>MATCH($A141,'Draft Engine'!$Q$3:$Q$232,0)</f>
        <v>207</v>
      </c>
    </row>
    <row r="142" spans="1:15" x14ac:dyDescent="0.25">
      <c r="A142">
        <f>140</f>
        <v>140</v>
      </c>
      <c r="B142" t="str">
        <f>INDEX('Draft Engine'!$A$3:$A$232,$O142)</f>
        <v>DST</v>
      </c>
      <c r="C142">
        <f>INDEX('Draft Engine'!$F$3:$F$232,$O142)</f>
        <v>10</v>
      </c>
      <c r="D142" t="str">
        <f>INDEX('Draft Engine'!$B$3:$B$232,$O142)</f>
        <v>Los Angeles Chargers</v>
      </c>
      <c r="E142" s="4">
        <f>INDEX('Draft Engine'!$N$3:$N$232,$O142)</f>
        <v>43.704999999999998</v>
      </c>
      <c r="F142" s="4">
        <f>INDEX('Draft Engine'!$E$3:$E$232,$O142)</f>
        <v>83.1</v>
      </c>
      <c r="G142" s="4">
        <f>INDEX('Draft Engine'!$G$3:$G$232,$O142)</f>
        <v>99.6</v>
      </c>
      <c r="H142" s="4">
        <f>INDEX('Draft Engine'!$J$3:$J$232,$O142)</f>
        <v>0</v>
      </c>
      <c r="I142" s="4">
        <f>INDEX('Draft Engine'!$L$3:$L$232,$O142)</f>
        <v>20</v>
      </c>
      <c r="J142" s="4">
        <f>INDEX('Draft Engine'!$R$3:$R$232,$O142)</f>
        <v>144.69999999999999</v>
      </c>
      <c r="K142" s="4">
        <f>INDEX('Draft Engine'!$S$3:$S$232,$O142)</f>
        <v>4.6999999999999886</v>
      </c>
      <c r="L142" s="4">
        <f>INDEX('Draft Engine'!$U$3:$U$232,$O142)</f>
        <v>74.099999999999994</v>
      </c>
      <c r="M142" s="4">
        <f>INDEX('Draft Engine'!$W$3:$W$232,$O142)</f>
        <v>92.1</v>
      </c>
      <c r="N142" t="str">
        <f>INDEX('Draft Engine'!$T$3:$T$232,$O142)</f>
        <v>B</v>
      </c>
      <c r="O142" s="6">
        <f>MATCH($A142,'Draft Engine'!$Q$3:$Q$232,0)</f>
        <v>208</v>
      </c>
    </row>
    <row r="143" spans="1:15" x14ac:dyDescent="0.25">
      <c r="A143">
        <f>141</f>
        <v>141</v>
      </c>
      <c r="B143" t="str">
        <f>INDEX('Draft Engine'!$A$3:$A$232,$O143)</f>
        <v>K</v>
      </c>
      <c r="C143">
        <f>INDEX('Draft Engine'!$F$3:$F$232,$O143)</f>
        <v>1</v>
      </c>
      <c r="D143" t="str">
        <f>INDEX('Draft Engine'!$B$3:$B$232,$O143)</f>
        <v>Brandon Aubrey</v>
      </c>
      <c r="E143" s="4">
        <f>INDEX('Draft Engine'!$N$3:$N$232,$O143)</f>
        <v>64.078000000000003</v>
      </c>
      <c r="F143" s="4">
        <f>INDEX('Draft Engine'!$E$3:$E$232,$O143)</f>
        <v>94</v>
      </c>
      <c r="G143" s="4">
        <f>INDEX('Draft Engine'!$G$3:$G$232,$O143)</f>
        <v>148</v>
      </c>
      <c r="H143" s="4">
        <f>INDEX('Draft Engine'!$J$3:$J$232,$O143)</f>
        <v>39.6</v>
      </c>
      <c r="I143" s="4">
        <f>INDEX('Draft Engine'!$L$3:$L$232,$O143)</f>
        <v>55.000000000000007</v>
      </c>
      <c r="J143" s="4">
        <f>INDEX('Draft Engine'!$R$3:$R$232,$O143)</f>
        <v>155</v>
      </c>
      <c r="K143" s="4">
        <f>INDEX('Draft Engine'!$S$3:$S$232,$O143)</f>
        <v>14</v>
      </c>
      <c r="L143" s="4">
        <f>INDEX('Draft Engine'!$U$3:$U$232,$O143)</f>
        <v>85</v>
      </c>
      <c r="M143" s="4">
        <f>INDEX('Draft Engine'!$W$3:$W$232,$O143)</f>
        <v>100</v>
      </c>
      <c r="N143" t="str">
        <f>INDEX('Draft Engine'!$T$3:$T$232,$O143)</f>
        <v>B</v>
      </c>
      <c r="O143" s="6">
        <f>MATCH($A143,'Draft Engine'!$Q$3:$Q$232,0)</f>
        <v>187</v>
      </c>
    </row>
    <row r="144" spans="1:15" x14ac:dyDescent="0.25">
      <c r="A144">
        <f>142</f>
        <v>142</v>
      </c>
      <c r="B144" t="str">
        <f>INDEX('Draft Engine'!$A$3:$A$232,$O144)</f>
        <v>K</v>
      </c>
      <c r="C144">
        <f>INDEX('Draft Engine'!$F$3:$F$232,$O144)</f>
        <v>2</v>
      </c>
      <c r="D144" t="str">
        <f>INDEX('Draft Engine'!$B$3:$B$232,$O144)</f>
        <v>Ka'imi Fairbairn</v>
      </c>
      <c r="E144" s="4">
        <f>INDEX('Draft Engine'!$N$3:$N$232,$O144)</f>
        <v>61.52600000000001</v>
      </c>
      <c r="F144" s="4">
        <f>INDEX('Draft Engine'!$E$3:$E$232,$O144)</f>
        <v>91.8</v>
      </c>
      <c r="G144" s="4">
        <f>INDEX('Draft Engine'!$G$3:$G$232,$O144)</f>
        <v>143.6</v>
      </c>
      <c r="H144" s="4">
        <f>INDEX('Draft Engine'!$J$3:$J$232,$O144)</f>
        <v>35.200000000000003</v>
      </c>
      <c r="I144" s="4">
        <f>INDEX('Draft Engine'!$L$3:$L$232,$O144)</f>
        <v>51.333333333333336</v>
      </c>
      <c r="J144" s="4">
        <f>INDEX('Draft Engine'!$R$3:$R$232,$O144)</f>
        <v>160</v>
      </c>
      <c r="K144" s="4">
        <f>INDEX('Draft Engine'!$S$3:$S$232,$O144)</f>
        <v>18</v>
      </c>
      <c r="L144" s="4">
        <f>INDEX('Draft Engine'!$U$3:$U$232,$O144)</f>
        <v>82.8</v>
      </c>
      <c r="M144" s="4">
        <f>INDEX('Draft Engine'!$W$3:$W$232,$O144)</f>
        <v>100</v>
      </c>
      <c r="N144" t="str">
        <f>INDEX('Draft Engine'!$T$3:$T$232,$O144)</f>
        <v>B</v>
      </c>
      <c r="O144" s="6">
        <f>MATCH($A144,'Draft Engine'!$Q$3:$Q$232,0)</f>
        <v>188</v>
      </c>
    </row>
    <row r="145" spans="1:15" x14ac:dyDescent="0.25">
      <c r="A145">
        <f>143</f>
        <v>143</v>
      </c>
      <c r="B145" t="str">
        <f>INDEX('Draft Engine'!$A$3:$A$232,$O145)</f>
        <v>K</v>
      </c>
      <c r="C145">
        <f>INDEX('Draft Engine'!$F$3:$F$232,$O145)</f>
        <v>3</v>
      </c>
      <c r="D145" t="str">
        <f>INDEX('Draft Engine'!$B$3:$B$232,$O145)</f>
        <v>Cameron Dicker</v>
      </c>
      <c r="E145" s="4">
        <f>INDEX('Draft Engine'!$N$3:$N$232,$O145)</f>
        <v>58.974000000000004</v>
      </c>
      <c r="F145" s="4">
        <f>INDEX('Draft Engine'!$E$3:$E$232,$O145)</f>
        <v>89.6</v>
      </c>
      <c r="G145" s="4">
        <f>INDEX('Draft Engine'!$G$3:$G$232,$O145)</f>
        <v>139.19999999999999</v>
      </c>
      <c r="H145" s="4">
        <f>INDEX('Draft Engine'!$J$3:$J$232,$O145)</f>
        <v>30.8</v>
      </c>
      <c r="I145" s="4">
        <f>INDEX('Draft Engine'!$L$3:$L$232,$O145)</f>
        <v>47.666666666666671</v>
      </c>
      <c r="J145" s="4">
        <f>INDEX('Draft Engine'!$R$3:$R$232,$O145)</f>
        <v>165</v>
      </c>
      <c r="K145" s="4">
        <f>INDEX('Draft Engine'!$S$3:$S$232,$O145)</f>
        <v>22</v>
      </c>
      <c r="L145" s="4">
        <f>INDEX('Draft Engine'!$U$3:$U$232,$O145)</f>
        <v>80.599999999999994</v>
      </c>
      <c r="M145" s="4">
        <f>INDEX('Draft Engine'!$W$3:$W$232,$O145)</f>
        <v>98.6</v>
      </c>
      <c r="N145" t="str">
        <f>INDEX('Draft Engine'!$T$3:$T$232,$O145)</f>
        <v>B</v>
      </c>
      <c r="O145" s="6">
        <f>MATCH($A145,'Draft Engine'!$Q$3:$Q$232,0)</f>
        <v>189</v>
      </c>
    </row>
    <row r="146" spans="1:15" x14ac:dyDescent="0.25">
      <c r="A146">
        <f>144</f>
        <v>144</v>
      </c>
      <c r="B146" t="str">
        <f>INDEX('Draft Engine'!$A$3:$A$232,$O146)</f>
        <v>K</v>
      </c>
      <c r="C146">
        <f>INDEX('Draft Engine'!$F$3:$F$232,$O146)</f>
        <v>4</v>
      </c>
      <c r="D146" t="str">
        <f>INDEX('Draft Engine'!$B$3:$B$232,$O146)</f>
        <v>Jason Myers</v>
      </c>
      <c r="E146" s="4">
        <f>INDEX('Draft Engine'!$N$3:$N$232,$O146)</f>
        <v>56.421999999999997</v>
      </c>
      <c r="F146" s="4">
        <f>INDEX('Draft Engine'!$E$3:$E$232,$O146)</f>
        <v>87.4</v>
      </c>
      <c r="G146" s="4">
        <f>INDEX('Draft Engine'!$G$3:$G$232,$O146)</f>
        <v>134.80000000000001</v>
      </c>
      <c r="H146" s="4">
        <f>INDEX('Draft Engine'!$J$3:$J$232,$O146)</f>
        <v>26.4</v>
      </c>
      <c r="I146" s="4">
        <f>INDEX('Draft Engine'!$L$3:$L$232,$O146)</f>
        <v>44</v>
      </c>
      <c r="J146" s="4">
        <f>INDEX('Draft Engine'!$R$3:$R$232,$O146)</f>
        <v>170</v>
      </c>
      <c r="K146" s="4">
        <f>INDEX('Draft Engine'!$S$3:$S$232,$O146)</f>
        <v>26</v>
      </c>
      <c r="L146" s="4">
        <f>INDEX('Draft Engine'!$U$3:$U$232,$O146)</f>
        <v>78.400000000000006</v>
      </c>
      <c r="M146" s="4">
        <f>INDEX('Draft Engine'!$W$3:$W$232,$O146)</f>
        <v>96.4</v>
      </c>
      <c r="N146" t="str">
        <f>INDEX('Draft Engine'!$T$3:$T$232,$O146)</f>
        <v>B</v>
      </c>
      <c r="O146" s="6">
        <f>MATCH($A146,'Draft Engine'!$Q$3:$Q$232,0)</f>
        <v>190</v>
      </c>
    </row>
    <row r="147" spans="1:15" x14ac:dyDescent="0.25">
      <c r="A147">
        <f>145</f>
        <v>145</v>
      </c>
      <c r="B147" t="str">
        <f>INDEX('Draft Engine'!$A$3:$A$232,$O147)</f>
        <v>K</v>
      </c>
      <c r="C147">
        <f>INDEX('Draft Engine'!$F$3:$F$232,$O147)</f>
        <v>5</v>
      </c>
      <c r="D147" t="str">
        <f>INDEX('Draft Engine'!$B$3:$B$232,$O147)</f>
        <v>Cam Little</v>
      </c>
      <c r="E147" s="4">
        <f>INDEX('Draft Engine'!$N$3:$N$232,$O147)</f>
        <v>53.870000000000005</v>
      </c>
      <c r="F147" s="4">
        <f>INDEX('Draft Engine'!$E$3:$E$232,$O147)</f>
        <v>85.2</v>
      </c>
      <c r="G147" s="4">
        <f>INDEX('Draft Engine'!$G$3:$G$232,$O147)</f>
        <v>130.4</v>
      </c>
      <c r="H147" s="4">
        <f>INDEX('Draft Engine'!$J$3:$J$232,$O147)</f>
        <v>22</v>
      </c>
      <c r="I147" s="4">
        <f>INDEX('Draft Engine'!$L$3:$L$232,$O147)</f>
        <v>40.333333333333343</v>
      </c>
      <c r="J147" s="4">
        <f>INDEX('Draft Engine'!$R$3:$R$232,$O147)</f>
        <v>175</v>
      </c>
      <c r="K147" s="4">
        <f>INDEX('Draft Engine'!$S$3:$S$232,$O147)</f>
        <v>30</v>
      </c>
      <c r="L147" s="4">
        <f>INDEX('Draft Engine'!$U$3:$U$232,$O147)</f>
        <v>76.2</v>
      </c>
      <c r="M147" s="4">
        <f>INDEX('Draft Engine'!$W$3:$W$232,$O147)</f>
        <v>94.2</v>
      </c>
      <c r="N147" t="str">
        <f>INDEX('Draft Engine'!$T$3:$T$232,$O147)</f>
        <v>B</v>
      </c>
      <c r="O147" s="6">
        <f>MATCH($A147,'Draft Engine'!$Q$3:$Q$232,0)</f>
        <v>191</v>
      </c>
    </row>
    <row r="148" spans="1:15" x14ac:dyDescent="0.25">
      <c r="A148">
        <f>146</f>
        <v>146</v>
      </c>
      <c r="B148" t="str">
        <f>INDEX('Draft Engine'!$A$3:$A$232,$O148)</f>
        <v>K</v>
      </c>
      <c r="C148">
        <f>INDEX('Draft Engine'!$F$3:$F$232,$O148)</f>
        <v>6</v>
      </c>
      <c r="D148" t="str">
        <f>INDEX('Draft Engine'!$B$3:$B$232,$O148)</f>
        <v>Eddy Pineiro</v>
      </c>
      <c r="E148" s="4">
        <f>INDEX('Draft Engine'!$N$3:$N$232,$O148)</f>
        <v>51.318000000000012</v>
      </c>
      <c r="F148" s="4">
        <f>INDEX('Draft Engine'!$E$3:$E$232,$O148)</f>
        <v>83</v>
      </c>
      <c r="G148" s="4">
        <f>INDEX('Draft Engine'!$G$3:$G$232,$O148)</f>
        <v>126</v>
      </c>
      <c r="H148" s="4">
        <f>INDEX('Draft Engine'!$J$3:$J$232,$O148)</f>
        <v>17.600000000000001</v>
      </c>
      <c r="I148" s="4">
        <f>INDEX('Draft Engine'!$L$3:$L$232,$O148)</f>
        <v>36.666666666666671</v>
      </c>
      <c r="J148" s="4">
        <f>INDEX('Draft Engine'!$R$3:$R$232,$O148)</f>
        <v>180</v>
      </c>
      <c r="K148" s="4">
        <f>INDEX('Draft Engine'!$S$3:$S$232,$O148)</f>
        <v>34</v>
      </c>
      <c r="L148" s="4">
        <f>INDEX('Draft Engine'!$U$3:$U$232,$O148)</f>
        <v>74</v>
      </c>
      <c r="M148" s="4">
        <f>INDEX('Draft Engine'!$W$3:$W$232,$O148)</f>
        <v>92</v>
      </c>
      <c r="N148" t="str">
        <f>INDEX('Draft Engine'!$T$3:$T$232,$O148)</f>
        <v>B</v>
      </c>
      <c r="O148" s="6">
        <f>MATCH($A148,'Draft Engine'!$Q$3:$Q$232,0)</f>
        <v>192</v>
      </c>
    </row>
    <row r="149" spans="1:15" x14ac:dyDescent="0.25">
      <c r="A149">
        <f>147</f>
        <v>147</v>
      </c>
      <c r="B149" t="str">
        <f>INDEX('Draft Engine'!$A$3:$A$232,$O149)</f>
        <v>K</v>
      </c>
      <c r="C149">
        <f>INDEX('Draft Engine'!$F$3:$F$232,$O149)</f>
        <v>7</v>
      </c>
      <c r="D149" t="str">
        <f>INDEX('Draft Engine'!$B$3:$B$232,$O149)</f>
        <v>Tyler Loop</v>
      </c>
      <c r="E149" s="4">
        <f>INDEX('Draft Engine'!$N$3:$N$232,$O149)</f>
        <v>48.766000000000005</v>
      </c>
      <c r="F149" s="4">
        <f>INDEX('Draft Engine'!$E$3:$E$232,$O149)</f>
        <v>80.8</v>
      </c>
      <c r="G149" s="4">
        <f>INDEX('Draft Engine'!$G$3:$G$232,$O149)</f>
        <v>121.6</v>
      </c>
      <c r="H149" s="4">
        <f>INDEX('Draft Engine'!$J$3:$J$232,$O149)</f>
        <v>13.2</v>
      </c>
      <c r="I149" s="4">
        <f>INDEX('Draft Engine'!$L$3:$L$232,$O149)</f>
        <v>33</v>
      </c>
      <c r="J149" s="4">
        <f>INDEX('Draft Engine'!$R$3:$R$232,$O149)</f>
        <v>185</v>
      </c>
      <c r="K149" s="4">
        <f>INDEX('Draft Engine'!$S$3:$S$232,$O149)</f>
        <v>38</v>
      </c>
      <c r="L149" s="4">
        <f>INDEX('Draft Engine'!$U$3:$U$232,$O149)</f>
        <v>71.8</v>
      </c>
      <c r="M149" s="4">
        <f>INDEX('Draft Engine'!$W$3:$W$232,$O149)</f>
        <v>89.8</v>
      </c>
      <c r="N149" t="str">
        <f>INDEX('Draft Engine'!$T$3:$T$232,$O149)</f>
        <v>B</v>
      </c>
      <c r="O149" s="6">
        <f>MATCH($A149,'Draft Engine'!$Q$3:$Q$232,0)</f>
        <v>193</v>
      </c>
    </row>
    <row r="150" spans="1:15" x14ac:dyDescent="0.25">
      <c r="A150">
        <f>148</f>
        <v>148</v>
      </c>
      <c r="B150" t="str">
        <f>INDEX('Draft Engine'!$A$3:$A$232,$O150)</f>
        <v>K</v>
      </c>
      <c r="C150">
        <f>INDEX('Draft Engine'!$F$3:$F$232,$O150)</f>
        <v>8</v>
      </c>
      <c r="D150" t="str">
        <f>INDEX('Draft Engine'!$B$3:$B$232,$O150)</f>
        <v>Harrison Mevis</v>
      </c>
      <c r="E150" s="4">
        <f>INDEX('Draft Engine'!$N$3:$N$232,$O150)</f>
        <v>46.213999999999999</v>
      </c>
      <c r="F150" s="4">
        <f>INDEX('Draft Engine'!$E$3:$E$232,$O150)</f>
        <v>78.599999999999994</v>
      </c>
      <c r="G150" s="4">
        <f>INDEX('Draft Engine'!$G$3:$G$232,$O150)</f>
        <v>117.2</v>
      </c>
      <c r="H150" s="4">
        <f>INDEX('Draft Engine'!$J$3:$J$232,$O150)</f>
        <v>8.8000000000000007</v>
      </c>
      <c r="I150" s="4">
        <f>INDEX('Draft Engine'!$L$3:$L$232,$O150)</f>
        <v>29.333333333333336</v>
      </c>
      <c r="J150" s="4">
        <f>INDEX('Draft Engine'!$R$3:$R$232,$O150)</f>
        <v>190</v>
      </c>
      <c r="K150" s="4">
        <f>INDEX('Draft Engine'!$S$3:$S$232,$O150)</f>
        <v>42</v>
      </c>
      <c r="L150" s="4">
        <f>INDEX('Draft Engine'!$U$3:$U$232,$O150)</f>
        <v>69.599999999999994</v>
      </c>
      <c r="M150" s="4">
        <f>INDEX('Draft Engine'!$W$3:$W$232,$O150)</f>
        <v>87.6</v>
      </c>
      <c r="N150" t="str">
        <f>INDEX('Draft Engine'!$T$3:$T$232,$O150)</f>
        <v>B</v>
      </c>
      <c r="O150" s="6">
        <f>MATCH($A150,'Draft Engine'!$Q$3:$Q$232,0)</f>
        <v>194</v>
      </c>
    </row>
    <row r="151" spans="1:15" x14ac:dyDescent="0.25">
      <c r="A151">
        <f>149</f>
        <v>149</v>
      </c>
      <c r="B151" t="str">
        <f>INDEX('Draft Engine'!$A$3:$A$232,$O151)</f>
        <v>K</v>
      </c>
      <c r="C151">
        <f>INDEX('Draft Engine'!$F$3:$F$232,$O151)</f>
        <v>9</v>
      </c>
      <c r="D151" t="str">
        <f>INDEX('Draft Engine'!$B$3:$B$232,$O151)</f>
        <v>Chase McLaughlin</v>
      </c>
      <c r="E151" s="4">
        <f>INDEX('Draft Engine'!$N$3:$N$232,$O151)</f>
        <v>43.662000000000006</v>
      </c>
      <c r="F151" s="4">
        <f>INDEX('Draft Engine'!$E$3:$E$232,$O151)</f>
        <v>76.400000000000006</v>
      </c>
      <c r="G151" s="4">
        <f>INDEX('Draft Engine'!$G$3:$G$232,$O151)</f>
        <v>112.8</v>
      </c>
      <c r="H151" s="4">
        <f>INDEX('Draft Engine'!$J$3:$J$232,$O151)</f>
        <v>4.4000000000000004</v>
      </c>
      <c r="I151" s="4">
        <f>INDEX('Draft Engine'!$L$3:$L$232,$O151)</f>
        <v>25.666666666666668</v>
      </c>
      <c r="J151" s="4">
        <f>INDEX('Draft Engine'!$R$3:$R$232,$O151)</f>
        <v>195</v>
      </c>
      <c r="K151" s="4">
        <f>INDEX('Draft Engine'!$S$3:$S$232,$O151)</f>
        <v>46</v>
      </c>
      <c r="L151" s="4">
        <f>INDEX('Draft Engine'!$U$3:$U$232,$O151)</f>
        <v>67.400000000000006</v>
      </c>
      <c r="M151" s="4">
        <f>INDEX('Draft Engine'!$W$3:$W$232,$O151)</f>
        <v>85.4</v>
      </c>
      <c r="N151" t="str">
        <f>INDEX('Draft Engine'!$T$3:$T$232,$O151)</f>
        <v>B</v>
      </c>
      <c r="O151" s="6">
        <f>MATCH($A151,'Draft Engine'!$Q$3:$Q$232,0)</f>
        <v>195</v>
      </c>
    </row>
    <row r="152" spans="1:15" x14ac:dyDescent="0.25">
      <c r="A152">
        <f>150</f>
        <v>150</v>
      </c>
      <c r="B152" t="str">
        <f>INDEX('Draft Engine'!$A$3:$A$232,$O152)</f>
        <v>K</v>
      </c>
      <c r="C152">
        <f>INDEX('Draft Engine'!$F$3:$F$232,$O152)</f>
        <v>10</v>
      </c>
      <c r="D152" t="str">
        <f>INDEX('Draft Engine'!$B$3:$B$232,$O152)</f>
        <v>Cairo Santos</v>
      </c>
      <c r="E152" s="4">
        <f>INDEX('Draft Engine'!$N$3:$N$232,$O152)</f>
        <v>41.11</v>
      </c>
      <c r="F152" s="4">
        <f>INDEX('Draft Engine'!$E$3:$E$232,$O152)</f>
        <v>74.2</v>
      </c>
      <c r="G152" s="4">
        <f>INDEX('Draft Engine'!$G$3:$G$232,$O152)</f>
        <v>108.4</v>
      </c>
      <c r="H152" s="4">
        <f>INDEX('Draft Engine'!$J$3:$J$232,$O152)</f>
        <v>0</v>
      </c>
      <c r="I152" s="4">
        <f>INDEX('Draft Engine'!$L$3:$L$232,$O152)</f>
        <v>22</v>
      </c>
      <c r="J152" s="4">
        <f>INDEX('Draft Engine'!$R$3:$R$232,$O152)</f>
        <v>200</v>
      </c>
      <c r="K152" s="4">
        <f>INDEX('Draft Engine'!$S$3:$S$232,$O152)</f>
        <v>50</v>
      </c>
      <c r="L152" s="4">
        <f>INDEX('Draft Engine'!$U$3:$U$232,$O152)</f>
        <v>65.2</v>
      </c>
      <c r="M152" s="4">
        <f>INDEX('Draft Engine'!$W$3:$W$232,$O152)</f>
        <v>83.2</v>
      </c>
      <c r="N152" t="str">
        <f>INDEX('Draft Engine'!$T$3:$T$232,$O152)</f>
        <v>B</v>
      </c>
      <c r="O152" s="6">
        <f>MATCH($A152,'Draft Engine'!$Q$3:$Q$232,0)</f>
        <v>196</v>
      </c>
    </row>
    <row r="153" spans="1:15" x14ac:dyDescent="0.25">
      <c r="A153">
        <f>151</f>
        <v>151</v>
      </c>
      <c r="B153" t="str">
        <f>INDEX('Draft Engine'!$A$3:$A$232,$O153)</f>
        <v>RB</v>
      </c>
      <c r="C153">
        <f>INDEX('Draft Engine'!$F$3:$F$232,$O153)</f>
        <v>42</v>
      </c>
      <c r="D153" t="str">
        <f>INDEX('Draft Engine'!$B$3:$B$232,$O153)</f>
        <v>Chris Rodriguez Jr.</v>
      </c>
      <c r="E153" s="4">
        <f>INDEX('Draft Engine'!$N$3:$N$232,$O153)</f>
        <v>48.800975000000001</v>
      </c>
      <c r="F153" s="4">
        <f>INDEX('Draft Engine'!$E$3:$E$232,$O153)</f>
        <v>66.537000000000006</v>
      </c>
      <c r="G153" s="4">
        <f>INDEX('Draft Engine'!$G$3:$G$232,$O153)</f>
        <v>209.5</v>
      </c>
      <c r="H153" s="4">
        <f>INDEX('Draft Engine'!$J$3:$J$232,$O153)</f>
        <v>-29.5</v>
      </c>
      <c r="I153" s="4">
        <f>INDEX('Draft Engine'!$L$3:$L$232,$O153)</f>
        <v>16.770833333333336</v>
      </c>
      <c r="J153" s="4">
        <f>INDEX('Draft Engine'!$R$3:$R$232,$O153)</f>
        <v>163.6</v>
      </c>
      <c r="K153" s="4">
        <f>INDEX('Draft Engine'!$S$3:$S$232,$O153)</f>
        <v>12.599999999999994</v>
      </c>
      <c r="L153" s="4">
        <f>INDEX('Draft Engine'!$U$3:$U$232,$O153)</f>
        <v>60.537000000000006</v>
      </c>
      <c r="M153" s="4">
        <f>INDEX('Draft Engine'!$W$3:$W$232,$O153)</f>
        <v>72.537000000000006</v>
      </c>
      <c r="N153" t="str">
        <f>INDEX('Draft Engine'!$T$3:$T$232,$O153)</f>
        <v>A</v>
      </c>
      <c r="O153" s="6">
        <f>MATCH($A153,'Draft Engine'!$Q$3:$Q$232,0)</f>
        <v>74</v>
      </c>
    </row>
    <row r="154" spans="1:15" x14ac:dyDescent="0.25">
      <c r="A154">
        <f>152</f>
        <v>152</v>
      </c>
      <c r="B154" t="str">
        <f>INDEX('Draft Engine'!$A$3:$A$232,$O154)</f>
        <v>WR</v>
      </c>
      <c r="C154">
        <f>INDEX('Draft Engine'!$F$3:$F$232,$O154)</f>
        <v>47</v>
      </c>
      <c r="D154" t="str">
        <f>INDEX('Draft Engine'!$B$3:$B$232,$O154)</f>
        <v>Matthew Golden</v>
      </c>
      <c r="E154" s="4">
        <f>INDEX('Draft Engine'!$N$3:$N$232,$O154)</f>
        <v>48.653166666666671</v>
      </c>
      <c r="F154" s="4">
        <f>INDEX('Draft Engine'!$E$3:$E$232,$O154)</f>
        <v>67.510000000000005</v>
      </c>
      <c r="G154" s="4">
        <f>INDEX('Draft Engine'!$G$3:$G$232,$O154)</f>
        <v>213.5</v>
      </c>
      <c r="H154" s="4">
        <f>INDEX('Draft Engine'!$J$3:$J$232,$O154)</f>
        <v>-25.8</v>
      </c>
      <c r="I154" s="4">
        <f>INDEX('Draft Engine'!$L$3:$L$232,$O154)</f>
        <v>7.7777777777777795</v>
      </c>
      <c r="J154" s="4">
        <f>INDEX('Draft Engine'!$R$3:$R$232,$O154)</f>
        <v>122.6</v>
      </c>
      <c r="K154" s="4">
        <f>INDEX('Draft Engine'!$S$3:$S$232,$O154)</f>
        <v>-29.400000000000006</v>
      </c>
      <c r="L154" s="4">
        <f>INDEX('Draft Engine'!$U$3:$U$232,$O154)</f>
        <v>55.510000000000005</v>
      </c>
      <c r="M154" s="4">
        <f>INDEX('Draft Engine'!$W$3:$W$232,$O154)</f>
        <v>79.510000000000005</v>
      </c>
      <c r="N154" t="str">
        <f>INDEX('Draft Engine'!$T$3:$T$232,$O154)</f>
        <v>C</v>
      </c>
      <c r="O154" s="6">
        <f>MATCH($A154,'Draft Engine'!$Q$3:$Q$232,0)</f>
        <v>132</v>
      </c>
    </row>
    <row r="155" spans="1:15" x14ac:dyDescent="0.25">
      <c r="A155">
        <f>153</f>
        <v>153</v>
      </c>
      <c r="B155" t="str">
        <f>INDEX('Draft Engine'!$A$3:$A$232,$O155)</f>
        <v>RB</v>
      </c>
      <c r="C155">
        <f>INDEX('Draft Engine'!$F$3:$F$232,$O155)</f>
        <v>43</v>
      </c>
      <c r="D155" t="str">
        <f>INDEX('Draft Engine'!$B$3:$B$232,$O155)</f>
        <v>Tyrone Tracy Jr.</v>
      </c>
      <c r="E155" s="4">
        <f>INDEX('Draft Engine'!$N$3:$N$232,$O155)</f>
        <v>48.420300000000005</v>
      </c>
      <c r="F155" s="4">
        <f>INDEX('Draft Engine'!$E$3:$E$232,$O155)</f>
        <v>66.531000000000006</v>
      </c>
      <c r="G155" s="4">
        <f>INDEX('Draft Engine'!$G$3:$G$232,$O155)</f>
        <v>209.4</v>
      </c>
      <c r="H155" s="4">
        <f>INDEX('Draft Engine'!$J$3:$J$232,$O155)</f>
        <v>-29.6</v>
      </c>
      <c r="I155" s="4">
        <f>INDEX('Draft Engine'!$L$3:$L$232,$O155)</f>
        <v>14.374999999999998</v>
      </c>
      <c r="J155" s="4">
        <f>INDEX('Draft Engine'!$R$3:$R$232,$O155)</f>
        <v>155.80000000000001</v>
      </c>
      <c r="K155" s="4">
        <f>INDEX('Draft Engine'!$S$3:$S$232,$O155)</f>
        <v>2.8000000000000114</v>
      </c>
      <c r="L155" s="4">
        <f>INDEX('Draft Engine'!$U$3:$U$232,$O155)</f>
        <v>60.531000000000006</v>
      </c>
      <c r="M155" s="4">
        <f>INDEX('Draft Engine'!$W$3:$W$232,$O155)</f>
        <v>72.531000000000006</v>
      </c>
      <c r="N155" t="str">
        <f>INDEX('Draft Engine'!$T$3:$T$232,$O155)</f>
        <v>A</v>
      </c>
      <c r="O155" s="6">
        <f>MATCH($A155,'Draft Engine'!$Q$3:$Q$232,0)</f>
        <v>75</v>
      </c>
    </row>
    <row r="156" spans="1:15" x14ac:dyDescent="0.25">
      <c r="A156">
        <f>154</f>
        <v>154</v>
      </c>
      <c r="B156" t="str">
        <f>INDEX('Draft Engine'!$A$3:$A$232,$O156)</f>
        <v>WR</v>
      </c>
      <c r="C156">
        <f>INDEX('Draft Engine'!$F$3:$F$232,$O156)</f>
        <v>48</v>
      </c>
      <c r="D156" t="str">
        <f>INDEX('Draft Engine'!$B$3:$B$232,$O156)</f>
        <v>Brian Thomas Jr.</v>
      </c>
      <c r="E156" s="4">
        <f>INDEX('Draft Engine'!$N$3:$N$232,$O156)</f>
        <v>47.625458333333341</v>
      </c>
      <c r="F156" s="4">
        <f>INDEX('Draft Engine'!$E$3:$E$232,$O156)</f>
        <v>66.967500000000001</v>
      </c>
      <c r="G156" s="4">
        <f>INDEX('Draft Engine'!$G$3:$G$232,$O156)</f>
        <v>211.3</v>
      </c>
      <c r="H156" s="4">
        <f>INDEX('Draft Engine'!$J$3:$J$232,$O156)</f>
        <v>-28</v>
      </c>
      <c r="I156" s="4">
        <f>INDEX('Draft Engine'!$L$3:$L$232,$O156)</f>
        <v>5.5555555555555554</v>
      </c>
      <c r="J156" s="4">
        <f>INDEX('Draft Engine'!$R$3:$R$232,$O156)</f>
        <v>81.099999999999994</v>
      </c>
      <c r="K156" s="4">
        <f>INDEX('Draft Engine'!$S$3:$S$232,$O156)</f>
        <v>-72.900000000000006</v>
      </c>
      <c r="L156" s="4">
        <f>INDEX('Draft Engine'!$U$3:$U$232,$O156)</f>
        <v>54.967500000000001</v>
      </c>
      <c r="M156" s="4">
        <f>INDEX('Draft Engine'!$W$3:$W$232,$O156)</f>
        <v>78.967500000000001</v>
      </c>
      <c r="N156" t="str">
        <f>INDEX('Draft Engine'!$T$3:$T$232,$O156)</f>
        <v>C</v>
      </c>
      <c r="O156" s="6">
        <f>MATCH($A156,'Draft Engine'!$Q$3:$Q$232,0)</f>
        <v>124</v>
      </c>
    </row>
    <row r="157" spans="1:15" x14ac:dyDescent="0.25">
      <c r="A157">
        <f>155</f>
        <v>155</v>
      </c>
      <c r="B157" t="str">
        <f>INDEX('Draft Engine'!$A$3:$A$232,$O157)</f>
        <v>TE</v>
      </c>
      <c r="C157">
        <f>INDEX('Draft Engine'!$F$3:$F$232,$O157)</f>
        <v>24</v>
      </c>
      <c r="D157" t="str">
        <f>INDEX('Draft Engine'!$B$3:$B$232,$O157)</f>
        <v>AJ Barner</v>
      </c>
      <c r="E157" s="4">
        <f>INDEX('Draft Engine'!$N$3:$N$232,$O157)</f>
        <v>47.394475</v>
      </c>
      <c r="F157" s="4">
        <f>INDEX('Draft Engine'!$E$3:$E$232,$O157)</f>
        <v>70.124499999999998</v>
      </c>
      <c r="G157" s="4">
        <f>INDEX('Draft Engine'!$G$3:$G$232,$O157)</f>
        <v>145.4</v>
      </c>
      <c r="H157" s="4">
        <f>INDEX('Draft Engine'!$J$3:$J$232,$O157)</f>
        <v>-34.299999999999997</v>
      </c>
      <c r="I157" s="4">
        <f>INDEX('Draft Engine'!$L$3:$L$232,$O157)</f>
        <v>0</v>
      </c>
      <c r="J157" s="4">
        <f>INDEX('Draft Engine'!$R$3:$R$232,$O157)</f>
        <v>165.8</v>
      </c>
      <c r="K157" s="4">
        <f>INDEX('Draft Engine'!$S$3:$S$232,$O157)</f>
        <v>10.800000000000011</v>
      </c>
      <c r="L157" s="4">
        <f>INDEX('Draft Engine'!$U$3:$U$232,$O157)</f>
        <v>64.124499999999998</v>
      </c>
      <c r="M157" s="4">
        <f>INDEX('Draft Engine'!$W$3:$W$232,$O157)</f>
        <v>76.124499999999998</v>
      </c>
      <c r="N157" t="str">
        <f>INDEX('Draft Engine'!$T$3:$T$232,$O157)</f>
        <v>A</v>
      </c>
      <c r="O157" s="6">
        <f>MATCH($A157,'Draft Engine'!$Q$3:$Q$232,0)</f>
        <v>182</v>
      </c>
    </row>
    <row r="158" spans="1:15" x14ac:dyDescent="0.25">
      <c r="A158">
        <f>156</f>
        <v>156</v>
      </c>
      <c r="B158" t="str">
        <f>INDEX('Draft Engine'!$A$3:$A$232,$O158)</f>
        <v>WR</v>
      </c>
      <c r="C158">
        <f>INDEX('Draft Engine'!$F$3:$F$232,$O158)</f>
        <v>49</v>
      </c>
      <c r="D158" t="str">
        <f>INDEX('Draft Engine'!$B$3:$B$232,$O158)</f>
        <v>Josh Downs</v>
      </c>
      <c r="E158" s="4">
        <f>INDEX('Draft Engine'!$N$3:$N$232,$O158)</f>
        <v>47.114000000000004</v>
      </c>
      <c r="F158" s="4">
        <f>INDEX('Draft Engine'!$E$3:$E$232,$O158)</f>
        <v>66.84</v>
      </c>
      <c r="G158" s="4">
        <f>INDEX('Draft Engine'!$G$3:$G$232,$O158)</f>
        <v>210.7</v>
      </c>
      <c r="H158" s="4">
        <f>INDEX('Draft Engine'!$J$3:$J$232,$O158)</f>
        <v>-28.6</v>
      </c>
      <c r="I158" s="4">
        <f>INDEX('Draft Engine'!$L$3:$L$232,$O158)</f>
        <v>3.3333333333333308</v>
      </c>
      <c r="J158" s="4">
        <f>INDEX('Draft Engine'!$R$3:$R$232,$O158)</f>
        <v>92.1</v>
      </c>
      <c r="K158" s="4">
        <f>INDEX('Draft Engine'!$S$3:$S$232,$O158)</f>
        <v>-63.900000000000006</v>
      </c>
      <c r="L158" s="4">
        <f>INDEX('Draft Engine'!$U$3:$U$232,$O158)</f>
        <v>54.84</v>
      </c>
      <c r="M158" s="4">
        <f>INDEX('Draft Engine'!$W$3:$W$232,$O158)</f>
        <v>78.84</v>
      </c>
      <c r="N158" t="str">
        <f>INDEX('Draft Engine'!$T$3:$T$232,$O158)</f>
        <v>C</v>
      </c>
      <c r="O158" s="6">
        <f>MATCH($A158,'Draft Engine'!$Q$3:$Q$232,0)</f>
        <v>133</v>
      </c>
    </row>
    <row r="159" spans="1:15" x14ac:dyDescent="0.25">
      <c r="A159">
        <f>157</f>
        <v>157</v>
      </c>
      <c r="B159" t="str">
        <f>INDEX('Draft Engine'!$A$3:$A$232,$O159)</f>
        <v>TE</v>
      </c>
      <c r="C159">
        <f>INDEX('Draft Engine'!$F$3:$F$232,$O159)</f>
        <v>25</v>
      </c>
      <c r="D159" t="str">
        <f>INDEX('Draft Engine'!$B$3:$B$232,$O159)</f>
        <v>Pat Freiermuth</v>
      </c>
      <c r="E159" s="4">
        <f>INDEX('Draft Engine'!$N$3:$N$232,$O159)</f>
        <v>46.781999999999996</v>
      </c>
      <c r="F159" s="4">
        <f>INDEX('Draft Engine'!$E$3:$E$232,$O159)</f>
        <v>69.599999999999994</v>
      </c>
      <c r="G159" s="4">
        <f>INDEX('Draft Engine'!$G$3:$G$232,$O159)</f>
        <v>143.6</v>
      </c>
      <c r="H159" s="4">
        <f>INDEX('Draft Engine'!$J$3:$J$232,$O159)</f>
        <v>-36.1</v>
      </c>
      <c r="I159" s="4">
        <f>INDEX('Draft Engine'!$L$3:$L$232,$O159)</f>
        <v>0</v>
      </c>
      <c r="J159" s="4">
        <f>INDEX('Draft Engine'!$R$3:$R$232,$O159)</f>
        <v>228</v>
      </c>
      <c r="K159" s="4">
        <f>INDEX('Draft Engine'!$S$3:$S$232,$O159)</f>
        <v>71</v>
      </c>
      <c r="L159" s="4">
        <f>INDEX('Draft Engine'!$U$3:$U$232,$O159)</f>
        <v>57.599999999999994</v>
      </c>
      <c r="M159" s="4">
        <f>INDEX('Draft Engine'!$W$3:$W$232,$O159)</f>
        <v>81.599999999999994</v>
      </c>
      <c r="N159" t="str">
        <f>INDEX('Draft Engine'!$T$3:$T$232,$O159)</f>
        <v>C</v>
      </c>
      <c r="O159" s="6">
        <f>MATCH($A159,'Draft Engine'!$Q$3:$Q$232,0)</f>
        <v>186</v>
      </c>
    </row>
    <row r="160" spans="1:15" x14ac:dyDescent="0.25">
      <c r="A160">
        <f>158</f>
        <v>158</v>
      </c>
      <c r="B160" t="str">
        <f>INDEX('Draft Engine'!$A$3:$A$232,$O160)</f>
        <v>QB</v>
      </c>
      <c r="C160">
        <f>INDEX('Draft Engine'!$F$3:$F$232,$O160)</f>
        <v>21</v>
      </c>
      <c r="D160" t="str">
        <f>INDEX('Draft Engine'!$B$3:$B$232,$O160)</f>
        <v>C.J. Stroud</v>
      </c>
      <c r="E160" s="4">
        <f>INDEX('Draft Engine'!$N$3:$N$232,$O160)</f>
        <v>46.433154999999999</v>
      </c>
      <c r="F160" s="4">
        <f>INDEX('Draft Engine'!$E$3:$E$232,$O160)</f>
        <v>75.762100000000004</v>
      </c>
      <c r="G160" s="4">
        <f>INDEX('Draft Engine'!$G$3:$G$232,$O160)</f>
        <v>310.89999999999998</v>
      </c>
      <c r="H160" s="4">
        <f>INDEX('Draft Engine'!$J$3:$J$232,$O160)</f>
        <v>-40.200000000000003</v>
      </c>
      <c r="I160" s="4">
        <f>INDEX('Draft Engine'!$L$3:$L$232,$O160)</f>
        <v>0</v>
      </c>
      <c r="J160" s="4">
        <f>INDEX('Draft Engine'!$R$3:$R$232,$O160)</f>
        <v>162.5</v>
      </c>
      <c r="K160" s="4">
        <f>INDEX('Draft Engine'!$S$3:$S$232,$O160)</f>
        <v>4.5</v>
      </c>
      <c r="L160" s="4">
        <f>INDEX('Draft Engine'!$U$3:$U$232,$O160)</f>
        <v>69.762100000000004</v>
      </c>
      <c r="M160" s="4">
        <f>INDEX('Draft Engine'!$W$3:$W$232,$O160)</f>
        <v>81.762100000000004</v>
      </c>
      <c r="N160" t="str">
        <f>INDEX('Draft Engine'!$T$3:$T$232,$O160)</f>
        <v>A</v>
      </c>
      <c r="O160" s="6">
        <f>MATCH($A160,'Draft Engine'!$Q$3:$Q$232,0)</f>
        <v>21</v>
      </c>
    </row>
    <row r="161" spans="1:15" x14ac:dyDescent="0.25">
      <c r="A161">
        <f>159</f>
        <v>159</v>
      </c>
      <c r="B161" t="str">
        <f>INDEX('Draft Engine'!$A$3:$A$232,$O161)</f>
        <v>QB</v>
      </c>
      <c r="C161">
        <f>INDEX('Draft Engine'!$F$3:$F$232,$O161)</f>
        <v>22</v>
      </c>
      <c r="D161" t="str">
        <f>INDEX('Draft Engine'!$B$3:$B$232,$O161)</f>
        <v>Sam Darnold</v>
      </c>
      <c r="E161" s="4">
        <f>INDEX('Draft Engine'!$N$3:$N$232,$O161)</f>
        <v>46.15681</v>
      </c>
      <c r="F161" s="4">
        <f>INDEX('Draft Engine'!$E$3:$E$232,$O161)</f>
        <v>75.554199999999994</v>
      </c>
      <c r="G161" s="4">
        <f>INDEX('Draft Engine'!$G$3:$G$232,$O161)</f>
        <v>310</v>
      </c>
      <c r="H161" s="4">
        <f>INDEX('Draft Engine'!$J$3:$J$232,$O161)</f>
        <v>-41.1</v>
      </c>
      <c r="I161" s="4">
        <f>INDEX('Draft Engine'!$L$3:$L$232,$O161)</f>
        <v>0</v>
      </c>
      <c r="J161" s="4">
        <f>INDEX('Draft Engine'!$R$3:$R$232,$O161)</f>
        <v>142.4</v>
      </c>
      <c r="K161" s="4">
        <f>INDEX('Draft Engine'!$S$3:$S$232,$O161)</f>
        <v>-16.599999999999994</v>
      </c>
      <c r="L161" s="4">
        <f>INDEX('Draft Engine'!$U$3:$U$232,$O161)</f>
        <v>69.554199999999994</v>
      </c>
      <c r="M161" s="4">
        <f>INDEX('Draft Engine'!$W$3:$W$232,$O161)</f>
        <v>81.554199999999994</v>
      </c>
      <c r="N161" t="str">
        <f>INDEX('Draft Engine'!$T$3:$T$232,$O161)</f>
        <v>A</v>
      </c>
      <c r="O161" s="6">
        <f>MATCH($A161,'Draft Engine'!$Q$3:$Q$232,0)</f>
        <v>22</v>
      </c>
    </row>
    <row r="162" spans="1:15" x14ac:dyDescent="0.25">
      <c r="A162">
        <f>160</f>
        <v>160</v>
      </c>
      <c r="B162" t="str">
        <f>INDEX('Draft Engine'!$A$3:$A$232,$O162)</f>
        <v>WR</v>
      </c>
      <c r="C162">
        <f>INDEX('Draft Engine'!$F$3:$F$232,$O162)</f>
        <v>50</v>
      </c>
      <c r="D162" t="str">
        <f>INDEX('Draft Engine'!$B$3:$B$232,$O162)</f>
        <v>Jayden Reed</v>
      </c>
      <c r="E162" s="4">
        <f>INDEX('Draft Engine'!$N$3:$N$232,$O162)</f>
        <v>45.908166666666666</v>
      </c>
      <c r="F162" s="4">
        <f>INDEX('Draft Engine'!$E$3:$E$232,$O162)</f>
        <v>66.17</v>
      </c>
      <c r="G162" s="4">
        <f>INDEX('Draft Engine'!$G$3:$G$232,$O162)</f>
        <v>207.9</v>
      </c>
      <c r="H162" s="4">
        <f>INDEX('Draft Engine'!$J$3:$J$232,$O162)</f>
        <v>-31.4</v>
      </c>
      <c r="I162" s="4">
        <f>INDEX('Draft Engine'!$L$3:$L$232,$O162)</f>
        <v>1.1111111111111061</v>
      </c>
      <c r="J162" s="4">
        <f>INDEX('Draft Engine'!$R$3:$R$232,$O162)</f>
        <v>97.2</v>
      </c>
      <c r="K162" s="4">
        <f>INDEX('Draft Engine'!$S$3:$S$232,$O162)</f>
        <v>-62.8</v>
      </c>
      <c r="L162" s="4">
        <f>INDEX('Draft Engine'!$U$3:$U$232,$O162)</f>
        <v>54.17</v>
      </c>
      <c r="M162" s="4">
        <f>INDEX('Draft Engine'!$W$3:$W$232,$O162)</f>
        <v>78.17</v>
      </c>
      <c r="N162" t="str">
        <f>INDEX('Draft Engine'!$T$3:$T$232,$O162)</f>
        <v>C</v>
      </c>
      <c r="O162" s="6">
        <f>MATCH($A162,'Draft Engine'!$Q$3:$Q$232,0)</f>
        <v>134</v>
      </c>
    </row>
    <row r="163" spans="1:15" x14ac:dyDescent="0.25">
      <c r="A163">
        <f>161</f>
        <v>161</v>
      </c>
      <c r="B163" t="str">
        <f>INDEX('Draft Engine'!$A$3:$A$232,$O163)</f>
        <v>QB</v>
      </c>
      <c r="C163">
        <f>INDEX('Draft Engine'!$F$3:$F$232,$O163)</f>
        <v>23</v>
      </c>
      <c r="D163" t="str">
        <f>INDEX('Draft Engine'!$B$3:$B$232,$O163)</f>
        <v>Daniel Jones</v>
      </c>
      <c r="E163" s="4">
        <f>INDEX('Draft Engine'!$N$3:$N$232,$O163)</f>
        <v>45.124720000000011</v>
      </c>
      <c r="F163" s="4">
        <f>INDEX('Draft Engine'!$E$3:$E$232,$O163)</f>
        <v>74.790400000000005</v>
      </c>
      <c r="G163" s="4">
        <f>INDEX('Draft Engine'!$G$3:$G$232,$O163)</f>
        <v>306.60000000000002</v>
      </c>
      <c r="H163" s="4">
        <f>INDEX('Draft Engine'!$J$3:$J$232,$O163)</f>
        <v>-44.5</v>
      </c>
      <c r="I163" s="4">
        <f>INDEX('Draft Engine'!$L$3:$L$232,$O163)</f>
        <v>0</v>
      </c>
      <c r="J163" s="4">
        <f>INDEX('Draft Engine'!$R$3:$R$232,$O163)</f>
        <v>143.9</v>
      </c>
      <c r="K163" s="4">
        <f>INDEX('Draft Engine'!$S$3:$S$232,$O163)</f>
        <v>-17.099999999999994</v>
      </c>
      <c r="L163" s="4">
        <f>INDEX('Draft Engine'!$U$3:$U$232,$O163)</f>
        <v>68.790400000000005</v>
      </c>
      <c r="M163" s="4">
        <f>INDEX('Draft Engine'!$W$3:$W$232,$O163)</f>
        <v>80.790400000000005</v>
      </c>
      <c r="N163" t="str">
        <f>INDEX('Draft Engine'!$T$3:$T$232,$O163)</f>
        <v>A</v>
      </c>
      <c r="O163" s="6">
        <f>MATCH($A163,'Draft Engine'!$Q$3:$Q$232,0)</f>
        <v>23</v>
      </c>
    </row>
    <row r="164" spans="1:15" x14ac:dyDescent="0.25">
      <c r="A164">
        <f>162</f>
        <v>162</v>
      </c>
      <c r="B164" t="str">
        <f>INDEX('Draft Engine'!$A$3:$A$232,$O164)</f>
        <v>WR</v>
      </c>
      <c r="C164">
        <f>INDEX('Draft Engine'!$F$3:$F$232,$O164)</f>
        <v>51</v>
      </c>
      <c r="D164" t="str">
        <f>INDEX('Draft Engine'!$B$3:$B$232,$O164)</f>
        <v>Khalil Shakir</v>
      </c>
      <c r="E164" s="4">
        <f>INDEX('Draft Engine'!$N$3:$N$232,$O164)</f>
        <v>44.869000000000007</v>
      </c>
      <c r="F164" s="4">
        <f>INDEX('Draft Engine'!$E$3:$E$232,$O164)</f>
        <v>65.5</v>
      </c>
      <c r="G164" s="4">
        <f>INDEX('Draft Engine'!$G$3:$G$232,$O164)</f>
        <v>205.1</v>
      </c>
      <c r="H164" s="4">
        <f>INDEX('Draft Engine'!$J$3:$J$232,$O164)</f>
        <v>-34.200000000000003</v>
      </c>
      <c r="I164" s="4">
        <f>INDEX('Draft Engine'!$L$3:$L$232,$O164)</f>
        <v>0</v>
      </c>
      <c r="J164" s="4">
        <f>INDEX('Draft Engine'!$R$3:$R$232,$O164)</f>
        <v>102</v>
      </c>
      <c r="K164" s="4">
        <f>INDEX('Draft Engine'!$S$3:$S$232,$O164)</f>
        <v>-60</v>
      </c>
      <c r="L164" s="4">
        <f>INDEX('Draft Engine'!$U$3:$U$232,$O164)</f>
        <v>53.5</v>
      </c>
      <c r="M164" s="4">
        <f>INDEX('Draft Engine'!$W$3:$W$232,$O164)</f>
        <v>77.5</v>
      </c>
      <c r="N164" t="str">
        <f>INDEX('Draft Engine'!$T$3:$T$232,$O164)</f>
        <v>C</v>
      </c>
      <c r="O164" s="6">
        <f>MATCH($A164,'Draft Engine'!$Q$3:$Q$232,0)</f>
        <v>135</v>
      </c>
    </row>
    <row r="165" spans="1:15" x14ac:dyDescent="0.25">
      <c r="A165">
        <f>163</f>
        <v>163</v>
      </c>
      <c r="B165" t="str">
        <f>INDEX('Draft Engine'!$A$3:$A$232,$O165)</f>
        <v>QB</v>
      </c>
      <c r="C165">
        <f>INDEX('Draft Engine'!$F$3:$F$232,$O165)</f>
        <v>24</v>
      </c>
      <c r="D165" t="str">
        <f>INDEX('Draft Engine'!$B$3:$B$232,$O165)</f>
        <v>Malik Willis</v>
      </c>
      <c r="E165" s="4">
        <f>INDEX('Draft Engine'!$N$3:$N$232,$O165)</f>
        <v>44.372165000000003</v>
      </c>
      <c r="F165" s="4">
        <f>INDEX('Draft Engine'!$E$3:$E$232,$O165)</f>
        <v>74.240300000000005</v>
      </c>
      <c r="G165" s="4">
        <f>INDEX('Draft Engine'!$G$3:$G$232,$O165)</f>
        <v>304.10000000000002</v>
      </c>
      <c r="H165" s="4">
        <f>INDEX('Draft Engine'!$J$3:$J$232,$O165)</f>
        <v>-47</v>
      </c>
      <c r="I165" s="4">
        <f>INDEX('Draft Engine'!$L$3:$L$232,$O165)</f>
        <v>0</v>
      </c>
      <c r="J165" s="4">
        <f>INDEX('Draft Engine'!$R$3:$R$232,$O165)</f>
        <v>160.4</v>
      </c>
      <c r="K165" s="4">
        <f>INDEX('Draft Engine'!$S$3:$S$232,$O165)</f>
        <v>-2.5999999999999943</v>
      </c>
      <c r="L165" s="4">
        <f>INDEX('Draft Engine'!$U$3:$U$232,$O165)</f>
        <v>65.240300000000005</v>
      </c>
      <c r="M165" s="4">
        <f>INDEX('Draft Engine'!$W$3:$W$232,$O165)</f>
        <v>83.240300000000005</v>
      </c>
      <c r="N165" t="str">
        <f>INDEX('Draft Engine'!$T$3:$T$232,$O165)</f>
        <v>B</v>
      </c>
      <c r="O165" s="6">
        <f>MATCH($A165,'Draft Engine'!$Q$3:$Q$232,0)</f>
        <v>24</v>
      </c>
    </row>
    <row r="166" spans="1:15" x14ac:dyDescent="0.25">
      <c r="A166">
        <f>164</f>
        <v>164</v>
      </c>
      <c r="B166" t="str">
        <f>INDEX('Draft Engine'!$A$3:$A$232,$O166)</f>
        <v>WR</v>
      </c>
      <c r="C166">
        <f>INDEX('Draft Engine'!$F$3:$F$232,$O166)</f>
        <v>52</v>
      </c>
      <c r="D166" t="str">
        <f>INDEX('Draft Engine'!$B$3:$B$232,$O166)</f>
        <v>Jalin Hyatt</v>
      </c>
      <c r="E166" s="4">
        <f>INDEX('Draft Engine'!$N$3:$N$232,$O166)</f>
        <v>43.996499999999997</v>
      </c>
      <c r="F166" s="4">
        <f>INDEX('Draft Engine'!$E$3:$E$232,$O166)</f>
        <v>64.83</v>
      </c>
      <c r="G166" s="4">
        <f>INDEX('Draft Engine'!$G$3:$G$232,$O166)</f>
        <v>202.3</v>
      </c>
      <c r="H166" s="4">
        <f>INDEX('Draft Engine'!$J$3:$J$232,$O166)</f>
        <v>-37</v>
      </c>
      <c r="I166" s="4">
        <f>INDEX('Draft Engine'!$L$3:$L$232,$O166)</f>
        <v>0</v>
      </c>
      <c r="J166" s="4">
        <f>INDEX('Draft Engine'!$R$3:$R$232,$O166)</f>
        <v>201.9</v>
      </c>
      <c r="K166" s="4">
        <f>INDEX('Draft Engine'!$S$3:$S$232,$O166)</f>
        <v>37.900000000000006</v>
      </c>
      <c r="L166" s="4">
        <f>INDEX('Draft Engine'!$U$3:$U$232,$O166)</f>
        <v>52.83</v>
      </c>
      <c r="M166" s="4">
        <f>INDEX('Draft Engine'!$W$3:$W$232,$O166)</f>
        <v>76.83</v>
      </c>
      <c r="N166" t="str">
        <f>INDEX('Draft Engine'!$T$3:$T$232,$O166)</f>
        <v>C</v>
      </c>
      <c r="O166" s="6">
        <f>MATCH($A166,'Draft Engine'!$Q$3:$Q$232,0)</f>
        <v>136</v>
      </c>
    </row>
    <row r="167" spans="1:15" x14ac:dyDescent="0.25">
      <c r="A167">
        <f>165</f>
        <v>165</v>
      </c>
      <c r="B167" t="str">
        <f>INDEX('Draft Engine'!$A$3:$A$232,$O167)</f>
        <v>RB</v>
      </c>
      <c r="C167">
        <f>INDEX('Draft Engine'!$F$3:$F$232,$O167)</f>
        <v>44</v>
      </c>
      <c r="D167" t="str">
        <f>INDEX('Draft Engine'!$B$3:$B$232,$O167)</f>
        <v>Tyjae Spears</v>
      </c>
      <c r="E167" s="4">
        <f>INDEX('Draft Engine'!$N$3:$N$232,$O167)</f>
        <v>43.980875000000005</v>
      </c>
      <c r="F167" s="4">
        <f>INDEX('Draft Engine'!$E$3:$E$232,$O167)</f>
        <v>63.4</v>
      </c>
      <c r="G167" s="4">
        <f>INDEX('Draft Engine'!$G$3:$G$232,$O167)</f>
        <v>196.3</v>
      </c>
      <c r="H167" s="4">
        <f>INDEX('Draft Engine'!$J$3:$J$232,$O167)</f>
        <v>-42.7</v>
      </c>
      <c r="I167" s="4">
        <f>INDEX('Draft Engine'!$L$3:$L$232,$O167)</f>
        <v>11.979166666666661</v>
      </c>
      <c r="J167" s="4">
        <f>INDEX('Draft Engine'!$R$3:$R$232,$O167)</f>
        <v>129.6</v>
      </c>
      <c r="K167" s="4">
        <f>INDEX('Draft Engine'!$S$3:$S$232,$O167)</f>
        <v>-35.400000000000006</v>
      </c>
      <c r="L167" s="4">
        <f>INDEX('Draft Engine'!$U$3:$U$232,$O167)</f>
        <v>51.4</v>
      </c>
      <c r="M167" s="4">
        <f>INDEX('Draft Engine'!$W$3:$W$232,$O167)</f>
        <v>75.400000000000006</v>
      </c>
      <c r="N167" t="str">
        <f>INDEX('Draft Engine'!$T$3:$T$232,$O167)</f>
        <v>C</v>
      </c>
      <c r="O167" s="6">
        <f>MATCH($A167,'Draft Engine'!$Q$3:$Q$232,0)</f>
        <v>83</v>
      </c>
    </row>
    <row r="168" spans="1:15" x14ac:dyDescent="0.25">
      <c r="A168">
        <f>166</f>
        <v>166</v>
      </c>
      <c r="B168" t="str">
        <f>INDEX('Draft Engine'!$A$3:$A$232,$O168)</f>
        <v>TE</v>
      </c>
      <c r="C168">
        <f>INDEX('Draft Engine'!$F$3:$F$232,$O168)</f>
        <v>26</v>
      </c>
      <c r="D168" t="str">
        <f>INDEX('Draft Engine'!$B$3:$B$232,$O168)</f>
        <v>Cade Otton</v>
      </c>
      <c r="E168" s="4">
        <f>INDEX('Draft Engine'!$N$3:$N$232,$O168)</f>
        <v>43.304950000000005</v>
      </c>
      <c r="F168" s="4">
        <f>INDEX('Draft Engine'!$E$3:$E$232,$O168)</f>
        <v>66.649000000000001</v>
      </c>
      <c r="G168" s="4">
        <f>INDEX('Draft Engine'!$G$3:$G$232,$O168)</f>
        <v>133.30000000000001</v>
      </c>
      <c r="H168" s="4">
        <f>INDEX('Draft Engine'!$J$3:$J$232,$O168)</f>
        <v>-46.4</v>
      </c>
      <c r="I168" s="4">
        <f>INDEX('Draft Engine'!$L$3:$L$232,$O168)</f>
        <v>0</v>
      </c>
      <c r="J168" s="4">
        <f>INDEX('Draft Engine'!$R$3:$R$232,$O168)</f>
        <v>142.6</v>
      </c>
      <c r="K168" s="4">
        <f>INDEX('Draft Engine'!$S$3:$S$232,$O168)</f>
        <v>-23.400000000000006</v>
      </c>
      <c r="L168" s="4">
        <f>INDEX('Draft Engine'!$U$3:$U$232,$O168)</f>
        <v>60.649000000000001</v>
      </c>
      <c r="M168" s="4">
        <f>INDEX('Draft Engine'!$W$3:$W$232,$O168)</f>
        <v>72.649000000000001</v>
      </c>
      <c r="N168" t="str">
        <f>INDEX('Draft Engine'!$T$3:$T$232,$O168)</f>
        <v>A</v>
      </c>
      <c r="O168" s="6">
        <f>MATCH($A168,'Draft Engine'!$Q$3:$Q$232,0)</f>
        <v>183</v>
      </c>
    </row>
    <row r="169" spans="1:15" x14ac:dyDescent="0.25">
      <c r="A169">
        <f>167</f>
        <v>167</v>
      </c>
      <c r="B169" t="str">
        <f>INDEX('Draft Engine'!$A$3:$A$232,$O169)</f>
        <v>TE</v>
      </c>
      <c r="C169">
        <f>INDEX('Draft Engine'!$F$3:$F$232,$O169)</f>
        <v>27</v>
      </c>
      <c r="D169" t="str">
        <f>INDEX('Draft Engine'!$B$3:$B$232,$O169)</f>
        <v>Gunnar Helm</v>
      </c>
      <c r="E169" s="4">
        <f>INDEX('Draft Engine'!$N$3:$N$232,$O169)</f>
        <v>43.272265000000004</v>
      </c>
      <c r="F169" s="4">
        <f>INDEX('Draft Engine'!$E$3:$E$232,$O169)</f>
        <v>66.622299999999996</v>
      </c>
      <c r="G169" s="4">
        <f>INDEX('Draft Engine'!$G$3:$G$232,$O169)</f>
        <v>133.19999999999999</v>
      </c>
      <c r="H169" s="4">
        <f>INDEX('Draft Engine'!$J$3:$J$232,$O169)</f>
        <v>-46.5</v>
      </c>
      <c r="I169" s="4">
        <f>INDEX('Draft Engine'!$L$3:$L$232,$O169)</f>
        <v>0</v>
      </c>
      <c r="J169" s="4">
        <f>INDEX('Draft Engine'!$R$3:$R$232,$O169)</f>
        <v>242</v>
      </c>
      <c r="K169" s="4">
        <f>INDEX('Draft Engine'!$S$3:$S$232,$O169)</f>
        <v>75</v>
      </c>
      <c r="L169" s="4">
        <f>INDEX('Draft Engine'!$U$3:$U$232,$O169)</f>
        <v>60.622299999999996</v>
      </c>
      <c r="M169" s="4">
        <f>INDEX('Draft Engine'!$W$3:$W$232,$O169)</f>
        <v>72.622299999999996</v>
      </c>
      <c r="N169" t="str">
        <f>INDEX('Draft Engine'!$T$3:$T$232,$O169)</f>
        <v>A</v>
      </c>
      <c r="O169" s="6">
        <f>MATCH($A169,'Draft Engine'!$Q$3:$Q$232,0)</f>
        <v>184</v>
      </c>
    </row>
    <row r="170" spans="1:15" x14ac:dyDescent="0.25">
      <c r="A170">
        <f>168</f>
        <v>168</v>
      </c>
      <c r="B170" t="str">
        <f>INDEX('Draft Engine'!$A$3:$A$232,$O170)</f>
        <v>RB</v>
      </c>
      <c r="C170">
        <f>INDEX('Draft Engine'!$F$3:$F$232,$O170)</f>
        <v>45</v>
      </c>
      <c r="D170" t="str">
        <f>INDEX('Draft Engine'!$B$3:$B$232,$O170)</f>
        <v>Tyler Allgeier</v>
      </c>
      <c r="E170" s="4">
        <f>INDEX('Draft Engine'!$N$3:$N$232,$O170)</f>
        <v>43.13121000000001</v>
      </c>
      <c r="F170" s="4">
        <f>INDEX('Draft Engine'!$E$3:$E$232,$O170)</f>
        <v>63.032200000000003</v>
      </c>
      <c r="G170" s="4">
        <f>INDEX('Draft Engine'!$G$3:$G$232,$O170)</f>
        <v>194.7</v>
      </c>
      <c r="H170" s="4">
        <f>INDEX('Draft Engine'!$J$3:$J$232,$O170)</f>
        <v>-44.3</v>
      </c>
      <c r="I170" s="4">
        <f>INDEX('Draft Engine'!$L$3:$L$232,$O170)</f>
        <v>9.5833333333333375</v>
      </c>
      <c r="J170" s="4">
        <f>INDEX('Draft Engine'!$R$3:$R$232,$O170)</f>
        <v>164.3</v>
      </c>
      <c r="K170" s="4">
        <f>INDEX('Draft Engine'!$S$3:$S$232,$O170)</f>
        <v>-3.6999999999999886</v>
      </c>
      <c r="L170" s="4">
        <f>INDEX('Draft Engine'!$U$3:$U$232,$O170)</f>
        <v>57.032200000000003</v>
      </c>
      <c r="M170" s="4">
        <f>INDEX('Draft Engine'!$W$3:$W$232,$O170)</f>
        <v>69.032200000000003</v>
      </c>
      <c r="N170" t="str">
        <f>INDEX('Draft Engine'!$T$3:$T$232,$O170)</f>
        <v>A</v>
      </c>
      <c r="O170" s="6">
        <f>MATCH($A170,'Draft Engine'!$Q$3:$Q$232,0)</f>
        <v>76</v>
      </c>
    </row>
    <row r="171" spans="1:15" x14ac:dyDescent="0.25">
      <c r="A171">
        <f>169</f>
        <v>169</v>
      </c>
      <c r="B171" t="str">
        <f>INDEX('Draft Engine'!$A$3:$A$232,$O171)</f>
        <v>WR</v>
      </c>
      <c r="C171">
        <f>INDEX('Draft Engine'!$F$3:$F$232,$O171)</f>
        <v>53</v>
      </c>
      <c r="D171" t="str">
        <f>INDEX('Draft Engine'!$B$3:$B$232,$O171)</f>
        <v>Romeo Doubs</v>
      </c>
      <c r="E171" s="4">
        <f>INDEX('Draft Engine'!$N$3:$N$232,$O171)</f>
        <v>43.124000000000002</v>
      </c>
      <c r="F171" s="4">
        <f>INDEX('Draft Engine'!$E$3:$E$232,$O171)</f>
        <v>64.16</v>
      </c>
      <c r="G171" s="4">
        <f>INDEX('Draft Engine'!$G$3:$G$232,$O171)</f>
        <v>199.5</v>
      </c>
      <c r="H171" s="4">
        <f>INDEX('Draft Engine'!$J$3:$J$232,$O171)</f>
        <v>-39.799999999999997</v>
      </c>
      <c r="I171" s="4">
        <f>INDEX('Draft Engine'!$L$3:$L$232,$O171)</f>
        <v>0</v>
      </c>
      <c r="J171" s="4">
        <f>INDEX('Draft Engine'!$R$3:$R$232,$O171)</f>
        <v>116</v>
      </c>
      <c r="K171" s="4">
        <f>INDEX('Draft Engine'!$S$3:$S$232,$O171)</f>
        <v>-53</v>
      </c>
      <c r="L171" s="4">
        <f>INDEX('Draft Engine'!$U$3:$U$232,$O171)</f>
        <v>52.16</v>
      </c>
      <c r="M171" s="4">
        <f>INDEX('Draft Engine'!$W$3:$W$232,$O171)</f>
        <v>76.16</v>
      </c>
      <c r="N171" t="str">
        <f>INDEX('Draft Engine'!$T$3:$T$232,$O171)</f>
        <v>C</v>
      </c>
      <c r="O171" s="6">
        <f>MATCH($A171,'Draft Engine'!$Q$3:$Q$232,0)</f>
        <v>137</v>
      </c>
    </row>
    <row r="172" spans="1:15" x14ac:dyDescent="0.25">
      <c r="A172">
        <f>170</f>
        <v>170</v>
      </c>
      <c r="B172" t="str">
        <f>INDEX('Draft Engine'!$A$3:$A$232,$O172)</f>
        <v>QB</v>
      </c>
      <c r="C172">
        <f>INDEX('Draft Engine'!$F$3:$F$232,$O172)</f>
        <v>25</v>
      </c>
      <c r="D172" t="str">
        <f>INDEX('Draft Engine'!$B$3:$B$232,$O172)</f>
        <v>Bryce Young</v>
      </c>
      <c r="E172" s="4">
        <f>INDEX('Draft Engine'!$N$3:$N$232,$O172)</f>
        <v>42.408680000000004</v>
      </c>
      <c r="F172" s="4">
        <f>INDEX('Draft Engine'!$E$3:$E$232,$O172)</f>
        <v>72.797600000000003</v>
      </c>
      <c r="G172" s="4">
        <f>INDEX('Draft Engine'!$G$3:$G$232,$O172)</f>
        <v>297.60000000000002</v>
      </c>
      <c r="H172" s="4">
        <f>INDEX('Draft Engine'!$J$3:$J$232,$O172)</f>
        <v>-53.5</v>
      </c>
      <c r="I172" s="4">
        <f>INDEX('Draft Engine'!$L$3:$L$232,$O172)</f>
        <v>0</v>
      </c>
      <c r="J172" s="4">
        <f>INDEX('Draft Engine'!$R$3:$R$232,$O172)</f>
        <v>174.2</v>
      </c>
      <c r="K172" s="4">
        <f>INDEX('Draft Engine'!$S$3:$S$232,$O172)</f>
        <v>4.1999999999999886</v>
      </c>
      <c r="L172" s="4">
        <f>INDEX('Draft Engine'!$U$3:$U$232,$O172)</f>
        <v>66.797600000000003</v>
      </c>
      <c r="M172" s="4">
        <f>INDEX('Draft Engine'!$W$3:$W$232,$O172)</f>
        <v>78.797600000000003</v>
      </c>
      <c r="N172" t="str">
        <f>INDEX('Draft Engine'!$T$3:$T$232,$O172)</f>
        <v>A</v>
      </c>
      <c r="O172" s="6">
        <f>MATCH($A172,'Draft Engine'!$Q$3:$Q$232,0)</f>
        <v>25</v>
      </c>
    </row>
    <row r="173" spans="1:15" x14ac:dyDescent="0.25">
      <c r="A173">
        <f>171</f>
        <v>171</v>
      </c>
      <c r="B173" t="str">
        <f>INDEX('Draft Engine'!$A$3:$A$232,$O173)</f>
        <v>WR</v>
      </c>
      <c r="C173">
        <f>INDEX('Draft Engine'!$F$3:$F$232,$O173)</f>
        <v>54</v>
      </c>
      <c r="D173" t="str">
        <f>INDEX('Draft Engine'!$B$3:$B$232,$O173)</f>
        <v>Jalen Coker</v>
      </c>
      <c r="E173" s="4">
        <f>INDEX('Draft Engine'!$N$3:$N$232,$O173)</f>
        <v>42.251500000000007</v>
      </c>
      <c r="F173" s="4">
        <f>INDEX('Draft Engine'!$E$3:$E$232,$O173)</f>
        <v>63.49</v>
      </c>
      <c r="G173" s="4">
        <f>INDEX('Draft Engine'!$G$3:$G$232,$O173)</f>
        <v>196.7</v>
      </c>
      <c r="H173" s="4">
        <f>INDEX('Draft Engine'!$J$3:$J$232,$O173)</f>
        <v>-42.6</v>
      </c>
      <c r="I173" s="4">
        <f>INDEX('Draft Engine'!$L$3:$L$232,$O173)</f>
        <v>0</v>
      </c>
      <c r="J173" s="4">
        <f>INDEX('Draft Engine'!$R$3:$R$232,$O173)</f>
        <v>127.3</v>
      </c>
      <c r="K173" s="4">
        <f>INDEX('Draft Engine'!$S$3:$S$232,$O173)</f>
        <v>-43.7</v>
      </c>
      <c r="L173" s="4">
        <f>INDEX('Draft Engine'!$U$3:$U$232,$O173)</f>
        <v>51.49</v>
      </c>
      <c r="M173" s="4">
        <f>INDEX('Draft Engine'!$W$3:$W$232,$O173)</f>
        <v>75.490000000000009</v>
      </c>
      <c r="N173" t="str">
        <f>INDEX('Draft Engine'!$T$3:$T$232,$O173)</f>
        <v>C</v>
      </c>
      <c r="O173" s="6">
        <f>MATCH($A173,'Draft Engine'!$Q$3:$Q$232,0)</f>
        <v>138</v>
      </c>
    </row>
    <row r="174" spans="1:15" x14ac:dyDescent="0.25">
      <c r="A174">
        <f>172</f>
        <v>172</v>
      </c>
      <c r="B174" t="str">
        <f>INDEX('Draft Engine'!$A$3:$A$232,$O174)</f>
        <v>QB</v>
      </c>
      <c r="C174">
        <f>INDEX('Draft Engine'!$F$3:$F$232,$O174)</f>
        <v>26</v>
      </c>
      <c r="D174" t="str">
        <f>INDEX('Draft Engine'!$B$3:$B$232,$O174)</f>
        <v>Cam Ward</v>
      </c>
      <c r="E174" s="4">
        <f>INDEX('Draft Engine'!$N$3:$N$232,$O174)</f>
        <v>42.227530000000002</v>
      </c>
      <c r="F174" s="4">
        <f>INDEX('Draft Engine'!$E$3:$E$232,$O174)</f>
        <v>72.664599999999993</v>
      </c>
      <c r="G174" s="4">
        <f>INDEX('Draft Engine'!$G$3:$G$232,$O174)</f>
        <v>297</v>
      </c>
      <c r="H174" s="4">
        <f>INDEX('Draft Engine'!$J$3:$J$232,$O174)</f>
        <v>-54.1</v>
      </c>
      <c r="I174" s="4">
        <f>INDEX('Draft Engine'!$L$3:$L$232,$O174)</f>
        <v>0</v>
      </c>
      <c r="J174" s="4">
        <f>INDEX('Draft Engine'!$R$3:$R$232,$O174)</f>
        <v>175.6</v>
      </c>
      <c r="K174" s="4">
        <f>INDEX('Draft Engine'!$S$3:$S$232,$O174)</f>
        <v>3.5999999999999943</v>
      </c>
      <c r="L174" s="4">
        <f>INDEX('Draft Engine'!$U$3:$U$232,$O174)</f>
        <v>66.664599999999993</v>
      </c>
      <c r="M174" s="4">
        <f>INDEX('Draft Engine'!$W$3:$W$232,$O174)</f>
        <v>78.664599999999993</v>
      </c>
      <c r="N174" t="str">
        <f>INDEX('Draft Engine'!$T$3:$T$232,$O174)</f>
        <v>A</v>
      </c>
      <c r="O174" s="6">
        <f>MATCH($A174,'Draft Engine'!$Q$3:$Q$232,0)</f>
        <v>26</v>
      </c>
    </row>
    <row r="175" spans="1:15" x14ac:dyDescent="0.25">
      <c r="A175">
        <f>173</f>
        <v>173</v>
      </c>
      <c r="B175" t="str">
        <f>INDEX('Draft Engine'!$A$3:$A$232,$O175)</f>
        <v>WR</v>
      </c>
      <c r="C175">
        <f>INDEX('Draft Engine'!$F$3:$F$232,$O175)</f>
        <v>55</v>
      </c>
      <c r="D175" t="str">
        <f>INDEX('Draft Engine'!$B$3:$B$232,$O175)</f>
        <v>Deebo Samuel</v>
      </c>
      <c r="E175" s="4">
        <f>INDEX('Draft Engine'!$N$3:$N$232,$O175)</f>
        <v>41.858000000000004</v>
      </c>
      <c r="F175" s="4">
        <f>INDEX('Draft Engine'!$E$3:$E$232,$O175)</f>
        <v>63.2</v>
      </c>
      <c r="G175" s="4">
        <f>INDEX('Draft Engine'!$G$3:$G$232,$O175)</f>
        <v>195.4</v>
      </c>
      <c r="H175" s="4">
        <f>INDEX('Draft Engine'!$J$3:$J$232,$O175)</f>
        <v>-43.9</v>
      </c>
      <c r="I175" s="4">
        <f>INDEX('Draft Engine'!$L$3:$L$232,$O175)</f>
        <v>0</v>
      </c>
      <c r="J175" s="4">
        <f>INDEX('Draft Engine'!$R$3:$R$232,$O175)</f>
        <v>96.2</v>
      </c>
      <c r="K175" s="4">
        <f>INDEX('Draft Engine'!$S$3:$S$232,$O175)</f>
        <v>-76.8</v>
      </c>
      <c r="L175" s="4">
        <f>INDEX('Draft Engine'!$U$3:$U$232,$O175)</f>
        <v>51.2</v>
      </c>
      <c r="M175" s="4">
        <f>INDEX('Draft Engine'!$W$3:$W$232,$O175)</f>
        <v>75.2</v>
      </c>
      <c r="N175" t="str">
        <f>INDEX('Draft Engine'!$T$3:$T$232,$O175)</f>
        <v>C</v>
      </c>
      <c r="O175" s="6">
        <f>MATCH($A175,'Draft Engine'!$Q$3:$Q$232,0)</f>
        <v>156</v>
      </c>
    </row>
    <row r="176" spans="1:15" x14ac:dyDescent="0.25">
      <c r="A176">
        <f>174</f>
        <v>174</v>
      </c>
      <c r="B176" t="str">
        <f>INDEX('Draft Engine'!$A$3:$A$232,$O176)</f>
        <v>RB</v>
      </c>
      <c r="C176">
        <f>INDEX('Draft Engine'!$F$3:$F$232,$O176)</f>
        <v>46</v>
      </c>
      <c r="D176" t="str">
        <f>INDEX('Draft Engine'!$B$3:$B$232,$O176)</f>
        <v>Jonathon Brooks</v>
      </c>
      <c r="E176" s="4">
        <f>INDEX('Draft Engine'!$N$3:$N$232,$O176)</f>
        <v>41.684125000000002</v>
      </c>
      <c r="F176" s="4">
        <f>INDEX('Draft Engine'!$E$3:$E$232,$O176)</f>
        <v>62.2</v>
      </c>
      <c r="G176" s="4">
        <f>INDEX('Draft Engine'!$G$3:$G$232,$O176)</f>
        <v>191.2</v>
      </c>
      <c r="H176" s="4">
        <f>INDEX('Draft Engine'!$J$3:$J$232,$O176)</f>
        <v>-47.8</v>
      </c>
      <c r="I176" s="4">
        <f>INDEX('Draft Engine'!$L$3:$L$232,$O176)</f>
        <v>7.1874999999999991</v>
      </c>
      <c r="J176" s="4">
        <f>INDEX('Draft Engine'!$R$3:$R$232,$O176)</f>
        <v>109.4</v>
      </c>
      <c r="K176" s="4">
        <f>INDEX('Draft Engine'!$S$3:$S$232,$O176)</f>
        <v>-64.599999999999994</v>
      </c>
      <c r="L176" s="4">
        <f>INDEX('Draft Engine'!$U$3:$U$232,$O176)</f>
        <v>50.2</v>
      </c>
      <c r="M176" s="4">
        <f>INDEX('Draft Engine'!$W$3:$W$232,$O176)</f>
        <v>74.2</v>
      </c>
      <c r="N176" t="str">
        <f>INDEX('Draft Engine'!$T$3:$T$232,$O176)</f>
        <v>C</v>
      </c>
      <c r="O176" s="6">
        <f>MATCH($A176,'Draft Engine'!$Q$3:$Q$232,0)</f>
        <v>78</v>
      </c>
    </row>
    <row r="177" spans="1:15" x14ac:dyDescent="0.25">
      <c r="A177">
        <f>175</f>
        <v>175</v>
      </c>
      <c r="B177" t="str">
        <f>INDEX('Draft Engine'!$A$3:$A$232,$O177)</f>
        <v>WR</v>
      </c>
      <c r="C177">
        <f>INDEX('Draft Engine'!$F$3:$F$232,$O177)</f>
        <v>56</v>
      </c>
      <c r="D177" t="str">
        <f>INDEX('Draft Engine'!$B$3:$B$232,$O177)</f>
        <v>KC Concepcion</v>
      </c>
      <c r="E177" s="4">
        <f>INDEX('Draft Engine'!$N$3:$N$232,$O177)</f>
        <v>41.361000000000004</v>
      </c>
      <c r="F177" s="4">
        <f>INDEX('Draft Engine'!$E$3:$E$232,$O177)</f>
        <v>62.82</v>
      </c>
      <c r="G177" s="4">
        <f>INDEX('Draft Engine'!$G$3:$G$232,$O177)</f>
        <v>193.8</v>
      </c>
      <c r="H177" s="4">
        <f>INDEX('Draft Engine'!$J$3:$J$232,$O177)</f>
        <v>-45.5</v>
      </c>
      <c r="I177" s="4">
        <f>INDEX('Draft Engine'!$L$3:$L$232,$O177)</f>
        <v>0</v>
      </c>
      <c r="J177" s="4">
        <f>INDEX('Draft Engine'!$R$3:$R$232,$O177)</f>
        <v>130.69999999999999</v>
      </c>
      <c r="K177" s="4">
        <f>INDEX('Draft Engine'!$S$3:$S$232,$O177)</f>
        <v>-44.300000000000011</v>
      </c>
      <c r="L177" s="4">
        <f>INDEX('Draft Engine'!$U$3:$U$232,$O177)</f>
        <v>50.82</v>
      </c>
      <c r="M177" s="4">
        <f>INDEX('Draft Engine'!$W$3:$W$232,$O177)</f>
        <v>74.819999999999993</v>
      </c>
      <c r="N177" t="str">
        <f>INDEX('Draft Engine'!$T$3:$T$232,$O177)</f>
        <v>C</v>
      </c>
      <c r="O177" s="6">
        <f>MATCH($A177,'Draft Engine'!$Q$3:$Q$232,0)</f>
        <v>139</v>
      </c>
    </row>
    <row r="178" spans="1:15" x14ac:dyDescent="0.25">
      <c r="A178">
        <f>176</f>
        <v>176</v>
      </c>
      <c r="B178" t="str">
        <f>INDEX('Draft Engine'!$A$3:$A$232,$O178)</f>
        <v>RB</v>
      </c>
      <c r="C178">
        <f>INDEX('Draft Engine'!$F$3:$F$232,$O178)</f>
        <v>47</v>
      </c>
      <c r="D178" t="str">
        <f>INDEX('Draft Engine'!$B$3:$B$232,$O178)</f>
        <v>Emanuel Wilson</v>
      </c>
      <c r="E178" s="4">
        <f>INDEX('Draft Engine'!$N$3:$N$232,$O178)</f>
        <v>41.042905000000005</v>
      </c>
      <c r="F178" s="4">
        <f>INDEX('Draft Engine'!$E$3:$E$232,$O178)</f>
        <v>61.982100000000003</v>
      </c>
      <c r="G178" s="4">
        <f>INDEX('Draft Engine'!$G$3:$G$232,$O178)</f>
        <v>190.3</v>
      </c>
      <c r="H178" s="4">
        <f>INDEX('Draft Engine'!$J$3:$J$232,$O178)</f>
        <v>-48.7</v>
      </c>
      <c r="I178" s="4">
        <f>INDEX('Draft Engine'!$L$3:$L$232,$O178)</f>
        <v>4.7916666666666616</v>
      </c>
      <c r="J178" s="4">
        <f>INDEX('Draft Engine'!$R$3:$R$232,$O178)</f>
        <v>195.2</v>
      </c>
      <c r="K178" s="4">
        <f>INDEX('Draft Engine'!$S$3:$S$232,$O178)</f>
        <v>19.199999999999989</v>
      </c>
      <c r="L178" s="4">
        <f>INDEX('Draft Engine'!$U$3:$U$232,$O178)</f>
        <v>55.982100000000003</v>
      </c>
      <c r="M178" s="4">
        <f>INDEX('Draft Engine'!$W$3:$W$232,$O178)</f>
        <v>67.982100000000003</v>
      </c>
      <c r="N178" t="str">
        <f>INDEX('Draft Engine'!$T$3:$T$232,$O178)</f>
        <v>A</v>
      </c>
      <c r="O178" s="6">
        <f>MATCH($A178,'Draft Engine'!$Q$3:$Q$232,0)</f>
        <v>79</v>
      </c>
    </row>
    <row r="179" spans="1:15" x14ac:dyDescent="0.25">
      <c r="A179">
        <f>177</f>
        <v>177</v>
      </c>
      <c r="B179" t="str">
        <f>INDEX('Draft Engine'!$A$3:$A$232,$O179)</f>
        <v>TE</v>
      </c>
      <c r="C179">
        <f>INDEX('Draft Engine'!$F$3:$F$232,$O179)</f>
        <v>28</v>
      </c>
      <c r="D179" t="str">
        <f>INDEX('Draft Engine'!$B$3:$B$232,$O179)</f>
        <v>Terrance Ferguson</v>
      </c>
      <c r="E179" s="4">
        <f>INDEX('Draft Engine'!$N$3:$N$232,$O179)</f>
        <v>40.607154999999999</v>
      </c>
      <c r="F179" s="4">
        <f>INDEX('Draft Engine'!$E$3:$E$232,$O179)</f>
        <v>64.362099999999998</v>
      </c>
      <c r="G179" s="4">
        <f>INDEX('Draft Engine'!$G$3:$G$232,$O179)</f>
        <v>125.3</v>
      </c>
      <c r="H179" s="4">
        <f>INDEX('Draft Engine'!$J$3:$J$232,$O179)</f>
        <v>-54.4</v>
      </c>
      <c r="I179" s="4">
        <f>INDEX('Draft Engine'!$L$3:$L$232,$O179)</f>
        <v>0</v>
      </c>
      <c r="J179" s="4">
        <f>INDEX('Draft Engine'!$R$3:$R$232,$O179)</f>
        <v>251</v>
      </c>
      <c r="K179" s="4">
        <f>INDEX('Draft Engine'!$S$3:$S$232,$O179)</f>
        <v>74</v>
      </c>
      <c r="L179" s="4">
        <f>INDEX('Draft Engine'!$U$3:$U$232,$O179)</f>
        <v>58.362099999999998</v>
      </c>
      <c r="M179" s="4">
        <f>INDEX('Draft Engine'!$W$3:$W$232,$O179)</f>
        <v>70.362099999999998</v>
      </c>
      <c r="N179" t="str">
        <f>INDEX('Draft Engine'!$T$3:$T$232,$O179)</f>
        <v>A</v>
      </c>
      <c r="O179" s="6">
        <f>MATCH($A179,'Draft Engine'!$Q$3:$Q$232,0)</f>
        <v>185</v>
      </c>
    </row>
    <row r="180" spans="1:15" x14ac:dyDescent="0.25">
      <c r="A180">
        <f>178</f>
        <v>178</v>
      </c>
      <c r="B180" t="str">
        <f>INDEX('Draft Engine'!$A$3:$A$232,$O180)</f>
        <v>WR</v>
      </c>
      <c r="C180">
        <f>INDEX('Draft Engine'!$F$3:$F$232,$O180)</f>
        <v>57</v>
      </c>
      <c r="D180" t="str">
        <f>INDEX('Draft Engine'!$B$3:$B$232,$O180)</f>
        <v>Rashid Shaheed</v>
      </c>
      <c r="E180" s="4">
        <f>INDEX('Draft Engine'!$N$3:$N$232,$O180)</f>
        <v>40.488500000000002</v>
      </c>
      <c r="F180" s="4">
        <f>INDEX('Draft Engine'!$E$3:$E$232,$O180)</f>
        <v>62.15</v>
      </c>
      <c r="G180" s="4">
        <f>INDEX('Draft Engine'!$G$3:$G$232,$O180)</f>
        <v>191</v>
      </c>
      <c r="H180" s="4">
        <f>INDEX('Draft Engine'!$J$3:$J$232,$O180)</f>
        <v>-48.3</v>
      </c>
      <c r="I180" s="4">
        <f>INDEX('Draft Engine'!$L$3:$L$232,$O180)</f>
        <v>0</v>
      </c>
      <c r="J180" s="4">
        <f>INDEX('Draft Engine'!$R$3:$R$232,$O180)</f>
        <v>121.9</v>
      </c>
      <c r="K180" s="4">
        <f>INDEX('Draft Engine'!$S$3:$S$232,$O180)</f>
        <v>-56.099999999999994</v>
      </c>
      <c r="L180" s="4">
        <f>INDEX('Draft Engine'!$U$3:$U$232,$O180)</f>
        <v>50.15</v>
      </c>
      <c r="M180" s="4">
        <f>INDEX('Draft Engine'!$W$3:$W$232,$O180)</f>
        <v>74.150000000000006</v>
      </c>
      <c r="N180" t="str">
        <f>INDEX('Draft Engine'!$T$3:$T$232,$O180)</f>
        <v>C</v>
      </c>
      <c r="O180" s="6">
        <f>MATCH($A180,'Draft Engine'!$Q$3:$Q$232,0)</f>
        <v>140</v>
      </c>
    </row>
    <row r="181" spans="1:15" x14ac:dyDescent="0.25">
      <c r="A181">
        <f>179</f>
        <v>179</v>
      </c>
      <c r="B181" t="str">
        <f>INDEX('Draft Engine'!$A$3:$A$232,$O181)</f>
        <v>WR</v>
      </c>
      <c r="C181">
        <f>INDEX('Draft Engine'!$F$3:$F$232,$O181)</f>
        <v>58</v>
      </c>
      <c r="D181" t="str">
        <f>INDEX('Draft Engine'!$B$3:$B$232,$O181)</f>
        <v>Jayden Higgins</v>
      </c>
      <c r="E181" s="4">
        <f>INDEX('Draft Engine'!$N$3:$N$232,$O181)</f>
        <v>40.425000000000004</v>
      </c>
      <c r="F181" s="4">
        <f>INDEX('Draft Engine'!$E$3:$E$232,$O181)</f>
        <v>62.1</v>
      </c>
      <c r="G181" s="4">
        <f>INDEX('Draft Engine'!$G$3:$G$232,$O181)</f>
        <v>190.8</v>
      </c>
      <c r="H181" s="4">
        <f>INDEX('Draft Engine'!$J$3:$J$232,$O181)</f>
        <v>-48.5</v>
      </c>
      <c r="I181" s="4">
        <f>INDEX('Draft Engine'!$L$3:$L$232,$O181)</f>
        <v>0</v>
      </c>
      <c r="J181" s="4">
        <f>INDEX('Draft Engine'!$R$3:$R$232,$O181)</f>
        <v>137.1</v>
      </c>
      <c r="K181" s="4">
        <f>INDEX('Draft Engine'!$S$3:$S$232,$O181)</f>
        <v>-41.900000000000006</v>
      </c>
      <c r="L181" s="4">
        <f>INDEX('Draft Engine'!$U$3:$U$232,$O181)</f>
        <v>50.1</v>
      </c>
      <c r="M181" s="4">
        <f>INDEX('Draft Engine'!$W$3:$W$232,$O181)</f>
        <v>74.099999999999994</v>
      </c>
      <c r="N181" t="str">
        <f>INDEX('Draft Engine'!$T$3:$T$232,$O181)</f>
        <v>C</v>
      </c>
      <c r="O181" s="6">
        <f>MATCH($A181,'Draft Engine'!$Q$3:$Q$232,0)</f>
        <v>157</v>
      </c>
    </row>
    <row r="182" spans="1:15" x14ac:dyDescent="0.25">
      <c r="A182">
        <f>180</f>
        <v>180</v>
      </c>
      <c r="B182" t="str">
        <f>INDEX('Draft Engine'!$A$3:$A$232,$O182)</f>
        <v>QB</v>
      </c>
      <c r="C182">
        <f>INDEX('Draft Engine'!$F$3:$F$232,$O182)</f>
        <v>27</v>
      </c>
      <c r="D182" t="str">
        <f>INDEX('Draft Engine'!$B$3:$B$232,$O182)</f>
        <v>Jacoby Brissett</v>
      </c>
      <c r="E182" s="4">
        <f>INDEX('Draft Engine'!$N$3:$N$232,$O182)</f>
        <v>40.415370000000003</v>
      </c>
      <c r="F182" s="4">
        <f>INDEX('Draft Engine'!$E$3:$E$232,$O182)</f>
        <v>71.333399999999997</v>
      </c>
      <c r="G182" s="4">
        <f>INDEX('Draft Engine'!$G$3:$G$232,$O182)</f>
        <v>291</v>
      </c>
      <c r="H182" s="4">
        <f>INDEX('Draft Engine'!$J$3:$J$232,$O182)</f>
        <v>-60.1</v>
      </c>
      <c r="I182" s="4">
        <f>INDEX('Draft Engine'!$L$3:$L$232,$O182)</f>
        <v>0</v>
      </c>
      <c r="J182" s="4">
        <f>INDEX('Draft Engine'!$R$3:$R$232,$O182)</f>
        <v>167.4</v>
      </c>
      <c r="K182" s="4">
        <f>INDEX('Draft Engine'!$S$3:$S$232,$O182)</f>
        <v>-12.599999999999994</v>
      </c>
      <c r="L182" s="4">
        <f>INDEX('Draft Engine'!$U$3:$U$232,$O182)</f>
        <v>65.333399999999997</v>
      </c>
      <c r="M182" s="4">
        <f>INDEX('Draft Engine'!$W$3:$W$232,$O182)</f>
        <v>77.333399999999997</v>
      </c>
      <c r="N182" t="str">
        <f>INDEX('Draft Engine'!$T$3:$T$232,$O182)</f>
        <v>A</v>
      </c>
      <c r="O182" s="6">
        <f>MATCH($A182,'Draft Engine'!$Q$3:$Q$232,0)</f>
        <v>27</v>
      </c>
    </row>
    <row r="183" spans="1:15" x14ac:dyDescent="0.25">
      <c r="A183">
        <f>181</f>
        <v>181</v>
      </c>
      <c r="B183" t="str">
        <f>INDEX('Draft Engine'!$A$3:$A$232,$O183)</f>
        <v>QB</v>
      </c>
      <c r="C183">
        <f>INDEX('Draft Engine'!$F$3:$F$232,$O183)</f>
        <v>28</v>
      </c>
      <c r="D183" t="str">
        <f>INDEX('Draft Engine'!$B$3:$B$232,$O183)</f>
        <v>Geno Smith</v>
      </c>
      <c r="E183" s="4">
        <f>INDEX('Draft Engine'!$N$3:$N$232,$O183)</f>
        <v>40.08823000000001</v>
      </c>
      <c r="F183" s="4">
        <f>INDEX('Draft Engine'!$E$3:$E$232,$O183)</f>
        <v>71.098600000000005</v>
      </c>
      <c r="G183" s="4">
        <f>INDEX('Draft Engine'!$G$3:$G$232,$O183)</f>
        <v>289.89999999999998</v>
      </c>
      <c r="H183" s="4">
        <f>INDEX('Draft Engine'!$J$3:$J$232,$O183)</f>
        <v>-61.2</v>
      </c>
      <c r="I183" s="4">
        <f>INDEX('Draft Engine'!$L$3:$L$232,$O183)</f>
        <v>0</v>
      </c>
      <c r="J183" s="4">
        <f>INDEX('Draft Engine'!$R$3:$R$232,$O183)</f>
        <v>238</v>
      </c>
      <c r="K183" s="4">
        <f>INDEX('Draft Engine'!$S$3:$S$232,$O183)</f>
        <v>57</v>
      </c>
      <c r="L183" s="4">
        <f>INDEX('Draft Engine'!$U$3:$U$232,$O183)</f>
        <v>65.098600000000005</v>
      </c>
      <c r="M183" s="4">
        <f>INDEX('Draft Engine'!$W$3:$W$232,$O183)</f>
        <v>77.098600000000005</v>
      </c>
      <c r="N183" t="str">
        <f>INDEX('Draft Engine'!$T$3:$T$232,$O183)</f>
        <v>A</v>
      </c>
      <c r="O183" s="6">
        <f>MATCH($A183,'Draft Engine'!$Q$3:$Q$232,0)</f>
        <v>28</v>
      </c>
    </row>
    <row r="184" spans="1:15" x14ac:dyDescent="0.25">
      <c r="A184">
        <f>182</f>
        <v>182</v>
      </c>
      <c r="B184" t="str">
        <f>INDEX('Draft Engine'!$A$3:$A$232,$O184)</f>
        <v>QB</v>
      </c>
      <c r="C184">
        <f>INDEX('Draft Engine'!$F$3:$F$232,$O184)</f>
        <v>29</v>
      </c>
      <c r="D184" t="str">
        <f>INDEX('Draft Engine'!$B$3:$B$232,$O184)</f>
        <v>Aaron Rodgers</v>
      </c>
      <c r="E184" s="4">
        <f>INDEX('Draft Engine'!$N$3:$N$232,$O184)</f>
        <v>39.808640000000004</v>
      </c>
      <c r="F184" s="4">
        <f>INDEX('Draft Engine'!$E$3:$E$232,$O184)</f>
        <v>70.884799999999998</v>
      </c>
      <c r="G184" s="4">
        <f>INDEX('Draft Engine'!$G$3:$G$232,$O184)</f>
        <v>289</v>
      </c>
      <c r="H184" s="4">
        <f>INDEX('Draft Engine'!$J$3:$J$232,$O184)</f>
        <v>-62.1</v>
      </c>
      <c r="I184" s="4">
        <f>INDEX('Draft Engine'!$L$3:$L$232,$O184)</f>
        <v>0</v>
      </c>
      <c r="J184" s="4">
        <f>INDEX('Draft Engine'!$R$3:$R$232,$O184)</f>
        <v>168.1</v>
      </c>
      <c r="K184" s="4">
        <f>INDEX('Draft Engine'!$S$3:$S$232,$O184)</f>
        <v>-13.900000000000006</v>
      </c>
      <c r="L184" s="4">
        <f>INDEX('Draft Engine'!$U$3:$U$232,$O184)</f>
        <v>64.884799999999998</v>
      </c>
      <c r="M184" s="4">
        <f>INDEX('Draft Engine'!$W$3:$W$232,$O184)</f>
        <v>76.884799999999998</v>
      </c>
      <c r="N184" t="str">
        <f>INDEX('Draft Engine'!$T$3:$T$232,$O184)</f>
        <v>A</v>
      </c>
      <c r="O184" s="6">
        <f>MATCH($A184,'Draft Engine'!$Q$3:$Q$232,0)</f>
        <v>29</v>
      </c>
    </row>
    <row r="185" spans="1:15" x14ac:dyDescent="0.25">
      <c r="A185">
        <f>183</f>
        <v>183</v>
      </c>
      <c r="B185" t="str">
        <f>INDEX('Draft Engine'!$A$3:$A$232,$O185)</f>
        <v>WR</v>
      </c>
      <c r="C185">
        <f>INDEX('Draft Engine'!$F$3:$F$232,$O185)</f>
        <v>59</v>
      </c>
      <c r="D185" t="str">
        <f>INDEX('Draft Engine'!$B$3:$B$232,$O185)</f>
        <v>Calvin Ridley</v>
      </c>
      <c r="E185" s="4">
        <f>INDEX('Draft Engine'!$N$3:$N$232,$O185)</f>
        <v>39.616</v>
      </c>
      <c r="F185" s="4">
        <f>INDEX('Draft Engine'!$E$3:$E$232,$O185)</f>
        <v>61.48</v>
      </c>
      <c r="G185" s="4">
        <f>INDEX('Draft Engine'!$G$3:$G$232,$O185)</f>
        <v>188.2</v>
      </c>
      <c r="H185" s="4">
        <f>INDEX('Draft Engine'!$J$3:$J$232,$O185)</f>
        <v>-51.1</v>
      </c>
      <c r="I185" s="4">
        <f>INDEX('Draft Engine'!$L$3:$L$232,$O185)</f>
        <v>0</v>
      </c>
      <c r="J185" s="4">
        <f>INDEX('Draft Engine'!$R$3:$R$232,$O185)</f>
        <v>132.80000000000001</v>
      </c>
      <c r="K185" s="4">
        <f>INDEX('Draft Engine'!$S$3:$S$232,$O185)</f>
        <v>-50.199999999999989</v>
      </c>
      <c r="L185" s="4">
        <f>INDEX('Draft Engine'!$U$3:$U$232,$O185)</f>
        <v>49.48</v>
      </c>
      <c r="M185" s="4">
        <f>INDEX('Draft Engine'!$W$3:$W$232,$O185)</f>
        <v>73.47999999999999</v>
      </c>
      <c r="N185" t="str">
        <f>INDEX('Draft Engine'!$T$3:$T$232,$O185)</f>
        <v>C</v>
      </c>
      <c r="O185" s="6">
        <f>MATCH($A185,'Draft Engine'!$Q$3:$Q$232,0)</f>
        <v>141</v>
      </c>
    </row>
    <row r="186" spans="1:15" x14ac:dyDescent="0.25">
      <c r="A186">
        <f>184</f>
        <v>184</v>
      </c>
      <c r="B186" t="str">
        <f>INDEX('Draft Engine'!$A$3:$A$232,$O186)</f>
        <v>WR</v>
      </c>
      <c r="C186">
        <f>INDEX('Draft Engine'!$F$3:$F$232,$O186)</f>
        <v>60</v>
      </c>
      <c r="D186" t="str">
        <f>INDEX('Draft Engine'!$B$3:$B$232,$O186)</f>
        <v>Omar Cooper Jr.</v>
      </c>
      <c r="E186" s="4">
        <f>INDEX('Draft Engine'!$N$3:$N$232,$O186)</f>
        <v>38.743500000000004</v>
      </c>
      <c r="F186" s="4">
        <f>INDEX('Draft Engine'!$E$3:$E$232,$O186)</f>
        <v>60.81</v>
      </c>
      <c r="G186" s="4">
        <f>INDEX('Draft Engine'!$G$3:$G$232,$O186)</f>
        <v>185.4</v>
      </c>
      <c r="H186" s="4">
        <f>INDEX('Draft Engine'!$J$3:$J$232,$O186)</f>
        <v>-53.9</v>
      </c>
      <c r="I186" s="4">
        <f>INDEX('Draft Engine'!$L$3:$L$232,$O186)</f>
        <v>0</v>
      </c>
      <c r="J186" s="4">
        <f>INDEX('Draft Engine'!$R$3:$R$232,$O186)</f>
        <v>165.4</v>
      </c>
      <c r="K186" s="4">
        <f>INDEX('Draft Engine'!$S$3:$S$232,$O186)</f>
        <v>-18.599999999999994</v>
      </c>
      <c r="L186" s="4">
        <f>INDEX('Draft Engine'!$U$3:$U$232,$O186)</f>
        <v>48.81</v>
      </c>
      <c r="M186" s="4">
        <f>INDEX('Draft Engine'!$W$3:$W$232,$O186)</f>
        <v>72.81</v>
      </c>
      <c r="N186" t="str">
        <f>INDEX('Draft Engine'!$T$3:$T$232,$O186)</f>
        <v>C</v>
      </c>
      <c r="O186" s="6">
        <f>MATCH($A186,'Draft Engine'!$Q$3:$Q$232,0)</f>
        <v>142</v>
      </c>
    </row>
    <row r="187" spans="1:15" x14ac:dyDescent="0.25">
      <c r="A187">
        <f>185</f>
        <v>185</v>
      </c>
      <c r="B187" t="str">
        <f>INDEX('Draft Engine'!$A$3:$A$232,$O187)</f>
        <v>RB</v>
      </c>
      <c r="C187">
        <f>INDEX('Draft Engine'!$F$3:$F$232,$O187)</f>
        <v>48</v>
      </c>
      <c r="D187" t="str">
        <f>INDEX('Draft Engine'!$B$3:$B$232,$O187)</f>
        <v>Isiah Pacheco</v>
      </c>
      <c r="E187" s="4">
        <f>INDEX('Draft Engine'!$N$3:$N$232,$O187)</f>
        <v>38.104435000000002</v>
      </c>
      <c r="F187" s="4">
        <f>INDEX('Draft Engine'!$E$3:$E$232,$O187)</f>
        <v>60.0092</v>
      </c>
      <c r="G187" s="4">
        <f>INDEX('Draft Engine'!$G$3:$G$232,$O187)</f>
        <v>182</v>
      </c>
      <c r="H187" s="4">
        <f>INDEX('Draft Engine'!$J$3:$J$232,$O187)</f>
        <v>-57</v>
      </c>
      <c r="I187" s="4">
        <f>INDEX('Draft Engine'!$L$3:$L$232,$O187)</f>
        <v>2.3958333333333375</v>
      </c>
      <c r="J187" s="4">
        <f>INDEX('Draft Engine'!$R$3:$R$232,$O187)</f>
        <v>147.69999999999999</v>
      </c>
      <c r="K187" s="4">
        <f>INDEX('Draft Engine'!$S$3:$S$232,$O187)</f>
        <v>-37.300000000000011</v>
      </c>
      <c r="L187" s="4">
        <f>INDEX('Draft Engine'!$U$3:$U$232,$O187)</f>
        <v>51.0092</v>
      </c>
      <c r="M187" s="4">
        <f>INDEX('Draft Engine'!$W$3:$W$232,$O187)</f>
        <v>69.009199999999993</v>
      </c>
      <c r="N187" t="str">
        <f>INDEX('Draft Engine'!$T$3:$T$232,$O187)</f>
        <v>B</v>
      </c>
      <c r="O187" s="6">
        <f>MATCH($A187,'Draft Engine'!$Q$3:$Q$232,0)</f>
        <v>80</v>
      </c>
    </row>
    <row r="188" spans="1:15" x14ac:dyDescent="0.25">
      <c r="A188">
        <f>186</f>
        <v>186</v>
      </c>
      <c r="B188" t="str">
        <f>INDEX('Draft Engine'!$A$3:$A$232,$O188)</f>
        <v>WR</v>
      </c>
      <c r="C188">
        <f>INDEX('Draft Engine'!$F$3:$F$232,$O188)</f>
        <v>61</v>
      </c>
      <c r="D188" t="str">
        <f>INDEX('Draft Engine'!$B$3:$B$232,$O188)</f>
        <v>Jerry Jeudy</v>
      </c>
      <c r="E188" s="4">
        <f>INDEX('Draft Engine'!$N$3:$N$232,$O188)</f>
        <v>37.871000000000002</v>
      </c>
      <c r="F188" s="4">
        <f>INDEX('Draft Engine'!$E$3:$E$232,$O188)</f>
        <v>60.14</v>
      </c>
      <c r="G188" s="4">
        <f>INDEX('Draft Engine'!$G$3:$G$232,$O188)</f>
        <v>182.6</v>
      </c>
      <c r="H188" s="4">
        <f>INDEX('Draft Engine'!$J$3:$J$232,$O188)</f>
        <v>-56.7</v>
      </c>
      <c r="I188" s="4">
        <f>INDEX('Draft Engine'!$L$3:$L$232,$O188)</f>
        <v>0</v>
      </c>
      <c r="J188" s="4">
        <f>INDEX('Draft Engine'!$R$3:$R$232,$O188)</f>
        <v>134.69999999999999</v>
      </c>
      <c r="K188" s="4">
        <f>INDEX('Draft Engine'!$S$3:$S$232,$O188)</f>
        <v>-51.300000000000011</v>
      </c>
      <c r="L188" s="4">
        <f>INDEX('Draft Engine'!$U$3:$U$232,$O188)</f>
        <v>48.14</v>
      </c>
      <c r="M188" s="4">
        <f>INDEX('Draft Engine'!$W$3:$W$232,$O188)</f>
        <v>72.14</v>
      </c>
      <c r="N188" t="str">
        <f>INDEX('Draft Engine'!$T$3:$T$232,$O188)</f>
        <v>C</v>
      </c>
      <c r="O188" s="6">
        <f>MATCH($A188,'Draft Engine'!$Q$3:$Q$232,0)</f>
        <v>143</v>
      </c>
    </row>
    <row r="189" spans="1:15" x14ac:dyDescent="0.25">
      <c r="A189">
        <f>187</f>
        <v>187</v>
      </c>
      <c r="B189" t="str">
        <f>INDEX('Draft Engine'!$A$3:$A$232,$O189)</f>
        <v>WR</v>
      </c>
      <c r="C189">
        <f>INDEX('Draft Engine'!$F$3:$F$232,$O189)</f>
        <v>62</v>
      </c>
      <c r="D189" t="str">
        <f>INDEX('Draft Engine'!$B$3:$B$232,$O189)</f>
        <v>Tank Dell</v>
      </c>
      <c r="E189" s="4">
        <f>INDEX('Draft Engine'!$N$3:$N$232,$O189)</f>
        <v>37.813000000000009</v>
      </c>
      <c r="F189" s="4">
        <f>INDEX('Draft Engine'!$E$3:$E$232,$O189)</f>
        <v>60.1</v>
      </c>
      <c r="G189" s="4">
        <f>INDEX('Draft Engine'!$G$3:$G$232,$O189)</f>
        <v>182.4</v>
      </c>
      <c r="H189" s="4">
        <f>INDEX('Draft Engine'!$J$3:$J$232,$O189)</f>
        <v>-56.9</v>
      </c>
      <c r="I189" s="4">
        <f>INDEX('Draft Engine'!$L$3:$L$232,$O189)</f>
        <v>0</v>
      </c>
      <c r="J189" s="4">
        <f>INDEX('Draft Engine'!$R$3:$R$232,$O189)</f>
        <v>146.6</v>
      </c>
      <c r="K189" s="4">
        <f>INDEX('Draft Engine'!$S$3:$S$232,$O189)</f>
        <v>-40.400000000000006</v>
      </c>
      <c r="L189" s="4">
        <f>INDEX('Draft Engine'!$U$3:$U$232,$O189)</f>
        <v>48.1</v>
      </c>
      <c r="M189" s="4">
        <f>INDEX('Draft Engine'!$W$3:$W$232,$O189)</f>
        <v>72.099999999999994</v>
      </c>
      <c r="N189" t="str">
        <f>INDEX('Draft Engine'!$T$3:$T$232,$O189)</f>
        <v>C</v>
      </c>
      <c r="O189" s="6">
        <f>MATCH($A189,'Draft Engine'!$Q$3:$Q$232,0)</f>
        <v>158</v>
      </c>
    </row>
    <row r="190" spans="1:15" x14ac:dyDescent="0.25">
      <c r="A190">
        <f>188</f>
        <v>188</v>
      </c>
      <c r="B190" t="str">
        <f>INDEX('Draft Engine'!$A$3:$A$232,$O190)</f>
        <v>WR</v>
      </c>
      <c r="C190">
        <f>INDEX('Draft Engine'!$F$3:$F$232,$O190)</f>
        <v>63</v>
      </c>
      <c r="D190" t="str">
        <f>INDEX('Draft Engine'!$B$3:$B$232,$O190)</f>
        <v>Jalen Nailor</v>
      </c>
      <c r="E190" s="4">
        <f>INDEX('Draft Engine'!$N$3:$N$232,$O190)</f>
        <v>36.9985</v>
      </c>
      <c r="F190" s="4">
        <f>INDEX('Draft Engine'!$E$3:$E$232,$O190)</f>
        <v>59.47</v>
      </c>
      <c r="G190" s="4">
        <f>INDEX('Draft Engine'!$G$3:$G$232,$O190)</f>
        <v>179.8</v>
      </c>
      <c r="H190" s="4">
        <f>INDEX('Draft Engine'!$J$3:$J$232,$O190)</f>
        <v>-59.5</v>
      </c>
      <c r="I190" s="4">
        <f>INDEX('Draft Engine'!$L$3:$L$232,$O190)</f>
        <v>0</v>
      </c>
      <c r="J190" s="4">
        <f>INDEX('Draft Engine'!$R$3:$R$232,$O190)</f>
        <v>160.6</v>
      </c>
      <c r="K190" s="4">
        <f>INDEX('Draft Engine'!$S$3:$S$232,$O190)</f>
        <v>-27.400000000000006</v>
      </c>
      <c r="L190" s="4">
        <f>INDEX('Draft Engine'!$U$3:$U$232,$O190)</f>
        <v>47.47</v>
      </c>
      <c r="M190" s="4">
        <f>INDEX('Draft Engine'!$W$3:$W$232,$O190)</f>
        <v>71.47</v>
      </c>
      <c r="N190" t="str">
        <f>INDEX('Draft Engine'!$T$3:$T$232,$O190)</f>
        <v>C</v>
      </c>
      <c r="O190" s="6">
        <f>MATCH($A190,'Draft Engine'!$Q$3:$Q$232,0)</f>
        <v>144</v>
      </c>
    </row>
    <row r="191" spans="1:15" x14ac:dyDescent="0.25">
      <c r="A191">
        <f>189</f>
        <v>189</v>
      </c>
      <c r="B191" t="str">
        <f>INDEX('Draft Engine'!$A$3:$A$232,$O191)</f>
        <v>RB</v>
      </c>
      <c r="C191">
        <f>INDEX('Draft Engine'!$F$3:$F$232,$O191)</f>
        <v>49</v>
      </c>
      <c r="D191" t="str">
        <f>INDEX('Draft Engine'!$B$3:$B$232,$O191)</f>
        <v>Alvin Kamara</v>
      </c>
      <c r="E191" s="4">
        <f>INDEX('Draft Engine'!$N$3:$N$232,$O191)</f>
        <v>36.624499999999998</v>
      </c>
      <c r="F191" s="4">
        <f>INDEX('Draft Engine'!$E$3:$E$232,$O191)</f>
        <v>59.15</v>
      </c>
      <c r="G191" s="4">
        <f>INDEX('Draft Engine'!$G$3:$G$232,$O191)</f>
        <v>178.4</v>
      </c>
      <c r="H191" s="4">
        <f>INDEX('Draft Engine'!$J$3:$J$232,$O191)</f>
        <v>-60.6</v>
      </c>
      <c r="I191" s="4">
        <f>INDEX('Draft Engine'!$L$3:$L$232,$O191)</f>
        <v>0</v>
      </c>
      <c r="J191" s="4">
        <f>INDEX('Draft Engine'!$R$3:$R$232,$O191)</f>
        <v>134.1</v>
      </c>
      <c r="K191" s="4">
        <f>INDEX('Draft Engine'!$S$3:$S$232,$O191)</f>
        <v>-54.900000000000006</v>
      </c>
      <c r="L191" s="4">
        <f>INDEX('Draft Engine'!$U$3:$U$232,$O191)</f>
        <v>50.15</v>
      </c>
      <c r="M191" s="4">
        <f>INDEX('Draft Engine'!$W$3:$W$232,$O191)</f>
        <v>68.150000000000006</v>
      </c>
      <c r="N191" t="str">
        <f>INDEX('Draft Engine'!$T$3:$T$232,$O191)</f>
        <v>B</v>
      </c>
      <c r="O191" s="6">
        <f>MATCH($A191,'Draft Engine'!$Q$3:$Q$232,0)</f>
        <v>81</v>
      </c>
    </row>
    <row r="192" spans="1:15" x14ac:dyDescent="0.25">
      <c r="A192">
        <f>190</f>
        <v>190</v>
      </c>
      <c r="B192" t="str">
        <f>INDEX('Draft Engine'!$A$3:$A$232,$O192)</f>
        <v>RB</v>
      </c>
      <c r="C192">
        <f>INDEX('Draft Engine'!$F$3:$F$232,$O192)</f>
        <v>50</v>
      </c>
      <c r="D192" t="str">
        <f>INDEX('Draft Engine'!$B$3:$B$232,$O192)</f>
        <v>Keaton Mitchell</v>
      </c>
      <c r="E192" s="4">
        <f>INDEX('Draft Engine'!$N$3:$N$232,$O192)</f>
        <v>36.434000000000005</v>
      </c>
      <c r="F192" s="4">
        <f>INDEX('Draft Engine'!$E$3:$E$232,$O192)</f>
        <v>59</v>
      </c>
      <c r="G192" s="4">
        <f>INDEX('Draft Engine'!$G$3:$G$232,$O192)</f>
        <v>177.8</v>
      </c>
      <c r="H192" s="4">
        <f>INDEX('Draft Engine'!$J$3:$J$232,$O192)</f>
        <v>-61.2</v>
      </c>
      <c r="I192" s="4">
        <f>INDEX('Draft Engine'!$L$3:$L$232,$O192)</f>
        <v>0</v>
      </c>
      <c r="J192" s="4">
        <f>INDEX('Draft Engine'!$R$3:$R$232,$O192)</f>
        <v>160.19999999999999</v>
      </c>
      <c r="K192" s="4">
        <f>INDEX('Draft Engine'!$S$3:$S$232,$O192)</f>
        <v>-29.800000000000011</v>
      </c>
      <c r="L192" s="4">
        <f>INDEX('Draft Engine'!$U$3:$U$232,$O192)</f>
        <v>47</v>
      </c>
      <c r="M192" s="4">
        <f>INDEX('Draft Engine'!$W$3:$W$232,$O192)</f>
        <v>71</v>
      </c>
      <c r="N192" t="str">
        <f>INDEX('Draft Engine'!$T$3:$T$232,$O192)</f>
        <v>C</v>
      </c>
      <c r="O192" s="6">
        <f>MATCH($A192,'Draft Engine'!$Q$3:$Q$232,0)</f>
        <v>84</v>
      </c>
    </row>
    <row r="193" spans="1:15" x14ac:dyDescent="0.25">
      <c r="A193">
        <f>191</f>
        <v>191</v>
      </c>
      <c r="B193" t="str">
        <f>INDEX('Draft Engine'!$A$3:$A$232,$O193)</f>
        <v>WR</v>
      </c>
      <c r="C193">
        <f>INDEX('Draft Engine'!$F$3:$F$232,$O193)</f>
        <v>64</v>
      </c>
      <c r="D193" t="str">
        <f>INDEX('Draft Engine'!$B$3:$B$232,$O193)</f>
        <v>Jalen McMillan</v>
      </c>
      <c r="E193" s="4">
        <f>INDEX('Draft Engine'!$N$3:$N$232,$O193)</f>
        <v>36.126000000000005</v>
      </c>
      <c r="F193" s="4">
        <f>INDEX('Draft Engine'!$E$3:$E$232,$O193)</f>
        <v>58.8</v>
      </c>
      <c r="G193" s="4">
        <f>INDEX('Draft Engine'!$G$3:$G$232,$O193)</f>
        <v>177</v>
      </c>
      <c r="H193" s="4">
        <f>INDEX('Draft Engine'!$J$3:$J$232,$O193)</f>
        <v>-62.3</v>
      </c>
      <c r="I193" s="4">
        <f>INDEX('Draft Engine'!$L$3:$L$232,$O193)</f>
        <v>0</v>
      </c>
      <c r="J193" s="4">
        <f>INDEX('Draft Engine'!$R$3:$R$232,$O193)</f>
        <v>152.80000000000001</v>
      </c>
      <c r="K193" s="4">
        <f>INDEX('Draft Engine'!$S$3:$S$232,$O193)</f>
        <v>-38.199999999999989</v>
      </c>
      <c r="L193" s="4">
        <f>INDEX('Draft Engine'!$U$3:$U$232,$O193)</f>
        <v>46.8</v>
      </c>
      <c r="M193" s="4">
        <f>INDEX('Draft Engine'!$W$3:$W$232,$O193)</f>
        <v>70.8</v>
      </c>
      <c r="N193" t="str">
        <f>INDEX('Draft Engine'!$T$3:$T$232,$O193)</f>
        <v>C</v>
      </c>
      <c r="O193" s="6">
        <f>MATCH($A193,'Draft Engine'!$Q$3:$Q$232,0)</f>
        <v>145</v>
      </c>
    </row>
    <row r="194" spans="1:15" x14ac:dyDescent="0.25">
      <c r="A194">
        <f>192</f>
        <v>192</v>
      </c>
      <c r="B194" t="str">
        <f>INDEX('Draft Engine'!$A$3:$A$232,$O194)</f>
        <v>QB</v>
      </c>
      <c r="C194">
        <f>INDEX('Draft Engine'!$F$3:$F$232,$O194)</f>
        <v>30</v>
      </c>
      <c r="D194" t="str">
        <f>INDEX('Draft Engine'!$B$3:$B$232,$O194)</f>
        <v>Tua Tagovailoa</v>
      </c>
      <c r="E194" s="4">
        <f>INDEX('Draft Engine'!$N$3:$N$232,$O194)</f>
        <v>35.674160000000008</v>
      </c>
      <c r="F194" s="4">
        <f>INDEX('Draft Engine'!$E$3:$E$232,$O194)</f>
        <v>67.851200000000006</v>
      </c>
      <c r="G194" s="4">
        <f>INDEX('Draft Engine'!$G$3:$G$232,$O194)</f>
        <v>275.3</v>
      </c>
      <c r="H194" s="4">
        <f>INDEX('Draft Engine'!$J$3:$J$232,$O194)</f>
        <v>-75.8</v>
      </c>
      <c r="I194" s="4">
        <f>INDEX('Draft Engine'!$L$3:$L$232,$O194)</f>
        <v>0</v>
      </c>
      <c r="J194" s="4">
        <f>INDEX('Draft Engine'!$R$3:$R$232,$O194)</f>
        <v>254</v>
      </c>
      <c r="K194" s="4">
        <f>INDEX('Draft Engine'!$S$3:$S$232,$O194)</f>
        <v>62</v>
      </c>
      <c r="L194" s="4">
        <f>INDEX('Draft Engine'!$U$3:$U$232,$O194)</f>
        <v>61.851200000000006</v>
      </c>
      <c r="M194" s="4">
        <f>INDEX('Draft Engine'!$W$3:$W$232,$O194)</f>
        <v>73.851200000000006</v>
      </c>
      <c r="N194" t="str">
        <f>INDEX('Draft Engine'!$T$3:$T$232,$O194)</f>
        <v>A</v>
      </c>
      <c r="O194" s="6">
        <f>MATCH($A194,'Draft Engine'!$Q$3:$Q$232,0)</f>
        <v>30</v>
      </c>
    </row>
    <row r="195" spans="1:15" x14ac:dyDescent="0.25">
      <c r="A195">
        <f>193</f>
        <v>193</v>
      </c>
      <c r="B195" t="str">
        <f>INDEX('Draft Engine'!$A$3:$A$232,$O195)</f>
        <v>WR</v>
      </c>
      <c r="C195">
        <f>INDEX('Draft Engine'!$F$3:$F$232,$O195)</f>
        <v>65</v>
      </c>
      <c r="D195" t="str">
        <f>INDEX('Draft Engine'!$B$3:$B$232,$O195)</f>
        <v>Adonai Mitchell</v>
      </c>
      <c r="E195" s="4">
        <f>INDEX('Draft Engine'!$N$3:$N$232,$O195)</f>
        <v>35.235500000000002</v>
      </c>
      <c r="F195" s="4">
        <f>INDEX('Draft Engine'!$E$3:$E$232,$O195)</f>
        <v>58.13</v>
      </c>
      <c r="G195" s="4">
        <f>INDEX('Draft Engine'!$G$3:$G$232,$O195)</f>
        <v>174.1</v>
      </c>
      <c r="H195" s="4">
        <f>INDEX('Draft Engine'!$J$3:$J$232,$O195)</f>
        <v>-65.2</v>
      </c>
      <c r="I195" s="4">
        <f>INDEX('Draft Engine'!$L$3:$L$232,$O195)</f>
        <v>0</v>
      </c>
      <c r="J195" s="4">
        <f>INDEX('Draft Engine'!$R$3:$R$232,$O195)</f>
        <v>163.1</v>
      </c>
      <c r="K195" s="4">
        <f>INDEX('Draft Engine'!$S$3:$S$232,$O195)</f>
        <v>-29.900000000000006</v>
      </c>
      <c r="L195" s="4">
        <f>INDEX('Draft Engine'!$U$3:$U$232,$O195)</f>
        <v>46.13</v>
      </c>
      <c r="M195" s="4">
        <f>INDEX('Draft Engine'!$W$3:$W$232,$O195)</f>
        <v>70.13</v>
      </c>
      <c r="N195" t="str">
        <f>INDEX('Draft Engine'!$T$3:$T$232,$O195)</f>
        <v>C</v>
      </c>
      <c r="O195" s="6">
        <f>MATCH($A195,'Draft Engine'!$Q$3:$Q$232,0)</f>
        <v>146</v>
      </c>
    </row>
    <row r="196" spans="1:15" x14ac:dyDescent="0.25">
      <c r="A196">
        <f>194</f>
        <v>194</v>
      </c>
      <c r="B196" t="str">
        <f>INDEX('Draft Engine'!$A$3:$A$232,$O196)</f>
        <v>WR</v>
      </c>
      <c r="C196">
        <f>INDEX('Draft Engine'!$F$3:$F$232,$O196)</f>
        <v>66</v>
      </c>
      <c r="D196" t="str">
        <f>INDEX('Draft Engine'!$B$3:$B$232,$O196)</f>
        <v>Isaac TeSlaa</v>
      </c>
      <c r="E196" s="4">
        <f>INDEX('Draft Engine'!$N$3:$N$232,$O196)</f>
        <v>34.363</v>
      </c>
      <c r="F196" s="4">
        <f>INDEX('Draft Engine'!$E$3:$E$232,$O196)</f>
        <v>57.46</v>
      </c>
      <c r="G196" s="4">
        <f>INDEX('Draft Engine'!$G$3:$G$232,$O196)</f>
        <v>171.3</v>
      </c>
      <c r="H196" s="4">
        <f>INDEX('Draft Engine'!$J$3:$J$232,$O196)</f>
        <v>-68</v>
      </c>
      <c r="I196" s="4">
        <f>INDEX('Draft Engine'!$L$3:$L$232,$O196)</f>
        <v>0</v>
      </c>
      <c r="J196" s="4">
        <f>INDEX('Draft Engine'!$R$3:$R$232,$O196)</f>
        <v>176.3</v>
      </c>
      <c r="K196" s="4">
        <f>INDEX('Draft Engine'!$S$3:$S$232,$O196)</f>
        <v>-17.699999999999989</v>
      </c>
      <c r="L196" s="4">
        <f>INDEX('Draft Engine'!$U$3:$U$232,$O196)</f>
        <v>45.46</v>
      </c>
      <c r="M196" s="4">
        <f>INDEX('Draft Engine'!$W$3:$W$232,$O196)</f>
        <v>69.460000000000008</v>
      </c>
      <c r="N196" t="str">
        <f>INDEX('Draft Engine'!$T$3:$T$232,$O196)</f>
        <v>C</v>
      </c>
      <c r="O196" s="6">
        <f>MATCH($A196,'Draft Engine'!$Q$3:$Q$232,0)</f>
        <v>147</v>
      </c>
    </row>
    <row r="197" spans="1:15" x14ac:dyDescent="0.25">
      <c r="A197">
        <f>195</f>
        <v>195</v>
      </c>
      <c r="B197" t="str">
        <f>INDEX('Draft Engine'!$A$3:$A$232,$O197)</f>
        <v>WR</v>
      </c>
      <c r="C197">
        <f>INDEX('Draft Engine'!$F$3:$F$232,$O197)</f>
        <v>67</v>
      </c>
      <c r="D197" t="str">
        <f>INDEX('Draft Engine'!$B$3:$B$232,$O197)</f>
        <v>Denzel Boston</v>
      </c>
      <c r="E197" s="4">
        <f>INDEX('Draft Engine'!$N$3:$N$232,$O197)</f>
        <v>33.490500000000004</v>
      </c>
      <c r="F197" s="4">
        <f>INDEX('Draft Engine'!$E$3:$E$232,$O197)</f>
        <v>56.79</v>
      </c>
      <c r="G197" s="4">
        <f>INDEX('Draft Engine'!$G$3:$G$232,$O197)</f>
        <v>168.5</v>
      </c>
      <c r="H197" s="4">
        <f>INDEX('Draft Engine'!$J$3:$J$232,$O197)</f>
        <v>-70.8</v>
      </c>
      <c r="I197" s="4">
        <f>INDEX('Draft Engine'!$L$3:$L$232,$O197)</f>
        <v>0</v>
      </c>
      <c r="J197" s="4">
        <f>INDEX('Draft Engine'!$R$3:$R$232,$O197)</f>
        <v>155.69999999999999</v>
      </c>
      <c r="K197" s="4">
        <f>INDEX('Draft Engine'!$S$3:$S$232,$O197)</f>
        <v>-39.300000000000011</v>
      </c>
      <c r="L197" s="4">
        <f>INDEX('Draft Engine'!$U$3:$U$232,$O197)</f>
        <v>44.79</v>
      </c>
      <c r="M197" s="4">
        <f>INDEX('Draft Engine'!$W$3:$W$232,$O197)</f>
        <v>68.789999999999992</v>
      </c>
      <c r="N197" t="str">
        <f>INDEX('Draft Engine'!$T$3:$T$232,$O197)</f>
        <v>C</v>
      </c>
      <c r="O197" s="6">
        <f>MATCH($A197,'Draft Engine'!$Q$3:$Q$232,0)</f>
        <v>148</v>
      </c>
    </row>
    <row r="198" spans="1:15" x14ac:dyDescent="0.25">
      <c r="A198">
        <f>196</f>
        <v>196</v>
      </c>
      <c r="B198" t="str">
        <f>INDEX('Draft Engine'!$A$3:$A$232,$O198)</f>
        <v>QB</v>
      </c>
      <c r="C198">
        <f>INDEX('Draft Engine'!$F$3:$F$232,$O198)</f>
        <v>31</v>
      </c>
      <c r="D198" t="str">
        <f>INDEX('Draft Engine'!$B$3:$B$232,$O198)</f>
        <v>Kirk Cousins</v>
      </c>
      <c r="E198" s="4">
        <f>INDEX('Draft Engine'!$N$3:$N$232,$O198)</f>
        <v>33.186095000000002</v>
      </c>
      <c r="F198" s="4">
        <f>INDEX('Draft Engine'!$E$3:$E$232,$O198)</f>
        <v>65.792900000000003</v>
      </c>
      <c r="G198" s="4">
        <f>INDEX('Draft Engine'!$G$3:$G$232,$O198)</f>
        <v>266.10000000000002</v>
      </c>
      <c r="H198" s="4">
        <f>INDEX('Draft Engine'!$J$3:$J$232,$O198)</f>
        <v>-85</v>
      </c>
      <c r="I198" s="4">
        <f>INDEX('Draft Engine'!$L$3:$L$232,$O198)</f>
        <v>0</v>
      </c>
      <c r="J198" s="4">
        <f>INDEX('Draft Engine'!$R$3:$R$232,$O198)</f>
        <v>262</v>
      </c>
      <c r="K198" s="4">
        <f>INDEX('Draft Engine'!$S$3:$S$232,$O198)</f>
        <v>66</v>
      </c>
      <c r="L198" s="4">
        <f>INDEX('Draft Engine'!$U$3:$U$232,$O198)</f>
        <v>56.792900000000003</v>
      </c>
      <c r="M198" s="4">
        <f>INDEX('Draft Engine'!$W$3:$W$232,$O198)</f>
        <v>74.792900000000003</v>
      </c>
      <c r="N198" t="str">
        <f>INDEX('Draft Engine'!$T$3:$T$232,$O198)</f>
        <v>B</v>
      </c>
      <c r="O198" s="6">
        <f>MATCH($A198,'Draft Engine'!$Q$3:$Q$232,0)</f>
        <v>31</v>
      </c>
    </row>
    <row r="199" spans="1:15" x14ac:dyDescent="0.25">
      <c r="A199">
        <f>197</f>
        <v>197</v>
      </c>
      <c r="B199" t="str">
        <f>INDEX('Draft Engine'!$A$3:$A$232,$O199)</f>
        <v>WR</v>
      </c>
      <c r="C199">
        <f>INDEX('Draft Engine'!$F$3:$F$232,$O199)</f>
        <v>68</v>
      </c>
      <c r="D199" t="str">
        <f>INDEX('Draft Engine'!$B$3:$B$232,$O199)</f>
        <v>Tre Tucker</v>
      </c>
      <c r="E199" s="4">
        <f>INDEX('Draft Engine'!$N$3:$N$232,$O199)</f>
        <v>32.618000000000002</v>
      </c>
      <c r="F199" s="4">
        <f>INDEX('Draft Engine'!$E$3:$E$232,$O199)</f>
        <v>56.12</v>
      </c>
      <c r="G199" s="4">
        <f>INDEX('Draft Engine'!$G$3:$G$232,$O199)</f>
        <v>165.7</v>
      </c>
      <c r="H199" s="4">
        <f>INDEX('Draft Engine'!$J$3:$J$232,$O199)</f>
        <v>-73.599999999999994</v>
      </c>
      <c r="I199" s="4">
        <f>INDEX('Draft Engine'!$L$3:$L$232,$O199)</f>
        <v>0</v>
      </c>
      <c r="J199" s="4">
        <f>INDEX('Draft Engine'!$R$3:$R$232,$O199)</f>
        <v>135.5</v>
      </c>
      <c r="K199" s="4">
        <f>INDEX('Draft Engine'!$S$3:$S$232,$O199)</f>
        <v>-61.5</v>
      </c>
      <c r="L199" s="4">
        <f>INDEX('Draft Engine'!$U$3:$U$232,$O199)</f>
        <v>44.12</v>
      </c>
      <c r="M199" s="4">
        <f>INDEX('Draft Engine'!$W$3:$W$232,$O199)</f>
        <v>68.12</v>
      </c>
      <c r="N199" t="str">
        <f>INDEX('Draft Engine'!$T$3:$T$232,$O199)</f>
        <v>C</v>
      </c>
      <c r="O199" s="6">
        <f>MATCH($A199,'Draft Engine'!$Q$3:$Q$232,0)</f>
        <v>149</v>
      </c>
    </row>
    <row r="200" spans="1:15" x14ac:dyDescent="0.25">
      <c r="A200">
        <f>198</f>
        <v>198</v>
      </c>
      <c r="B200" t="str">
        <f>INDEX('Draft Engine'!$A$3:$A$232,$O200)</f>
        <v>WR</v>
      </c>
      <c r="C200">
        <f>INDEX('Draft Engine'!$F$3:$F$232,$O200)</f>
        <v>69</v>
      </c>
      <c r="D200" t="str">
        <f>INDEX('Draft Engine'!$B$3:$B$232,$O200)</f>
        <v>Antonio Williams</v>
      </c>
      <c r="E200" s="4">
        <f>INDEX('Draft Engine'!$N$3:$N$232,$O200)</f>
        <v>31.7455</v>
      </c>
      <c r="F200" s="4">
        <f>INDEX('Draft Engine'!$E$3:$E$232,$O200)</f>
        <v>55.45</v>
      </c>
      <c r="G200" s="4">
        <f>INDEX('Draft Engine'!$G$3:$G$232,$O200)</f>
        <v>162.9</v>
      </c>
      <c r="H200" s="4">
        <f>INDEX('Draft Engine'!$J$3:$J$232,$O200)</f>
        <v>-76.400000000000006</v>
      </c>
      <c r="I200" s="4">
        <f>INDEX('Draft Engine'!$L$3:$L$232,$O200)</f>
        <v>0</v>
      </c>
      <c r="J200" s="4">
        <f>INDEX('Draft Engine'!$R$3:$R$232,$O200)</f>
        <v>159.6</v>
      </c>
      <c r="K200" s="4">
        <f>INDEX('Draft Engine'!$S$3:$S$232,$O200)</f>
        <v>-38.400000000000006</v>
      </c>
      <c r="L200" s="4">
        <f>INDEX('Draft Engine'!$U$3:$U$232,$O200)</f>
        <v>43.45</v>
      </c>
      <c r="M200" s="4">
        <f>INDEX('Draft Engine'!$W$3:$W$232,$O200)</f>
        <v>67.45</v>
      </c>
      <c r="N200" t="str">
        <f>INDEX('Draft Engine'!$T$3:$T$232,$O200)</f>
        <v>C</v>
      </c>
      <c r="O200" s="6">
        <f>MATCH($A200,'Draft Engine'!$Q$3:$Q$232,0)</f>
        <v>150</v>
      </c>
    </row>
    <row r="201" spans="1:15" x14ac:dyDescent="0.25">
      <c r="A201">
        <f>199</f>
        <v>199</v>
      </c>
      <c r="B201" t="str">
        <f>INDEX('Draft Engine'!$A$3:$A$232,$O201)</f>
        <v>RB</v>
      </c>
      <c r="C201">
        <f>INDEX('Draft Engine'!$F$3:$F$232,$O201)</f>
        <v>51</v>
      </c>
      <c r="D201" t="str">
        <f>INDEX('Draft Engine'!$B$3:$B$232,$O201)</f>
        <v>Justice Hill</v>
      </c>
      <c r="E201" s="4">
        <f>INDEX('Draft Engine'!$N$3:$N$232,$O201)</f>
        <v>31.054000000000006</v>
      </c>
      <c r="F201" s="4">
        <f>INDEX('Draft Engine'!$E$3:$E$232,$O201)</f>
        <v>54.88</v>
      </c>
      <c r="G201" s="4">
        <f>INDEX('Draft Engine'!$G$3:$G$232,$O201)</f>
        <v>160.5</v>
      </c>
      <c r="H201" s="4">
        <f>INDEX('Draft Engine'!$J$3:$J$232,$O201)</f>
        <v>-78.5</v>
      </c>
      <c r="I201" s="4">
        <f>INDEX('Draft Engine'!$L$3:$L$232,$O201)</f>
        <v>0</v>
      </c>
      <c r="J201" s="4">
        <f>INDEX('Draft Engine'!$R$3:$R$232,$O201)</f>
        <v>165.6</v>
      </c>
      <c r="K201" s="4">
        <f>INDEX('Draft Engine'!$S$3:$S$232,$O201)</f>
        <v>-33.400000000000006</v>
      </c>
      <c r="L201" s="4">
        <f>INDEX('Draft Engine'!$U$3:$U$232,$O201)</f>
        <v>45.88</v>
      </c>
      <c r="M201" s="4">
        <f>INDEX('Draft Engine'!$W$3:$W$232,$O201)</f>
        <v>63.88</v>
      </c>
      <c r="N201" t="str">
        <f>INDEX('Draft Engine'!$T$3:$T$232,$O201)</f>
        <v>B</v>
      </c>
      <c r="O201" s="6">
        <f>MATCH($A201,'Draft Engine'!$Q$3:$Q$232,0)</f>
        <v>82</v>
      </c>
    </row>
    <row r="202" spans="1:15" x14ac:dyDescent="0.25">
      <c r="A202">
        <f>200</f>
        <v>200</v>
      </c>
      <c r="B202" t="str">
        <f>INDEX('Draft Engine'!$A$3:$A$232,$O202)</f>
        <v>WR</v>
      </c>
      <c r="C202">
        <f>INDEX('Draft Engine'!$F$3:$F$232,$O202)</f>
        <v>70</v>
      </c>
      <c r="D202" t="str">
        <f>INDEX('Draft Engine'!$B$3:$B$232,$O202)</f>
        <v>Travis Hunter</v>
      </c>
      <c r="E202" s="4">
        <f>INDEX('Draft Engine'!$N$3:$N$232,$O202)</f>
        <v>30.873000000000001</v>
      </c>
      <c r="F202" s="4">
        <f>INDEX('Draft Engine'!$E$3:$E$232,$O202)</f>
        <v>54.78</v>
      </c>
      <c r="G202" s="4">
        <f>INDEX('Draft Engine'!$G$3:$G$232,$O202)</f>
        <v>160.1</v>
      </c>
      <c r="H202" s="4">
        <f>INDEX('Draft Engine'!$J$3:$J$232,$O202)</f>
        <v>-79.2</v>
      </c>
      <c r="I202" s="4">
        <f>INDEX('Draft Engine'!$L$3:$L$232,$O202)</f>
        <v>0</v>
      </c>
      <c r="J202" s="4">
        <f>INDEX('Draft Engine'!$R$3:$R$232,$O202)</f>
        <v>164.4</v>
      </c>
      <c r="K202" s="4">
        <f>INDEX('Draft Engine'!$S$3:$S$232,$O202)</f>
        <v>-35.599999999999994</v>
      </c>
      <c r="L202" s="4">
        <f>INDEX('Draft Engine'!$U$3:$U$232,$O202)</f>
        <v>42.78</v>
      </c>
      <c r="M202" s="4">
        <f>INDEX('Draft Engine'!$W$3:$W$232,$O202)</f>
        <v>66.78</v>
      </c>
      <c r="N202" t="str">
        <f>INDEX('Draft Engine'!$T$3:$T$232,$O202)</f>
        <v>C</v>
      </c>
      <c r="O202" s="6">
        <f>MATCH($A202,'Draft Engine'!$Q$3:$Q$232,0)</f>
        <v>151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9D18E"/>
  </sheetPr>
  <dimension ref="A1:N34"/>
  <sheetViews>
    <sheetView workbookViewId="0">
      <pane ySplit="2" topLeftCell="A3" activePane="bottomLeft" state="frozen"/>
      <selection pane="bottomLeft"/>
    </sheetView>
  </sheetViews>
  <sheetFormatPr defaultRowHeight="15" x14ac:dyDescent="0.25"/>
  <cols>
    <col min="1" max="1" width="8" customWidth="1"/>
    <col min="2" max="2" width="22" customWidth="1"/>
    <col min="3" max="3" width="10" customWidth="1"/>
    <col min="4" max="4" width="9" customWidth="1"/>
    <col min="5" max="5" width="10" customWidth="1"/>
    <col min="6" max="6" width="8" customWidth="1"/>
    <col min="7" max="8" width="11" customWidth="1"/>
    <col min="9" max="9" width="10" customWidth="1"/>
    <col min="10" max="10" width="9" customWidth="1"/>
    <col min="11" max="11" width="10" customWidth="1"/>
    <col min="12" max="12" width="55" customWidth="1"/>
    <col min="13" max="13" width="50" customWidth="1"/>
    <col min="14" max="14" width="6" customWidth="1"/>
  </cols>
  <sheetData>
    <row r="1" spans="1:14" ht="18.75" x14ac:dyDescent="0.3">
      <c r="A1" s="1" t="s">
        <v>597</v>
      </c>
    </row>
    <row r="2" spans="1:14" ht="27.95" customHeight="1" x14ac:dyDescent="0.25">
      <c r="A2" s="3" t="s">
        <v>4</v>
      </c>
      <c r="B2" s="3" t="s">
        <v>65</v>
      </c>
      <c r="C2" s="3" t="s">
        <v>6</v>
      </c>
      <c r="D2" s="3" t="s">
        <v>7</v>
      </c>
      <c r="E2" s="3" t="s">
        <v>591</v>
      </c>
      <c r="F2" s="3" t="s">
        <v>592</v>
      </c>
      <c r="G2" s="3" t="s">
        <v>8</v>
      </c>
      <c r="H2" s="3" t="s">
        <v>598</v>
      </c>
      <c r="I2" s="3" t="s">
        <v>9</v>
      </c>
      <c r="J2" s="3" t="s">
        <v>10</v>
      </c>
      <c r="K2" s="3" t="s">
        <v>80</v>
      </c>
      <c r="L2" s="3" t="s">
        <v>13</v>
      </c>
      <c r="M2" s="3" t="s">
        <v>83</v>
      </c>
      <c r="N2" s="3" t="s">
        <v>14</v>
      </c>
    </row>
    <row r="3" spans="1:14" x14ac:dyDescent="0.25">
      <c r="A3">
        <f>1</f>
        <v>1</v>
      </c>
      <c r="B3" t="str">
        <f>INDEX('Draft Engine'!$B$3:$B$34,$N3)</f>
        <v>Josh Allen</v>
      </c>
      <c r="C3" s="4">
        <f>INDEX('Draft Engine'!$E$3:$E$34,$N3)</f>
        <v>97.309899999999999</v>
      </c>
      <c r="D3" t="str">
        <f t="shared" ref="D3:D34" si="0">IF($C3&gt;=95,"ELITE",IF($C3&gt;=90,"TIER 1",IF($C3&gt;=85,"TIER 2",IF($C3&gt;=80,"TIER 3",IF($C3&gt;=75,"TIER 4",IF($C3&gt;=70,"TIER 5",IF($C3&gt;=65,"TIER 6","TIER 7")))))))</f>
        <v>ELITE</v>
      </c>
      <c r="E3">
        <f>INDEX('Draft Engine'!$G$3:$G$34,$N3)</f>
        <v>407.9</v>
      </c>
      <c r="F3">
        <f>INDEX('Draft Engine'!$J$3:$J$34,$N3)</f>
        <v>56.8</v>
      </c>
      <c r="G3">
        <f>INDEX('Draft Engine'!$N$3:$N$34,$N3)</f>
        <v>90.744444999999999</v>
      </c>
      <c r="H3">
        <f>INDEX('Draft Engine'!$Q$3:$Q$34,$N3)</f>
        <v>12</v>
      </c>
      <c r="I3">
        <f>INDEX('Draft Engine'!$R$3:$R$34,$N3)</f>
        <v>26.6</v>
      </c>
      <c r="J3">
        <f>INDEX('Draft Engine'!$S$3:$S$34,$N3)</f>
        <v>14.600000000000001</v>
      </c>
      <c r="K3" t="str">
        <f>INDEX('Draft Engine'!$T$3:$T$34,$N3)</f>
        <v>A</v>
      </c>
      <c r="L3" t="str">
        <f>INDEX('LIVE SOURCE'!$H$3:$H$34,$N3)</f>
        <v>Elite QB1; weekly top-5 expectation with overall QB1 upside.</v>
      </c>
      <c r="M3" t="str">
        <f>INDEX('LIVE SOURCE'!$J$3:$J$34,$N3)</f>
        <v>Passing-TD efficiency, rushing volume and supporting-cast health are the main swing factors.</v>
      </c>
      <c r="N3" s="6">
        <f>MATCH($A3,'Draft Engine'!$F$3:$F$34,0)</f>
        <v>1</v>
      </c>
    </row>
    <row r="4" spans="1:14" x14ac:dyDescent="0.25">
      <c r="A4">
        <f>2</f>
        <v>2</v>
      </c>
      <c r="B4" t="str">
        <f>INDEX('Draft Engine'!$B$3:$B$34,$N4)</f>
        <v>Caleb Williams</v>
      </c>
      <c r="C4" s="4">
        <f>INDEX('Draft Engine'!$E$3:$E$34,$N4)</f>
        <v>92.192700000000002</v>
      </c>
      <c r="D4" t="str">
        <f t="shared" si="0"/>
        <v>TIER 1</v>
      </c>
      <c r="E4">
        <f>INDEX('Draft Engine'!$G$3:$G$34,$N4)</f>
        <v>384.9</v>
      </c>
      <c r="F4">
        <f>INDEX('Draft Engine'!$J$3:$J$34,$N4)</f>
        <v>33.799999999999997</v>
      </c>
      <c r="G4">
        <f>INDEX('Draft Engine'!$N$3:$N$34,$N4)</f>
        <v>83.020754230769228</v>
      </c>
      <c r="H4">
        <f>INDEX('Draft Engine'!$Q$3:$Q$34,$N4)</f>
        <v>30</v>
      </c>
      <c r="I4">
        <f>INDEX('Draft Engine'!$R$3:$R$34,$N4)</f>
        <v>107.5</v>
      </c>
      <c r="J4">
        <f>INDEX('Draft Engine'!$S$3:$S$34,$N4)</f>
        <v>77.5</v>
      </c>
      <c r="K4" t="str">
        <f>INDEX('Draft Engine'!$T$3:$T$34,$N4)</f>
        <v>A</v>
      </c>
      <c r="L4" t="str">
        <f>INDEX('LIVE SOURCE'!$H$3:$H$34,$N4)</f>
        <v>Elite QB1; weekly top-5 expectation with overall QB1 upside.</v>
      </c>
      <c r="M4" t="str">
        <f>INDEX('LIVE SOURCE'!$J$3:$J$34,$N4)</f>
        <v>Passing-TD efficiency, rushing volume and supporting-cast health are the main swing factors.</v>
      </c>
      <c r="N4" s="6">
        <f>MATCH($A4,'Draft Engine'!$F$3:$F$34,0)</f>
        <v>2</v>
      </c>
    </row>
    <row r="5" spans="1:14" x14ac:dyDescent="0.25">
      <c r="A5">
        <f>3</f>
        <v>3</v>
      </c>
      <c r="B5" t="str">
        <f>INDEX('Draft Engine'!$B$3:$B$34,$N5)</f>
        <v>Drake Maye</v>
      </c>
      <c r="C5" s="4">
        <f>INDEX('Draft Engine'!$E$3:$E$34,$N5)</f>
        <v>91.043000000000006</v>
      </c>
      <c r="D5" t="str">
        <f t="shared" si="0"/>
        <v>TIER 1</v>
      </c>
      <c r="E5">
        <f>INDEX('Draft Engine'!$G$3:$G$34,$N5)</f>
        <v>379.7</v>
      </c>
      <c r="F5">
        <f>INDEX('Draft Engine'!$J$3:$J$34,$N5)</f>
        <v>28.6</v>
      </c>
      <c r="G5">
        <f>INDEX('Draft Engine'!$N$3:$N$34,$N5)</f>
        <v>80.683188461538478</v>
      </c>
      <c r="H5">
        <f>INDEX('Draft Engine'!$Q$3:$Q$34,$N5)</f>
        <v>37</v>
      </c>
      <c r="I5">
        <f>INDEX('Draft Engine'!$R$3:$R$34,$N5)</f>
        <v>49.8</v>
      </c>
      <c r="J5">
        <f>INDEX('Draft Engine'!$S$3:$S$34,$N5)</f>
        <v>12.799999999999997</v>
      </c>
      <c r="K5" t="str">
        <f>INDEX('Draft Engine'!$T$3:$T$34,$N5)</f>
        <v>A</v>
      </c>
      <c r="L5" t="str">
        <f>INDEX('LIVE SOURCE'!$H$3:$H$34,$N5)</f>
        <v>Elite QB1; weekly top-5 expectation with overall QB1 upside.</v>
      </c>
      <c r="M5" t="str">
        <f>INDEX('LIVE SOURCE'!$J$3:$J$34,$N5)</f>
        <v>Passing-TD efficiency, rushing volume and supporting-cast health are the main swing factors.</v>
      </c>
      <c r="N5" s="6">
        <f>MATCH($A5,'Draft Engine'!$F$3:$F$34,0)</f>
        <v>3</v>
      </c>
    </row>
    <row r="6" spans="1:14" x14ac:dyDescent="0.25">
      <c r="A6">
        <f>4</f>
        <v>4</v>
      </c>
      <c r="B6" t="str">
        <f>INDEX('Draft Engine'!$B$3:$B$34,$N6)</f>
        <v>Justin Herbert</v>
      </c>
      <c r="C6" s="4">
        <f>INDEX('Draft Engine'!$E$3:$E$34,$N6)</f>
        <v>90.116900000000001</v>
      </c>
      <c r="D6" t="str">
        <f t="shared" si="0"/>
        <v>TIER 1</v>
      </c>
      <c r="E6">
        <f>INDEX('Draft Engine'!$G$3:$G$34,$N6)</f>
        <v>375.5</v>
      </c>
      <c r="F6">
        <f>INDEX('Draft Engine'!$J$3:$J$34,$N6)</f>
        <v>24.4</v>
      </c>
      <c r="G6">
        <f>INDEX('Draft Engine'!$N$3:$N$34,$N6)</f>
        <v>78.648602692307691</v>
      </c>
      <c r="H6">
        <f>INDEX('Draft Engine'!$Q$3:$Q$34,$N6)</f>
        <v>42</v>
      </c>
      <c r="I6">
        <f>INDEX('Draft Engine'!$R$3:$R$34,$N6)</f>
        <v>104.2</v>
      </c>
      <c r="J6">
        <f>INDEX('Draft Engine'!$S$3:$S$34,$N6)</f>
        <v>62.2</v>
      </c>
      <c r="K6" t="str">
        <f>INDEX('Draft Engine'!$T$3:$T$34,$N6)</f>
        <v>A</v>
      </c>
      <c r="L6" t="str">
        <f>INDEX('LIVE SOURCE'!$H$3:$H$34,$N6)</f>
        <v>Strong every-week QB1; frequent top-8 finishes expected.</v>
      </c>
      <c r="M6" t="str">
        <f>INDEX('LIVE SOURCE'!$J$3:$J$34,$N6)</f>
        <v>Passing-TD efficiency, rushing volume and supporting-cast health are the main swing factors.</v>
      </c>
      <c r="N6" s="6">
        <f>MATCH($A6,'Draft Engine'!$F$3:$F$34,0)</f>
        <v>4</v>
      </c>
    </row>
    <row r="7" spans="1:14" x14ac:dyDescent="0.25">
      <c r="A7">
        <f>5</f>
        <v>5</v>
      </c>
      <c r="B7" t="str">
        <f>INDEX('Draft Engine'!$B$3:$B$34,$N7)</f>
        <v>Lamar Jackson</v>
      </c>
      <c r="C7" s="4">
        <f>INDEX('Draft Engine'!$E$3:$E$34,$N7)</f>
        <v>88.711200000000005</v>
      </c>
      <c r="D7" t="str">
        <f t="shared" si="0"/>
        <v>TIER 2</v>
      </c>
      <c r="E7">
        <f>INDEX('Draft Engine'!$G$3:$G$34,$N7)</f>
        <v>369.2</v>
      </c>
      <c r="F7">
        <f>INDEX('Draft Engine'!$J$3:$J$34,$N7)</f>
        <v>18.100000000000001</v>
      </c>
      <c r="G7">
        <f>INDEX('Draft Engine'!$N$3:$N$34,$N7)</f>
        <v>75.97223692307692</v>
      </c>
      <c r="H7">
        <f>INDEX('Draft Engine'!$Q$3:$Q$34,$N7)</f>
        <v>49</v>
      </c>
      <c r="I7">
        <f>INDEX('Draft Engine'!$R$3:$R$34,$N7)</f>
        <v>52.6</v>
      </c>
      <c r="J7">
        <f>INDEX('Draft Engine'!$S$3:$S$34,$N7)</f>
        <v>3.6000000000000014</v>
      </c>
      <c r="K7" t="str">
        <f>INDEX('Draft Engine'!$T$3:$T$34,$N7)</f>
        <v>A</v>
      </c>
      <c r="L7" t="str">
        <f>INDEX('LIVE SOURCE'!$H$3:$H$34,$N7)</f>
        <v>Strong every-week QB1; frequent top-8 finishes expected.</v>
      </c>
      <c r="M7" t="str">
        <f>INDEX('LIVE SOURCE'!$J$3:$J$34,$N7)</f>
        <v>Passing-TD efficiency, rushing volume and supporting-cast health are the main swing factors.</v>
      </c>
      <c r="N7" s="6">
        <f>MATCH($A7,'Draft Engine'!$F$3:$F$34,0)</f>
        <v>5</v>
      </c>
    </row>
    <row r="8" spans="1:14" x14ac:dyDescent="0.25">
      <c r="A8">
        <f>6</f>
        <v>6</v>
      </c>
      <c r="B8" t="str">
        <f>INDEX('Draft Engine'!$B$3:$B$34,$N8)</f>
        <v>Jalen Hurts</v>
      </c>
      <c r="C8" s="4">
        <f>INDEX('Draft Engine'!$E$3:$E$34,$N8)</f>
        <v>88.4499</v>
      </c>
      <c r="D8" t="str">
        <f t="shared" si="0"/>
        <v>TIER 2</v>
      </c>
      <c r="E8">
        <f>INDEX('Draft Engine'!$G$3:$G$34,$N8)</f>
        <v>368</v>
      </c>
      <c r="F8">
        <f>INDEX('Draft Engine'!$J$3:$J$34,$N8)</f>
        <v>16.899999999999999</v>
      </c>
      <c r="G8">
        <f>INDEX('Draft Engine'!$N$3:$N$34,$N8)</f>
        <v>74.843291153846167</v>
      </c>
      <c r="H8">
        <f>INDEX('Draft Engine'!$Q$3:$Q$34,$N8)</f>
        <v>52</v>
      </c>
      <c r="I8">
        <f>INDEX('Draft Engine'!$R$3:$R$34,$N8)</f>
        <v>73.7</v>
      </c>
      <c r="J8">
        <f>INDEX('Draft Engine'!$S$3:$S$34,$N8)</f>
        <v>21.700000000000003</v>
      </c>
      <c r="K8" t="str">
        <f>INDEX('Draft Engine'!$T$3:$T$34,$N8)</f>
        <v>A</v>
      </c>
      <c r="L8" t="str">
        <f>INDEX('LIVE SOURCE'!$H$3:$H$34,$N8)</f>
        <v>Strong every-week QB1; frequent top-8 finishes expected.</v>
      </c>
      <c r="M8" t="str">
        <f>INDEX('LIVE SOURCE'!$J$3:$J$34,$N8)</f>
        <v>Passing-TD efficiency, rushing volume and supporting-cast health are the main swing factors.</v>
      </c>
      <c r="N8" s="6">
        <f>MATCH($A8,'Draft Engine'!$F$3:$F$34,0)</f>
        <v>6</v>
      </c>
    </row>
    <row r="9" spans="1:14" x14ac:dyDescent="0.25">
      <c r="A9">
        <f>7</f>
        <v>7</v>
      </c>
      <c r="B9" t="str">
        <f>INDEX('Draft Engine'!$B$3:$B$34,$N9)</f>
        <v>Patrick Mahomes II</v>
      </c>
      <c r="C9" s="4">
        <f>INDEX('Draft Engine'!$E$3:$E$34,$N9)</f>
        <v>87.006299999999996</v>
      </c>
      <c r="D9" t="str">
        <f t="shared" si="0"/>
        <v>TIER 2</v>
      </c>
      <c r="E9">
        <f>INDEX('Draft Engine'!$G$3:$G$34,$N9)</f>
        <v>361.5</v>
      </c>
      <c r="F9">
        <f>INDEX('Draft Engine'!$J$3:$J$34,$N9)</f>
        <v>10.4</v>
      </c>
      <c r="G9">
        <f>INDEX('Draft Engine'!$N$3:$N$34,$N9)</f>
        <v>72.110080384615387</v>
      </c>
      <c r="H9">
        <f>INDEX('Draft Engine'!$Q$3:$Q$34,$N9)</f>
        <v>59</v>
      </c>
      <c r="I9">
        <f>INDEX('Draft Engine'!$R$3:$R$34,$N9)</f>
        <v>97.4</v>
      </c>
      <c r="J9">
        <f>INDEX('Draft Engine'!$S$3:$S$34,$N9)</f>
        <v>38.400000000000006</v>
      </c>
      <c r="K9" t="str">
        <f>INDEX('Draft Engine'!$T$3:$T$34,$N9)</f>
        <v>A</v>
      </c>
      <c r="L9" t="str">
        <f>INDEX('LIVE SOURCE'!$H$3:$H$34,$N9)</f>
        <v>Strong every-week QB1; frequent top-8 finishes expected.</v>
      </c>
      <c r="M9" t="str">
        <f>INDEX('LIVE SOURCE'!$J$3:$J$34,$N9)</f>
        <v>Passing-TD efficiency, rushing volume and supporting-cast health are the main swing factors.</v>
      </c>
      <c r="N9" s="6">
        <f>MATCH($A9,'Draft Engine'!$F$3:$F$34,0)</f>
        <v>7</v>
      </c>
    </row>
    <row r="10" spans="1:14" x14ac:dyDescent="0.25">
      <c r="A10">
        <f>8</f>
        <v>8</v>
      </c>
      <c r="B10" t="str">
        <f>INDEX('Draft Engine'!$B$3:$B$34,$N10)</f>
        <v>Jayden Daniels</v>
      </c>
      <c r="C10" s="4">
        <f>INDEX('Draft Engine'!$E$3:$E$34,$N10)</f>
        <v>86.700299999999999</v>
      </c>
      <c r="D10" t="str">
        <f t="shared" si="0"/>
        <v>TIER 2</v>
      </c>
      <c r="E10">
        <f>INDEX('Draft Engine'!$G$3:$G$34,$N10)</f>
        <v>360.2</v>
      </c>
      <c r="F10">
        <f>INDEX('Draft Engine'!$J$3:$J$34,$N10)</f>
        <v>9.1</v>
      </c>
      <c r="G10">
        <f>INDEX('Draft Engine'!$N$3:$N$34,$N10)</f>
        <v>70.938549615384616</v>
      </c>
      <c r="H10">
        <f>INDEX('Draft Engine'!$Q$3:$Q$34,$N10)</f>
        <v>62</v>
      </c>
      <c r="I10">
        <f>INDEX('Draft Engine'!$R$3:$R$34,$N10)</f>
        <v>67</v>
      </c>
      <c r="J10">
        <f>INDEX('Draft Engine'!$S$3:$S$34,$N10)</f>
        <v>5</v>
      </c>
      <c r="K10" t="str">
        <f>INDEX('Draft Engine'!$T$3:$T$34,$N10)</f>
        <v>B</v>
      </c>
      <c r="L10" t="str">
        <f>INDEX('LIVE SOURCE'!$H$3:$H$34,$N10)</f>
        <v>Strong every-week QB1; frequent top-8 finishes expected.</v>
      </c>
      <c r="M10" t="str">
        <f>INDEX('LIVE SOURCE'!$J$3:$J$34,$N10)</f>
        <v>Availability/sample risk is elevated after only 7 games; talent is not being punished as heavily as durability.</v>
      </c>
      <c r="N10" s="6">
        <f>MATCH($A10,'Draft Engine'!$F$3:$F$34,0)</f>
        <v>8</v>
      </c>
    </row>
    <row r="11" spans="1:14" x14ac:dyDescent="0.25">
      <c r="A11">
        <f>9</f>
        <v>9</v>
      </c>
      <c r="B11" t="str">
        <f>INDEX('Draft Engine'!$B$3:$B$34,$N11)</f>
        <v>Joe Burrow</v>
      </c>
      <c r="C11" s="4">
        <f>INDEX('Draft Engine'!$E$3:$E$34,$N11)</f>
        <v>85.591300000000004</v>
      </c>
      <c r="D11" t="str">
        <f t="shared" si="0"/>
        <v>TIER 2</v>
      </c>
      <c r="E11">
        <f>INDEX('Draft Engine'!$G$3:$G$34,$N11)</f>
        <v>355.2</v>
      </c>
      <c r="F11">
        <f>INDEX('Draft Engine'!$J$3:$J$34,$N11)</f>
        <v>4.0999999999999996</v>
      </c>
      <c r="G11">
        <f>INDEX('Draft Engine'!$N$3:$N$34,$N11)</f>
        <v>68.659368846153853</v>
      </c>
      <c r="H11">
        <f>INDEX('Draft Engine'!$Q$3:$Q$34,$N11)</f>
        <v>67</v>
      </c>
      <c r="I11">
        <f>INDEX('Draft Engine'!$R$3:$R$34,$N11)</f>
        <v>57.3</v>
      </c>
      <c r="J11">
        <f>INDEX('Draft Engine'!$S$3:$S$34,$N11)</f>
        <v>-9.7000000000000028</v>
      </c>
      <c r="K11" t="str">
        <f>INDEX('Draft Engine'!$T$3:$T$34,$N11)</f>
        <v>B</v>
      </c>
      <c r="L11" t="str">
        <f>INDEX('LIVE SOURCE'!$H$3:$H$34,$N11)</f>
        <v>Low-end QB1/high-end QB2 in a 10-team league; startable most weeks.</v>
      </c>
      <c r="M11" t="str">
        <f>INDEX('LIVE SOURCE'!$J$3:$J$34,$N11)</f>
        <v>Availability/sample risk is elevated after only 8 games; talent is not being punished as heavily as durability.</v>
      </c>
      <c r="N11" s="6">
        <f>MATCH($A11,'Draft Engine'!$F$3:$F$34,0)</f>
        <v>9</v>
      </c>
    </row>
    <row r="12" spans="1:14" x14ac:dyDescent="0.25">
      <c r="A12">
        <f>10</f>
        <v>10</v>
      </c>
      <c r="B12" t="str">
        <f>INDEX('Draft Engine'!$B$3:$B$34,$N12)</f>
        <v>Matthew Stafford</v>
      </c>
      <c r="C12" s="4">
        <f>INDEX('Draft Engine'!$E$3:$E$34,$N12)</f>
        <v>85.419700000000006</v>
      </c>
      <c r="D12" t="str">
        <f t="shared" si="0"/>
        <v>TIER 2</v>
      </c>
      <c r="E12">
        <f>INDEX('Draft Engine'!$G$3:$G$34,$N12)</f>
        <v>354.4</v>
      </c>
      <c r="F12">
        <f>INDEX('Draft Engine'!$J$3:$J$34,$N12)</f>
        <v>3.3</v>
      </c>
      <c r="G12">
        <f>INDEX('Draft Engine'!$N$3:$N$34,$N12)</f>
        <v>67.651758076923088</v>
      </c>
      <c r="H12">
        <f>INDEX('Draft Engine'!$Q$3:$Q$34,$N12)</f>
        <v>71</v>
      </c>
      <c r="I12">
        <f>INDEX('Draft Engine'!$R$3:$R$34,$N12)</f>
        <v>83.7</v>
      </c>
      <c r="J12">
        <f>INDEX('Draft Engine'!$S$3:$S$34,$N12)</f>
        <v>12.700000000000003</v>
      </c>
      <c r="K12" t="str">
        <f>INDEX('Draft Engine'!$T$3:$T$34,$N12)</f>
        <v>A</v>
      </c>
      <c r="L12" t="str">
        <f>INDEX('LIVE SOURCE'!$H$3:$H$34,$N12)</f>
        <v>Low-end QB1/high-end QB2 in a 10-team league; startable most weeks.</v>
      </c>
      <c r="M12" t="str">
        <f>INDEX('LIVE SOURCE'!$J$3:$J$34,$N12)</f>
        <v>Passing-TD efficiency, rushing volume and supporting-cast health are the main swing factors.</v>
      </c>
      <c r="N12" s="6">
        <f>MATCH($A12,'Draft Engine'!$F$3:$F$34,0)</f>
        <v>10</v>
      </c>
    </row>
    <row r="13" spans="1:14" x14ac:dyDescent="0.25">
      <c r="A13">
        <f>11</f>
        <v>11</v>
      </c>
      <c r="B13" t="str">
        <f>INDEX('Draft Engine'!$B$3:$B$34,$N13)</f>
        <v>Bo Nix</v>
      </c>
      <c r="C13" s="4">
        <f>INDEX('Draft Engine'!$E$3:$E$34,$N13)</f>
        <v>85.248500000000007</v>
      </c>
      <c r="D13" t="str">
        <f t="shared" si="0"/>
        <v>TIER 2</v>
      </c>
      <c r="E13">
        <f>INDEX('Draft Engine'!$G$3:$G$34,$N13)</f>
        <v>353.6</v>
      </c>
      <c r="F13">
        <f>INDEX('Draft Engine'!$J$3:$J$34,$N13)</f>
        <v>2.5</v>
      </c>
      <c r="G13">
        <f>INDEX('Draft Engine'!$N$3:$N$34,$N13)</f>
        <v>66.64436730769232</v>
      </c>
      <c r="H13">
        <f>INDEX('Draft Engine'!$Q$3:$Q$34,$N13)</f>
        <v>75</v>
      </c>
      <c r="I13">
        <f>INDEX('Draft Engine'!$R$3:$R$34,$N13)</f>
        <v>121.5</v>
      </c>
      <c r="J13">
        <f>INDEX('Draft Engine'!$S$3:$S$34,$N13)</f>
        <v>46.5</v>
      </c>
      <c r="K13" t="str">
        <f>INDEX('Draft Engine'!$T$3:$T$34,$N13)</f>
        <v>A</v>
      </c>
      <c r="L13" t="str">
        <f>INDEX('LIVE SOURCE'!$H$3:$H$34,$N13)</f>
        <v>Low-end QB1/high-end QB2 in a 10-team league; startable most weeks.</v>
      </c>
      <c r="M13" t="str">
        <f>INDEX('LIVE SOURCE'!$J$3:$J$34,$N13)</f>
        <v>Passing-TD efficiency, rushing volume and supporting-cast health are the main swing factors.</v>
      </c>
      <c r="N13" s="6">
        <f>MATCH($A13,'Draft Engine'!$F$3:$F$34,0)</f>
        <v>11</v>
      </c>
    </row>
    <row r="14" spans="1:14" x14ac:dyDescent="0.25">
      <c r="A14">
        <f>12</f>
        <v>12</v>
      </c>
      <c r="B14" t="str">
        <f>INDEX('Draft Engine'!$B$3:$B$34,$N14)</f>
        <v>Dak Prescott</v>
      </c>
      <c r="C14" s="4">
        <f>INDEX('Draft Engine'!$E$3:$E$34,$N14)</f>
        <v>85.115600000000001</v>
      </c>
      <c r="D14" t="str">
        <f t="shared" si="0"/>
        <v>TIER 2</v>
      </c>
      <c r="E14">
        <f>INDEX('Draft Engine'!$G$3:$G$34,$N14)</f>
        <v>353</v>
      </c>
      <c r="F14">
        <f>INDEX('Draft Engine'!$J$3:$J$34,$N14)</f>
        <v>1.9</v>
      </c>
      <c r="G14">
        <f>INDEX('Draft Engine'!$N$3:$N$34,$N14)</f>
        <v>65.694041538461533</v>
      </c>
      <c r="H14">
        <f>INDEX('Draft Engine'!$Q$3:$Q$34,$N14)</f>
        <v>78</v>
      </c>
      <c r="I14">
        <f>INDEX('Draft Engine'!$R$3:$R$34,$N14)</f>
        <v>65.400000000000006</v>
      </c>
      <c r="J14">
        <f>INDEX('Draft Engine'!$S$3:$S$34,$N14)</f>
        <v>-12.599999999999994</v>
      </c>
      <c r="K14" t="str">
        <f>INDEX('Draft Engine'!$T$3:$T$34,$N14)</f>
        <v>A</v>
      </c>
      <c r="L14" t="str">
        <f>INDEX('LIVE SOURCE'!$H$3:$H$34,$N14)</f>
        <v>Low-end QB1/high-end QB2 in a 10-team league; startable most weeks.</v>
      </c>
      <c r="M14" t="str">
        <f>INDEX('LIVE SOURCE'!$J$3:$J$34,$N14)</f>
        <v>Passing-TD efficiency, rushing volume and supporting-cast health are the main swing factors.</v>
      </c>
      <c r="N14" s="6">
        <f>MATCH($A14,'Draft Engine'!$F$3:$F$34,0)</f>
        <v>12</v>
      </c>
    </row>
    <row r="15" spans="1:14" x14ac:dyDescent="0.25">
      <c r="A15">
        <f>13</f>
        <v>13</v>
      </c>
      <c r="B15" t="str">
        <f>INDEX('Draft Engine'!$B$3:$B$34,$N15)</f>
        <v>Trevor Lawrence</v>
      </c>
      <c r="C15" s="4">
        <f>INDEX('Draft Engine'!$E$3:$E$34,$N15)</f>
        <v>84.692099999999996</v>
      </c>
      <c r="D15" t="str">
        <f t="shared" si="0"/>
        <v>TIER 3</v>
      </c>
      <c r="E15">
        <f>INDEX('Draft Engine'!$G$3:$G$34,$N15)</f>
        <v>351.1</v>
      </c>
      <c r="F15">
        <f>INDEX('Draft Engine'!$J$3:$J$34,$N15)</f>
        <v>0</v>
      </c>
      <c r="G15">
        <f>INDEX('Draft Engine'!$N$3:$N$34,$N15)</f>
        <v>64.349885769230767</v>
      </c>
      <c r="H15">
        <f>INDEX('Draft Engine'!$Q$3:$Q$34,$N15)</f>
        <v>82</v>
      </c>
      <c r="I15">
        <f>INDEX('Draft Engine'!$R$3:$R$34,$N15)</f>
        <v>89.6</v>
      </c>
      <c r="J15">
        <f>INDEX('Draft Engine'!$S$3:$S$34,$N15)</f>
        <v>7.5999999999999943</v>
      </c>
      <c r="K15" t="str">
        <f>INDEX('Draft Engine'!$T$3:$T$34,$N15)</f>
        <v>A</v>
      </c>
      <c r="L15" t="str">
        <f>INDEX('LIVE SOURCE'!$H$3:$H$34,$N15)</f>
        <v>QB2/streaming tier; useful when matchup and supporting cast line up.</v>
      </c>
      <c r="M15" t="str">
        <f>INDEX('LIVE SOURCE'!$J$3:$J$34,$N15)</f>
        <v>Passing-TD efficiency, rushing volume and supporting-cast health are the main swing factors.</v>
      </c>
      <c r="N15" s="6">
        <f>MATCH($A15,'Draft Engine'!$F$3:$F$34,0)</f>
        <v>13</v>
      </c>
    </row>
    <row r="16" spans="1:14" x14ac:dyDescent="0.25">
      <c r="A16">
        <f>14</f>
        <v>14</v>
      </c>
      <c r="B16" t="str">
        <f>INDEX('Draft Engine'!$B$3:$B$34,$N16)</f>
        <v>Brock Purdy</v>
      </c>
      <c r="C16" s="4">
        <f>INDEX('Draft Engine'!$E$3:$E$34,$N16)</f>
        <v>83.8386</v>
      </c>
      <c r="D16" t="str">
        <f t="shared" si="0"/>
        <v>TIER 3</v>
      </c>
      <c r="E16">
        <f>INDEX('Draft Engine'!$G$3:$G$34,$N16)</f>
        <v>347.3</v>
      </c>
      <c r="F16">
        <f>INDEX('Draft Engine'!$J$3:$J$34,$N16)</f>
        <v>-3.8</v>
      </c>
      <c r="G16">
        <f>INDEX('Draft Engine'!$N$3:$N$34,$N16)</f>
        <v>62.427230000000009</v>
      </c>
      <c r="H16">
        <f>INDEX('Draft Engine'!$Q$3:$Q$34,$N16)</f>
        <v>90</v>
      </c>
      <c r="I16">
        <f>INDEX('Draft Engine'!$R$3:$R$34,$N16)</f>
        <v>75.7</v>
      </c>
      <c r="J16">
        <f>INDEX('Draft Engine'!$S$3:$S$34,$N16)</f>
        <v>-14.299999999999997</v>
      </c>
      <c r="K16" t="str">
        <f>INDEX('Draft Engine'!$T$3:$T$34,$N16)</f>
        <v>B</v>
      </c>
      <c r="L16" t="str">
        <f>INDEX('LIVE SOURCE'!$H$3:$H$34,$N16)</f>
        <v>QB2/streaming tier; useful when matchup and supporting cast line up.</v>
      </c>
      <c r="M16" t="str">
        <f>INDEX('LIVE SOURCE'!$J$3:$J$34,$N16)</f>
        <v>Availability/sample risk is elevated after only 9 games; talent is not being punished as heavily as durability.</v>
      </c>
      <c r="N16" s="6">
        <f>MATCH($A16,'Draft Engine'!$F$3:$F$34,0)</f>
        <v>14</v>
      </c>
    </row>
    <row r="17" spans="1:14" x14ac:dyDescent="0.25">
      <c r="A17">
        <f>15</f>
        <v>15</v>
      </c>
      <c r="B17" t="str">
        <f>INDEX('Draft Engine'!$B$3:$B$34,$N17)</f>
        <v>Jaxson Dart</v>
      </c>
      <c r="C17" s="4">
        <f>INDEX('Draft Engine'!$E$3:$E$34,$N17)</f>
        <v>83.060699999999997</v>
      </c>
      <c r="D17" t="str">
        <f t="shared" si="0"/>
        <v>TIER 3</v>
      </c>
      <c r="E17">
        <f>INDEX('Draft Engine'!$G$3:$G$34,$N17)</f>
        <v>343.8</v>
      </c>
      <c r="F17">
        <f>INDEX('Draft Engine'!$J$3:$J$34,$N17)</f>
        <v>-7.3</v>
      </c>
      <c r="G17">
        <f>INDEX('Draft Engine'!$N$3:$N$34,$N17)</f>
        <v>60.600154230769235</v>
      </c>
      <c r="H17">
        <f>INDEX('Draft Engine'!$Q$3:$Q$34,$N17)</f>
        <v>96</v>
      </c>
      <c r="I17">
        <f>INDEX('Draft Engine'!$R$3:$R$34,$N17)</f>
        <v>100.4</v>
      </c>
      <c r="J17">
        <f>INDEX('Draft Engine'!$S$3:$S$34,$N17)</f>
        <v>4.4000000000000057</v>
      </c>
      <c r="K17" t="str">
        <f>INDEX('Draft Engine'!$T$3:$T$34,$N17)</f>
        <v>A</v>
      </c>
      <c r="L17" t="str">
        <f>INDEX('LIVE SOURCE'!$H$3:$H$34,$N17)</f>
        <v>QB2/streaming tier; useful when matchup and supporting cast line up.</v>
      </c>
      <c r="M17" t="str">
        <f>INDEX('LIVE SOURCE'!$J$3:$J$34,$N17)</f>
        <v>Passing-TD efficiency, rushing volume and supporting-cast health are the main swing factors.</v>
      </c>
      <c r="N17" s="6">
        <f>MATCH($A17,'Draft Engine'!$F$3:$F$34,0)</f>
        <v>15</v>
      </c>
    </row>
    <row r="18" spans="1:14" x14ac:dyDescent="0.25">
      <c r="A18">
        <f>16</f>
        <v>16</v>
      </c>
      <c r="B18" t="str">
        <f>INDEX('Draft Engine'!$B$3:$B$34,$N18)</f>
        <v>Jared Goff</v>
      </c>
      <c r="C18" s="4">
        <f>INDEX('Draft Engine'!$E$3:$E$34,$N18)</f>
        <v>82.642499999999998</v>
      </c>
      <c r="D18" t="str">
        <f t="shared" si="0"/>
        <v>TIER 3</v>
      </c>
      <c r="E18">
        <f>INDEX('Draft Engine'!$G$3:$G$34,$N18)</f>
        <v>341.9</v>
      </c>
      <c r="F18">
        <f>INDEX('Draft Engine'!$J$3:$J$34,$N18)</f>
        <v>-9.1999999999999993</v>
      </c>
      <c r="G18">
        <f>INDEX('Draft Engine'!$N$3:$N$34,$N18)</f>
        <v>59.258913461538462</v>
      </c>
      <c r="H18">
        <f>INDEX('Draft Engine'!$Q$3:$Q$34,$N18)</f>
        <v>99</v>
      </c>
      <c r="I18">
        <f>INDEX('Draft Engine'!$R$3:$R$34,$N18)</f>
        <v>107.9</v>
      </c>
      <c r="J18">
        <f>INDEX('Draft Engine'!$S$3:$S$34,$N18)</f>
        <v>8.9000000000000057</v>
      </c>
      <c r="K18" t="str">
        <f>INDEX('Draft Engine'!$T$3:$T$34,$N18)</f>
        <v>A</v>
      </c>
      <c r="L18" t="str">
        <f>INDEX('LIVE SOURCE'!$H$3:$H$34,$N18)</f>
        <v>QB2/streaming tier; useful when matchup and supporting cast line up.</v>
      </c>
      <c r="M18" t="str">
        <f>INDEX('LIVE SOURCE'!$J$3:$J$34,$N18)</f>
        <v>Passing-TD efficiency, rushing volume and supporting-cast health are the main swing factors.</v>
      </c>
      <c r="N18" s="6">
        <f>MATCH($A18,'Draft Engine'!$F$3:$F$34,0)</f>
        <v>16</v>
      </c>
    </row>
    <row r="19" spans="1:14" x14ac:dyDescent="0.25">
      <c r="A19">
        <f>17</f>
        <v>17</v>
      </c>
      <c r="B19" t="str">
        <f>INDEX('Draft Engine'!$B$3:$B$34,$N19)</f>
        <v>Kyler Murray</v>
      </c>
      <c r="C19" s="4">
        <f>INDEX('Draft Engine'!$E$3:$E$34,$N19)</f>
        <v>80.710099999999997</v>
      </c>
      <c r="D19" t="str">
        <f t="shared" si="0"/>
        <v>TIER 3</v>
      </c>
      <c r="E19">
        <f>INDEX('Draft Engine'!$G$3:$G$34,$N19)</f>
        <v>333.2</v>
      </c>
      <c r="F19">
        <f>INDEX('Draft Engine'!$J$3:$J$34,$N19)</f>
        <v>-17.899999999999999</v>
      </c>
      <c r="G19">
        <f>INDEX('Draft Engine'!$N$3:$N$34,$N19)</f>
        <v>55.860862692307691</v>
      </c>
      <c r="H19">
        <f>INDEX('Draft Engine'!$Q$3:$Q$34,$N19)</f>
        <v>109</v>
      </c>
      <c r="I19">
        <f>INDEX('Draft Engine'!$R$3:$R$34,$N19)</f>
        <v>146.6</v>
      </c>
      <c r="J19">
        <f>INDEX('Draft Engine'!$S$3:$S$34,$N19)</f>
        <v>37.599999999999994</v>
      </c>
      <c r="K19" t="str">
        <f>INDEX('Draft Engine'!$T$3:$T$34,$N19)</f>
        <v>B</v>
      </c>
      <c r="L19" t="str">
        <f>INDEX('LIVE SOURCE'!$H$3:$H$34,$N19)</f>
        <v>QB2/streaming tier; useful when matchup and supporting cast line up.</v>
      </c>
      <c r="M19" t="str">
        <f>INDEX('LIVE SOURCE'!$J$3:$J$34,$N19)</f>
        <v>Availability/sample risk is elevated after only 5 games; talent is not being punished as heavily as durability.</v>
      </c>
      <c r="N19" s="6">
        <f>MATCH($A19,'Draft Engine'!$F$3:$F$34,0)</f>
        <v>17</v>
      </c>
    </row>
    <row r="20" spans="1:14" x14ac:dyDescent="0.25">
      <c r="A20">
        <f>18</f>
        <v>18</v>
      </c>
      <c r="B20" t="str">
        <f>INDEX('Draft Engine'!$B$3:$B$34,$N20)</f>
        <v>Jordan Love</v>
      </c>
      <c r="C20" s="4">
        <f>INDEX('Draft Engine'!$E$3:$E$34,$N20)</f>
        <v>80.040800000000004</v>
      </c>
      <c r="D20" t="str">
        <f t="shared" si="0"/>
        <v>TIER 3</v>
      </c>
      <c r="E20">
        <f>INDEX('Draft Engine'!$G$3:$G$34,$N20)</f>
        <v>330.2</v>
      </c>
      <c r="F20">
        <f>INDEX('Draft Engine'!$J$3:$J$34,$N20)</f>
        <v>-20.9</v>
      </c>
      <c r="G20">
        <f>INDEX('Draft Engine'!$N$3:$N$34,$N20)</f>
        <v>54.183516923076922</v>
      </c>
      <c r="H20">
        <f>INDEX('Draft Engine'!$Q$3:$Q$34,$N20)</f>
        <v>114</v>
      </c>
      <c r="I20">
        <f>INDEX('Draft Engine'!$R$3:$R$34,$N20)</f>
        <v>150.5</v>
      </c>
      <c r="J20">
        <f>INDEX('Draft Engine'!$S$3:$S$34,$N20)</f>
        <v>36.5</v>
      </c>
      <c r="K20" t="str">
        <f>INDEX('Draft Engine'!$T$3:$T$34,$N20)</f>
        <v>A</v>
      </c>
      <c r="L20" t="str">
        <f>INDEX('LIVE SOURCE'!$H$3:$H$34,$N20)</f>
        <v>QB2/streaming tier; useful when matchup and supporting cast line up.</v>
      </c>
      <c r="M20" t="str">
        <f>INDEX('LIVE SOURCE'!$J$3:$J$34,$N20)</f>
        <v>Passing-TD efficiency, rushing volume and supporting-cast health are the main swing factors.</v>
      </c>
      <c r="N20" s="6">
        <f>MATCH($A20,'Draft Engine'!$F$3:$F$34,0)</f>
        <v>18</v>
      </c>
    </row>
    <row r="21" spans="1:14" x14ac:dyDescent="0.25">
      <c r="A21">
        <f>19</f>
        <v>19</v>
      </c>
      <c r="B21" t="str">
        <f>INDEX('Draft Engine'!$B$3:$B$34,$N21)</f>
        <v>Baker Mayfield</v>
      </c>
      <c r="C21" s="4">
        <f>INDEX('Draft Engine'!$E$3:$E$34,$N21)</f>
        <v>79.825999999999993</v>
      </c>
      <c r="D21" t="str">
        <f t="shared" si="0"/>
        <v>TIER 4</v>
      </c>
      <c r="E21">
        <f>INDEX('Draft Engine'!$G$3:$G$34,$N21)</f>
        <v>329.2</v>
      </c>
      <c r="F21">
        <f>INDEX('Draft Engine'!$J$3:$J$34,$N21)</f>
        <v>-21.9</v>
      </c>
      <c r="G21">
        <f>INDEX('Draft Engine'!$N$3:$N$34,$N21)</f>
        <v>53.116146153846152</v>
      </c>
      <c r="H21">
        <f>INDEX('Draft Engine'!$Q$3:$Q$34,$N21)</f>
        <v>118</v>
      </c>
      <c r="I21">
        <f>INDEX('Draft Engine'!$R$3:$R$34,$N21)</f>
        <v>128.6</v>
      </c>
      <c r="J21">
        <f>INDEX('Draft Engine'!$S$3:$S$34,$N21)</f>
        <v>10.599999999999994</v>
      </c>
      <c r="K21" t="str">
        <f>INDEX('Draft Engine'!$T$3:$T$34,$N21)</f>
        <v>A</v>
      </c>
      <c r="L21" t="str">
        <f>INDEX('LIVE SOURCE'!$H$3:$H$34,$N21)</f>
        <v>Bench/streaming option; needs matchup, rushing or TD spike weeks.</v>
      </c>
      <c r="M21" t="str">
        <f>INDEX('LIVE SOURCE'!$J$3:$J$34,$N21)</f>
        <v>Passing-TD efficiency, rushing volume and supporting-cast health are the main swing factors.</v>
      </c>
      <c r="N21" s="6">
        <f>MATCH($A21,'Draft Engine'!$F$3:$F$34,0)</f>
        <v>19</v>
      </c>
    </row>
    <row r="22" spans="1:14" x14ac:dyDescent="0.25">
      <c r="A22">
        <f>20</f>
        <v>20</v>
      </c>
      <c r="B22" t="str">
        <f>INDEX('Draft Engine'!$B$3:$B$34,$N22)</f>
        <v>Tyler Shough</v>
      </c>
      <c r="C22" s="4">
        <f>INDEX('Draft Engine'!$E$3:$E$34,$N22)</f>
        <v>77.365600000000001</v>
      </c>
      <c r="D22" t="str">
        <f t="shared" si="0"/>
        <v>TIER 4</v>
      </c>
      <c r="E22">
        <f>INDEX('Draft Engine'!$G$3:$G$34,$N22)</f>
        <v>318.10000000000002</v>
      </c>
      <c r="F22">
        <f>INDEX('Draft Engine'!$J$3:$J$34,$N22)</f>
        <v>-33</v>
      </c>
      <c r="G22">
        <f>INDEX('Draft Engine'!$N$3:$N$34,$N22)</f>
        <v>48.995695384615388</v>
      </c>
      <c r="H22">
        <f>INDEX('Draft Engine'!$Q$3:$Q$34,$N22)</f>
        <v>130</v>
      </c>
      <c r="I22">
        <f>INDEX('Draft Engine'!$R$3:$R$34,$N22)</f>
        <v>137.69999999999999</v>
      </c>
      <c r="J22">
        <f>INDEX('Draft Engine'!$S$3:$S$34,$N22)</f>
        <v>7.6999999999999886</v>
      </c>
      <c r="K22" t="str">
        <f>INDEX('Draft Engine'!$T$3:$T$34,$N22)</f>
        <v>B</v>
      </c>
      <c r="L22" t="str">
        <f>INDEX('LIVE SOURCE'!$H$3:$H$34,$N22)</f>
        <v>Bench/streaming option; needs matchup, rushing or TD spike weeks.</v>
      </c>
      <c r="M22" t="str">
        <f>INDEX('LIVE SOURCE'!$J$3:$J$34,$N22)</f>
        <v>Passing-TD efficiency, rushing volume and supporting-cast health are the main swing factors.</v>
      </c>
      <c r="N22" s="6">
        <f>MATCH($A22,'Draft Engine'!$F$3:$F$34,0)</f>
        <v>20</v>
      </c>
    </row>
    <row r="23" spans="1:14" x14ac:dyDescent="0.25">
      <c r="A23">
        <f>21</f>
        <v>21</v>
      </c>
      <c r="B23" t="str">
        <f>INDEX('Draft Engine'!$B$3:$B$34,$N23)</f>
        <v>C.J. Stroud</v>
      </c>
      <c r="C23" s="4">
        <f>INDEX('Draft Engine'!$E$3:$E$34,$N23)</f>
        <v>75.762100000000004</v>
      </c>
      <c r="D23" t="str">
        <f t="shared" si="0"/>
        <v>TIER 4</v>
      </c>
      <c r="E23">
        <f>INDEX('Draft Engine'!$G$3:$G$34,$N23)</f>
        <v>310.89999999999998</v>
      </c>
      <c r="F23">
        <f>INDEX('Draft Engine'!$J$3:$J$34,$N23)</f>
        <v>-40.200000000000003</v>
      </c>
      <c r="G23">
        <f>INDEX('Draft Engine'!$N$3:$N$34,$N23)</f>
        <v>46.433154999999999</v>
      </c>
      <c r="H23">
        <f>INDEX('Draft Engine'!$Q$3:$Q$34,$N23)</f>
        <v>158</v>
      </c>
      <c r="I23">
        <f>INDEX('Draft Engine'!$R$3:$R$34,$N23)</f>
        <v>162.5</v>
      </c>
      <c r="J23">
        <f>INDEX('Draft Engine'!$S$3:$S$34,$N23)</f>
        <v>4.5</v>
      </c>
      <c r="K23" t="str">
        <f>INDEX('Draft Engine'!$T$3:$T$34,$N23)</f>
        <v>A</v>
      </c>
      <c r="L23" t="str">
        <f>INDEX('LIVE SOURCE'!$H$3:$H$34,$N23)</f>
        <v>Bench/streaming option; needs matchup, rushing or TD spike weeks.</v>
      </c>
      <c r="M23" t="str">
        <f>INDEX('LIVE SOURCE'!$J$3:$J$34,$N23)</f>
        <v>Passing-TD efficiency, rushing volume and supporting-cast health are the main swing factors.</v>
      </c>
      <c r="N23" s="6">
        <f>MATCH($A23,'Draft Engine'!$F$3:$F$34,0)</f>
        <v>21</v>
      </c>
    </row>
    <row r="24" spans="1:14" x14ac:dyDescent="0.25">
      <c r="A24">
        <f>22</f>
        <v>22</v>
      </c>
      <c r="B24" t="str">
        <f>INDEX('Draft Engine'!$B$3:$B$34,$N24)</f>
        <v>Sam Darnold</v>
      </c>
      <c r="C24" s="4">
        <f>INDEX('Draft Engine'!$E$3:$E$34,$N24)</f>
        <v>75.554199999999994</v>
      </c>
      <c r="D24" t="str">
        <f t="shared" si="0"/>
        <v>TIER 4</v>
      </c>
      <c r="E24">
        <f>INDEX('Draft Engine'!$G$3:$G$34,$N24)</f>
        <v>310</v>
      </c>
      <c r="F24">
        <f>INDEX('Draft Engine'!$J$3:$J$34,$N24)</f>
        <v>-41.1</v>
      </c>
      <c r="G24">
        <f>INDEX('Draft Engine'!$N$3:$N$34,$N24)</f>
        <v>46.15681</v>
      </c>
      <c r="H24">
        <f>INDEX('Draft Engine'!$Q$3:$Q$34,$N24)</f>
        <v>159</v>
      </c>
      <c r="I24">
        <f>INDEX('Draft Engine'!$R$3:$R$34,$N24)</f>
        <v>142.4</v>
      </c>
      <c r="J24">
        <f>INDEX('Draft Engine'!$S$3:$S$34,$N24)</f>
        <v>-16.599999999999994</v>
      </c>
      <c r="K24" t="str">
        <f>INDEX('Draft Engine'!$T$3:$T$34,$N24)</f>
        <v>A</v>
      </c>
      <c r="L24" t="str">
        <f>INDEX('LIVE SOURCE'!$H$3:$H$34,$N24)</f>
        <v>Bench/streaming option; needs matchup, rushing or TD spike weeks.</v>
      </c>
      <c r="M24" t="str">
        <f>INDEX('LIVE SOURCE'!$J$3:$J$34,$N24)</f>
        <v>Passing-TD efficiency, rushing volume and supporting-cast health are the main swing factors.</v>
      </c>
      <c r="N24" s="6">
        <f>MATCH($A24,'Draft Engine'!$F$3:$F$34,0)</f>
        <v>22</v>
      </c>
    </row>
    <row r="25" spans="1:14" x14ac:dyDescent="0.25">
      <c r="A25">
        <f>23</f>
        <v>23</v>
      </c>
      <c r="B25" t="str">
        <f>INDEX('Draft Engine'!$B$3:$B$34,$N25)</f>
        <v>Daniel Jones</v>
      </c>
      <c r="C25" s="4">
        <f>INDEX('Draft Engine'!$E$3:$E$34,$N25)</f>
        <v>74.790400000000005</v>
      </c>
      <c r="D25" t="str">
        <f t="shared" si="0"/>
        <v>TIER 5</v>
      </c>
      <c r="E25">
        <f>INDEX('Draft Engine'!$G$3:$G$34,$N25)</f>
        <v>306.60000000000002</v>
      </c>
      <c r="F25">
        <f>INDEX('Draft Engine'!$J$3:$J$34,$N25)</f>
        <v>-44.5</v>
      </c>
      <c r="G25">
        <f>INDEX('Draft Engine'!$N$3:$N$34,$N25)</f>
        <v>45.124720000000011</v>
      </c>
      <c r="H25">
        <f>INDEX('Draft Engine'!$Q$3:$Q$34,$N25)</f>
        <v>161</v>
      </c>
      <c r="I25">
        <f>INDEX('Draft Engine'!$R$3:$R$34,$N25)</f>
        <v>143.9</v>
      </c>
      <c r="J25">
        <f>INDEX('Draft Engine'!$S$3:$S$34,$N25)</f>
        <v>-17.099999999999994</v>
      </c>
      <c r="K25" t="str">
        <f>INDEX('Draft Engine'!$T$3:$T$34,$N25)</f>
        <v>A</v>
      </c>
      <c r="L25" t="str">
        <f>INDEX('LIVE SOURCE'!$H$3:$H$34,$N25)</f>
        <v>Bench/streaming option; needs matchup, rushing or TD spike weeks.</v>
      </c>
      <c r="M25" t="str">
        <f>INDEX('LIVE SOURCE'!$J$3:$J$34,$N25)</f>
        <v>Passing-TD efficiency, rushing volume and supporting-cast health are the main swing factors.</v>
      </c>
      <c r="N25" s="6">
        <f>MATCH($A25,'Draft Engine'!$F$3:$F$34,0)</f>
        <v>23</v>
      </c>
    </row>
    <row r="26" spans="1:14" x14ac:dyDescent="0.25">
      <c r="A26">
        <f>24</f>
        <v>24</v>
      </c>
      <c r="B26" t="str">
        <f>INDEX('Draft Engine'!$B$3:$B$34,$N26)</f>
        <v>Malik Willis</v>
      </c>
      <c r="C26" s="4">
        <f>INDEX('Draft Engine'!$E$3:$E$34,$N26)</f>
        <v>74.240300000000005</v>
      </c>
      <c r="D26" t="str">
        <f t="shared" si="0"/>
        <v>TIER 5</v>
      </c>
      <c r="E26">
        <f>INDEX('Draft Engine'!$G$3:$G$34,$N26)</f>
        <v>304.10000000000002</v>
      </c>
      <c r="F26">
        <f>INDEX('Draft Engine'!$J$3:$J$34,$N26)</f>
        <v>-47</v>
      </c>
      <c r="G26">
        <f>INDEX('Draft Engine'!$N$3:$N$34,$N26)</f>
        <v>44.372165000000003</v>
      </c>
      <c r="H26">
        <f>INDEX('Draft Engine'!$Q$3:$Q$34,$N26)</f>
        <v>163</v>
      </c>
      <c r="I26">
        <f>INDEX('Draft Engine'!$R$3:$R$34,$N26)</f>
        <v>160.4</v>
      </c>
      <c r="J26">
        <f>INDEX('Draft Engine'!$S$3:$S$34,$N26)</f>
        <v>-2.5999999999999943</v>
      </c>
      <c r="K26" t="str">
        <f>INDEX('Draft Engine'!$T$3:$T$34,$N26)</f>
        <v>B</v>
      </c>
      <c r="L26" t="str">
        <f>INDEX('LIVE SOURCE'!$H$3:$H$34,$N26)</f>
        <v>Bench/streaming option; needs matchup, rushing or TD spike weeks.</v>
      </c>
      <c r="M26" t="str">
        <f>INDEX('LIVE SOURCE'!$J$3:$J$34,$N26)</f>
        <v>Availability/sample risk is elevated after only 4 games; talent is not being punished as heavily as durability.</v>
      </c>
      <c r="N26" s="6">
        <f>MATCH($A26,'Draft Engine'!$F$3:$F$34,0)</f>
        <v>24</v>
      </c>
    </row>
    <row r="27" spans="1:14" x14ac:dyDescent="0.25">
      <c r="A27">
        <f>25</f>
        <v>25</v>
      </c>
      <c r="B27" t="str">
        <f>INDEX('Draft Engine'!$B$3:$B$34,$N27)</f>
        <v>Bryce Young</v>
      </c>
      <c r="C27" s="4">
        <f>INDEX('Draft Engine'!$E$3:$E$34,$N27)</f>
        <v>72.797600000000003</v>
      </c>
      <c r="D27" t="str">
        <f t="shared" si="0"/>
        <v>TIER 5</v>
      </c>
      <c r="E27">
        <f>INDEX('Draft Engine'!$G$3:$G$34,$N27)</f>
        <v>297.60000000000002</v>
      </c>
      <c r="F27">
        <f>INDEX('Draft Engine'!$J$3:$J$34,$N27)</f>
        <v>-53.5</v>
      </c>
      <c r="G27">
        <f>INDEX('Draft Engine'!$N$3:$N$34,$N27)</f>
        <v>42.408680000000004</v>
      </c>
      <c r="H27">
        <f>INDEX('Draft Engine'!$Q$3:$Q$34,$N27)</f>
        <v>170</v>
      </c>
      <c r="I27">
        <f>INDEX('Draft Engine'!$R$3:$R$34,$N27)</f>
        <v>174.2</v>
      </c>
      <c r="J27">
        <f>INDEX('Draft Engine'!$S$3:$S$34,$N27)</f>
        <v>4.1999999999999886</v>
      </c>
      <c r="K27" t="str">
        <f>INDEX('Draft Engine'!$T$3:$T$34,$N27)</f>
        <v>A</v>
      </c>
      <c r="L27" t="str">
        <f>INDEX('LIVE SOURCE'!$H$3:$H$34,$N27)</f>
        <v>Deep QB2; waiver-level in a normal 10-team format.</v>
      </c>
      <c r="M27" t="str">
        <f>INDEX('LIVE SOURCE'!$J$3:$J$34,$N27)</f>
        <v>Passing-TD efficiency, rushing volume and supporting-cast health are the main swing factors.</v>
      </c>
      <c r="N27" s="6">
        <f>MATCH($A27,'Draft Engine'!$F$3:$F$34,0)</f>
        <v>25</v>
      </c>
    </row>
    <row r="28" spans="1:14" x14ac:dyDescent="0.25">
      <c r="A28">
        <f>26</f>
        <v>26</v>
      </c>
      <c r="B28" t="str">
        <f>INDEX('Draft Engine'!$B$3:$B$34,$N28)</f>
        <v>Cam Ward</v>
      </c>
      <c r="C28" s="4">
        <f>INDEX('Draft Engine'!$E$3:$E$34,$N28)</f>
        <v>72.664599999999993</v>
      </c>
      <c r="D28" t="str">
        <f t="shared" si="0"/>
        <v>TIER 5</v>
      </c>
      <c r="E28">
        <f>INDEX('Draft Engine'!$G$3:$G$34,$N28)</f>
        <v>297</v>
      </c>
      <c r="F28">
        <f>INDEX('Draft Engine'!$J$3:$J$34,$N28)</f>
        <v>-54.1</v>
      </c>
      <c r="G28">
        <f>INDEX('Draft Engine'!$N$3:$N$34,$N28)</f>
        <v>42.227530000000002</v>
      </c>
      <c r="H28">
        <f>INDEX('Draft Engine'!$Q$3:$Q$34,$N28)</f>
        <v>172</v>
      </c>
      <c r="I28">
        <f>INDEX('Draft Engine'!$R$3:$R$34,$N28)</f>
        <v>175.6</v>
      </c>
      <c r="J28">
        <f>INDEX('Draft Engine'!$S$3:$S$34,$N28)</f>
        <v>3.5999999999999943</v>
      </c>
      <c r="K28" t="str">
        <f>INDEX('Draft Engine'!$T$3:$T$34,$N28)</f>
        <v>A</v>
      </c>
      <c r="L28" t="str">
        <f>INDEX('LIVE SOURCE'!$H$3:$H$34,$N28)</f>
        <v>Deep QB2; waiver-level in a normal 10-team format.</v>
      </c>
      <c r="M28" t="str">
        <f>INDEX('LIVE SOURCE'!$J$3:$J$34,$N28)</f>
        <v>Passing-TD efficiency, rushing volume and supporting-cast health are the main swing factors.</v>
      </c>
      <c r="N28" s="6">
        <f>MATCH($A28,'Draft Engine'!$F$3:$F$34,0)</f>
        <v>26</v>
      </c>
    </row>
    <row r="29" spans="1:14" x14ac:dyDescent="0.25">
      <c r="A29">
        <f>27</f>
        <v>27</v>
      </c>
      <c r="B29" t="str">
        <f>INDEX('Draft Engine'!$B$3:$B$34,$N29)</f>
        <v>Jacoby Brissett</v>
      </c>
      <c r="C29" s="4">
        <f>INDEX('Draft Engine'!$E$3:$E$34,$N29)</f>
        <v>71.333399999999997</v>
      </c>
      <c r="D29" t="str">
        <f t="shared" si="0"/>
        <v>TIER 5</v>
      </c>
      <c r="E29">
        <f>INDEX('Draft Engine'!$G$3:$G$34,$N29)</f>
        <v>291</v>
      </c>
      <c r="F29">
        <f>INDEX('Draft Engine'!$J$3:$J$34,$N29)</f>
        <v>-60.1</v>
      </c>
      <c r="G29">
        <f>INDEX('Draft Engine'!$N$3:$N$34,$N29)</f>
        <v>40.415370000000003</v>
      </c>
      <c r="H29">
        <f>INDEX('Draft Engine'!$Q$3:$Q$34,$N29)</f>
        <v>180</v>
      </c>
      <c r="I29">
        <f>INDEX('Draft Engine'!$R$3:$R$34,$N29)</f>
        <v>167.4</v>
      </c>
      <c r="J29">
        <f>INDEX('Draft Engine'!$S$3:$S$34,$N29)</f>
        <v>-12.599999999999994</v>
      </c>
      <c r="K29" t="str">
        <f>INDEX('Draft Engine'!$T$3:$T$34,$N29)</f>
        <v>A</v>
      </c>
      <c r="L29" t="str">
        <f>INDEX('LIVE SOURCE'!$H$3:$H$34,$N29)</f>
        <v>Deep QB2; waiver-level in a normal 10-team format.</v>
      </c>
      <c r="M29" t="str">
        <f>INDEX('LIVE SOURCE'!$J$3:$J$34,$N29)</f>
        <v>Passing-TD efficiency, rushing volume and supporting-cast health are the main swing factors.</v>
      </c>
      <c r="N29" s="6">
        <f>MATCH($A29,'Draft Engine'!$F$3:$F$34,0)</f>
        <v>27</v>
      </c>
    </row>
    <row r="30" spans="1:14" x14ac:dyDescent="0.25">
      <c r="A30">
        <f>28</f>
        <v>28</v>
      </c>
      <c r="B30" t="str">
        <f>INDEX('Draft Engine'!$B$3:$B$34,$N30)</f>
        <v>Geno Smith</v>
      </c>
      <c r="C30" s="4">
        <f>INDEX('Draft Engine'!$E$3:$E$34,$N30)</f>
        <v>71.098600000000005</v>
      </c>
      <c r="D30" t="str">
        <f t="shared" si="0"/>
        <v>TIER 5</v>
      </c>
      <c r="E30">
        <f>INDEX('Draft Engine'!$G$3:$G$34,$N30)</f>
        <v>289.89999999999998</v>
      </c>
      <c r="F30">
        <f>INDEX('Draft Engine'!$J$3:$J$34,$N30)</f>
        <v>-61.2</v>
      </c>
      <c r="G30">
        <f>INDEX('Draft Engine'!$N$3:$N$34,$N30)</f>
        <v>40.08823000000001</v>
      </c>
      <c r="H30">
        <f>INDEX('Draft Engine'!$Q$3:$Q$34,$N30)</f>
        <v>181</v>
      </c>
      <c r="I30">
        <f>INDEX('Draft Engine'!$R$3:$R$34,$N30)</f>
        <v>238</v>
      </c>
      <c r="J30">
        <f>INDEX('Draft Engine'!$S$3:$S$34,$N30)</f>
        <v>57</v>
      </c>
      <c r="K30" t="str">
        <f>INDEX('Draft Engine'!$T$3:$T$34,$N30)</f>
        <v>A</v>
      </c>
      <c r="L30" t="str">
        <f>INDEX('LIVE SOURCE'!$H$3:$H$34,$N30)</f>
        <v>Deep QB2; waiver-level in a normal 10-team format.</v>
      </c>
      <c r="M30" t="str">
        <f>INDEX('LIVE SOURCE'!$J$3:$J$34,$N30)</f>
        <v>Passing-TD efficiency, rushing volume and supporting-cast health are the main swing factors.</v>
      </c>
      <c r="N30" s="6">
        <f>MATCH($A30,'Draft Engine'!$F$3:$F$34,0)</f>
        <v>28</v>
      </c>
    </row>
    <row r="31" spans="1:14" x14ac:dyDescent="0.25">
      <c r="A31">
        <f>29</f>
        <v>29</v>
      </c>
      <c r="B31" t="str">
        <f>INDEX('Draft Engine'!$B$3:$B$34,$N31)</f>
        <v>Aaron Rodgers</v>
      </c>
      <c r="C31" s="4">
        <f>INDEX('Draft Engine'!$E$3:$E$34,$N31)</f>
        <v>70.884799999999998</v>
      </c>
      <c r="D31" t="str">
        <f t="shared" si="0"/>
        <v>TIER 5</v>
      </c>
      <c r="E31">
        <f>INDEX('Draft Engine'!$G$3:$G$34,$N31)</f>
        <v>289</v>
      </c>
      <c r="F31">
        <f>INDEX('Draft Engine'!$J$3:$J$34,$N31)</f>
        <v>-62.1</v>
      </c>
      <c r="G31">
        <f>INDEX('Draft Engine'!$N$3:$N$34,$N31)</f>
        <v>39.808640000000004</v>
      </c>
      <c r="H31">
        <f>INDEX('Draft Engine'!$Q$3:$Q$34,$N31)</f>
        <v>182</v>
      </c>
      <c r="I31">
        <f>INDEX('Draft Engine'!$R$3:$R$34,$N31)</f>
        <v>168.1</v>
      </c>
      <c r="J31">
        <f>INDEX('Draft Engine'!$S$3:$S$34,$N31)</f>
        <v>-13.900000000000006</v>
      </c>
      <c r="K31" t="str">
        <f>INDEX('Draft Engine'!$T$3:$T$34,$N31)</f>
        <v>A</v>
      </c>
      <c r="L31" t="str">
        <f>INDEX('LIVE SOURCE'!$H$3:$H$34,$N31)</f>
        <v>Deep QB2; waiver-level in a normal 10-team format.</v>
      </c>
      <c r="M31" t="str">
        <f>INDEX('LIVE SOURCE'!$J$3:$J$34,$N31)</f>
        <v>Passing-TD efficiency, rushing volume and supporting-cast health are the main swing factors.</v>
      </c>
      <c r="N31" s="6">
        <f>MATCH($A31,'Draft Engine'!$F$3:$F$34,0)</f>
        <v>29</v>
      </c>
    </row>
    <row r="32" spans="1:14" x14ac:dyDescent="0.25">
      <c r="A32">
        <f>30</f>
        <v>30</v>
      </c>
      <c r="B32" t="str">
        <f>INDEX('Draft Engine'!$B$3:$B$34,$N32)</f>
        <v>Tua Tagovailoa</v>
      </c>
      <c r="C32" s="4">
        <f>INDEX('Draft Engine'!$E$3:$E$34,$N32)</f>
        <v>67.851200000000006</v>
      </c>
      <c r="D32" t="str">
        <f t="shared" si="0"/>
        <v>TIER 6</v>
      </c>
      <c r="E32">
        <f>INDEX('Draft Engine'!$G$3:$G$34,$N32)</f>
        <v>275.3</v>
      </c>
      <c r="F32">
        <f>INDEX('Draft Engine'!$J$3:$J$34,$N32)</f>
        <v>-75.8</v>
      </c>
      <c r="G32">
        <f>INDEX('Draft Engine'!$N$3:$N$34,$N32)</f>
        <v>35.674160000000008</v>
      </c>
      <c r="H32">
        <f>INDEX('Draft Engine'!$Q$3:$Q$34,$N32)</f>
        <v>192</v>
      </c>
      <c r="I32">
        <f>INDEX('Draft Engine'!$R$3:$R$34,$N32)</f>
        <v>254</v>
      </c>
      <c r="J32">
        <f>INDEX('Draft Engine'!$S$3:$S$34,$N32)</f>
        <v>62</v>
      </c>
      <c r="K32" t="str">
        <f>INDEX('Draft Engine'!$T$3:$T$34,$N32)</f>
        <v>A</v>
      </c>
      <c r="L32" t="str">
        <f>INDEX('LIVE SOURCE'!$H$3:$H$34,$N32)</f>
        <v>Deep QB2; waiver-level in a normal 10-team format.</v>
      </c>
      <c r="M32" t="str">
        <f>INDEX('LIVE SOURCE'!$J$3:$J$34,$N32)</f>
        <v>Passing-TD efficiency, rushing volume and supporting-cast health are the main swing factors.</v>
      </c>
      <c r="N32" s="6">
        <f>MATCH($A32,'Draft Engine'!$F$3:$F$34,0)</f>
        <v>30</v>
      </c>
    </row>
    <row r="33" spans="1:14" x14ac:dyDescent="0.25">
      <c r="A33">
        <f>31</f>
        <v>31</v>
      </c>
      <c r="B33" t="str">
        <f>INDEX('Draft Engine'!$B$3:$B$34,$N33)</f>
        <v>Kirk Cousins</v>
      </c>
      <c r="C33" s="4">
        <f>INDEX('Draft Engine'!$E$3:$E$34,$N33)</f>
        <v>65.792900000000003</v>
      </c>
      <c r="D33" t="str">
        <f t="shared" si="0"/>
        <v>TIER 6</v>
      </c>
      <c r="E33">
        <f>INDEX('Draft Engine'!$G$3:$G$34,$N33)</f>
        <v>266.10000000000002</v>
      </c>
      <c r="F33">
        <f>INDEX('Draft Engine'!$J$3:$J$34,$N33)</f>
        <v>-85</v>
      </c>
      <c r="G33">
        <f>INDEX('Draft Engine'!$N$3:$N$34,$N33)</f>
        <v>33.186095000000002</v>
      </c>
      <c r="H33">
        <f>INDEX('Draft Engine'!$Q$3:$Q$34,$N33)</f>
        <v>196</v>
      </c>
      <c r="I33">
        <f>INDEX('Draft Engine'!$R$3:$R$34,$N33)</f>
        <v>262</v>
      </c>
      <c r="J33">
        <f>INDEX('Draft Engine'!$S$3:$S$34,$N33)</f>
        <v>66</v>
      </c>
      <c r="K33" t="str">
        <f>INDEX('Draft Engine'!$T$3:$T$34,$N33)</f>
        <v>B</v>
      </c>
      <c r="L33" t="str">
        <f>INDEX('LIVE SOURCE'!$H$3:$H$34,$N33)</f>
        <v>Deep QB2; waiver-level in a normal 10-team format.</v>
      </c>
      <c r="M33" t="str">
        <f>INDEX('LIVE SOURCE'!$J$3:$J$34,$N33)</f>
        <v>Passing-TD efficiency, rushing volume and supporting-cast health are the main swing factors.</v>
      </c>
      <c r="N33" s="6">
        <f>MATCH($A33,'Draft Engine'!$F$3:$F$34,0)</f>
        <v>31</v>
      </c>
    </row>
    <row r="34" spans="1:14" x14ac:dyDescent="0.25">
      <c r="A34">
        <f>32</f>
        <v>32</v>
      </c>
      <c r="B34" t="str">
        <f>INDEX('Draft Engine'!$B$3:$B$34,$N34)</f>
        <v>Deshaun Watson</v>
      </c>
      <c r="C34" s="4">
        <f>INDEX('Draft Engine'!$E$3:$E$34,$N34)</f>
        <v>60.25</v>
      </c>
      <c r="D34" t="str">
        <f t="shared" si="0"/>
        <v>TIER 7</v>
      </c>
      <c r="E34">
        <f>INDEX('Draft Engine'!$G$3:$G$34,$N34)</f>
        <v>241.1</v>
      </c>
      <c r="F34">
        <f>INDEX('Draft Engine'!$J$3:$J$34,$N34)</f>
        <v>-110</v>
      </c>
      <c r="G34">
        <f>INDEX('Draft Engine'!$N$3:$N$34,$N34)</f>
        <v>30.137500000000003</v>
      </c>
      <c r="H34">
        <f>INDEX('Draft Engine'!$Q$3:$Q$34,$N34)</f>
        <v>201</v>
      </c>
      <c r="I34">
        <f>INDEX('Draft Engine'!$R$3:$R$34,$N34)</f>
        <v>270</v>
      </c>
      <c r="J34">
        <f>INDEX('Draft Engine'!$S$3:$S$34,$N34)</f>
        <v>69</v>
      </c>
      <c r="K34" t="str">
        <f>INDEX('Draft Engine'!$T$3:$T$34,$N34)</f>
        <v>C</v>
      </c>
      <c r="L34" t="str">
        <f>INDEX('LIVE SOURCE'!$H$3:$H$34,$N34)</f>
        <v>Deep QB2; waiver-level in a normal 10-team format.</v>
      </c>
      <c r="M34" t="str">
        <f>INDEX('LIVE SOURCE'!$J$3:$J$34,$N34)</f>
        <v>Evidence is thinner than for established veterans, so camp, depth-chart and role news can move the grade materially.</v>
      </c>
      <c r="N34" s="6">
        <f>MATCH($A34,'Draft Engine'!$F$3:$F$34,0)</f>
        <v>32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9D18E"/>
  </sheetPr>
  <dimension ref="A1:N54"/>
  <sheetViews>
    <sheetView workbookViewId="0">
      <pane ySplit="2" topLeftCell="A3" activePane="bottomLeft" state="frozen"/>
      <selection pane="bottomLeft"/>
    </sheetView>
  </sheetViews>
  <sheetFormatPr defaultRowHeight="15" x14ac:dyDescent="0.25"/>
  <cols>
    <col min="1" max="1" width="8" customWidth="1"/>
    <col min="2" max="2" width="22" customWidth="1"/>
    <col min="3" max="3" width="10" customWidth="1"/>
    <col min="4" max="4" width="9" customWidth="1"/>
    <col min="5" max="5" width="10" customWidth="1"/>
    <col min="6" max="6" width="8" customWidth="1"/>
    <col min="7" max="8" width="11" customWidth="1"/>
    <col min="9" max="9" width="10" customWidth="1"/>
    <col min="10" max="10" width="9" customWidth="1"/>
    <col min="11" max="11" width="10" customWidth="1"/>
    <col min="12" max="12" width="55" customWidth="1"/>
    <col min="13" max="13" width="50" customWidth="1"/>
    <col min="14" max="14" width="6" customWidth="1"/>
  </cols>
  <sheetData>
    <row r="1" spans="1:14" ht="18.75" x14ac:dyDescent="0.3">
      <c r="A1" s="1" t="s">
        <v>599</v>
      </c>
    </row>
    <row r="2" spans="1:14" ht="27.95" customHeight="1" x14ac:dyDescent="0.25">
      <c r="A2" s="3" t="s">
        <v>4</v>
      </c>
      <c r="B2" s="3" t="s">
        <v>65</v>
      </c>
      <c r="C2" s="3" t="s">
        <v>6</v>
      </c>
      <c r="D2" s="3" t="s">
        <v>7</v>
      </c>
      <c r="E2" s="3" t="s">
        <v>591</v>
      </c>
      <c r="F2" s="3" t="s">
        <v>592</v>
      </c>
      <c r="G2" s="3" t="s">
        <v>8</v>
      </c>
      <c r="H2" s="3" t="s">
        <v>598</v>
      </c>
      <c r="I2" s="3" t="s">
        <v>9</v>
      </c>
      <c r="J2" s="3" t="s">
        <v>10</v>
      </c>
      <c r="K2" s="3" t="s">
        <v>80</v>
      </c>
      <c r="L2" s="3" t="s">
        <v>13</v>
      </c>
      <c r="M2" s="3" t="s">
        <v>83</v>
      </c>
      <c r="N2" s="3" t="s">
        <v>14</v>
      </c>
    </row>
    <row r="3" spans="1:14" x14ac:dyDescent="0.25">
      <c r="A3">
        <f>1</f>
        <v>1</v>
      </c>
      <c r="B3" t="str">
        <f>INDEX('Draft Engine'!$B$35:$B$86,$N3)</f>
        <v>Bijan Robinson</v>
      </c>
      <c r="C3" s="4">
        <f>INDEX('Draft Engine'!$E$35:$E$86,$N3)</f>
        <v>97.3673</v>
      </c>
      <c r="D3" t="str">
        <f t="shared" ref="D3:D34" si="0">IF($C3&gt;=95,"ELITE",IF($C3&gt;=90,"TIER 1",IF($C3&gt;=85,"TIER 2",IF($C3&gt;=80,"TIER 3",IF($C3&gt;=75,"TIER 4",IF($C3&gt;=70,"TIER 5",IF($C3&gt;=65,"TIER 6","TIER 7")))))))</f>
        <v>ELITE</v>
      </c>
      <c r="E3">
        <f>INDEX('Draft Engine'!$G$35:$G$86,$N3)</f>
        <v>338.9</v>
      </c>
      <c r="F3">
        <f>INDEX('Draft Engine'!$J$35:$J$86,$N3)</f>
        <v>99.9</v>
      </c>
      <c r="G3">
        <f>INDEX('Draft Engine'!$N$35:$N$86,$N3)</f>
        <v>98.552015000000011</v>
      </c>
      <c r="H3">
        <f>INDEX('Draft Engine'!$Q$35:$Q$86,$N3)</f>
        <v>2</v>
      </c>
      <c r="I3">
        <f>INDEX('Draft Engine'!$R$35:$R$86,$N3)</f>
        <v>1.8</v>
      </c>
      <c r="J3">
        <f>INDEX('Draft Engine'!$S$35:$S$86,$N3)</f>
        <v>-0.19999999999999996</v>
      </c>
      <c r="K3" t="str">
        <f>INDEX('Draft Engine'!$T$35:$T$86,$N3)</f>
        <v>A</v>
      </c>
      <c r="L3" t="str">
        <f>INDEX('LIVE SOURCE'!$H$35:$H$86,$N3)</f>
        <v>Elite RB1 and first-round roster anchor with league-winning ceiling.</v>
      </c>
      <c r="M3" t="str">
        <f>INDEX('LIVE SOURCE'!$J$35:$J$86,$N3)</f>
        <v>Touchdown variance, receiving-role changes and backfield competition are the main downside paths.</v>
      </c>
      <c r="N3" s="6">
        <f>MATCH($A3,'Draft Engine'!$F$35:$F$86,0)</f>
        <v>1</v>
      </c>
    </row>
    <row r="4" spans="1:14" x14ac:dyDescent="0.25">
      <c r="A4">
        <f>2</f>
        <v>2</v>
      </c>
      <c r="B4" t="str">
        <f>INDEX('Draft Engine'!$B$35:$B$86,$N4)</f>
        <v>Jahmyr Gibbs</v>
      </c>
      <c r="C4" s="4">
        <f>INDEX('Draft Engine'!$E$35:$E$86,$N4)</f>
        <v>96.332300000000004</v>
      </c>
      <c r="D4" t="str">
        <f t="shared" si="0"/>
        <v>ELITE</v>
      </c>
      <c r="E4">
        <f>INDEX('Draft Engine'!$G$35:$G$86,$N4)</f>
        <v>334.6</v>
      </c>
      <c r="F4">
        <f>INDEX('Draft Engine'!$J$35:$J$86,$N4)</f>
        <v>95.6</v>
      </c>
      <c r="G4">
        <f>INDEX('Draft Engine'!$N$35:$N$86,$N4)</f>
        <v>97.982765000000001</v>
      </c>
      <c r="H4">
        <f>INDEX('Draft Engine'!$Q$35:$Q$86,$N4)</f>
        <v>4</v>
      </c>
      <c r="I4">
        <f>INDEX('Draft Engine'!$R$35:$R$86,$N4)</f>
        <v>1.8</v>
      </c>
      <c r="J4">
        <f>INDEX('Draft Engine'!$S$35:$S$86,$N4)</f>
        <v>-2.2000000000000002</v>
      </c>
      <c r="K4" t="str">
        <f>INDEX('Draft Engine'!$T$35:$T$86,$N4)</f>
        <v>A</v>
      </c>
      <c r="L4" t="str">
        <f>INDEX('LIVE SOURCE'!$H$35:$H$86,$N4)</f>
        <v>Elite RB1 and first-round roster anchor with league-winning ceiling.</v>
      </c>
      <c r="M4" t="str">
        <f>INDEX('LIVE SOURCE'!$J$35:$J$86,$N4)</f>
        <v>Touchdown variance, receiving-role changes and backfield competition are the main downside paths.</v>
      </c>
      <c r="N4" s="6">
        <f>MATCH($A4,'Draft Engine'!$F$35:$F$86,0)</f>
        <v>2</v>
      </c>
    </row>
    <row r="5" spans="1:14" x14ac:dyDescent="0.25">
      <c r="A5">
        <f>3</f>
        <v>3</v>
      </c>
      <c r="B5" t="str">
        <f>INDEX('Draft Engine'!$B$35:$B$86,$N5)</f>
        <v>Christian McCaffrey</v>
      </c>
      <c r="C5" s="4">
        <f>INDEX('Draft Engine'!$E$35:$E$86,$N5)</f>
        <v>94.244699999999995</v>
      </c>
      <c r="D5" t="str">
        <f t="shared" si="0"/>
        <v>TIER 1</v>
      </c>
      <c r="E5">
        <f>INDEX('Draft Engine'!$G$35:$G$86,$N5)</f>
        <v>325.8</v>
      </c>
      <c r="F5">
        <f>INDEX('Draft Engine'!$J$35:$J$86,$N5)</f>
        <v>86.8</v>
      </c>
      <c r="G5">
        <f>INDEX('Draft Engine'!$N$35:$N$86,$N5)</f>
        <v>96.834585000000004</v>
      </c>
      <c r="H5">
        <f>INDEX('Draft Engine'!$Q$35:$Q$86,$N5)</f>
        <v>5</v>
      </c>
      <c r="I5">
        <f>INDEX('Draft Engine'!$R$35:$R$86,$N5)</f>
        <v>5.8</v>
      </c>
      <c r="J5">
        <f>INDEX('Draft Engine'!$S$35:$S$86,$N5)</f>
        <v>0.79999999999999982</v>
      </c>
      <c r="K5" t="str">
        <f>INDEX('Draft Engine'!$T$35:$T$86,$N5)</f>
        <v>A</v>
      </c>
      <c r="L5" t="str">
        <f>INDEX('LIVE SOURCE'!$H$35:$H$86,$N5)</f>
        <v>Elite RB1 and first-round roster anchor with league-winning ceiling.</v>
      </c>
      <c r="M5" t="str">
        <f>INDEX('LIVE SOURCE'!$J$35:$J$86,$N5)</f>
        <v>Touchdown variance, receiving-role changes and backfield competition are the main downside paths.</v>
      </c>
      <c r="N5" s="6">
        <f>MATCH($A5,'Draft Engine'!$F$35:$F$86,0)</f>
        <v>3</v>
      </c>
    </row>
    <row r="6" spans="1:14" x14ac:dyDescent="0.25">
      <c r="A6">
        <f>4</f>
        <v>4</v>
      </c>
      <c r="B6" t="str">
        <f>INDEX('Draft Engine'!$B$35:$B$86,$N6)</f>
        <v>Jonathan Taylor</v>
      </c>
      <c r="C6" s="4">
        <f>INDEX('Draft Engine'!$E$35:$E$86,$N6)</f>
        <v>92.147000000000006</v>
      </c>
      <c r="D6" t="str">
        <f t="shared" si="0"/>
        <v>TIER 1</v>
      </c>
      <c r="E6">
        <f>INDEX('Draft Engine'!$G$35:$G$86,$N6)</f>
        <v>317</v>
      </c>
      <c r="F6">
        <f>INDEX('Draft Engine'!$J$35:$J$86,$N6)</f>
        <v>78</v>
      </c>
      <c r="G6">
        <f>INDEX('Draft Engine'!$N$35:$N$86,$N6)</f>
        <v>94.720850000000013</v>
      </c>
      <c r="H6">
        <f>INDEX('Draft Engine'!$Q$35:$Q$86,$N6)</f>
        <v>8</v>
      </c>
      <c r="I6">
        <f>INDEX('Draft Engine'!$R$35:$R$86,$N6)</f>
        <v>7.4</v>
      </c>
      <c r="J6">
        <f>INDEX('Draft Engine'!$S$35:$S$86,$N6)</f>
        <v>-0.59999999999999964</v>
      </c>
      <c r="K6" t="str">
        <f>INDEX('Draft Engine'!$T$35:$T$86,$N6)</f>
        <v>A</v>
      </c>
      <c r="L6" t="str">
        <f>INDEX('LIVE SOURCE'!$H$35:$H$86,$N6)</f>
        <v>Elite RB1 and first-round roster anchor with league-winning ceiling.</v>
      </c>
      <c r="M6" t="str">
        <f>INDEX('LIVE SOURCE'!$J$35:$J$86,$N6)</f>
        <v>Touchdown variance, receiving-role changes and backfield competition are the main downside paths.</v>
      </c>
      <c r="N6" s="6">
        <f>MATCH($A6,'Draft Engine'!$F$35:$F$86,0)</f>
        <v>4</v>
      </c>
    </row>
    <row r="7" spans="1:14" x14ac:dyDescent="0.25">
      <c r="A7">
        <f>5</f>
        <v>5</v>
      </c>
      <c r="B7" t="str">
        <f>INDEX('Draft Engine'!$B$35:$B$86,$N7)</f>
        <v>Jeremiyah Love</v>
      </c>
      <c r="C7" s="4">
        <f>INDEX('Draft Engine'!$E$35:$E$86,$N7)</f>
        <v>90.865899999999996</v>
      </c>
      <c r="D7" t="str">
        <f t="shared" si="0"/>
        <v>TIER 1</v>
      </c>
      <c r="E7">
        <f>INDEX('Draft Engine'!$G$35:$G$86,$N7)</f>
        <v>311.60000000000002</v>
      </c>
      <c r="F7">
        <f>INDEX('Draft Engine'!$J$35:$J$86,$N7)</f>
        <v>72.599999999999994</v>
      </c>
      <c r="G7">
        <f>INDEX('Draft Engine'!$N$35:$N$86,$N7)</f>
        <v>93.044245000000004</v>
      </c>
      <c r="H7">
        <f>INDEX('Draft Engine'!$Q$35:$Q$86,$N7)</f>
        <v>11</v>
      </c>
      <c r="I7">
        <f>INDEX('Draft Engine'!$R$35:$R$86,$N7)</f>
        <v>26.2</v>
      </c>
      <c r="J7">
        <f>INDEX('Draft Engine'!$S$35:$S$86,$N7)</f>
        <v>15.2</v>
      </c>
      <c r="K7" t="str">
        <f>INDEX('Draft Engine'!$T$35:$T$86,$N7)</f>
        <v>B</v>
      </c>
      <c r="L7" t="str">
        <f>INDEX('LIVE SOURCE'!$H$35:$H$86,$N7)</f>
        <v>Elite RB1 and first-round roster anchor with league-winning ceiling.</v>
      </c>
      <c r="M7" t="str">
        <f>INDEX('LIVE SOURCE'!$J$35:$J$86,$N7)</f>
        <v>NFL translation and exact weekly role are the main variables; preseason first-team usage can move this rating quickly.</v>
      </c>
      <c r="N7" s="6">
        <f>MATCH($A7,'Draft Engine'!$F$35:$F$86,0)</f>
        <v>5</v>
      </c>
    </row>
    <row r="8" spans="1:14" x14ac:dyDescent="0.25">
      <c r="A8">
        <f>6</f>
        <v>6</v>
      </c>
      <c r="B8" t="str">
        <f>INDEX('Draft Engine'!$B$35:$B$86,$N8)</f>
        <v>Omarion Hampton</v>
      </c>
      <c r="C8" s="4">
        <f>INDEX('Draft Engine'!$E$35:$E$86,$N8)</f>
        <v>88.642099999999999</v>
      </c>
      <c r="D8" t="str">
        <f t="shared" si="0"/>
        <v>TIER 2</v>
      </c>
      <c r="E8">
        <f>INDEX('Draft Engine'!$G$35:$G$86,$N8)</f>
        <v>302.3</v>
      </c>
      <c r="F8">
        <f>INDEX('Draft Engine'!$J$35:$J$86,$N8)</f>
        <v>63.3</v>
      </c>
      <c r="G8">
        <f>INDEX('Draft Engine'!$N$35:$N$86,$N8)</f>
        <v>90.147154999999998</v>
      </c>
      <c r="H8">
        <f>INDEX('Draft Engine'!$Q$35:$Q$86,$N8)</f>
        <v>14</v>
      </c>
      <c r="I8">
        <f>INDEX('Draft Engine'!$R$35:$R$86,$N8)</f>
        <v>19.600000000000001</v>
      </c>
      <c r="J8">
        <f>INDEX('Draft Engine'!$S$35:$S$86,$N8)</f>
        <v>5.6000000000000014</v>
      </c>
      <c r="K8" t="str">
        <f>INDEX('Draft Engine'!$T$35:$T$86,$N8)</f>
        <v>B</v>
      </c>
      <c r="L8" t="str">
        <f>INDEX('LIVE SOURCE'!$H$35:$H$86,$N8)</f>
        <v>Strong RB1; weekly top-12 expectation with multi-touchdown ceiling.</v>
      </c>
      <c r="M8" t="str">
        <f>INDEX('LIVE SOURCE'!$J$35:$J$86,$N8)</f>
        <v>Availability/sample risk is elevated after only 9 games; talent is not being punished as heavily as durability.</v>
      </c>
      <c r="N8" s="6">
        <f>MATCH($A8,'Draft Engine'!$F$35:$F$86,0)</f>
        <v>6</v>
      </c>
    </row>
    <row r="9" spans="1:14" x14ac:dyDescent="0.25">
      <c r="A9">
        <f>7</f>
        <v>7</v>
      </c>
      <c r="B9" t="str">
        <f>INDEX('Draft Engine'!$B$35:$B$86,$N9)</f>
        <v>De'Von Achane</v>
      </c>
      <c r="C9" s="4">
        <f>INDEX('Draft Engine'!$E$35:$E$86,$N9)</f>
        <v>87.944000000000003</v>
      </c>
      <c r="D9" t="str">
        <f t="shared" si="0"/>
        <v>TIER 2</v>
      </c>
      <c r="E9">
        <f>INDEX('Draft Engine'!$G$35:$G$86,$N9)</f>
        <v>299.39999999999998</v>
      </c>
      <c r="F9">
        <f>INDEX('Draft Engine'!$J$35:$J$86,$N9)</f>
        <v>60.4</v>
      </c>
      <c r="G9">
        <f>INDEX('Draft Engine'!$N$35:$N$86,$N9)</f>
        <v>89.241200000000006</v>
      </c>
      <c r="H9">
        <f>INDEX('Draft Engine'!$Q$35:$Q$86,$N9)</f>
        <v>16</v>
      </c>
      <c r="I9">
        <f>INDEX('Draft Engine'!$R$35:$R$86,$N9)</f>
        <v>10.1</v>
      </c>
      <c r="J9">
        <f>INDEX('Draft Engine'!$S$35:$S$86,$N9)</f>
        <v>-5.9</v>
      </c>
      <c r="K9" t="str">
        <f>INDEX('Draft Engine'!$T$35:$T$86,$N9)</f>
        <v>A</v>
      </c>
      <c r="L9" t="str">
        <f>INDEX('LIVE SOURCE'!$H$35:$H$86,$N9)</f>
        <v>Strong RB1; weekly top-12 expectation with multi-touchdown ceiling.</v>
      </c>
      <c r="M9" t="str">
        <f>INDEX('LIVE SOURCE'!$J$35:$J$86,$N9)</f>
        <v>Touchdown variance, receiving-role changes and backfield competition are the main downside paths.</v>
      </c>
      <c r="N9" s="6">
        <f>MATCH($A9,'Draft Engine'!$F$35:$F$86,0)</f>
        <v>7</v>
      </c>
    </row>
    <row r="10" spans="1:14" x14ac:dyDescent="0.25">
      <c r="A10">
        <f>8</f>
        <v>8</v>
      </c>
      <c r="B10" t="str">
        <f>INDEX('Draft Engine'!$B$35:$B$86,$N10)</f>
        <v>Kenneth Walker III</v>
      </c>
      <c r="C10" s="4">
        <f>INDEX('Draft Engine'!$E$35:$E$86,$N10)</f>
        <v>87.292599999999993</v>
      </c>
      <c r="D10" t="str">
        <f t="shared" si="0"/>
        <v>TIER 2</v>
      </c>
      <c r="E10">
        <f>INDEX('Draft Engine'!$G$35:$G$86,$N10)</f>
        <v>296.60000000000002</v>
      </c>
      <c r="F10">
        <f>INDEX('Draft Engine'!$J$35:$J$86,$N10)</f>
        <v>57.6</v>
      </c>
      <c r="G10">
        <f>INDEX('Draft Engine'!$N$35:$N$86,$N10)</f>
        <v>88.113304999999997</v>
      </c>
      <c r="H10">
        <f>INDEX('Draft Engine'!$Q$35:$Q$86,$N10)</f>
        <v>17</v>
      </c>
      <c r="I10">
        <f>INDEX('Draft Engine'!$R$35:$R$86,$N10)</f>
        <v>26.2</v>
      </c>
      <c r="J10">
        <f>INDEX('Draft Engine'!$S$35:$S$86,$N10)</f>
        <v>9.1999999999999993</v>
      </c>
      <c r="K10" t="str">
        <f>INDEX('Draft Engine'!$T$35:$T$86,$N10)</f>
        <v>A</v>
      </c>
      <c r="L10" t="str">
        <f>INDEX('LIVE SOURCE'!$H$35:$H$86,$N10)</f>
        <v>Strong RB1; weekly top-12 expectation with multi-touchdown ceiling.</v>
      </c>
      <c r="M10" t="str">
        <f>INDEX('LIVE SOURCE'!$J$35:$J$86,$N10)</f>
        <v>Touchdown variance, receiving-role changes and backfield competition are the main downside paths.</v>
      </c>
      <c r="N10" s="6">
        <f>MATCH($A10,'Draft Engine'!$F$35:$F$86,0)</f>
        <v>8</v>
      </c>
    </row>
    <row r="11" spans="1:14" x14ac:dyDescent="0.25">
      <c r="A11">
        <f>9</f>
        <v>9</v>
      </c>
      <c r="B11" t="str">
        <f>INDEX('Draft Engine'!$B$35:$B$86,$N11)</f>
        <v>James Cook III</v>
      </c>
      <c r="C11" s="4">
        <f>INDEX('Draft Engine'!$E$35:$E$86,$N11)</f>
        <v>87.058000000000007</v>
      </c>
      <c r="D11" t="str">
        <f t="shared" si="0"/>
        <v>TIER 2</v>
      </c>
      <c r="E11">
        <f>INDEX('Draft Engine'!$G$35:$G$86,$N11)</f>
        <v>295.60000000000002</v>
      </c>
      <c r="F11">
        <f>INDEX('Draft Engine'!$J$35:$J$86,$N11)</f>
        <v>56.6</v>
      </c>
      <c r="G11">
        <f>INDEX('Draft Engine'!$N$35:$N$86,$N11)</f>
        <v>87.444900000000018</v>
      </c>
      <c r="H11">
        <f>INDEX('Draft Engine'!$Q$35:$Q$86,$N11)</f>
        <v>20</v>
      </c>
      <c r="I11">
        <f>INDEX('Draft Engine'!$R$35:$R$86,$N11)</f>
        <v>14.9</v>
      </c>
      <c r="J11">
        <f>INDEX('Draft Engine'!$S$35:$S$86,$N11)</f>
        <v>-5.0999999999999996</v>
      </c>
      <c r="K11" t="str">
        <f>INDEX('Draft Engine'!$T$35:$T$86,$N11)</f>
        <v>A</v>
      </c>
      <c r="L11" t="str">
        <f>INDEX('LIVE SOURCE'!$H$35:$H$86,$N11)</f>
        <v>Strong RB1; weekly top-12 expectation with multi-touchdown ceiling.</v>
      </c>
      <c r="M11" t="str">
        <f>INDEX('LIVE SOURCE'!$J$35:$J$86,$N11)</f>
        <v>Touchdown variance, receiving-role changes and backfield competition are the main downside paths.</v>
      </c>
      <c r="N11" s="6">
        <f>MATCH($A11,'Draft Engine'!$F$35:$F$86,0)</f>
        <v>9</v>
      </c>
    </row>
    <row r="12" spans="1:14" x14ac:dyDescent="0.25">
      <c r="A12">
        <f>10</f>
        <v>10</v>
      </c>
      <c r="B12" t="str">
        <f>INDEX('Draft Engine'!$B$35:$B$86,$N12)</f>
        <v>Kyren Williams</v>
      </c>
      <c r="C12" s="4">
        <f>INDEX('Draft Engine'!$E$35:$E$86,$N12)</f>
        <v>85.948599999999999</v>
      </c>
      <c r="D12" t="str">
        <f t="shared" si="0"/>
        <v>TIER 2</v>
      </c>
      <c r="E12">
        <f>INDEX('Draft Engine'!$G$35:$G$86,$N12)</f>
        <v>291</v>
      </c>
      <c r="F12">
        <f>INDEX('Draft Engine'!$J$35:$J$86,$N12)</f>
        <v>52</v>
      </c>
      <c r="G12">
        <f>INDEX('Draft Engine'!$N$35:$N$86,$N12)</f>
        <v>85.647355000000005</v>
      </c>
      <c r="H12">
        <f>INDEX('Draft Engine'!$Q$35:$Q$86,$N12)</f>
        <v>22</v>
      </c>
      <c r="I12">
        <f>INDEX('Draft Engine'!$R$35:$R$86,$N12)</f>
        <v>33.1</v>
      </c>
      <c r="J12">
        <f>INDEX('Draft Engine'!$S$35:$S$86,$N12)</f>
        <v>11.100000000000001</v>
      </c>
      <c r="K12" t="str">
        <f>INDEX('Draft Engine'!$T$35:$T$86,$N12)</f>
        <v>A</v>
      </c>
      <c r="L12" t="str">
        <f>INDEX('LIVE SOURCE'!$H$35:$H$86,$N12)</f>
        <v>Strong RB1; weekly top-12 expectation with multi-touchdown ceiling.</v>
      </c>
      <c r="M12" t="str">
        <f>INDEX('LIVE SOURCE'!$J$35:$J$86,$N12)</f>
        <v>Touchdown variance, receiving-role changes and backfield competition are the main downside paths.</v>
      </c>
      <c r="N12" s="6">
        <f>MATCH($A12,'Draft Engine'!$F$35:$F$86,0)</f>
        <v>10</v>
      </c>
    </row>
    <row r="13" spans="1:14" x14ac:dyDescent="0.25">
      <c r="A13">
        <f>11</f>
        <v>11</v>
      </c>
      <c r="B13" t="str">
        <f>INDEX('Draft Engine'!$B$35:$B$86,$N13)</f>
        <v>Breece Hall</v>
      </c>
      <c r="C13" s="4">
        <f>INDEX('Draft Engine'!$E$35:$E$86,$N13)</f>
        <v>85.895200000000003</v>
      </c>
      <c r="D13" t="str">
        <f t="shared" si="0"/>
        <v>TIER 2</v>
      </c>
      <c r="E13">
        <f>INDEX('Draft Engine'!$G$35:$G$86,$N13)</f>
        <v>290.8</v>
      </c>
      <c r="F13">
        <f>INDEX('Draft Engine'!$J$35:$J$86,$N13)</f>
        <v>51.8</v>
      </c>
      <c r="G13">
        <f>INDEX('Draft Engine'!$N$35:$N$86,$N13)</f>
        <v>85.222610000000003</v>
      </c>
      <c r="H13">
        <f>INDEX('Draft Engine'!$Q$35:$Q$86,$N13)</f>
        <v>24</v>
      </c>
      <c r="I13">
        <f>INDEX('Draft Engine'!$R$35:$R$86,$N13)</f>
        <v>27</v>
      </c>
      <c r="J13">
        <f>INDEX('Draft Engine'!$S$35:$S$86,$N13)</f>
        <v>3</v>
      </c>
      <c r="K13" t="str">
        <f>INDEX('Draft Engine'!$T$35:$T$86,$N13)</f>
        <v>A</v>
      </c>
      <c r="L13" t="str">
        <f>INDEX('LIVE SOURCE'!$H$35:$H$86,$N13)</f>
        <v>Strong RB1; weekly top-12 expectation with multi-touchdown ceiling.</v>
      </c>
      <c r="M13" t="str">
        <f>INDEX('LIVE SOURCE'!$J$35:$J$86,$N13)</f>
        <v>Touchdown variance, receiving-role changes and backfield competition are the main downside paths.</v>
      </c>
      <c r="N13" s="6">
        <f>MATCH($A13,'Draft Engine'!$F$35:$F$86,0)</f>
        <v>11</v>
      </c>
    </row>
    <row r="14" spans="1:14" x14ac:dyDescent="0.25">
      <c r="A14">
        <f>12</f>
        <v>12</v>
      </c>
      <c r="B14" t="str">
        <f>INDEX('Draft Engine'!$B$35:$B$86,$N14)</f>
        <v>Ashton Jeanty</v>
      </c>
      <c r="C14" s="4">
        <f>INDEX('Draft Engine'!$E$35:$E$86,$N14)</f>
        <v>85.843299999999999</v>
      </c>
      <c r="D14" t="str">
        <f t="shared" si="0"/>
        <v>TIER 2</v>
      </c>
      <c r="E14">
        <f>INDEX('Draft Engine'!$G$35:$G$86,$N14)</f>
        <v>290.5</v>
      </c>
      <c r="F14">
        <f>INDEX('Draft Engine'!$J$35:$J$86,$N14)</f>
        <v>51.5</v>
      </c>
      <c r="G14">
        <f>INDEX('Draft Engine'!$N$35:$N$86,$N14)</f>
        <v>84.780690000000007</v>
      </c>
      <c r="H14">
        <f>INDEX('Draft Engine'!$Q$35:$Q$86,$N14)</f>
        <v>25</v>
      </c>
      <c r="I14">
        <f>INDEX('Draft Engine'!$R$35:$R$86,$N14)</f>
        <v>13.8</v>
      </c>
      <c r="J14">
        <f>INDEX('Draft Engine'!$S$35:$S$86,$N14)</f>
        <v>-11.2</v>
      </c>
      <c r="K14" t="str">
        <f>INDEX('Draft Engine'!$T$35:$T$86,$N14)</f>
        <v>A</v>
      </c>
      <c r="L14" t="str">
        <f>INDEX('LIVE SOURCE'!$H$35:$H$86,$N14)</f>
        <v>Strong RB1; weekly top-12 expectation with multi-touchdown ceiling.</v>
      </c>
      <c r="M14" t="str">
        <f>INDEX('LIVE SOURCE'!$J$35:$J$86,$N14)</f>
        <v>Price is the biggest risk: the market currently asks you to draft him earlier than the model prefers.</v>
      </c>
      <c r="N14" s="6">
        <f>MATCH($A14,'Draft Engine'!$F$35:$F$86,0)</f>
        <v>12</v>
      </c>
    </row>
    <row r="15" spans="1:14" x14ac:dyDescent="0.25">
      <c r="A15">
        <f>13</f>
        <v>13</v>
      </c>
      <c r="B15" t="str">
        <f>INDEX('Draft Engine'!$B$35:$B$86,$N15)</f>
        <v>Derrick Henry</v>
      </c>
      <c r="C15" s="4">
        <f>INDEX('Draft Engine'!$E$35:$E$86,$N15)</f>
        <v>85.667400000000001</v>
      </c>
      <c r="D15" t="str">
        <f t="shared" si="0"/>
        <v>TIER 2</v>
      </c>
      <c r="E15">
        <f>INDEX('Draft Engine'!$G$35:$G$86,$N15)</f>
        <v>289.8</v>
      </c>
      <c r="F15">
        <f>INDEX('Draft Engine'!$J$35:$J$86,$N15)</f>
        <v>50.8</v>
      </c>
      <c r="G15">
        <f>INDEX('Draft Engine'!$N$35:$N$86,$N15)</f>
        <v>84.198570000000004</v>
      </c>
      <c r="H15">
        <f>INDEX('Draft Engine'!$Q$35:$Q$86,$N15)</f>
        <v>27</v>
      </c>
      <c r="I15">
        <f>INDEX('Draft Engine'!$R$35:$R$86,$N15)</f>
        <v>15.4</v>
      </c>
      <c r="J15">
        <f>INDEX('Draft Engine'!$S$35:$S$86,$N15)</f>
        <v>-11.6</v>
      </c>
      <c r="K15" t="str">
        <f>INDEX('Draft Engine'!$T$35:$T$86,$N15)</f>
        <v>A</v>
      </c>
      <c r="L15" t="str">
        <f>INDEX('LIVE SOURCE'!$H$35:$H$86,$N15)</f>
        <v>RB2 with RB1 weeks; should be a regular starter.</v>
      </c>
      <c r="M15" t="str">
        <f>INDEX('LIVE SOURCE'!$J$35:$J$86,$N15)</f>
        <v>Touchdown variance, receiving-role changes and backfield competition are the main downside paths.</v>
      </c>
      <c r="N15" s="6">
        <f>MATCH($A15,'Draft Engine'!$F$35:$F$86,0)</f>
        <v>13</v>
      </c>
    </row>
    <row r="16" spans="1:14" x14ac:dyDescent="0.25">
      <c r="A16">
        <f>14</f>
        <v>14</v>
      </c>
      <c r="B16" t="str">
        <f>INDEX('Draft Engine'!$B$35:$B$86,$N16)</f>
        <v>Chase Brown</v>
      </c>
      <c r="C16" s="4">
        <f>INDEX('Draft Engine'!$E$35:$E$86,$N16)</f>
        <v>85.664400000000001</v>
      </c>
      <c r="D16" t="str">
        <f t="shared" si="0"/>
        <v>TIER 2</v>
      </c>
      <c r="E16">
        <f>INDEX('Draft Engine'!$G$35:$G$86,$N16)</f>
        <v>289.8</v>
      </c>
      <c r="F16">
        <f>INDEX('Draft Engine'!$J$35:$J$86,$N16)</f>
        <v>50.8</v>
      </c>
      <c r="G16">
        <f>INDEX('Draft Engine'!$N$35:$N$86,$N16)</f>
        <v>83.837545000000006</v>
      </c>
      <c r="H16">
        <f>INDEX('Draft Engine'!$Q$35:$Q$86,$N16)</f>
        <v>29</v>
      </c>
      <c r="I16">
        <f>INDEX('Draft Engine'!$R$35:$R$86,$N16)</f>
        <v>12.1</v>
      </c>
      <c r="J16">
        <f>INDEX('Draft Engine'!$S$35:$S$86,$N16)</f>
        <v>-16.899999999999999</v>
      </c>
      <c r="K16" t="str">
        <f>INDEX('Draft Engine'!$T$35:$T$86,$N16)</f>
        <v>A</v>
      </c>
      <c r="L16" t="str">
        <f>INDEX('LIVE SOURCE'!$H$35:$H$86,$N16)</f>
        <v>RB2 with RB1 weeks; should be a regular starter.</v>
      </c>
      <c r="M16" t="str">
        <f>INDEX('LIVE SOURCE'!$J$35:$J$86,$N16)</f>
        <v>Touchdown variance, receiving-role changes and backfield competition are the main downside paths.</v>
      </c>
      <c r="N16" s="6">
        <f>MATCH($A16,'Draft Engine'!$F$35:$F$86,0)</f>
        <v>14</v>
      </c>
    </row>
    <row r="17" spans="1:14" x14ac:dyDescent="0.25">
      <c r="A17">
        <f>15</f>
        <v>15</v>
      </c>
      <c r="B17" t="str">
        <f>INDEX('Draft Engine'!$B$35:$B$86,$N17)</f>
        <v>Josh Jacobs</v>
      </c>
      <c r="C17" s="4">
        <f>INDEX('Draft Engine'!$E$35:$E$86,$N17)</f>
        <v>84.426400000000001</v>
      </c>
      <c r="D17" t="str">
        <f t="shared" si="0"/>
        <v>TIER 3</v>
      </c>
      <c r="E17">
        <f>INDEX('Draft Engine'!$G$35:$G$86,$N17)</f>
        <v>284.60000000000002</v>
      </c>
      <c r="F17">
        <f>INDEX('Draft Engine'!$J$35:$J$86,$N17)</f>
        <v>45.6</v>
      </c>
      <c r="G17">
        <f>INDEX('Draft Engine'!$N$35:$N$86,$N17)</f>
        <v>81.861270000000005</v>
      </c>
      <c r="H17">
        <f>INDEX('Draft Engine'!$Q$35:$Q$86,$N17)</f>
        <v>33</v>
      </c>
      <c r="I17">
        <f>INDEX('Draft Engine'!$R$35:$R$86,$N17)</f>
        <v>24.2</v>
      </c>
      <c r="J17">
        <f>INDEX('Draft Engine'!$S$35:$S$86,$N17)</f>
        <v>-8.8000000000000007</v>
      </c>
      <c r="K17" t="str">
        <f>INDEX('Draft Engine'!$T$35:$T$86,$N17)</f>
        <v>A</v>
      </c>
      <c r="L17" t="str">
        <f>INDEX('LIVE SOURCE'!$H$35:$H$86,$N17)</f>
        <v>RB2 with RB1 weeks; should be a regular starter.</v>
      </c>
      <c r="M17" t="str">
        <f>INDEX('LIVE SOURCE'!$J$35:$J$86,$N17)</f>
        <v>Touchdown variance, receiving-role changes and backfield competition are the main downside paths.</v>
      </c>
      <c r="N17" s="6">
        <f>MATCH($A17,'Draft Engine'!$F$35:$F$86,0)</f>
        <v>15</v>
      </c>
    </row>
    <row r="18" spans="1:14" x14ac:dyDescent="0.25">
      <c r="A18">
        <f>16</f>
        <v>16</v>
      </c>
      <c r="B18" t="str">
        <f>INDEX('Draft Engine'!$B$35:$B$86,$N18)</f>
        <v>Saquon Barkley</v>
      </c>
      <c r="C18" s="4">
        <f>INDEX('Draft Engine'!$E$35:$E$86,$N18)</f>
        <v>84.034000000000006</v>
      </c>
      <c r="D18" t="str">
        <f t="shared" si="0"/>
        <v>TIER 3</v>
      </c>
      <c r="E18">
        <f>INDEX('Draft Engine'!$G$35:$G$86,$N18)</f>
        <v>282.89999999999998</v>
      </c>
      <c r="F18">
        <f>INDEX('Draft Engine'!$J$35:$J$86,$N18)</f>
        <v>43.9</v>
      </c>
      <c r="G18">
        <f>INDEX('Draft Engine'!$N$35:$N$86,$N18)</f>
        <v>80.980074999999999</v>
      </c>
      <c r="H18">
        <f>INDEX('Draft Engine'!$Q$35:$Q$86,$N18)</f>
        <v>36</v>
      </c>
      <c r="I18">
        <f>INDEX('Draft Engine'!$R$35:$R$86,$N18)</f>
        <v>19</v>
      </c>
      <c r="J18">
        <f>INDEX('Draft Engine'!$S$35:$S$86,$N18)</f>
        <v>-17</v>
      </c>
      <c r="K18" t="str">
        <f>INDEX('Draft Engine'!$T$35:$T$86,$N18)</f>
        <v>A</v>
      </c>
      <c r="L18" t="str">
        <f>INDEX('LIVE SOURCE'!$H$35:$H$86,$N18)</f>
        <v>RB2 with RB1 weeks; should be a regular starter.</v>
      </c>
      <c r="M18" t="str">
        <f>INDEX('LIVE SOURCE'!$J$35:$J$86,$N18)</f>
        <v>Touchdown variance, receiving-role changes and backfield competition are the main downside paths.</v>
      </c>
      <c r="N18" s="6">
        <f>MATCH($A18,'Draft Engine'!$F$35:$F$86,0)</f>
        <v>16</v>
      </c>
    </row>
    <row r="19" spans="1:14" x14ac:dyDescent="0.25">
      <c r="A19">
        <f>17</f>
        <v>17</v>
      </c>
      <c r="B19" t="str">
        <f>INDEX('Draft Engine'!$B$35:$B$86,$N19)</f>
        <v>Javonte Williams</v>
      </c>
      <c r="C19" s="4">
        <f>INDEX('Draft Engine'!$E$35:$E$86,$N19)</f>
        <v>83.803200000000004</v>
      </c>
      <c r="D19" t="str">
        <f t="shared" si="0"/>
        <v>TIER 3</v>
      </c>
      <c r="E19">
        <f>INDEX('Draft Engine'!$G$35:$G$86,$N19)</f>
        <v>282</v>
      </c>
      <c r="F19">
        <f>INDEX('Draft Engine'!$J$35:$J$86,$N19)</f>
        <v>43</v>
      </c>
      <c r="G19">
        <f>INDEX('Draft Engine'!$N$35:$N$86,$N19)</f>
        <v>80.331760000000003</v>
      </c>
      <c r="H19">
        <f>INDEX('Draft Engine'!$Q$35:$Q$86,$N19)</f>
        <v>38</v>
      </c>
      <c r="I19">
        <f>INDEX('Draft Engine'!$R$35:$R$86,$N19)</f>
        <v>35.799999999999997</v>
      </c>
      <c r="J19">
        <f>INDEX('Draft Engine'!$S$35:$S$86,$N19)</f>
        <v>-2.2000000000000028</v>
      </c>
      <c r="K19" t="str">
        <f>INDEX('Draft Engine'!$T$35:$T$86,$N19)</f>
        <v>A</v>
      </c>
      <c r="L19" t="str">
        <f>INDEX('LIVE SOURCE'!$H$35:$H$86,$N19)</f>
        <v>RB2 with RB1 weeks; should be a regular starter.</v>
      </c>
      <c r="M19" t="str">
        <f>INDEX('LIVE SOURCE'!$J$35:$J$86,$N19)</f>
        <v>Touchdown variance, receiving-role changes and backfield competition are the main downside paths.</v>
      </c>
      <c r="N19" s="6">
        <f>MATCH($A19,'Draft Engine'!$F$35:$F$86,0)</f>
        <v>17</v>
      </c>
    </row>
    <row r="20" spans="1:14" x14ac:dyDescent="0.25">
      <c r="A20">
        <f>18</f>
        <v>18</v>
      </c>
      <c r="B20" t="str">
        <f>INDEX('Draft Engine'!$B$35:$B$86,$N20)</f>
        <v>Travis Etienne Jr.</v>
      </c>
      <c r="C20" s="4">
        <f>INDEX('Draft Engine'!$E$35:$E$86,$N20)</f>
        <v>83.043599999999998</v>
      </c>
      <c r="D20" t="str">
        <f t="shared" si="0"/>
        <v>TIER 3</v>
      </c>
      <c r="E20">
        <f>INDEX('Draft Engine'!$G$35:$G$86,$N20)</f>
        <v>278.8</v>
      </c>
      <c r="F20">
        <f>INDEX('Draft Engine'!$J$35:$J$86,$N20)</f>
        <v>39.799999999999997</v>
      </c>
      <c r="G20">
        <f>INDEX('Draft Engine'!$N$35:$N$86,$N20)</f>
        <v>78.978605000000002</v>
      </c>
      <c r="H20">
        <f>INDEX('Draft Engine'!$Q$35:$Q$86,$N20)</f>
        <v>40</v>
      </c>
      <c r="I20">
        <f>INDEX('Draft Engine'!$R$35:$R$86,$N20)</f>
        <v>38.4</v>
      </c>
      <c r="J20">
        <f>INDEX('Draft Engine'!$S$35:$S$86,$N20)</f>
        <v>-1.6000000000000014</v>
      </c>
      <c r="K20" t="str">
        <f>INDEX('Draft Engine'!$T$35:$T$86,$N20)</f>
        <v>A</v>
      </c>
      <c r="L20" t="str">
        <f>INDEX('LIVE SOURCE'!$H$35:$H$86,$N20)</f>
        <v>RB2 with RB1 weeks; should be a regular starter.</v>
      </c>
      <c r="M20" t="str">
        <f>INDEX('LIVE SOURCE'!$J$35:$J$86,$N20)</f>
        <v>Touchdown variance, receiving-role changes and backfield competition are the main downside paths.</v>
      </c>
      <c r="N20" s="6">
        <f>MATCH($A20,'Draft Engine'!$F$35:$F$86,0)</f>
        <v>18</v>
      </c>
    </row>
    <row r="21" spans="1:14" x14ac:dyDescent="0.25">
      <c r="A21">
        <f>19</f>
        <v>19</v>
      </c>
      <c r="B21" t="str">
        <f>INDEX('Draft Engine'!$B$35:$B$86,$N21)</f>
        <v>Cam Skattebo</v>
      </c>
      <c r="C21" s="4">
        <f>INDEX('Draft Engine'!$E$35:$E$86,$N21)</f>
        <v>81.888400000000004</v>
      </c>
      <c r="D21" t="str">
        <f t="shared" si="0"/>
        <v>TIER 3</v>
      </c>
      <c r="E21">
        <f>INDEX('Draft Engine'!$G$35:$G$86,$N21)</f>
        <v>273.89999999999998</v>
      </c>
      <c r="F21">
        <f>INDEX('Draft Engine'!$J$35:$J$86,$N21)</f>
        <v>34.9</v>
      </c>
      <c r="G21">
        <f>INDEX('Draft Engine'!$N$35:$N$86,$N21)</f>
        <v>77.101870000000005</v>
      </c>
      <c r="H21">
        <f>INDEX('Draft Engine'!$Q$35:$Q$86,$N21)</f>
        <v>46</v>
      </c>
      <c r="I21">
        <f>INDEX('Draft Engine'!$R$35:$R$86,$N21)</f>
        <v>30.8</v>
      </c>
      <c r="J21">
        <f>INDEX('Draft Engine'!$S$35:$S$86,$N21)</f>
        <v>-15.2</v>
      </c>
      <c r="K21" t="str">
        <f>INDEX('Draft Engine'!$T$35:$T$86,$N21)</f>
        <v>B</v>
      </c>
      <c r="L21" t="str">
        <f>INDEX('LIVE SOURCE'!$H$35:$H$86,$N21)</f>
        <v>RB2 with RB1 weeks; should be a regular starter.</v>
      </c>
      <c r="M21" t="str">
        <f>INDEX('LIVE SOURCE'!$J$35:$J$86,$N21)</f>
        <v>Availability/sample risk is elevated after only 8 games; talent is not being punished as heavily as durability.</v>
      </c>
      <c r="N21" s="6">
        <f>MATCH($A21,'Draft Engine'!$F$35:$F$86,0)</f>
        <v>19</v>
      </c>
    </row>
    <row r="22" spans="1:14" x14ac:dyDescent="0.25">
      <c r="A22">
        <f>20</f>
        <v>20</v>
      </c>
      <c r="B22" t="str">
        <f>INDEX('Draft Engine'!$B$35:$B$86,$N22)</f>
        <v>D'Andre Swift</v>
      </c>
      <c r="C22" s="4">
        <f>INDEX('Draft Engine'!$E$35:$E$86,$N22)</f>
        <v>79.985600000000005</v>
      </c>
      <c r="D22" t="str">
        <f t="shared" si="0"/>
        <v>TIER 4</v>
      </c>
      <c r="E22">
        <f>INDEX('Draft Engine'!$G$35:$G$86,$N22)</f>
        <v>265.89999999999998</v>
      </c>
      <c r="F22">
        <f>INDEX('Draft Engine'!$J$35:$J$86,$N22)</f>
        <v>26.9</v>
      </c>
      <c r="G22">
        <f>INDEX('Draft Engine'!$N$35:$N$86,$N22)</f>
        <v>74.255955</v>
      </c>
      <c r="H22">
        <f>INDEX('Draft Engine'!$Q$35:$Q$86,$N22)</f>
        <v>53</v>
      </c>
      <c r="I22">
        <f>INDEX('Draft Engine'!$R$35:$R$86,$N22)</f>
        <v>43.9</v>
      </c>
      <c r="J22">
        <f>INDEX('Draft Engine'!$S$35:$S$86,$N22)</f>
        <v>-9.1000000000000014</v>
      </c>
      <c r="K22" t="str">
        <f>INDEX('Draft Engine'!$T$35:$T$86,$N22)</f>
        <v>A</v>
      </c>
      <c r="L22" t="str">
        <f>INDEX('LIVE SOURCE'!$H$35:$H$86,$N22)</f>
        <v>RB2 with RB1 weeks; should be a regular starter.</v>
      </c>
      <c r="M22" t="str">
        <f>INDEX('LIVE SOURCE'!$J$35:$J$86,$N22)</f>
        <v>Touchdown variance, receiving-role changes and backfield competition are the main downside paths.</v>
      </c>
      <c r="N22" s="6">
        <f>MATCH($A22,'Draft Engine'!$F$35:$F$86,0)</f>
        <v>20</v>
      </c>
    </row>
    <row r="23" spans="1:14" x14ac:dyDescent="0.25">
      <c r="A23">
        <f>21</f>
        <v>21</v>
      </c>
      <c r="B23" t="str">
        <f>INDEX('Draft Engine'!$B$35:$B$86,$N23)</f>
        <v>Bucky Irving</v>
      </c>
      <c r="C23" s="4">
        <f>INDEX('Draft Engine'!$E$35:$E$86,$N23)</f>
        <v>79.935500000000005</v>
      </c>
      <c r="D23" t="str">
        <f t="shared" si="0"/>
        <v>TIER 4</v>
      </c>
      <c r="E23">
        <f>INDEX('Draft Engine'!$G$35:$G$86,$N23)</f>
        <v>265.7</v>
      </c>
      <c r="F23">
        <f>INDEX('Draft Engine'!$J$35:$J$86,$N23)</f>
        <v>26.7</v>
      </c>
      <c r="G23">
        <f>INDEX('Draft Engine'!$N$35:$N$86,$N23)</f>
        <v>73.833025000000006</v>
      </c>
      <c r="H23">
        <f>INDEX('Draft Engine'!$Q$35:$Q$86,$N23)</f>
        <v>54</v>
      </c>
      <c r="I23">
        <f>INDEX('Draft Engine'!$R$35:$R$86,$N23)</f>
        <v>43</v>
      </c>
      <c r="J23">
        <f>INDEX('Draft Engine'!$S$35:$S$86,$N23)</f>
        <v>-11</v>
      </c>
      <c r="K23" t="str">
        <f>INDEX('Draft Engine'!$T$35:$T$86,$N23)</f>
        <v>B</v>
      </c>
      <c r="L23" t="str">
        <f>INDEX('LIVE SOURCE'!$H$35:$H$86,$N23)</f>
        <v>RB2/FLEX; useful weekly but role and receiving volume matter.</v>
      </c>
      <c r="M23" t="str">
        <f>INDEX('LIVE SOURCE'!$J$35:$J$86,$N23)</f>
        <v>Touchdown variance, receiving-role changes and backfield competition are the main downside paths.</v>
      </c>
      <c r="N23" s="6">
        <f>MATCH($A23,'Draft Engine'!$F$35:$F$86,0)</f>
        <v>21</v>
      </c>
    </row>
    <row r="24" spans="1:14" x14ac:dyDescent="0.25">
      <c r="A24">
        <f>22</f>
        <v>22</v>
      </c>
      <c r="B24" t="str">
        <f>INDEX('Draft Engine'!$B$35:$B$86,$N24)</f>
        <v>Quinshon Judkins</v>
      </c>
      <c r="C24" s="4">
        <f>INDEX('Draft Engine'!$E$35:$E$86,$N24)</f>
        <v>79.930300000000003</v>
      </c>
      <c r="D24" t="str">
        <f t="shared" si="0"/>
        <v>TIER 4</v>
      </c>
      <c r="E24">
        <f>INDEX('Draft Engine'!$G$35:$G$86,$N24)</f>
        <v>265.7</v>
      </c>
      <c r="F24">
        <f>INDEX('Draft Engine'!$J$35:$J$86,$N24)</f>
        <v>26.7</v>
      </c>
      <c r="G24">
        <f>INDEX('Draft Engine'!$N$35:$N$86,$N24)</f>
        <v>73.470789999999994</v>
      </c>
      <c r="H24">
        <f>INDEX('Draft Engine'!$Q$35:$Q$86,$N24)</f>
        <v>56</v>
      </c>
      <c r="I24">
        <f>INDEX('Draft Engine'!$R$35:$R$86,$N24)</f>
        <v>49.9</v>
      </c>
      <c r="J24">
        <f>INDEX('Draft Engine'!$S$35:$S$86,$N24)</f>
        <v>-6.1000000000000014</v>
      </c>
      <c r="K24" t="str">
        <f>INDEX('Draft Engine'!$T$35:$T$86,$N24)</f>
        <v>A</v>
      </c>
      <c r="L24" t="str">
        <f>INDEX('LIVE SOURCE'!$H$35:$H$86,$N24)</f>
        <v>RB2/FLEX; useful weekly but role and receiving volume matter.</v>
      </c>
      <c r="M24" t="str">
        <f>INDEX('LIVE SOURCE'!$J$35:$J$86,$N24)</f>
        <v>Touchdown variance, receiving-role changes and backfield competition are the main downside paths.</v>
      </c>
      <c r="N24" s="6">
        <f>MATCH($A24,'Draft Engine'!$F$35:$F$86,0)</f>
        <v>22</v>
      </c>
    </row>
    <row r="25" spans="1:14" x14ac:dyDescent="0.25">
      <c r="A25">
        <f>23</f>
        <v>23</v>
      </c>
      <c r="B25" t="str">
        <f>INDEX('Draft Engine'!$B$35:$B$86,$N25)</f>
        <v>David Montgomery</v>
      </c>
      <c r="C25" s="4">
        <f>INDEX('Draft Engine'!$E$35:$E$86,$N25)</f>
        <v>77.910200000000003</v>
      </c>
      <c r="D25" t="str">
        <f t="shared" si="0"/>
        <v>TIER 4</v>
      </c>
      <c r="E25">
        <f>INDEX('Draft Engine'!$G$35:$G$86,$N25)</f>
        <v>257.2</v>
      </c>
      <c r="F25">
        <f>INDEX('Draft Engine'!$J$35:$J$86,$N25)</f>
        <v>18.2</v>
      </c>
      <c r="G25">
        <f>INDEX('Draft Engine'!$N$35:$N$86,$N25)</f>
        <v>70.470359999999999</v>
      </c>
      <c r="H25">
        <f>INDEX('Draft Engine'!$Q$35:$Q$86,$N25)</f>
        <v>63</v>
      </c>
      <c r="I25">
        <f>INDEX('Draft Engine'!$R$35:$R$86,$N25)</f>
        <v>66.400000000000006</v>
      </c>
      <c r="J25">
        <f>INDEX('Draft Engine'!$S$35:$S$86,$N25)</f>
        <v>3.4000000000000057</v>
      </c>
      <c r="K25" t="str">
        <f>INDEX('Draft Engine'!$T$35:$T$86,$N25)</f>
        <v>A</v>
      </c>
      <c r="L25" t="str">
        <f>INDEX('LIVE SOURCE'!$H$35:$H$86,$N25)</f>
        <v>RB2/FLEX; useful weekly but role and receiving volume matter.</v>
      </c>
      <c r="M25" t="str">
        <f>INDEX('LIVE SOURCE'!$J$35:$J$86,$N25)</f>
        <v>Touchdown variance, receiving-role changes and backfield competition are the main downside paths.</v>
      </c>
      <c r="N25" s="6">
        <f>MATCH($A25,'Draft Engine'!$F$35:$F$86,0)</f>
        <v>23</v>
      </c>
    </row>
    <row r="26" spans="1:14" x14ac:dyDescent="0.25">
      <c r="A26">
        <f>24</f>
        <v>24</v>
      </c>
      <c r="B26" t="str">
        <f>INDEX('Draft Engine'!$B$35:$B$86,$N26)</f>
        <v>TreVeyon Henderson</v>
      </c>
      <c r="C26" s="4">
        <f>INDEX('Draft Engine'!$E$35:$E$86,$N26)</f>
        <v>77.832499999999996</v>
      </c>
      <c r="D26" t="str">
        <f t="shared" si="0"/>
        <v>TIER 4</v>
      </c>
      <c r="E26">
        <f>INDEX('Draft Engine'!$G$35:$G$86,$N26)</f>
        <v>256.89999999999998</v>
      </c>
      <c r="F26">
        <f>INDEX('Draft Engine'!$J$35:$J$86,$N26)</f>
        <v>17.899999999999999</v>
      </c>
      <c r="G26">
        <f>INDEX('Draft Engine'!$N$35:$N$86,$N26)</f>
        <v>70.014250000000004</v>
      </c>
      <c r="H26">
        <f>INDEX('Draft Engine'!$Q$35:$Q$86,$N26)</f>
        <v>65</v>
      </c>
      <c r="I26">
        <f>INDEX('Draft Engine'!$R$35:$R$86,$N26)</f>
        <v>55.4</v>
      </c>
      <c r="J26">
        <f>INDEX('Draft Engine'!$S$35:$S$86,$N26)</f>
        <v>-9.6000000000000014</v>
      </c>
      <c r="K26" t="str">
        <f>INDEX('Draft Engine'!$T$35:$T$86,$N26)</f>
        <v>A</v>
      </c>
      <c r="L26" t="str">
        <f>INDEX('LIVE SOURCE'!$H$35:$H$86,$N26)</f>
        <v>RB2/FLEX; useful weekly but role and receiving volume matter.</v>
      </c>
      <c r="M26" t="str">
        <f>INDEX('LIVE SOURCE'!$J$35:$J$86,$N26)</f>
        <v>Touchdown variance, receiving-role changes and backfield competition are the main downside paths.</v>
      </c>
      <c r="N26" s="6">
        <f>MATCH($A26,'Draft Engine'!$F$35:$F$86,0)</f>
        <v>24</v>
      </c>
    </row>
    <row r="27" spans="1:14" x14ac:dyDescent="0.25">
      <c r="A27">
        <f>25</f>
        <v>25</v>
      </c>
      <c r="B27" t="str">
        <f>INDEX('Draft Engine'!$B$35:$B$86,$N27)</f>
        <v>Jadarian Price</v>
      </c>
      <c r="C27" s="4">
        <f>INDEX('Draft Engine'!$E$35:$E$86,$N27)</f>
        <v>76.662199999999999</v>
      </c>
      <c r="D27" t="str">
        <f t="shared" si="0"/>
        <v>TIER 4</v>
      </c>
      <c r="E27">
        <f>INDEX('Draft Engine'!$G$35:$G$86,$N27)</f>
        <v>252</v>
      </c>
      <c r="F27">
        <f>INDEX('Draft Engine'!$J$35:$J$86,$N27)</f>
        <v>13</v>
      </c>
      <c r="G27">
        <f>INDEX('Draft Engine'!$N$35:$N$86,$N27)</f>
        <v>68.12921</v>
      </c>
      <c r="H27">
        <f>INDEX('Draft Engine'!$Q$35:$Q$86,$N27)</f>
        <v>68</v>
      </c>
      <c r="I27">
        <f>INDEX('Draft Engine'!$R$35:$R$86,$N27)</f>
        <v>63</v>
      </c>
      <c r="J27">
        <f>INDEX('Draft Engine'!$S$35:$S$86,$N27)</f>
        <v>-5</v>
      </c>
      <c r="K27" t="str">
        <f>INDEX('Draft Engine'!$T$35:$T$86,$N27)</f>
        <v>B</v>
      </c>
      <c r="L27" t="str">
        <f>INDEX('LIVE SOURCE'!$H$35:$H$86,$N27)</f>
        <v>RB2/FLEX; useful weekly but role and receiving volume matter.</v>
      </c>
      <c r="M27" t="str">
        <f>INDEX('LIVE SOURCE'!$J$35:$J$86,$N27)</f>
        <v>NFL translation and exact weekly role are the main variables; preseason first-team usage can move this rating quickly.</v>
      </c>
      <c r="N27" s="6">
        <f>MATCH($A27,'Draft Engine'!$F$35:$F$86,0)</f>
        <v>25</v>
      </c>
    </row>
    <row r="28" spans="1:14" x14ac:dyDescent="0.25">
      <c r="A28">
        <f>26</f>
        <v>26</v>
      </c>
      <c r="B28" t="str">
        <f>INDEX('Draft Engine'!$B$35:$B$86,$N28)</f>
        <v>Jaylen Warren</v>
      </c>
      <c r="C28" s="4">
        <f>INDEX('Draft Engine'!$E$35:$E$86,$N28)</f>
        <v>76.091800000000006</v>
      </c>
      <c r="D28" t="str">
        <f t="shared" si="0"/>
        <v>TIER 4</v>
      </c>
      <c r="E28">
        <f>INDEX('Draft Engine'!$G$35:$G$86,$N28)</f>
        <v>249.6</v>
      </c>
      <c r="F28">
        <f>INDEX('Draft Engine'!$J$35:$J$86,$N28)</f>
        <v>10.6</v>
      </c>
      <c r="G28">
        <f>INDEX('Draft Engine'!$N$35:$N$86,$N28)</f>
        <v>67.024115000000009</v>
      </c>
      <c r="H28">
        <f>INDEX('Draft Engine'!$Q$35:$Q$86,$N28)</f>
        <v>73</v>
      </c>
      <c r="I28">
        <f>INDEX('Draft Engine'!$R$35:$R$86,$N28)</f>
        <v>68.8</v>
      </c>
      <c r="J28">
        <f>INDEX('Draft Engine'!$S$35:$S$86,$N28)</f>
        <v>-4.2000000000000028</v>
      </c>
      <c r="K28" t="str">
        <f>INDEX('Draft Engine'!$T$35:$T$86,$N28)</f>
        <v>A</v>
      </c>
      <c r="L28" t="str">
        <f>INDEX('LIVE SOURCE'!$H$35:$H$86,$N28)</f>
        <v>RB2/FLEX; useful weekly but role and receiving volume matter.</v>
      </c>
      <c r="M28" t="str">
        <f>INDEX('LIVE SOURCE'!$J$35:$J$86,$N28)</f>
        <v>Touchdown variance, receiving-role changes and backfield competition are the main downside paths.</v>
      </c>
      <c r="N28" s="6">
        <f>MATCH($A28,'Draft Engine'!$F$35:$F$86,0)</f>
        <v>26</v>
      </c>
    </row>
    <row r="29" spans="1:14" x14ac:dyDescent="0.25">
      <c r="A29">
        <f>27</f>
        <v>27</v>
      </c>
      <c r="B29" t="str">
        <f>INDEX('Draft Engine'!$B$35:$B$86,$N29)</f>
        <v>Rico Dowdle</v>
      </c>
      <c r="C29" s="4">
        <f>INDEX('Draft Engine'!$E$35:$E$86,$N29)</f>
        <v>75.785799999999995</v>
      </c>
      <c r="D29" t="str">
        <f t="shared" si="0"/>
        <v>TIER 4</v>
      </c>
      <c r="E29">
        <f>INDEX('Draft Engine'!$G$35:$G$86,$N29)</f>
        <v>248.3</v>
      </c>
      <c r="F29">
        <f>INDEX('Draft Engine'!$J$35:$J$86,$N29)</f>
        <v>9.3000000000000007</v>
      </c>
      <c r="G29">
        <f>INDEX('Draft Engine'!$N$35:$N$86,$N29)</f>
        <v>66.262439999999998</v>
      </c>
      <c r="H29">
        <f>INDEX('Draft Engine'!$Q$35:$Q$86,$N29)</f>
        <v>77</v>
      </c>
      <c r="I29">
        <f>INDEX('Draft Engine'!$R$35:$R$86,$N29)</f>
        <v>64.8</v>
      </c>
      <c r="J29">
        <f>INDEX('Draft Engine'!$S$35:$S$86,$N29)</f>
        <v>-12.200000000000003</v>
      </c>
      <c r="K29" t="str">
        <f>INDEX('Draft Engine'!$T$35:$T$86,$N29)</f>
        <v>A</v>
      </c>
      <c r="L29" t="str">
        <f>INDEX('LIVE SOURCE'!$H$35:$H$86,$N29)</f>
        <v>RB2/FLEX; useful weekly but role and receiving volume matter.</v>
      </c>
      <c r="M29" t="str">
        <f>INDEX('LIVE SOURCE'!$J$35:$J$86,$N29)</f>
        <v>Touchdown variance, receiving-role changes and backfield competition are the main downside paths.</v>
      </c>
      <c r="N29" s="6">
        <f>MATCH($A29,'Draft Engine'!$F$35:$F$86,0)</f>
        <v>27</v>
      </c>
    </row>
    <row r="30" spans="1:14" x14ac:dyDescent="0.25">
      <c r="A30">
        <f>28</f>
        <v>28</v>
      </c>
      <c r="B30" t="str">
        <f>INDEX('Draft Engine'!$B$35:$B$86,$N30)</f>
        <v>Tony Pollard</v>
      </c>
      <c r="C30" s="4">
        <f>INDEX('Draft Engine'!$E$35:$E$86,$N30)</f>
        <v>75.098600000000005</v>
      </c>
      <c r="D30" t="str">
        <f t="shared" si="0"/>
        <v>TIER 4</v>
      </c>
      <c r="E30">
        <f>INDEX('Draft Engine'!$G$35:$G$86,$N30)</f>
        <v>245.4</v>
      </c>
      <c r="F30">
        <f>INDEX('Draft Engine'!$J$35:$J$86,$N30)</f>
        <v>6.4</v>
      </c>
      <c r="G30">
        <f>INDEX('Draft Engine'!$N$35:$N$86,$N30)</f>
        <v>65.003105000000005</v>
      </c>
      <c r="H30">
        <f>INDEX('Draft Engine'!$Q$35:$Q$86,$N30)</f>
        <v>81</v>
      </c>
      <c r="I30">
        <f>INDEX('Draft Engine'!$R$35:$R$86,$N30)</f>
        <v>65.5</v>
      </c>
      <c r="J30">
        <f>INDEX('Draft Engine'!$S$35:$S$86,$N30)</f>
        <v>-15.5</v>
      </c>
      <c r="K30" t="str">
        <f>INDEX('Draft Engine'!$T$35:$T$86,$N30)</f>
        <v>A</v>
      </c>
      <c r="L30" t="str">
        <f>INDEX('LIVE SOURCE'!$H$35:$H$86,$N30)</f>
        <v>RB2/FLEX; useful weekly but role and receiving volume matter.</v>
      </c>
      <c r="M30" t="str">
        <f>INDEX('LIVE SOURCE'!$J$35:$J$86,$N30)</f>
        <v>Touchdown variance, receiving-role changes and backfield competition are the main downside paths.</v>
      </c>
      <c r="N30" s="6">
        <f>MATCH($A30,'Draft Engine'!$F$35:$F$86,0)</f>
        <v>28</v>
      </c>
    </row>
    <row r="31" spans="1:14" x14ac:dyDescent="0.25">
      <c r="A31">
        <f>29</f>
        <v>29</v>
      </c>
      <c r="B31" t="str">
        <f>INDEX('Draft Engine'!$B$35:$B$86,$N31)</f>
        <v>Rhamondre Stevenson</v>
      </c>
      <c r="C31" s="4">
        <f>INDEX('Draft Engine'!$E$35:$E$86,$N31)</f>
        <v>74.588099999999997</v>
      </c>
      <c r="D31" t="str">
        <f t="shared" si="0"/>
        <v>TIER 5</v>
      </c>
      <c r="E31">
        <f>INDEX('Draft Engine'!$G$35:$G$86,$N31)</f>
        <v>243.3</v>
      </c>
      <c r="F31">
        <f>INDEX('Draft Engine'!$J$35:$J$86,$N31)</f>
        <v>4.3</v>
      </c>
      <c r="G31">
        <f>INDEX('Draft Engine'!$N$35:$N$86,$N31)</f>
        <v>63.984954999999999</v>
      </c>
      <c r="H31">
        <f>INDEX('Draft Engine'!$Q$35:$Q$86,$N31)</f>
        <v>84</v>
      </c>
      <c r="I31">
        <f>INDEX('Draft Engine'!$R$35:$R$86,$N31)</f>
        <v>72.3</v>
      </c>
      <c r="J31">
        <f>INDEX('Draft Engine'!$S$35:$S$86,$N31)</f>
        <v>-11.700000000000003</v>
      </c>
      <c r="K31" t="str">
        <f>INDEX('Draft Engine'!$T$35:$T$86,$N31)</f>
        <v>A</v>
      </c>
      <c r="L31" t="str">
        <f>INDEX('LIVE SOURCE'!$H$35:$H$86,$N31)</f>
        <v>RB2/FLEX; useful weekly but role and receiving volume matter.</v>
      </c>
      <c r="M31" t="str">
        <f>INDEX('LIVE SOURCE'!$J$35:$J$86,$N31)</f>
        <v>Touchdown variance, receiving-role changes and backfield competition are the main downside paths.</v>
      </c>
      <c r="N31" s="6">
        <f>MATCH($A31,'Draft Engine'!$F$35:$F$86,0)</f>
        <v>29</v>
      </c>
    </row>
    <row r="32" spans="1:14" x14ac:dyDescent="0.25">
      <c r="A32">
        <f>30</f>
        <v>30</v>
      </c>
      <c r="B32" t="str">
        <f>INDEX('Draft Engine'!$B$35:$B$86,$N32)</f>
        <v>Kenneth Gainwell</v>
      </c>
      <c r="C32" s="4">
        <f>INDEX('Draft Engine'!$E$35:$E$86,$N32)</f>
        <v>74.504900000000006</v>
      </c>
      <c r="D32" t="str">
        <f t="shared" si="0"/>
        <v>TIER 5</v>
      </c>
      <c r="E32">
        <f>INDEX('Draft Engine'!$G$35:$G$86,$N32)</f>
        <v>242.9</v>
      </c>
      <c r="F32">
        <f>INDEX('Draft Engine'!$J$35:$J$86,$N32)</f>
        <v>3.9</v>
      </c>
      <c r="G32">
        <f>INDEX('Draft Engine'!$N$35:$N$86,$N32)</f>
        <v>63.507820000000002</v>
      </c>
      <c r="H32">
        <f>INDEX('Draft Engine'!$Q$35:$Q$86,$N32)</f>
        <v>86</v>
      </c>
      <c r="I32">
        <f>INDEX('Draft Engine'!$R$35:$R$86,$N32)</f>
        <v>123.8</v>
      </c>
      <c r="J32">
        <f>INDEX('Draft Engine'!$S$35:$S$86,$N32)</f>
        <v>37.799999999999997</v>
      </c>
      <c r="K32" t="str">
        <f>INDEX('Draft Engine'!$T$35:$T$86,$N32)</f>
        <v>A</v>
      </c>
      <c r="L32" t="str">
        <f>INDEX('LIVE SOURCE'!$H$35:$H$86,$N32)</f>
        <v>RB2/FLEX; useful weekly but role and receiving volume matter.</v>
      </c>
      <c r="M32" t="str">
        <f>INDEX('LIVE SOURCE'!$J$35:$J$86,$N32)</f>
        <v>Touchdown variance, receiving-role changes and backfield competition are the main downside paths.</v>
      </c>
      <c r="N32" s="6">
        <f>MATCH($A32,'Draft Engine'!$F$35:$F$86,0)</f>
        <v>30</v>
      </c>
    </row>
    <row r="33" spans="1:14" x14ac:dyDescent="0.25">
      <c r="A33">
        <f>31</f>
        <v>31</v>
      </c>
      <c r="B33" t="str">
        <f>INDEX('Draft Engine'!$B$35:$B$86,$N33)</f>
        <v>Bhayshul Tuten</v>
      </c>
      <c r="C33" s="4">
        <f>INDEX('Draft Engine'!$E$35:$E$86,$N33)</f>
        <v>74.467699999999994</v>
      </c>
      <c r="D33" t="str">
        <f t="shared" si="0"/>
        <v>TIER 5</v>
      </c>
      <c r="E33">
        <f>INDEX('Draft Engine'!$G$35:$G$86,$N33)</f>
        <v>242.8</v>
      </c>
      <c r="F33">
        <f>INDEX('Draft Engine'!$J$35:$J$86,$N33)</f>
        <v>3.8</v>
      </c>
      <c r="G33">
        <f>INDEX('Draft Engine'!$N$35:$N$86,$N33)</f>
        <v>63.109984999999995</v>
      </c>
      <c r="H33">
        <f>INDEX('Draft Engine'!$Q$35:$Q$86,$N33)</f>
        <v>87</v>
      </c>
      <c r="I33">
        <f>INDEX('Draft Engine'!$R$35:$R$86,$N33)</f>
        <v>52.3</v>
      </c>
      <c r="J33">
        <f>INDEX('Draft Engine'!$S$35:$S$86,$N33)</f>
        <v>-34.700000000000003</v>
      </c>
      <c r="K33" t="str">
        <f>INDEX('Draft Engine'!$T$35:$T$86,$N33)</f>
        <v>A</v>
      </c>
      <c r="L33" t="str">
        <f>INDEX('LIVE SOURCE'!$H$35:$H$86,$N33)</f>
        <v>FLEX/bench depth with upside if workload grows.</v>
      </c>
      <c r="M33" t="str">
        <f>INDEX('LIVE SOURCE'!$J$35:$J$86,$N33)</f>
        <v>Touchdown variance, receiving-role changes and backfield competition are the main downside paths.</v>
      </c>
      <c r="N33" s="6">
        <f>MATCH($A33,'Draft Engine'!$F$35:$F$86,0)</f>
        <v>31</v>
      </c>
    </row>
    <row r="34" spans="1:14" x14ac:dyDescent="0.25">
      <c r="A34">
        <f>32</f>
        <v>32</v>
      </c>
      <c r="B34" t="str">
        <f>INDEX('Draft Engine'!$B$35:$B$86,$N34)</f>
        <v>RJ Harvey</v>
      </c>
      <c r="C34" s="4">
        <f>INDEX('Draft Engine'!$E$35:$E$86,$N34)</f>
        <v>73.567800000000005</v>
      </c>
      <c r="D34" t="str">
        <f t="shared" si="0"/>
        <v>TIER 5</v>
      </c>
      <c r="E34">
        <f>INDEX('Draft Engine'!$G$35:$G$86,$N34)</f>
        <v>239</v>
      </c>
      <c r="F34">
        <f>INDEX('Draft Engine'!$J$35:$J$86,$N34)</f>
        <v>0</v>
      </c>
      <c r="G34">
        <f>INDEX('Draft Engine'!$N$35:$N$86,$N34)</f>
        <v>61.571665000000003</v>
      </c>
      <c r="H34">
        <f>INDEX('Draft Engine'!$Q$35:$Q$86,$N34)</f>
        <v>92</v>
      </c>
      <c r="I34">
        <f>INDEX('Draft Engine'!$R$35:$R$86,$N34)</f>
        <v>82.6</v>
      </c>
      <c r="J34">
        <f>INDEX('Draft Engine'!$S$35:$S$86,$N34)</f>
        <v>-9.4000000000000057</v>
      </c>
      <c r="K34" t="str">
        <f>INDEX('Draft Engine'!$T$35:$T$86,$N34)</f>
        <v>A</v>
      </c>
      <c r="L34" t="str">
        <f>INDEX('LIVE SOURCE'!$H$35:$H$86,$N34)</f>
        <v>FLEX/bench depth with upside if workload grows.</v>
      </c>
      <c r="M34" t="str">
        <f>INDEX('LIVE SOURCE'!$J$35:$J$86,$N34)</f>
        <v>Touchdown variance, receiving-role changes and backfield competition are the main downside paths.</v>
      </c>
      <c r="N34" s="6">
        <f>MATCH($A34,'Draft Engine'!$F$35:$F$86,0)</f>
        <v>32</v>
      </c>
    </row>
    <row r="35" spans="1:14" x14ac:dyDescent="0.25">
      <c r="A35">
        <f>33</f>
        <v>33</v>
      </c>
      <c r="B35" t="str">
        <f>INDEX('Draft Engine'!$B$35:$B$86,$N35)</f>
        <v>Kyle Monangai</v>
      </c>
      <c r="C35" s="4">
        <f>INDEX('Draft Engine'!$E$35:$E$86,$N35)</f>
        <v>72.610200000000006</v>
      </c>
      <c r="D35" t="str">
        <f t="shared" ref="D35:D54" si="1">IF($C35&gt;=95,"ELITE",IF($C35&gt;=90,"TIER 1",IF($C35&gt;=85,"TIER 2",IF($C35&gt;=80,"TIER 3",IF($C35&gt;=75,"TIER 4",IF($C35&gt;=70,"TIER 5",IF($C35&gt;=65,"TIER 6","TIER 7")))))))</f>
        <v>TIER 5</v>
      </c>
      <c r="E35">
        <f>INDEX('Draft Engine'!$G$35:$G$86,$N35)</f>
        <v>235</v>
      </c>
      <c r="F35">
        <f>INDEX('Draft Engine'!$J$35:$J$86,$N35)</f>
        <v>-4</v>
      </c>
      <c r="G35">
        <f>INDEX('Draft Engine'!$N$35:$N$86,$N35)</f>
        <v>59.965610000000005</v>
      </c>
      <c r="H35">
        <f>INDEX('Draft Engine'!$Q$35:$Q$86,$N35)</f>
        <v>98</v>
      </c>
      <c r="I35">
        <f>INDEX('Draft Engine'!$R$35:$R$86,$N35)</f>
        <v>100.3</v>
      </c>
      <c r="J35">
        <f>INDEX('Draft Engine'!$S$35:$S$86,$N35)</f>
        <v>2.2999999999999972</v>
      </c>
      <c r="K35" t="str">
        <f>INDEX('Draft Engine'!$T$35:$T$86,$N35)</f>
        <v>A</v>
      </c>
      <c r="L35" t="str">
        <f>INDEX('LIVE SOURCE'!$H$35:$H$86,$N35)</f>
        <v>FLEX/bench depth with upside if workload grows.</v>
      </c>
      <c r="M35" t="str">
        <f>INDEX('LIVE SOURCE'!$J$35:$J$86,$N35)</f>
        <v>Touchdown variance, receiving-role changes and backfield competition are the main downside paths.</v>
      </c>
      <c r="N35" s="6">
        <f>MATCH($A35,'Draft Engine'!$F$35:$F$86,0)</f>
        <v>33</v>
      </c>
    </row>
    <row r="36" spans="1:14" x14ac:dyDescent="0.25">
      <c r="A36">
        <f>34</f>
        <v>34</v>
      </c>
      <c r="B36" t="str">
        <f>INDEX('Draft Engine'!$B$35:$B$86,$N36)</f>
        <v>Chuba Hubbard</v>
      </c>
      <c r="C36" s="4">
        <f>INDEX('Draft Engine'!$E$35:$E$86,$N36)</f>
        <v>71.866699999999994</v>
      </c>
      <c r="D36" t="str">
        <f t="shared" si="1"/>
        <v>TIER 5</v>
      </c>
      <c r="E36">
        <f>INDEX('Draft Engine'!$G$35:$G$86,$N36)</f>
        <v>231.8</v>
      </c>
      <c r="F36">
        <f>INDEX('Draft Engine'!$J$35:$J$86,$N36)</f>
        <v>-7.2</v>
      </c>
      <c r="G36">
        <f>INDEX('Draft Engine'!$N$35:$N$86,$N36)</f>
        <v>58.621310000000001</v>
      </c>
      <c r="H36">
        <f>INDEX('Draft Engine'!$Q$35:$Q$86,$N36)</f>
        <v>100</v>
      </c>
      <c r="I36">
        <f>INDEX('Draft Engine'!$R$35:$R$86,$N36)</f>
        <v>75.900000000000006</v>
      </c>
      <c r="J36">
        <f>INDEX('Draft Engine'!$S$35:$S$86,$N36)</f>
        <v>-24.099999999999994</v>
      </c>
      <c r="K36" t="str">
        <f>INDEX('Draft Engine'!$T$35:$T$86,$N36)</f>
        <v>A</v>
      </c>
      <c r="L36" t="str">
        <f>INDEX('LIVE SOURCE'!$H$35:$H$86,$N36)</f>
        <v>FLEX/bench depth with upside if workload grows.</v>
      </c>
      <c r="M36" t="str">
        <f>INDEX('LIVE SOURCE'!$J$35:$J$86,$N36)</f>
        <v>Touchdown variance, receiving-role changes and backfield competition are the main downside paths.</v>
      </c>
      <c r="N36" s="6">
        <f>MATCH($A36,'Draft Engine'!$F$35:$F$86,0)</f>
        <v>34</v>
      </c>
    </row>
    <row r="37" spans="1:14" x14ac:dyDescent="0.25">
      <c r="A37">
        <f>35</f>
        <v>35</v>
      </c>
      <c r="B37" t="str">
        <f>INDEX('Draft Engine'!$B$35:$B$86,$N37)</f>
        <v>Aaron Jones Sr.</v>
      </c>
      <c r="C37" s="4">
        <f>INDEX('Draft Engine'!$E$35:$E$86,$N37)</f>
        <v>71.697699999999998</v>
      </c>
      <c r="D37" t="str">
        <f t="shared" si="1"/>
        <v>TIER 5</v>
      </c>
      <c r="E37">
        <f>INDEX('Draft Engine'!$G$35:$G$86,$N37)</f>
        <v>231.1</v>
      </c>
      <c r="F37">
        <f>INDEX('Draft Engine'!$J$35:$J$86,$N37)</f>
        <v>-7.9</v>
      </c>
      <c r="G37">
        <f>INDEX('Draft Engine'!$N$35:$N$86,$N37)</f>
        <v>58.042985000000002</v>
      </c>
      <c r="H37">
        <f>INDEX('Draft Engine'!$Q$35:$Q$86,$N37)</f>
        <v>102</v>
      </c>
      <c r="I37">
        <f>INDEX('Draft Engine'!$R$35:$R$86,$N37)</f>
        <v>90.7</v>
      </c>
      <c r="J37">
        <f>INDEX('Draft Engine'!$S$35:$S$86,$N37)</f>
        <v>-11.299999999999997</v>
      </c>
      <c r="K37" t="str">
        <f>INDEX('Draft Engine'!$T$35:$T$86,$N37)</f>
        <v>A</v>
      </c>
      <c r="L37" t="str">
        <f>INDEX('LIVE SOURCE'!$H$35:$H$86,$N37)</f>
        <v>FLEX/bench depth with upside if workload grows.</v>
      </c>
      <c r="M37" t="str">
        <f>INDEX('LIVE SOURCE'!$J$35:$J$86,$N37)</f>
        <v>Touchdown variance, receiving-role changes and backfield competition are the main downside paths.</v>
      </c>
      <c r="N37" s="6">
        <f>MATCH($A37,'Draft Engine'!$F$35:$F$86,0)</f>
        <v>35</v>
      </c>
    </row>
    <row r="38" spans="1:14" x14ac:dyDescent="0.25">
      <c r="A38">
        <f>36</f>
        <v>36</v>
      </c>
      <c r="B38" t="str">
        <f>INDEX('Draft Engine'!$B$35:$B$86,$N38)</f>
        <v>J.K. Dobbins</v>
      </c>
      <c r="C38" s="4">
        <f>INDEX('Draft Engine'!$E$35:$E$86,$N38)</f>
        <v>71.166600000000003</v>
      </c>
      <c r="D38" t="str">
        <f t="shared" si="1"/>
        <v>TIER 5</v>
      </c>
      <c r="E38">
        <f>INDEX('Draft Engine'!$G$35:$G$86,$N38)</f>
        <v>228.9</v>
      </c>
      <c r="F38">
        <f>INDEX('Draft Engine'!$J$35:$J$86,$N38)</f>
        <v>-10.1</v>
      </c>
      <c r="G38">
        <f>INDEX('Draft Engine'!$N$35:$N$86,$N38)</f>
        <v>56.995505000000009</v>
      </c>
      <c r="H38">
        <f>INDEX('Draft Engine'!$Q$35:$Q$86,$N38)</f>
        <v>106</v>
      </c>
      <c r="I38">
        <f>INDEX('Draft Engine'!$R$35:$R$86,$N38)</f>
        <v>91.9</v>
      </c>
      <c r="J38">
        <f>INDEX('Draft Engine'!$S$35:$S$86,$N38)</f>
        <v>-14.099999999999994</v>
      </c>
      <c r="K38" t="str">
        <f>INDEX('Draft Engine'!$T$35:$T$86,$N38)</f>
        <v>B</v>
      </c>
      <c r="L38" t="str">
        <f>INDEX('LIVE SOURCE'!$H$35:$H$86,$N38)</f>
        <v>FLEX/bench depth with upside if workload grows.</v>
      </c>
      <c r="M38" t="str">
        <f>INDEX('LIVE SOURCE'!$J$35:$J$86,$N38)</f>
        <v>Touchdown variance, receiving-role changes and backfield competition are the main downside paths.</v>
      </c>
      <c r="N38" s="6">
        <f>MATCH($A38,'Draft Engine'!$F$35:$F$86,0)</f>
        <v>36</v>
      </c>
    </row>
    <row r="39" spans="1:14" x14ac:dyDescent="0.25">
      <c r="A39">
        <f>37</f>
        <v>37</v>
      </c>
      <c r="B39" t="str">
        <f>INDEX('Draft Engine'!$B$35:$B$86,$N39)</f>
        <v>Blake Corum</v>
      </c>
      <c r="C39" s="4">
        <f>INDEX('Draft Engine'!$E$35:$E$86,$N39)</f>
        <v>69.519599999999997</v>
      </c>
      <c r="D39" t="str">
        <f t="shared" si="1"/>
        <v>TIER 6</v>
      </c>
      <c r="E39">
        <f>INDEX('Draft Engine'!$G$35:$G$86,$N39)</f>
        <v>222</v>
      </c>
      <c r="F39">
        <f>INDEX('Draft Engine'!$J$35:$J$86,$N39)</f>
        <v>-17</v>
      </c>
      <c r="G39">
        <f>INDEX('Draft Engine'!$N$35:$N$86,$N39)</f>
        <v>54.488279999999996</v>
      </c>
      <c r="H39">
        <f>INDEX('Draft Engine'!$Q$35:$Q$86,$N39)</f>
        <v>113</v>
      </c>
      <c r="I39">
        <f>INDEX('Draft Engine'!$R$35:$R$86,$N39)</f>
        <v>122.4</v>
      </c>
      <c r="J39">
        <f>INDEX('Draft Engine'!$S$35:$S$86,$N39)</f>
        <v>9.4000000000000057</v>
      </c>
      <c r="K39" t="str">
        <f>INDEX('Draft Engine'!$T$35:$T$86,$N39)</f>
        <v>A</v>
      </c>
      <c r="L39" t="str">
        <f>INDEX('LIVE SOURCE'!$H$35:$H$86,$N39)</f>
        <v>FLEX/bench depth with upside if workload grows.</v>
      </c>
      <c r="M39" t="str">
        <f>INDEX('LIVE SOURCE'!$J$35:$J$86,$N39)</f>
        <v>Touchdown variance, receiving-role changes and backfield competition are the main downside paths.</v>
      </c>
      <c r="N39" s="6">
        <f>MATCH($A39,'Draft Engine'!$F$35:$F$86,0)</f>
        <v>37</v>
      </c>
    </row>
    <row r="40" spans="1:14" x14ac:dyDescent="0.25">
      <c r="A40">
        <f>38</f>
        <v>38</v>
      </c>
      <c r="B40" t="str">
        <f>INDEX('Draft Engine'!$B$35:$B$86,$N40)</f>
        <v>Rachaad White</v>
      </c>
      <c r="C40" s="4">
        <f>INDEX('Draft Engine'!$E$35:$E$86,$N40)</f>
        <v>69.203699999999998</v>
      </c>
      <c r="D40" t="str">
        <f t="shared" si="1"/>
        <v>TIER 6</v>
      </c>
      <c r="E40">
        <f>INDEX('Draft Engine'!$G$35:$G$86,$N40)</f>
        <v>220.7</v>
      </c>
      <c r="F40">
        <f>INDEX('Draft Engine'!$J$35:$J$86,$N40)</f>
        <v>-18.3</v>
      </c>
      <c r="G40">
        <f>INDEX('Draft Engine'!$N$35:$N$86,$N40)</f>
        <v>53.721159999999998</v>
      </c>
      <c r="H40">
        <f>INDEX('Draft Engine'!$Q$35:$Q$86,$N40)</f>
        <v>116</v>
      </c>
      <c r="I40">
        <f>INDEX('Draft Engine'!$R$35:$R$86,$N40)</f>
        <v>99.9</v>
      </c>
      <c r="J40">
        <f>INDEX('Draft Engine'!$S$35:$S$86,$N40)</f>
        <v>-16.099999999999994</v>
      </c>
      <c r="K40" t="str">
        <f>INDEX('Draft Engine'!$T$35:$T$86,$N40)</f>
        <v>A</v>
      </c>
      <c r="L40" t="str">
        <f>INDEX('LIVE SOURCE'!$H$35:$H$86,$N40)</f>
        <v>FLEX/bench depth with upside if workload grows.</v>
      </c>
      <c r="M40" t="str">
        <f>INDEX('LIVE SOURCE'!$J$35:$J$86,$N40)</f>
        <v>Touchdown variance, receiving-role changes and backfield competition are the main downside paths.</v>
      </c>
      <c r="N40" s="6">
        <f>MATCH($A40,'Draft Engine'!$F$35:$F$86,0)</f>
        <v>38</v>
      </c>
    </row>
    <row r="41" spans="1:14" x14ac:dyDescent="0.25">
      <c r="A41">
        <f>39</f>
        <v>39</v>
      </c>
      <c r="B41" t="str">
        <f>INDEX('Draft Engine'!$B$35:$B$86,$N41)</f>
        <v>Jacory Croskey-Merritt</v>
      </c>
      <c r="C41" s="4">
        <f>INDEX('Draft Engine'!$E$35:$E$86,$N41)</f>
        <v>68.992199999999997</v>
      </c>
      <c r="D41" t="str">
        <f t="shared" si="1"/>
        <v>TIER 6</v>
      </c>
      <c r="E41">
        <f>INDEX('Draft Engine'!$G$35:$G$86,$N41)</f>
        <v>219.8</v>
      </c>
      <c r="F41">
        <f>INDEX('Draft Engine'!$J$35:$J$86,$N41)</f>
        <v>-19.2</v>
      </c>
      <c r="G41">
        <f>INDEX('Draft Engine'!$N$35:$N$86,$N41)</f>
        <v>53.083460000000002</v>
      </c>
      <c r="H41">
        <f>INDEX('Draft Engine'!$Q$35:$Q$86,$N41)</f>
        <v>119</v>
      </c>
      <c r="I41">
        <f>INDEX('Draft Engine'!$R$35:$R$86,$N41)</f>
        <v>111.3</v>
      </c>
      <c r="J41">
        <f>INDEX('Draft Engine'!$S$35:$S$86,$N41)</f>
        <v>-7.7000000000000028</v>
      </c>
      <c r="K41" t="str">
        <f>INDEX('Draft Engine'!$T$35:$T$86,$N41)</f>
        <v>A</v>
      </c>
      <c r="L41" t="str">
        <f>INDEX('LIVE SOURCE'!$H$35:$H$86,$N41)</f>
        <v>FLEX/bench depth with upside if workload grows.</v>
      </c>
      <c r="M41" t="str">
        <f>INDEX('LIVE SOURCE'!$J$35:$J$86,$N41)</f>
        <v>Touchdown variance, receiving-role changes and backfield competition are the main downside paths.</v>
      </c>
      <c r="N41" s="6">
        <f>MATCH($A41,'Draft Engine'!$F$35:$F$86,0)</f>
        <v>39</v>
      </c>
    </row>
    <row r="42" spans="1:14" x14ac:dyDescent="0.25">
      <c r="A42">
        <f>40</f>
        <v>40</v>
      </c>
      <c r="B42" t="str">
        <f>INDEX('Draft Engine'!$B$35:$B$86,$N42)</f>
        <v>Jordan Mason</v>
      </c>
      <c r="C42" s="4">
        <f>INDEX('Draft Engine'!$E$35:$E$86,$N42)</f>
        <v>67.657399999999996</v>
      </c>
      <c r="D42" t="str">
        <f t="shared" si="1"/>
        <v>TIER 6</v>
      </c>
      <c r="E42">
        <f>INDEX('Draft Engine'!$G$35:$G$86,$N42)</f>
        <v>214.2</v>
      </c>
      <c r="F42">
        <f>INDEX('Draft Engine'!$J$35:$J$86,$N42)</f>
        <v>-24.8</v>
      </c>
      <c r="G42">
        <f>INDEX('Draft Engine'!$N$35:$N$86,$N42)</f>
        <v>50.981945000000003</v>
      </c>
      <c r="H42">
        <f>INDEX('Draft Engine'!$Q$35:$Q$86,$N42)</f>
        <v>125</v>
      </c>
      <c r="I42">
        <f>INDEX('Draft Engine'!$R$35:$R$86,$N42)</f>
        <v>122.8</v>
      </c>
      <c r="J42">
        <f>INDEX('Draft Engine'!$S$35:$S$86,$N42)</f>
        <v>-2.2000000000000028</v>
      </c>
      <c r="K42" t="str">
        <f>INDEX('Draft Engine'!$T$35:$T$86,$N42)</f>
        <v>A</v>
      </c>
      <c r="L42" t="str">
        <f>INDEX('LIVE SOURCE'!$H$35:$H$86,$N42)</f>
        <v>FLEX/bench depth with upside if workload grows.</v>
      </c>
      <c r="M42" t="str">
        <f>INDEX('LIVE SOURCE'!$J$35:$J$86,$N42)</f>
        <v>Touchdown variance, receiving-role changes and backfield competition are the main downside paths.</v>
      </c>
      <c r="N42" s="6">
        <f>MATCH($A42,'Draft Engine'!$F$35:$F$86,0)</f>
        <v>40</v>
      </c>
    </row>
    <row r="43" spans="1:14" x14ac:dyDescent="0.25">
      <c r="A43">
        <f>41</f>
        <v>41</v>
      </c>
      <c r="B43" t="str">
        <f>INDEX('Draft Engine'!$B$35:$B$86,$N43)</f>
        <v>Woody Marks</v>
      </c>
      <c r="C43" s="4">
        <f>INDEX('Draft Engine'!$E$35:$E$86,$N43)</f>
        <v>66.866200000000006</v>
      </c>
      <c r="D43" t="str">
        <f t="shared" si="1"/>
        <v>TIER 6</v>
      </c>
      <c r="E43">
        <f>INDEX('Draft Engine'!$G$35:$G$86,$N43)</f>
        <v>210.8</v>
      </c>
      <c r="F43">
        <f>INDEX('Draft Engine'!$J$35:$J$86,$N43)</f>
        <v>-28.2</v>
      </c>
      <c r="G43">
        <f>INDEX('Draft Engine'!$N$35:$N$86,$N43)</f>
        <v>49.575410000000005</v>
      </c>
      <c r="H43">
        <f>INDEX('Draft Engine'!$Q$35:$Q$86,$N43)</f>
        <v>129</v>
      </c>
      <c r="I43">
        <f>INDEX('Draft Engine'!$R$35:$R$86,$N43)</f>
        <v>149.19999999999999</v>
      </c>
      <c r="J43">
        <f>INDEX('Draft Engine'!$S$35:$S$86,$N43)</f>
        <v>20.199999999999989</v>
      </c>
      <c r="K43" t="str">
        <f>INDEX('Draft Engine'!$T$35:$T$86,$N43)</f>
        <v>A</v>
      </c>
      <c r="L43" t="str">
        <f>INDEX('LIVE SOURCE'!$H$35:$H$86,$N43)</f>
        <v>Bench stash/handcuff profile; value is tied to role change or injury ahead.</v>
      </c>
      <c r="M43" t="str">
        <f>INDEX('LIVE SOURCE'!$J$35:$J$86,$N43)</f>
        <v>Touchdown variance, receiving-role changes and backfield competition are the main downside paths.</v>
      </c>
      <c r="N43" s="6">
        <f>MATCH($A43,'Draft Engine'!$F$35:$F$86,0)</f>
        <v>41</v>
      </c>
    </row>
    <row r="44" spans="1:14" x14ac:dyDescent="0.25">
      <c r="A44">
        <f>42</f>
        <v>42</v>
      </c>
      <c r="B44" t="str">
        <f>INDEX('Draft Engine'!$B$35:$B$86,$N44)</f>
        <v>Chris Rodriguez Jr.</v>
      </c>
      <c r="C44" s="4">
        <f>INDEX('Draft Engine'!$E$35:$E$86,$N44)</f>
        <v>66.537000000000006</v>
      </c>
      <c r="D44" t="str">
        <f t="shared" si="1"/>
        <v>TIER 6</v>
      </c>
      <c r="E44">
        <f>INDEX('Draft Engine'!$G$35:$G$86,$N44)</f>
        <v>209.5</v>
      </c>
      <c r="F44">
        <f>INDEX('Draft Engine'!$J$35:$J$86,$N44)</f>
        <v>-29.5</v>
      </c>
      <c r="G44">
        <f>INDEX('Draft Engine'!$N$35:$N$86,$N44)</f>
        <v>48.800975000000001</v>
      </c>
      <c r="H44">
        <f>INDEX('Draft Engine'!$Q$35:$Q$86,$N44)</f>
        <v>151</v>
      </c>
      <c r="I44">
        <f>INDEX('Draft Engine'!$R$35:$R$86,$N44)</f>
        <v>163.6</v>
      </c>
      <c r="J44">
        <f>INDEX('Draft Engine'!$S$35:$S$86,$N44)</f>
        <v>12.599999999999994</v>
      </c>
      <c r="K44" t="str">
        <f>INDEX('Draft Engine'!$T$35:$T$86,$N44)</f>
        <v>A</v>
      </c>
      <c r="L44" t="str">
        <f>INDEX('LIVE SOURCE'!$H$35:$H$86,$N44)</f>
        <v>Bench stash/handcuff profile; value is tied to role change or injury ahead.</v>
      </c>
      <c r="M44" t="str">
        <f>INDEX('LIVE SOURCE'!$J$35:$J$86,$N44)</f>
        <v>Touchdown variance, receiving-role changes and backfield competition are the main downside paths.</v>
      </c>
      <c r="N44" s="6">
        <f>MATCH($A44,'Draft Engine'!$F$35:$F$86,0)</f>
        <v>42</v>
      </c>
    </row>
    <row r="45" spans="1:14" x14ac:dyDescent="0.25">
      <c r="A45">
        <f>43</f>
        <v>43</v>
      </c>
      <c r="B45" t="str">
        <f>INDEX('Draft Engine'!$B$35:$B$86,$N45)</f>
        <v>Tyrone Tracy Jr.</v>
      </c>
      <c r="C45" s="4">
        <f>INDEX('Draft Engine'!$E$35:$E$86,$N45)</f>
        <v>66.531000000000006</v>
      </c>
      <c r="D45" t="str">
        <f t="shared" si="1"/>
        <v>TIER 6</v>
      </c>
      <c r="E45">
        <f>INDEX('Draft Engine'!$G$35:$G$86,$N45)</f>
        <v>209.4</v>
      </c>
      <c r="F45">
        <f>INDEX('Draft Engine'!$J$35:$J$86,$N45)</f>
        <v>-29.6</v>
      </c>
      <c r="G45">
        <f>INDEX('Draft Engine'!$N$35:$N$86,$N45)</f>
        <v>48.420300000000005</v>
      </c>
      <c r="H45">
        <f>INDEX('Draft Engine'!$Q$35:$Q$86,$N45)</f>
        <v>153</v>
      </c>
      <c r="I45">
        <f>INDEX('Draft Engine'!$R$35:$R$86,$N45)</f>
        <v>155.80000000000001</v>
      </c>
      <c r="J45">
        <f>INDEX('Draft Engine'!$S$35:$S$86,$N45)</f>
        <v>2.8000000000000114</v>
      </c>
      <c r="K45" t="str">
        <f>INDEX('Draft Engine'!$T$35:$T$86,$N45)</f>
        <v>A</v>
      </c>
      <c r="L45" t="str">
        <f>INDEX('LIVE SOURCE'!$H$35:$H$86,$N45)</f>
        <v>Bench stash/handcuff profile; value is tied to role change or injury ahead.</v>
      </c>
      <c r="M45" t="str">
        <f>INDEX('LIVE SOURCE'!$J$35:$J$86,$N45)</f>
        <v>Touchdown variance, receiving-role changes and backfield competition are the main downside paths.</v>
      </c>
      <c r="N45" s="6">
        <f>MATCH($A45,'Draft Engine'!$F$35:$F$86,0)</f>
        <v>43</v>
      </c>
    </row>
    <row r="46" spans="1:14" x14ac:dyDescent="0.25">
      <c r="A46">
        <f>44</f>
        <v>44</v>
      </c>
      <c r="B46" t="str">
        <f>INDEX('Draft Engine'!$B$35:$B$86,$N46)</f>
        <v>Tyjae Spears</v>
      </c>
      <c r="C46" s="4">
        <f>INDEX('Draft Engine'!$E$35:$E$86,$N46)</f>
        <v>63.4</v>
      </c>
      <c r="D46" t="str">
        <f t="shared" si="1"/>
        <v>TIER 7</v>
      </c>
      <c r="E46">
        <f>INDEX('Draft Engine'!$G$35:$G$86,$N46)</f>
        <v>196.3</v>
      </c>
      <c r="F46">
        <f>INDEX('Draft Engine'!$J$35:$J$86,$N46)</f>
        <v>-42.7</v>
      </c>
      <c r="G46">
        <f>INDEX('Draft Engine'!$N$35:$N$86,$N46)</f>
        <v>43.980875000000005</v>
      </c>
      <c r="H46">
        <f>INDEX('Draft Engine'!$Q$35:$Q$86,$N46)</f>
        <v>165</v>
      </c>
      <c r="I46">
        <f>INDEX('Draft Engine'!$R$35:$R$86,$N46)</f>
        <v>129.6</v>
      </c>
      <c r="J46">
        <f>INDEX('Draft Engine'!$S$35:$S$86,$N46)</f>
        <v>-35.400000000000006</v>
      </c>
      <c r="K46" t="str">
        <f>INDEX('Draft Engine'!$T$35:$T$86,$N46)</f>
        <v>C</v>
      </c>
      <c r="L46" t="str">
        <f>INDEX('LIVE SOURCE'!$H$35:$H$86,$N46)</f>
        <v>Added 2026-08-12 from ESPN consensus (RB44).</v>
      </c>
      <c r="M46" t="str">
        <f>INDEX('LIVE SOURCE'!$J$35:$J$86,$N46)</f>
        <v>No model projection behind this rating; it is market consensus only. Re-rate manually if you have a strong opinion.</v>
      </c>
      <c r="N46" s="6">
        <f>MATCH($A46,'Draft Engine'!$F$35:$F$86,0)</f>
        <v>51</v>
      </c>
    </row>
    <row r="47" spans="1:14" x14ac:dyDescent="0.25">
      <c r="A47">
        <f>45</f>
        <v>45</v>
      </c>
      <c r="B47" t="str">
        <f>INDEX('Draft Engine'!$B$35:$B$86,$N47)</f>
        <v>Tyler Allgeier</v>
      </c>
      <c r="C47" s="4">
        <f>INDEX('Draft Engine'!$E$35:$E$86,$N47)</f>
        <v>63.032200000000003</v>
      </c>
      <c r="D47" t="str">
        <f t="shared" si="1"/>
        <v>TIER 7</v>
      </c>
      <c r="E47">
        <f>INDEX('Draft Engine'!$G$35:$G$86,$N47)</f>
        <v>194.7</v>
      </c>
      <c r="F47">
        <f>INDEX('Draft Engine'!$J$35:$J$86,$N47)</f>
        <v>-44.3</v>
      </c>
      <c r="G47">
        <f>INDEX('Draft Engine'!$N$35:$N$86,$N47)</f>
        <v>43.13121000000001</v>
      </c>
      <c r="H47">
        <f>INDEX('Draft Engine'!$Q$35:$Q$86,$N47)</f>
        <v>168</v>
      </c>
      <c r="I47">
        <f>INDEX('Draft Engine'!$R$35:$R$86,$N47)</f>
        <v>164.3</v>
      </c>
      <c r="J47">
        <f>INDEX('Draft Engine'!$S$35:$S$86,$N47)</f>
        <v>-3.6999999999999886</v>
      </c>
      <c r="K47" t="str">
        <f>INDEX('Draft Engine'!$T$35:$T$86,$N47)</f>
        <v>A</v>
      </c>
      <c r="L47" t="str">
        <f>INDEX('LIVE SOURCE'!$H$35:$H$86,$N47)</f>
        <v>Bench stash/handcuff profile; value is tied to role change or injury ahead.</v>
      </c>
      <c r="M47" t="str">
        <f>INDEX('LIVE SOURCE'!$J$35:$J$86,$N47)</f>
        <v>Touchdown variance, receiving-role changes and backfield competition are the main downside paths.</v>
      </c>
      <c r="N47" s="6">
        <f>MATCH($A47,'Draft Engine'!$F$35:$F$86,0)</f>
        <v>44</v>
      </c>
    </row>
    <row r="48" spans="1:14" x14ac:dyDescent="0.25">
      <c r="A48">
        <f>46</f>
        <v>46</v>
      </c>
      <c r="B48" t="str">
        <f>INDEX('Draft Engine'!$B$35:$B$86,$N48)</f>
        <v>Jonathon Brooks</v>
      </c>
      <c r="C48" s="4">
        <f>INDEX('Draft Engine'!$E$35:$E$86,$N48)</f>
        <v>62.2</v>
      </c>
      <c r="D48" t="str">
        <f t="shared" si="1"/>
        <v>TIER 7</v>
      </c>
      <c r="E48">
        <f>INDEX('Draft Engine'!$G$35:$G$86,$N48)</f>
        <v>191.2</v>
      </c>
      <c r="F48">
        <f>INDEX('Draft Engine'!$J$35:$J$86,$N48)</f>
        <v>-47.8</v>
      </c>
      <c r="G48">
        <f>INDEX('Draft Engine'!$N$35:$N$86,$N48)</f>
        <v>41.684125000000002</v>
      </c>
      <c r="H48">
        <f>INDEX('Draft Engine'!$Q$35:$Q$86,$N48)</f>
        <v>174</v>
      </c>
      <c r="I48">
        <f>INDEX('Draft Engine'!$R$35:$R$86,$N48)</f>
        <v>109.4</v>
      </c>
      <c r="J48">
        <f>INDEX('Draft Engine'!$S$35:$S$86,$N48)</f>
        <v>-64.599999999999994</v>
      </c>
      <c r="K48" t="str">
        <f>INDEX('Draft Engine'!$T$35:$T$86,$N48)</f>
        <v>C</v>
      </c>
      <c r="L48" t="str">
        <f>INDEX('LIVE SOURCE'!$H$35:$H$86,$N48)</f>
        <v>Bench stash/handcuff profile; value is tied to role change or injury ahead.</v>
      </c>
      <c r="M48" t="str">
        <f>INDEX('LIVE SOURCE'!$J$35:$J$86,$N48)</f>
        <v>Evidence is thinner than for established veterans, so camp, depth-chart and role news can move the grade materially.</v>
      </c>
      <c r="N48" s="6">
        <f>MATCH($A48,'Draft Engine'!$F$35:$F$86,0)</f>
        <v>46</v>
      </c>
    </row>
    <row r="49" spans="1:14" x14ac:dyDescent="0.25">
      <c r="A49">
        <f>47</f>
        <v>47</v>
      </c>
      <c r="B49" t="str">
        <f>INDEX('Draft Engine'!$B$35:$B$86,$N49)</f>
        <v>Emanuel Wilson</v>
      </c>
      <c r="C49" s="4">
        <f>INDEX('Draft Engine'!$E$35:$E$86,$N49)</f>
        <v>61.982100000000003</v>
      </c>
      <c r="D49" t="str">
        <f t="shared" si="1"/>
        <v>TIER 7</v>
      </c>
      <c r="E49">
        <f>INDEX('Draft Engine'!$G$35:$G$86,$N49)</f>
        <v>190.3</v>
      </c>
      <c r="F49">
        <f>INDEX('Draft Engine'!$J$35:$J$86,$N49)</f>
        <v>-48.7</v>
      </c>
      <c r="G49">
        <f>INDEX('Draft Engine'!$N$35:$N$86,$N49)</f>
        <v>41.042905000000005</v>
      </c>
      <c r="H49">
        <f>INDEX('Draft Engine'!$Q$35:$Q$86,$N49)</f>
        <v>176</v>
      </c>
      <c r="I49">
        <f>INDEX('Draft Engine'!$R$35:$R$86,$N49)</f>
        <v>195.2</v>
      </c>
      <c r="J49">
        <f>INDEX('Draft Engine'!$S$35:$S$86,$N49)</f>
        <v>19.199999999999989</v>
      </c>
      <c r="K49" t="str">
        <f>INDEX('Draft Engine'!$T$35:$T$86,$N49)</f>
        <v>A</v>
      </c>
      <c r="L49" t="str">
        <f>INDEX('LIVE SOURCE'!$H$35:$H$86,$N49)</f>
        <v>Bench stash/handcuff profile; value is tied to role change or injury ahead.</v>
      </c>
      <c r="M49" t="str">
        <f>INDEX('LIVE SOURCE'!$J$35:$J$86,$N49)</f>
        <v>Touchdown variance, receiving-role changes and backfield competition are the main downside paths.</v>
      </c>
      <c r="N49" s="6">
        <f>MATCH($A49,'Draft Engine'!$F$35:$F$86,0)</f>
        <v>47</v>
      </c>
    </row>
    <row r="50" spans="1:14" x14ac:dyDescent="0.25">
      <c r="A50">
        <f>48</f>
        <v>48</v>
      </c>
      <c r="B50" t="str">
        <f>INDEX('Draft Engine'!$B$35:$B$86,$N50)</f>
        <v>Isiah Pacheco</v>
      </c>
      <c r="C50" s="4">
        <f>INDEX('Draft Engine'!$E$35:$E$86,$N50)</f>
        <v>60.0092</v>
      </c>
      <c r="D50" t="str">
        <f t="shared" si="1"/>
        <v>TIER 7</v>
      </c>
      <c r="E50">
        <f>INDEX('Draft Engine'!$G$35:$G$86,$N50)</f>
        <v>182</v>
      </c>
      <c r="F50">
        <f>INDEX('Draft Engine'!$J$35:$J$86,$N50)</f>
        <v>-57</v>
      </c>
      <c r="G50">
        <f>INDEX('Draft Engine'!$N$35:$N$86,$N50)</f>
        <v>38.104435000000002</v>
      </c>
      <c r="H50">
        <f>INDEX('Draft Engine'!$Q$35:$Q$86,$N50)</f>
        <v>185</v>
      </c>
      <c r="I50">
        <f>INDEX('Draft Engine'!$R$35:$R$86,$N50)</f>
        <v>147.69999999999999</v>
      </c>
      <c r="J50">
        <f>INDEX('Draft Engine'!$S$35:$S$86,$N50)</f>
        <v>-37.300000000000011</v>
      </c>
      <c r="K50" t="str">
        <f>INDEX('Draft Engine'!$T$35:$T$86,$N50)</f>
        <v>B</v>
      </c>
      <c r="L50" t="str">
        <f>INDEX('LIVE SOURCE'!$H$35:$H$86,$N50)</f>
        <v>Bench stash/handcuff profile; value is tied to role change or injury ahead.</v>
      </c>
      <c r="M50" t="str">
        <f>INDEX('LIVE SOURCE'!$J$35:$J$86,$N50)</f>
        <v>Touchdown variance, receiving-role changes and backfield competition are the main downside paths.</v>
      </c>
      <c r="N50" s="6">
        <f>MATCH($A50,'Draft Engine'!$F$35:$F$86,0)</f>
        <v>48</v>
      </c>
    </row>
    <row r="51" spans="1:14" x14ac:dyDescent="0.25">
      <c r="A51">
        <f>49</f>
        <v>49</v>
      </c>
      <c r="B51" t="str">
        <f>INDEX('Draft Engine'!$B$35:$B$86,$N51)</f>
        <v>Alvin Kamara</v>
      </c>
      <c r="C51" s="4">
        <f>INDEX('Draft Engine'!$E$35:$E$86,$N51)</f>
        <v>59.15</v>
      </c>
      <c r="D51" t="str">
        <f t="shared" si="1"/>
        <v>TIER 7</v>
      </c>
      <c r="E51">
        <f>INDEX('Draft Engine'!$G$35:$G$86,$N51)</f>
        <v>178.4</v>
      </c>
      <c r="F51">
        <f>INDEX('Draft Engine'!$J$35:$J$86,$N51)</f>
        <v>-60.6</v>
      </c>
      <c r="G51">
        <f>INDEX('Draft Engine'!$N$35:$N$86,$N51)</f>
        <v>36.624499999999998</v>
      </c>
      <c r="H51">
        <f>INDEX('Draft Engine'!$Q$35:$Q$86,$N51)</f>
        <v>189</v>
      </c>
      <c r="I51">
        <f>INDEX('Draft Engine'!$R$35:$R$86,$N51)</f>
        <v>134.1</v>
      </c>
      <c r="J51">
        <f>INDEX('Draft Engine'!$S$35:$S$86,$N51)</f>
        <v>-54.900000000000006</v>
      </c>
      <c r="K51" t="str">
        <f>INDEX('Draft Engine'!$T$35:$T$86,$N51)</f>
        <v>B</v>
      </c>
      <c r="L51" t="str">
        <f>INDEX('LIVE SOURCE'!$H$35:$H$86,$N51)</f>
        <v>Bench stash/handcuff profile; value is tied to role change or injury ahead.</v>
      </c>
      <c r="M51" t="str">
        <f>INDEX('LIVE SOURCE'!$J$35:$J$86,$N51)</f>
        <v>Touchdown variance, receiving-role changes and backfield competition are the main downside paths.</v>
      </c>
      <c r="N51" s="6">
        <f>MATCH($A51,'Draft Engine'!$F$35:$F$86,0)</f>
        <v>49</v>
      </c>
    </row>
    <row r="52" spans="1:14" x14ac:dyDescent="0.25">
      <c r="A52">
        <f>50</f>
        <v>50</v>
      </c>
      <c r="B52" t="str">
        <f>INDEX('Draft Engine'!$B$35:$B$86,$N52)</f>
        <v>Keaton Mitchell</v>
      </c>
      <c r="C52" s="4">
        <f>INDEX('Draft Engine'!$E$35:$E$86,$N52)</f>
        <v>59</v>
      </c>
      <c r="D52" t="str">
        <f t="shared" si="1"/>
        <v>TIER 7</v>
      </c>
      <c r="E52">
        <f>INDEX('Draft Engine'!$G$35:$G$86,$N52)</f>
        <v>177.8</v>
      </c>
      <c r="F52">
        <f>INDEX('Draft Engine'!$J$35:$J$86,$N52)</f>
        <v>-61.2</v>
      </c>
      <c r="G52">
        <f>INDEX('Draft Engine'!$N$35:$N$86,$N52)</f>
        <v>36.434000000000005</v>
      </c>
      <c r="H52">
        <f>INDEX('Draft Engine'!$Q$35:$Q$86,$N52)</f>
        <v>190</v>
      </c>
      <c r="I52">
        <f>INDEX('Draft Engine'!$R$35:$R$86,$N52)</f>
        <v>160.19999999999999</v>
      </c>
      <c r="J52">
        <f>INDEX('Draft Engine'!$S$35:$S$86,$N52)</f>
        <v>-29.800000000000011</v>
      </c>
      <c r="K52" t="str">
        <f>INDEX('Draft Engine'!$T$35:$T$86,$N52)</f>
        <v>C</v>
      </c>
      <c r="L52" t="str">
        <f>INDEX('LIVE SOURCE'!$H$35:$H$86,$N52)</f>
        <v>Added 2026-08-12 from ESPN consensus (RB46).</v>
      </c>
      <c r="M52" t="str">
        <f>INDEX('LIVE SOURCE'!$J$35:$J$86,$N52)</f>
        <v>No model projection behind this rating; it is market consensus only. Re-rate manually if you have a strong opinion.</v>
      </c>
      <c r="N52" s="6">
        <f>MATCH($A52,'Draft Engine'!$F$35:$F$86,0)</f>
        <v>52</v>
      </c>
    </row>
    <row r="53" spans="1:14" x14ac:dyDescent="0.25">
      <c r="A53">
        <f>51</f>
        <v>51</v>
      </c>
      <c r="B53" t="str">
        <f>INDEX('Draft Engine'!$B$35:$B$86,$N53)</f>
        <v>Justice Hill</v>
      </c>
      <c r="C53" s="4">
        <f>INDEX('Draft Engine'!$E$35:$E$86,$N53)</f>
        <v>54.88</v>
      </c>
      <c r="D53" t="str">
        <f t="shared" si="1"/>
        <v>TIER 7</v>
      </c>
      <c r="E53">
        <f>INDEX('Draft Engine'!$G$35:$G$86,$N53)</f>
        <v>160.5</v>
      </c>
      <c r="F53">
        <f>INDEX('Draft Engine'!$J$35:$J$86,$N53)</f>
        <v>-78.5</v>
      </c>
      <c r="G53">
        <f>INDEX('Draft Engine'!$N$35:$N$86,$N53)</f>
        <v>31.054000000000006</v>
      </c>
      <c r="H53">
        <f>INDEX('Draft Engine'!$Q$35:$Q$86,$N53)</f>
        <v>199</v>
      </c>
      <c r="I53">
        <f>INDEX('Draft Engine'!$R$35:$R$86,$N53)</f>
        <v>165.6</v>
      </c>
      <c r="J53">
        <f>INDEX('Draft Engine'!$S$35:$S$86,$N53)</f>
        <v>-33.400000000000006</v>
      </c>
      <c r="K53" t="str">
        <f>INDEX('Draft Engine'!$T$35:$T$86,$N53)</f>
        <v>B</v>
      </c>
      <c r="L53" t="str">
        <f>INDEX('LIVE SOURCE'!$H$35:$H$86,$N53)</f>
        <v>Bench stash/handcuff profile; value is tied to role change or injury ahead.</v>
      </c>
      <c r="M53" t="str">
        <f>INDEX('LIVE SOURCE'!$J$35:$J$86,$N53)</f>
        <v>Touchdown variance, receiving-role changes and backfield competition are the main downside paths.</v>
      </c>
      <c r="N53" s="6">
        <f>MATCH($A53,'Draft Engine'!$F$35:$F$86,0)</f>
        <v>50</v>
      </c>
    </row>
    <row r="54" spans="1:14" x14ac:dyDescent="0.25">
      <c r="A54">
        <f>52</f>
        <v>52</v>
      </c>
      <c r="B54" t="str">
        <f>INDEX('Draft Engine'!$B$35:$B$86,$N54)</f>
        <v>Zach Charbonnet</v>
      </c>
      <c r="C54" s="4">
        <f>INDEX('Draft Engine'!$E$35:$E$86,$N54)</f>
        <v>40</v>
      </c>
      <c r="D54" t="str">
        <f t="shared" si="1"/>
        <v>TIER 7</v>
      </c>
      <c r="E54">
        <f>INDEX('Draft Engine'!$G$35:$G$86,$N54)</f>
        <v>98</v>
      </c>
      <c r="F54">
        <f>INDEX('Draft Engine'!$J$35:$J$86,$N54)</f>
        <v>-141</v>
      </c>
      <c r="G54">
        <f>INDEX('Draft Engine'!$N$35:$N$86,$N54)</f>
        <v>22</v>
      </c>
      <c r="H54">
        <f>INDEX('Draft Engine'!$Q$35:$Q$86,$N54)</f>
        <v>205</v>
      </c>
      <c r="I54">
        <f>INDEX('Draft Engine'!$R$35:$R$86,$N54)</f>
        <v>139.80000000000001</v>
      </c>
      <c r="J54">
        <f>INDEX('Draft Engine'!$S$35:$S$86,$N54)</f>
        <v>-65.199999999999989</v>
      </c>
      <c r="K54" t="str">
        <f>INDEX('Draft Engine'!$T$35:$T$86,$N54)</f>
        <v>A</v>
      </c>
      <c r="L54" t="str">
        <f>INDEX('LIVE SOURCE'!$H$35:$H$86,$N54)</f>
        <v>Bench stash/handcuff profile; value is tied to role change or injury ahead.</v>
      </c>
      <c r="M54" t="str">
        <f>INDEX('LIVE SOURCE'!$J$35:$J$86,$N54)</f>
        <v>Touchdown variance, receiving-role changes and backfield competition are the main downside paths.</v>
      </c>
      <c r="N54" s="6">
        <f>MATCH($A54,'Draft Engine'!$F$35:$F$86,0)</f>
        <v>45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9D18E"/>
  </sheetPr>
  <dimension ref="A1:N76"/>
  <sheetViews>
    <sheetView workbookViewId="0">
      <pane ySplit="2" topLeftCell="A3" activePane="bottomLeft" state="frozen"/>
      <selection pane="bottomLeft"/>
    </sheetView>
  </sheetViews>
  <sheetFormatPr defaultRowHeight="15" x14ac:dyDescent="0.25"/>
  <cols>
    <col min="1" max="1" width="8" customWidth="1"/>
    <col min="2" max="2" width="22" customWidth="1"/>
    <col min="3" max="3" width="10" customWidth="1"/>
    <col min="4" max="4" width="9" customWidth="1"/>
    <col min="5" max="5" width="10" customWidth="1"/>
    <col min="6" max="6" width="8" customWidth="1"/>
    <col min="7" max="8" width="11" customWidth="1"/>
    <col min="9" max="9" width="10" customWidth="1"/>
    <col min="10" max="10" width="9" customWidth="1"/>
    <col min="11" max="11" width="10" customWidth="1"/>
    <col min="12" max="12" width="55" customWidth="1"/>
    <col min="13" max="13" width="50" customWidth="1"/>
    <col min="14" max="14" width="6" customWidth="1"/>
  </cols>
  <sheetData>
    <row r="1" spans="1:14" ht="18.75" x14ac:dyDescent="0.3">
      <c r="A1" s="1" t="s">
        <v>600</v>
      </c>
    </row>
    <row r="2" spans="1:14" ht="27.95" customHeight="1" x14ac:dyDescent="0.25">
      <c r="A2" s="3" t="s">
        <v>4</v>
      </c>
      <c r="B2" s="3" t="s">
        <v>65</v>
      </c>
      <c r="C2" s="3" t="s">
        <v>6</v>
      </c>
      <c r="D2" s="3" t="s">
        <v>7</v>
      </c>
      <c r="E2" s="3" t="s">
        <v>591</v>
      </c>
      <c r="F2" s="3" t="s">
        <v>592</v>
      </c>
      <c r="G2" s="3" t="s">
        <v>8</v>
      </c>
      <c r="H2" s="3" t="s">
        <v>598</v>
      </c>
      <c r="I2" s="3" t="s">
        <v>9</v>
      </c>
      <c r="J2" s="3" t="s">
        <v>10</v>
      </c>
      <c r="K2" s="3" t="s">
        <v>80</v>
      </c>
      <c r="L2" s="3" t="s">
        <v>13</v>
      </c>
      <c r="M2" s="3" t="s">
        <v>83</v>
      </c>
      <c r="N2" s="3" t="s">
        <v>14</v>
      </c>
    </row>
    <row r="3" spans="1:14" x14ac:dyDescent="0.25">
      <c r="A3">
        <f>1</f>
        <v>1</v>
      </c>
      <c r="B3" t="str">
        <f>INDEX('Draft Engine'!$B$87:$B$160,$N3)</f>
        <v>Puka Nacua</v>
      </c>
      <c r="C3" s="4">
        <f>INDEX('Draft Engine'!$E$87:$E$160,$N3)</f>
        <v>98.485900000000001</v>
      </c>
      <c r="D3" t="str">
        <f t="shared" ref="D3:D34" si="0">IF($C3&gt;=95,"ELITE",IF($C3&gt;=90,"TIER 1",IF($C3&gt;=85,"TIER 2",IF($C3&gt;=80,"TIER 3",IF($C3&gt;=75,"TIER 4",IF($C3&gt;=70,"TIER 5",IF($C3&gt;=65,"TIER 6","TIER 7")))))))</f>
        <v>ELITE</v>
      </c>
      <c r="E3">
        <f>INDEX('Draft Engine'!$G$87:$G$160,$N3)</f>
        <v>343.6</v>
      </c>
      <c r="F3">
        <f>INDEX('Draft Engine'!$J$87:$J$160,$N3)</f>
        <v>104.3</v>
      </c>
      <c r="G3">
        <f>INDEX('Draft Engine'!$N$87:$N$160,$N3)</f>
        <v>99.167245000000008</v>
      </c>
      <c r="H3">
        <f>INDEX('Draft Engine'!$Q$87:$Q$160,$N3)</f>
        <v>1</v>
      </c>
      <c r="I3">
        <f>INDEX('Draft Engine'!$R$87:$R$160,$N3)</f>
        <v>2.9</v>
      </c>
      <c r="J3">
        <f>INDEX('Draft Engine'!$S$87:$S$160,$N3)</f>
        <v>1.9</v>
      </c>
      <c r="K3" t="str">
        <f>INDEX('Draft Engine'!$T$87:$T$160,$N3)</f>
        <v>A</v>
      </c>
      <c r="L3" t="str">
        <f>INDEX('LIVE SOURCE'!$H$87:$H$160,$N3)</f>
        <v>Elite WR1 and first-round caliber target with overall WR1 upside.</v>
      </c>
      <c r="M3" t="str">
        <f>INDEX('LIVE SOURCE'!$J$87:$J$160,$N3)</f>
        <v>Target competition, quarterback efficiency and touchdown regression are the main downside paths.</v>
      </c>
      <c r="N3" s="6">
        <f>MATCH($A3,'Draft Engine'!$F$87:$F$160,0)</f>
        <v>2</v>
      </c>
    </row>
    <row r="4" spans="1:14" x14ac:dyDescent="0.25">
      <c r="A4">
        <f>2</f>
        <v>2</v>
      </c>
      <c r="B4" t="str">
        <f>INDEX('Draft Engine'!$B$87:$B$160,$N4)</f>
        <v>Ja'Marr Chase</v>
      </c>
      <c r="C4" s="4">
        <f>INDEX('Draft Engine'!$E$87:$E$160,$N4)</f>
        <v>96.732299999999995</v>
      </c>
      <c r="D4" t="str">
        <f t="shared" si="0"/>
        <v>ELITE</v>
      </c>
      <c r="E4">
        <f>INDEX('Draft Engine'!$G$87:$G$160,$N4)</f>
        <v>336.3</v>
      </c>
      <c r="F4">
        <f>INDEX('Draft Engine'!$J$87:$J$160,$N4)</f>
        <v>97</v>
      </c>
      <c r="G4">
        <f>INDEX('Draft Engine'!$N$87:$N$160,$N4)</f>
        <v>98.202764999999999</v>
      </c>
      <c r="H4">
        <f>INDEX('Draft Engine'!$Q$87:$Q$160,$N4)</f>
        <v>3</v>
      </c>
      <c r="I4">
        <f>INDEX('Draft Engine'!$R$87:$R$160,$N4)</f>
        <v>3.9</v>
      </c>
      <c r="J4">
        <f>INDEX('Draft Engine'!$S$87:$S$160,$N4)</f>
        <v>0.89999999999999991</v>
      </c>
      <c r="K4" t="str">
        <f>INDEX('Draft Engine'!$T$87:$T$160,$N4)</f>
        <v>A</v>
      </c>
      <c r="L4" t="str">
        <f>INDEX('LIVE SOURCE'!$H$87:$H$160,$N4)</f>
        <v>Elite WR1 and first-round caliber target with overall WR1 upside.</v>
      </c>
      <c r="M4" t="str">
        <f>INDEX('LIVE SOURCE'!$J$87:$J$160,$N4)</f>
        <v>Target competition, quarterback efficiency and touchdown regression are the main downside paths.</v>
      </c>
      <c r="N4" s="6">
        <f>MATCH($A4,'Draft Engine'!$F$87:$F$160,0)</f>
        <v>1</v>
      </c>
    </row>
    <row r="5" spans="1:14" x14ac:dyDescent="0.25">
      <c r="A5">
        <f>3</f>
        <v>3</v>
      </c>
      <c r="B5" t="str">
        <f>INDEX('Draft Engine'!$B$87:$B$160,$N5)</f>
        <v>Jaxon Smith-Njigba</v>
      </c>
      <c r="C5" s="4">
        <f>INDEX('Draft Engine'!$E$87:$E$160,$N5)</f>
        <v>94.079899999999995</v>
      </c>
      <c r="D5" t="str">
        <f t="shared" si="0"/>
        <v>TIER 1</v>
      </c>
      <c r="E5">
        <f>INDEX('Draft Engine'!$G$87:$G$160,$N5)</f>
        <v>325.10000000000002</v>
      </c>
      <c r="F5">
        <f>INDEX('Draft Engine'!$J$87:$J$160,$N5)</f>
        <v>85.8</v>
      </c>
      <c r="G5">
        <f>INDEX('Draft Engine'!$N$87:$N$160,$N5)</f>
        <v>96.743944999999997</v>
      </c>
      <c r="H5">
        <f>INDEX('Draft Engine'!$Q$87:$Q$160,$N5)</f>
        <v>6</v>
      </c>
      <c r="I5">
        <f>INDEX('Draft Engine'!$R$87:$R$160,$N5)</f>
        <v>5.7</v>
      </c>
      <c r="J5">
        <f>INDEX('Draft Engine'!$S$87:$S$160,$N5)</f>
        <v>-0.29999999999999982</v>
      </c>
      <c r="K5" t="str">
        <f>INDEX('Draft Engine'!$T$87:$T$160,$N5)</f>
        <v>A</v>
      </c>
      <c r="L5" t="str">
        <f>INDEX('LIVE SOURCE'!$H$87:$H$160,$N5)</f>
        <v>Elite WR1 and first-round caliber target with overall WR1 upside.</v>
      </c>
      <c r="M5" t="str">
        <f>INDEX('LIVE SOURCE'!$J$87:$J$160,$N5)</f>
        <v>Target competition, quarterback efficiency and touchdown regression are the main downside paths.</v>
      </c>
      <c r="N5" s="6">
        <f>MATCH($A5,'Draft Engine'!$F$87:$F$160,0)</f>
        <v>3</v>
      </c>
    </row>
    <row r="6" spans="1:14" x14ac:dyDescent="0.25">
      <c r="A6">
        <f>4</f>
        <v>4</v>
      </c>
      <c r="B6" t="str">
        <f>INDEX('Draft Engine'!$B$87:$B$160,$N6)</f>
        <v>Amon-Ra St. Brown</v>
      </c>
      <c r="C6" s="4">
        <f>INDEX('Draft Engine'!$E$87:$E$160,$N6)</f>
        <v>93.263900000000007</v>
      </c>
      <c r="D6" t="str">
        <f t="shared" si="0"/>
        <v>TIER 1</v>
      </c>
      <c r="E6">
        <f>INDEX('Draft Engine'!$G$87:$G$160,$N6)</f>
        <v>321.7</v>
      </c>
      <c r="F6">
        <f>INDEX('Draft Engine'!$J$87:$J$160,$N6)</f>
        <v>82.4</v>
      </c>
      <c r="G6">
        <f>INDEX('Draft Engine'!$N$87:$N$160,$N6)</f>
        <v>96.127144999999999</v>
      </c>
      <c r="H6">
        <f>INDEX('Draft Engine'!$Q$87:$Q$160,$N6)</f>
        <v>7</v>
      </c>
      <c r="I6">
        <f>INDEX('Draft Engine'!$R$87:$R$160,$N6)</f>
        <v>7</v>
      </c>
      <c r="J6">
        <f>INDEX('Draft Engine'!$S$87:$S$160,$N6)</f>
        <v>0</v>
      </c>
      <c r="K6" t="str">
        <f>INDEX('Draft Engine'!$T$87:$T$160,$N6)</f>
        <v>A</v>
      </c>
      <c r="L6" t="str">
        <f>INDEX('LIVE SOURCE'!$H$87:$H$160,$N6)</f>
        <v>Elite WR1 and first-round caliber target with overall WR1 upside.</v>
      </c>
      <c r="M6" t="str">
        <f>INDEX('LIVE SOURCE'!$J$87:$J$160,$N6)</f>
        <v>Target competition, quarterback efficiency and touchdown regression are the main downside paths.</v>
      </c>
      <c r="N6" s="6">
        <f>MATCH($A6,'Draft Engine'!$F$87:$F$160,0)</f>
        <v>4</v>
      </c>
    </row>
    <row r="7" spans="1:14" x14ac:dyDescent="0.25">
      <c r="A7">
        <f>5</f>
        <v>5</v>
      </c>
      <c r="B7" t="str">
        <f>INDEX('Draft Engine'!$B$87:$B$160,$N7)</f>
        <v>Nico Collins</v>
      </c>
      <c r="C7" s="4">
        <f>INDEX('Draft Engine'!$E$87:$E$160,$N7)</f>
        <v>91.492500000000007</v>
      </c>
      <c r="D7" t="str">
        <f t="shared" si="0"/>
        <v>TIER 1</v>
      </c>
      <c r="E7">
        <f>INDEX('Draft Engine'!$G$87:$G$160,$N7)</f>
        <v>314.3</v>
      </c>
      <c r="F7">
        <f>INDEX('Draft Engine'!$J$87:$J$160,$N7)</f>
        <v>75</v>
      </c>
      <c r="G7">
        <f>INDEX('Draft Engine'!$N$87:$N$160,$N7)</f>
        <v>93.820875000000001</v>
      </c>
      <c r="H7">
        <f>INDEX('Draft Engine'!$Q$87:$Q$160,$N7)</f>
        <v>9</v>
      </c>
      <c r="I7">
        <f>INDEX('Draft Engine'!$R$87:$R$160,$N7)</f>
        <v>23.8</v>
      </c>
      <c r="J7">
        <f>INDEX('Draft Engine'!$S$87:$S$160,$N7)</f>
        <v>14.8</v>
      </c>
      <c r="K7" t="str">
        <f>INDEX('Draft Engine'!$T$87:$T$160,$N7)</f>
        <v>B</v>
      </c>
      <c r="L7" t="str">
        <f>INDEX('LIVE SOURCE'!$H$87:$H$160,$N7)</f>
        <v>Elite WR1 and first-round caliber target with overall WR1 upside.</v>
      </c>
      <c r="M7" t="str">
        <f>INDEX('LIVE SOURCE'!$J$87:$J$160,$N7)</f>
        <v>Target competition, quarterback efficiency and touchdown regression are the main downside paths.</v>
      </c>
      <c r="N7" s="6">
        <f>MATCH($A7,'Draft Engine'!$F$87:$F$160,0)</f>
        <v>10</v>
      </c>
    </row>
    <row r="8" spans="1:14" x14ac:dyDescent="0.25">
      <c r="A8">
        <f>6</f>
        <v>6</v>
      </c>
      <c r="B8" t="str">
        <f>INDEX('Draft Engine'!$B$87:$B$160,$N8)</f>
        <v>Chris Olave</v>
      </c>
      <c r="C8" s="4">
        <f>INDEX('Draft Engine'!$E$87:$E$160,$N8)</f>
        <v>88.907499999999999</v>
      </c>
      <c r="D8" t="str">
        <f t="shared" si="0"/>
        <v>TIER 2</v>
      </c>
      <c r="E8">
        <f>INDEX('Draft Engine'!$G$87:$G$160,$N8)</f>
        <v>303.39999999999998</v>
      </c>
      <c r="F8">
        <f>INDEX('Draft Engine'!$J$87:$J$160,$N8)</f>
        <v>64.099999999999994</v>
      </c>
      <c r="G8">
        <f>INDEX('Draft Engine'!$N$87:$N$160,$N8)</f>
        <v>90.270458333333337</v>
      </c>
      <c r="H8">
        <f>INDEX('Draft Engine'!$Q$87:$Q$160,$N8)</f>
        <v>13</v>
      </c>
      <c r="I8">
        <f>INDEX('Draft Engine'!$R$87:$R$160,$N8)</f>
        <v>20.399999999999999</v>
      </c>
      <c r="J8">
        <f>INDEX('Draft Engine'!$S$87:$S$160,$N8)</f>
        <v>7.3999999999999986</v>
      </c>
      <c r="K8" t="str">
        <f>INDEX('Draft Engine'!$T$87:$T$160,$N8)</f>
        <v>B</v>
      </c>
      <c r="L8" t="str">
        <f>INDEX('LIVE SOURCE'!$H$87:$H$160,$N8)</f>
        <v>Strong WR1; bankable weekly starter with spike-week ceiling.</v>
      </c>
      <c r="M8" t="str">
        <f>INDEX('LIVE SOURCE'!$J$87:$J$160,$N8)</f>
        <v>Target competition, quarterback efficiency and touchdown regression are the main downside paths.</v>
      </c>
      <c r="N8" s="6">
        <f>MATCH($A8,'Draft Engine'!$F$87:$F$160,0)</f>
        <v>12</v>
      </c>
    </row>
    <row r="9" spans="1:14" x14ac:dyDescent="0.25">
      <c r="A9">
        <f>7</f>
        <v>7</v>
      </c>
      <c r="B9" t="str">
        <f>INDEX('Draft Engine'!$B$87:$B$160,$N9)</f>
        <v>Drake London</v>
      </c>
      <c r="C9" s="4">
        <f>INDEX('Draft Engine'!$E$87:$E$160,$N9)</f>
        <v>87.510599999999997</v>
      </c>
      <c r="D9" t="str">
        <f t="shared" si="0"/>
        <v>TIER 2</v>
      </c>
      <c r="E9">
        <f>INDEX('Draft Engine'!$G$87:$G$160,$N9)</f>
        <v>297.5</v>
      </c>
      <c r="F9">
        <f>INDEX('Draft Engine'!$J$87:$J$160,$N9)</f>
        <v>58.2</v>
      </c>
      <c r="G9">
        <f>INDEX('Draft Engine'!$N$87:$N$160,$N9)</f>
        <v>88.106830000000002</v>
      </c>
      <c r="H9">
        <f>INDEX('Draft Engine'!$Q$87:$Q$160,$N9)</f>
        <v>18</v>
      </c>
      <c r="I9">
        <f>INDEX('Draft Engine'!$R$87:$R$160,$N9)</f>
        <v>10.199999999999999</v>
      </c>
      <c r="J9">
        <f>INDEX('Draft Engine'!$S$87:$S$160,$N9)</f>
        <v>-7.8000000000000007</v>
      </c>
      <c r="K9" t="str">
        <f>INDEX('Draft Engine'!$T$87:$T$160,$N9)</f>
        <v>A</v>
      </c>
      <c r="L9" t="str">
        <f>INDEX('LIVE SOURCE'!$H$87:$H$160,$N9)</f>
        <v>Strong WR1; bankable weekly starter with spike-week ceiling.</v>
      </c>
      <c r="M9" t="str">
        <f>INDEX('LIVE SOURCE'!$J$87:$J$160,$N9)</f>
        <v>Target competition, quarterback efficiency and touchdown regression are the main downside paths.</v>
      </c>
      <c r="N9" s="6">
        <f>MATCH($A9,'Draft Engine'!$F$87:$F$160,0)</f>
        <v>9</v>
      </c>
    </row>
    <row r="10" spans="1:14" x14ac:dyDescent="0.25">
      <c r="A10">
        <f>8</f>
        <v>8</v>
      </c>
      <c r="B10" t="str">
        <f>INDEX('Draft Engine'!$B$87:$B$160,$N10)</f>
        <v>DeVonta Smith</v>
      </c>
      <c r="C10" s="4">
        <f>INDEX('Draft Engine'!$E$87:$E$160,$N10)</f>
        <v>87.487499999999997</v>
      </c>
      <c r="D10" t="str">
        <f t="shared" si="0"/>
        <v>TIER 2</v>
      </c>
      <c r="E10">
        <f>INDEX('Draft Engine'!$G$87:$G$160,$N10)</f>
        <v>297.39999999999998</v>
      </c>
      <c r="F10">
        <f>INDEX('Draft Engine'!$J$87:$J$160,$N10)</f>
        <v>58.1</v>
      </c>
      <c r="G10">
        <f>INDEX('Draft Engine'!$N$87:$N$160,$N10)</f>
        <v>87.742791666666662</v>
      </c>
      <c r="H10">
        <f>INDEX('Draft Engine'!$Q$87:$Q$160,$N10)</f>
        <v>19</v>
      </c>
      <c r="I10">
        <f>INDEX('Draft Engine'!$R$87:$R$160,$N10)</f>
        <v>29.5</v>
      </c>
      <c r="J10">
        <f>INDEX('Draft Engine'!$S$87:$S$160,$N10)</f>
        <v>10.5</v>
      </c>
      <c r="K10" t="str">
        <f>INDEX('Draft Engine'!$T$87:$T$160,$N10)</f>
        <v>B</v>
      </c>
      <c r="L10" t="str">
        <f>INDEX('LIVE SOURCE'!$H$87:$H$160,$N10)</f>
        <v>Strong WR1; bankable weekly starter with spike-week ceiling.</v>
      </c>
      <c r="M10" t="str">
        <f>INDEX('LIVE SOURCE'!$J$87:$J$160,$N10)</f>
        <v>Target competition, quarterback efficiency and touchdown regression are the main downside paths.</v>
      </c>
      <c r="N10" s="6">
        <f>MATCH($A10,'Draft Engine'!$F$87:$F$160,0)</f>
        <v>16</v>
      </c>
    </row>
    <row r="11" spans="1:14" x14ac:dyDescent="0.25">
      <c r="A11">
        <f>9</f>
        <v>9</v>
      </c>
      <c r="B11" t="str">
        <f>INDEX('Draft Engine'!$B$87:$B$160,$N11)</f>
        <v>Zay Flowers</v>
      </c>
      <c r="C11" s="4">
        <f>INDEX('Draft Engine'!$E$87:$E$160,$N11)</f>
        <v>86.57</v>
      </c>
      <c r="D11" t="str">
        <f t="shared" si="0"/>
        <v>TIER 2</v>
      </c>
      <c r="E11">
        <f>INDEX('Draft Engine'!$G$87:$G$160,$N11)</f>
        <v>293.60000000000002</v>
      </c>
      <c r="F11">
        <f>INDEX('Draft Engine'!$J$87:$J$160,$N11)</f>
        <v>54.3</v>
      </c>
      <c r="G11">
        <f>INDEX('Draft Engine'!$N$87:$N$160,$N11)</f>
        <v>86.220833333333331</v>
      </c>
      <c r="H11">
        <f>INDEX('Draft Engine'!$Q$87:$Q$160,$N11)</f>
        <v>21</v>
      </c>
      <c r="I11">
        <f>INDEX('Draft Engine'!$R$87:$R$160,$N11)</f>
        <v>26.4</v>
      </c>
      <c r="J11">
        <f>INDEX('Draft Engine'!$S$87:$S$160,$N11)</f>
        <v>5.3999999999999986</v>
      </c>
      <c r="K11" t="str">
        <f>INDEX('Draft Engine'!$T$87:$T$160,$N11)</f>
        <v>B</v>
      </c>
      <c r="L11" t="str">
        <f>INDEX('LIVE SOURCE'!$H$87:$H$160,$N11)</f>
        <v>Strong WR1; bankable weekly starter with spike-week ceiling.</v>
      </c>
      <c r="M11" t="str">
        <f>INDEX('LIVE SOURCE'!$J$87:$J$160,$N11)</f>
        <v>Target competition, quarterback efficiency and touchdown regression are the main downside paths.</v>
      </c>
      <c r="N11" s="6">
        <f>MATCH($A11,'Draft Engine'!$F$87:$F$160,0)</f>
        <v>17</v>
      </c>
    </row>
    <row r="12" spans="1:14" x14ac:dyDescent="0.25">
      <c r="A12">
        <f>10</f>
        <v>10</v>
      </c>
      <c r="B12" t="str">
        <f>INDEX('Draft Engine'!$B$87:$B$160,$N12)</f>
        <v>Garrett Wilson</v>
      </c>
      <c r="C12" s="4">
        <f>INDEX('Draft Engine'!$E$87:$E$160,$N12)</f>
        <v>86.155000000000001</v>
      </c>
      <c r="D12" t="str">
        <f t="shared" si="0"/>
        <v>TIER 2</v>
      </c>
      <c r="E12">
        <f>INDEX('Draft Engine'!$G$87:$G$160,$N12)</f>
        <v>291.89999999999998</v>
      </c>
      <c r="F12">
        <f>INDEX('Draft Engine'!$J$87:$J$160,$N12)</f>
        <v>52.6</v>
      </c>
      <c r="G12">
        <f>INDEX('Draft Engine'!$N$87:$N$160,$N12)</f>
        <v>85.353250000000003</v>
      </c>
      <c r="H12">
        <f>INDEX('Draft Engine'!$Q$87:$Q$160,$N12)</f>
        <v>23</v>
      </c>
      <c r="I12">
        <f>INDEX('Draft Engine'!$R$87:$R$160,$N12)</f>
        <v>29</v>
      </c>
      <c r="J12">
        <f>INDEX('Draft Engine'!$S$87:$S$160,$N12)</f>
        <v>6</v>
      </c>
      <c r="K12" t="str">
        <f>INDEX('Draft Engine'!$T$87:$T$160,$N12)</f>
        <v>B</v>
      </c>
      <c r="L12" t="str">
        <f>INDEX('LIVE SOURCE'!$H$87:$H$160,$N12)</f>
        <v>Strong WR1; bankable weekly starter with spike-week ceiling.</v>
      </c>
      <c r="M12" t="str">
        <f>INDEX('LIVE SOURCE'!$J$87:$J$160,$N12)</f>
        <v>Availability/sample risk is elevated after only 7 games; talent is not being punished as heavily as durability.</v>
      </c>
      <c r="N12" s="6">
        <f>MATCH($A12,'Draft Engine'!$F$87:$F$160,0)</f>
        <v>15</v>
      </c>
    </row>
    <row r="13" spans="1:14" x14ac:dyDescent="0.25">
      <c r="A13">
        <f>11</f>
        <v>11</v>
      </c>
      <c r="B13" t="str">
        <f>INDEX('Draft Engine'!$B$87:$B$160,$N13)</f>
        <v>CeeDee Lamb</v>
      </c>
      <c r="C13" s="4">
        <f>INDEX('Draft Engine'!$E$87:$E$160,$N13)</f>
        <v>85.742599999999996</v>
      </c>
      <c r="D13" t="str">
        <f t="shared" si="0"/>
        <v>TIER 2</v>
      </c>
      <c r="E13">
        <f>INDEX('Draft Engine'!$G$87:$G$160,$N13)</f>
        <v>290.10000000000002</v>
      </c>
      <c r="F13">
        <f>INDEX('Draft Engine'!$J$87:$J$160,$N13)</f>
        <v>50.8</v>
      </c>
      <c r="G13">
        <f>INDEX('Draft Engine'!$N$87:$N$160,$N13)</f>
        <v>84.469096666666672</v>
      </c>
      <c r="H13">
        <f>INDEX('Draft Engine'!$Q$87:$Q$160,$N13)</f>
        <v>26</v>
      </c>
      <c r="I13">
        <f>INDEX('Draft Engine'!$R$87:$R$160,$N13)</f>
        <v>11.2</v>
      </c>
      <c r="J13">
        <f>INDEX('Draft Engine'!$S$87:$S$160,$N13)</f>
        <v>-14.8</v>
      </c>
      <c r="K13" t="str">
        <f>INDEX('Draft Engine'!$T$87:$T$160,$N13)</f>
        <v>A</v>
      </c>
      <c r="L13" t="str">
        <f>INDEX('LIVE SOURCE'!$H$87:$H$160,$N13)</f>
        <v>Strong WR1; bankable weekly starter with spike-week ceiling.</v>
      </c>
      <c r="M13" t="str">
        <f>INDEX('LIVE SOURCE'!$J$87:$J$160,$N13)</f>
        <v>Price is the biggest risk: the market currently asks you to draft him earlier than the model prefers.</v>
      </c>
      <c r="N13" s="6">
        <f>MATCH($A13,'Draft Engine'!$F$87:$F$160,0)</f>
        <v>6</v>
      </c>
    </row>
    <row r="14" spans="1:14" x14ac:dyDescent="0.25">
      <c r="A14">
        <f>12</f>
        <v>12</v>
      </c>
      <c r="B14" t="str">
        <f>INDEX('Draft Engine'!$B$87:$B$160,$N14)</f>
        <v>Tetairoa McMillan</v>
      </c>
      <c r="C14" s="4">
        <f>INDEX('Draft Engine'!$E$87:$E$160,$N14)</f>
        <v>85.74</v>
      </c>
      <c r="D14" t="str">
        <f t="shared" si="0"/>
        <v>TIER 2</v>
      </c>
      <c r="E14">
        <f>INDEX('Draft Engine'!$G$87:$G$160,$N14)</f>
        <v>290.10000000000002</v>
      </c>
      <c r="F14">
        <f>INDEX('Draft Engine'!$J$87:$J$160,$N14)</f>
        <v>50.8</v>
      </c>
      <c r="G14">
        <f>INDEX('Draft Engine'!$N$87:$N$160,$N14)</f>
        <v>84.134333333333331</v>
      </c>
      <c r="H14">
        <f>INDEX('Draft Engine'!$Q$87:$Q$160,$N14)</f>
        <v>28</v>
      </c>
      <c r="I14">
        <f>INDEX('Draft Engine'!$R$87:$R$160,$N14)</f>
        <v>34.4</v>
      </c>
      <c r="J14">
        <f>INDEX('Draft Engine'!$S$87:$S$160,$N14)</f>
        <v>6.3999999999999986</v>
      </c>
      <c r="K14" t="str">
        <f>INDEX('Draft Engine'!$T$87:$T$160,$N14)</f>
        <v>B</v>
      </c>
      <c r="L14" t="str">
        <f>INDEX('LIVE SOURCE'!$H$87:$H$160,$N14)</f>
        <v>Strong WR1; bankable weekly starter with spike-week ceiling.</v>
      </c>
      <c r="M14" t="str">
        <f>INDEX('LIVE SOURCE'!$J$87:$J$160,$N14)</f>
        <v>Target competition, quarterback efficiency and touchdown regression are the main downside paths.</v>
      </c>
      <c r="N14" s="6">
        <f>MATCH($A14,'Draft Engine'!$F$87:$F$160,0)</f>
        <v>13</v>
      </c>
    </row>
    <row r="15" spans="1:14" x14ac:dyDescent="0.25">
      <c r="A15">
        <f>13</f>
        <v>13</v>
      </c>
      <c r="B15" t="str">
        <f>INDEX('Draft Engine'!$B$87:$B$160,$N15)</f>
        <v>Tee Higgins</v>
      </c>
      <c r="C15" s="4">
        <f>INDEX('Draft Engine'!$E$87:$E$160,$N15)</f>
        <v>84.822500000000005</v>
      </c>
      <c r="D15" t="str">
        <f t="shared" si="0"/>
        <v>TIER 3</v>
      </c>
      <c r="E15">
        <f>INDEX('Draft Engine'!$G$87:$G$160,$N15)</f>
        <v>286.3</v>
      </c>
      <c r="F15">
        <f>INDEX('Draft Engine'!$J$87:$J$160,$N15)</f>
        <v>47</v>
      </c>
      <c r="G15">
        <f>INDEX('Draft Engine'!$N$87:$N$160,$N15)</f>
        <v>82.612375000000014</v>
      </c>
      <c r="H15">
        <f>INDEX('Draft Engine'!$Q$87:$Q$160,$N15)</f>
        <v>31</v>
      </c>
      <c r="I15">
        <f>INDEX('Draft Engine'!$R$87:$R$160,$N15)</f>
        <v>38.6</v>
      </c>
      <c r="J15">
        <f>INDEX('Draft Engine'!$S$87:$S$160,$N15)</f>
        <v>7.6000000000000014</v>
      </c>
      <c r="K15" t="str">
        <f>INDEX('Draft Engine'!$T$87:$T$160,$N15)</f>
        <v>B</v>
      </c>
      <c r="L15" t="str">
        <f>INDEX('LIVE SOURCE'!$H$87:$H$160,$N15)</f>
        <v>Strong WR2 with top-12 weekly upside.</v>
      </c>
      <c r="M15" t="str">
        <f>INDEX('LIVE SOURCE'!$J$87:$J$160,$N15)</f>
        <v>Target competition, quarterback efficiency and touchdown regression are the main downside paths.</v>
      </c>
      <c r="N15" s="6">
        <f>MATCH($A15,'Draft Engine'!$F$87:$F$160,0)</f>
        <v>14</v>
      </c>
    </row>
    <row r="16" spans="1:14" x14ac:dyDescent="0.25">
      <c r="A16">
        <f>14</f>
        <v>14</v>
      </c>
      <c r="B16" t="str">
        <f>INDEX('Draft Engine'!$B$87:$B$160,$N16)</f>
        <v>Justin Jefferson</v>
      </c>
      <c r="C16" s="4">
        <f>INDEX('Draft Engine'!$E$87:$E$160,$N16)</f>
        <v>84.793599999999998</v>
      </c>
      <c r="D16" t="str">
        <f t="shared" si="0"/>
        <v>TIER 3</v>
      </c>
      <c r="E16">
        <f>INDEX('Draft Engine'!$G$87:$G$160,$N16)</f>
        <v>286.10000000000002</v>
      </c>
      <c r="F16">
        <f>INDEX('Draft Engine'!$J$87:$J$160,$N16)</f>
        <v>46.8</v>
      </c>
      <c r="G16">
        <f>INDEX('Draft Engine'!$N$87:$N$160,$N16)</f>
        <v>82.227146666666684</v>
      </c>
      <c r="H16">
        <f>INDEX('Draft Engine'!$Q$87:$Q$160,$N16)</f>
        <v>32</v>
      </c>
      <c r="I16">
        <f>INDEX('Draft Engine'!$R$87:$R$160,$N16)</f>
        <v>14.6</v>
      </c>
      <c r="J16">
        <f>INDEX('Draft Engine'!$S$87:$S$160,$N16)</f>
        <v>-17.399999999999999</v>
      </c>
      <c r="K16" t="str">
        <f>INDEX('Draft Engine'!$T$87:$T$160,$N16)</f>
        <v>A</v>
      </c>
      <c r="L16" t="str">
        <f>INDEX('LIVE SOURCE'!$H$87:$H$160,$N16)</f>
        <v>Strong WR2 with top-12 weekly upside.</v>
      </c>
      <c r="M16" t="str">
        <f>INDEX('LIVE SOURCE'!$J$87:$J$160,$N16)</f>
        <v>Price is the biggest risk: the market currently asks you to draft him earlier than the model prefers.</v>
      </c>
      <c r="N16" s="6">
        <f>MATCH($A16,'Draft Engine'!$F$87:$F$160,0)</f>
        <v>7</v>
      </c>
    </row>
    <row r="17" spans="1:14" x14ac:dyDescent="0.25">
      <c r="A17">
        <f>15</f>
        <v>15</v>
      </c>
      <c r="B17" t="str">
        <f>INDEX('Draft Engine'!$B$87:$B$160,$N17)</f>
        <v>Rashee Rice</v>
      </c>
      <c r="C17" s="4">
        <f>INDEX('Draft Engine'!$E$87:$E$160,$N17)</f>
        <v>84.094700000000003</v>
      </c>
      <c r="D17" t="str">
        <f t="shared" si="0"/>
        <v>TIER 3</v>
      </c>
      <c r="E17">
        <f>INDEX('Draft Engine'!$G$87:$G$160,$N17)</f>
        <v>283.2</v>
      </c>
      <c r="F17">
        <f>INDEX('Draft Engine'!$J$87:$J$160,$N17)</f>
        <v>43.9</v>
      </c>
      <c r="G17">
        <f>INDEX('Draft Engine'!$N$87:$N$160,$N17)</f>
        <v>80.987418333333338</v>
      </c>
      <c r="H17">
        <f>INDEX('Draft Engine'!$Q$87:$Q$160,$N17)</f>
        <v>35</v>
      </c>
      <c r="I17">
        <f>INDEX('Draft Engine'!$R$87:$R$160,$N17)</f>
        <v>11.5</v>
      </c>
      <c r="J17">
        <f>INDEX('Draft Engine'!$S$87:$S$160,$N17)</f>
        <v>-23.5</v>
      </c>
      <c r="K17" t="str">
        <f>INDEX('Draft Engine'!$T$87:$T$160,$N17)</f>
        <v>A</v>
      </c>
      <c r="L17" t="str">
        <f>INDEX('LIVE SOURCE'!$H$87:$H$160,$N17)</f>
        <v>Strong WR2 with top-12 weekly upside.</v>
      </c>
      <c r="M17" t="str">
        <f>INDEX('LIVE SOURCE'!$J$87:$J$160,$N17)</f>
        <v>Availability/sample risk is elevated after only 8 games; talent is not being punished as heavily as durability.</v>
      </c>
      <c r="N17" s="6">
        <f>MATCH($A17,'Draft Engine'!$F$87:$F$160,0)</f>
        <v>11</v>
      </c>
    </row>
    <row r="18" spans="1:14" x14ac:dyDescent="0.25">
      <c r="A18">
        <f>16</f>
        <v>16</v>
      </c>
      <c r="B18" t="str">
        <f>INDEX('Draft Engine'!$B$87:$B$160,$N18)</f>
        <v>A.J. Brown</v>
      </c>
      <c r="C18" s="4">
        <f>INDEX('Draft Engine'!$E$87:$E$160,$N18)</f>
        <v>83.235699999999994</v>
      </c>
      <c r="D18" t="str">
        <f t="shared" si="0"/>
        <v>TIER 3</v>
      </c>
      <c r="E18">
        <f>INDEX('Draft Engine'!$G$87:$G$160,$N18)</f>
        <v>279.60000000000002</v>
      </c>
      <c r="F18">
        <f>INDEX('Draft Engine'!$J$87:$J$160,$N18)</f>
        <v>40.299999999999997</v>
      </c>
      <c r="G18">
        <f>INDEX('Draft Engine'!$N$87:$N$160,$N18)</f>
        <v>79.533635000000004</v>
      </c>
      <c r="H18">
        <f>INDEX('Draft Engine'!$Q$87:$Q$160,$N18)</f>
        <v>39</v>
      </c>
      <c r="I18">
        <f>INDEX('Draft Engine'!$R$87:$R$160,$N18)</f>
        <v>17.8</v>
      </c>
      <c r="J18">
        <f>INDEX('Draft Engine'!$S$87:$S$160,$N18)</f>
        <v>-21.2</v>
      </c>
      <c r="K18" t="str">
        <f>INDEX('Draft Engine'!$T$87:$T$160,$N18)</f>
        <v>A</v>
      </c>
      <c r="L18" t="str">
        <f>INDEX('LIVE SOURCE'!$H$87:$H$160,$N18)</f>
        <v>Strong WR2 with top-12 weekly upside.</v>
      </c>
      <c r="M18" t="str">
        <f>INDEX('LIVE SOURCE'!$J$87:$J$160,$N18)</f>
        <v>Price is the biggest risk: the market currently asks you to draft him earlier than the model prefers.</v>
      </c>
      <c r="N18" s="6">
        <f>MATCH($A18,'Draft Engine'!$F$87:$F$160,0)</f>
        <v>5</v>
      </c>
    </row>
    <row r="19" spans="1:14" x14ac:dyDescent="0.25">
      <c r="A19">
        <f>17</f>
        <v>17</v>
      </c>
      <c r="B19" t="str">
        <f>INDEX('Draft Engine'!$B$87:$B$160,$N19)</f>
        <v>Ladd McConkey</v>
      </c>
      <c r="C19" s="4">
        <f>INDEX('Draft Engine'!$E$87:$E$160,$N19)</f>
        <v>82.732500000000002</v>
      </c>
      <c r="D19" t="str">
        <f t="shared" si="0"/>
        <v>TIER 3</v>
      </c>
      <c r="E19">
        <f>INDEX('Draft Engine'!$G$87:$G$160,$N19)</f>
        <v>277.5</v>
      </c>
      <c r="F19">
        <f>INDEX('Draft Engine'!$J$87:$J$160,$N19)</f>
        <v>38.200000000000003</v>
      </c>
      <c r="G19">
        <f>INDEX('Draft Engine'!$N$87:$N$160,$N19)</f>
        <v>78.545541666666679</v>
      </c>
      <c r="H19">
        <f>INDEX('Draft Engine'!$Q$87:$Q$160,$N19)</f>
        <v>43</v>
      </c>
      <c r="I19">
        <f>INDEX('Draft Engine'!$R$87:$R$160,$N19)</f>
        <v>44.3</v>
      </c>
      <c r="J19">
        <f>INDEX('Draft Engine'!$S$87:$S$160,$N19)</f>
        <v>1.2999999999999972</v>
      </c>
      <c r="K19" t="str">
        <f>INDEX('Draft Engine'!$T$87:$T$160,$N19)</f>
        <v>B</v>
      </c>
      <c r="L19" t="str">
        <f>INDEX('LIVE SOURCE'!$H$87:$H$160,$N19)</f>
        <v>Strong WR2 with top-12 weekly upside.</v>
      </c>
      <c r="M19" t="str">
        <f>INDEX('LIVE SOURCE'!$J$87:$J$160,$N19)</f>
        <v>Target competition, quarterback efficiency and touchdown regression are the main downside paths.</v>
      </c>
      <c r="N19" s="6">
        <f>MATCH($A19,'Draft Engine'!$F$87:$F$160,0)</f>
        <v>22</v>
      </c>
    </row>
    <row r="20" spans="1:14" x14ac:dyDescent="0.25">
      <c r="A20">
        <f>18</f>
        <v>18</v>
      </c>
      <c r="B20" t="str">
        <f>INDEX('Draft Engine'!$B$87:$B$160,$N20)</f>
        <v>Jaylen Waddle</v>
      </c>
      <c r="C20" s="4">
        <f>INDEX('Draft Engine'!$E$87:$E$160,$N20)</f>
        <v>82.317499999999995</v>
      </c>
      <c r="D20" t="str">
        <f t="shared" si="0"/>
        <v>TIER 3</v>
      </c>
      <c r="E20">
        <f>INDEX('Draft Engine'!$G$87:$G$160,$N20)</f>
        <v>275.7</v>
      </c>
      <c r="F20">
        <f>INDEX('Draft Engine'!$J$87:$J$160,$N20)</f>
        <v>36.4</v>
      </c>
      <c r="G20">
        <f>INDEX('Draft Engine'!$N$87:$N$160,$N20)</f>
        <v>77.659958333333336</v>
      </c>
      <c r="H20">
        <f>INDEX('Draft Engine'!$Q$87:$Q$160,$N20)</f>
        <v>44</v>
      </c>
      <c r="I20">
        <f>INDEX('Draft Engine'!$R$87:$R$160,$N20)</f>
        <v>48.9</v>
      </c>
      <c r="J20">
        <f>INDEX('Draft Engine'!$S$87:$S$160,$N20)</f>
        <v>4.8999999999999986</v>
      </c>
      <c r="K20" t="str">
        <f>INDEX('Draft Engine'!$T$87:$T$160,$N20)</f>
        <v>C</v>
      </c>
      <c r="L20" t="str">
        <f>INDEX('LIVE SOURCE'!$H$87:$H$160,$N20)</f>
        <v>Strong WR2 with top-12 weekly upside.</v>
      </c>
      <c r="M20" t="str">
        <f>INDEX('LIVE SOURCE'!$J$87:$J$160,$N20)</f>
        <v>Target competition, quarterback efficiency and touchdown regression are the main downside paths.</v>
      </c>
      <c r="N20" s="6">
        <f>MATCH($A20,'Draft Engine'!$F$87:$F$160,0)</f>
        <v>20</v>
      </c>
    </row>
    <row r="21" spans="1:14" x14ac:dyDescent="0.25">
      <c r="A21">
        <f>19</f>
        <v>19</v>
      </c>
      <c r="B21" t="str">
        <f>INDEX('Draft Engine'!$B$87:$B$160,$N21)</f>
        <v>George Pickens</v>
      </c>
      <c r="C21" s="4">
        <f>INDEX('Draft Engine'!$E$87:$E$160,$N21)</f>
        <v>81.836600000000004</v>
      </c>
      <c r="D21" t="str">
        <f t="shared" si="0"/>
        <v>TIER 3</v>
      </c>
      <c r="E21">
        <f>INDEX('Draft Engine'!$G$87:$G$160,$N21)</f>
        <v>273.7</v>
      </c>
      <c r="F21">
        <f>INDEX('Draft Engine'!$J$87:$J$160,$N21)</f>
        <v>34.4</v>
      </c>
      <c r="G21">
        <f>INDEX('Draft Engine'!$N$87:$N$160,$N21)</f>
        <v>76.702130000000011</v>
      </c>
      <c r="H21">
        <f>INDEX('Draft Engine'!$Q$87:$Q$160,$N21)</f>
        <v>47</v>
      </c>
      <c r="I21">
        <f>INDEX('Draft Engine'!$R$87:$R$160,$N21)</f>
        <v>21.1</v>
      </c>
      <c r="J21">
        <f>INDEX('Draft Engine'!$S$87:$S$160,$N21)</f>
        <v>-25.9</v>
      </c>
      <c r="K21" t="str">
        <f>INDEX('Draft Engine'!$T$87:$T$160,$N21)</f>
        <v>A</v>
      </c>
      <c r="L21" t="str">
        <f>INDEX('LIVE SOURCE'!$H$87:$H$160,$N21)</f>
        <v>Strong WR2 with top-12 weekly upside.</v>
      </c>
      <c r="M21" t="str">
        <f>INDEX('LIVE SOURCE'!$J$87:$J$160,$N21)</f>
        <v>Price is the biggest risk: the market currently asks you to draft him earlier than the model prefers.</v>
      </c>
      <c r="N21" s="6">
        <f>MATCH($A21,'Draft Engine'!$F$87:$F$160,0)</f>
        <v>8</v>
      </c>
    </row>
    <row r="22" spans="1:14" x14ac:dyDescent="0.25">
      <c r="A22">
        <f>20</f>
        <v>20</v>
      </c>
      <c r="B22" t="str">
        <f>INDEX('Draft Engine'!$B$87:$B$160,$N22)</f>
        <v>Emeka Egbuka</v>
      </c>
      <c r="C22" s="4">
        <f>INDEX('Draft Engine'!$E$87:$E$160,$N22)</f>
        <v>81.734999999999999</v>
      </c>
      <c r="D22" t="str">
        <f t="shared" si="0"/>
        <v>TIER 3</v>
      </c>
      <c r="E22">
        <f>INDEX('Draft Engine'!$G$87:$G$160,$N22)</f>
        <v>273.3</v>
      </c>
      <c r="F22">
        <f>INDEX('Draft Engine'!$J$87:$J$160,$N22)</f>
        <v>34</v>
      </c>
      <c r="G22">
        <f>INDEX('Draft Engine'!$N$87:$N$160,$N22)</f>
        <v>76.240916666666678</v>
      </c>
      <c r="H22">
        <f>INDEX('Draft Engine'!$Q$87:$Q$160,$N22)</f>
        <v>48</v>
      </c>
      <c r="I22">
        <f>INDEX('Draft Engine'!$R$87:$R$160,$N22)</f>
        <v>34.4</v>
      </c>
      <c r="J22">
        <f>INDEX('Draft Engine'!$S$87:$S$160,$N22)</f>
        <v>-13.600000000000001</v>
      </c>
      <c r="K22" t="str">
        <f>INDEX('Draft Engine'!$T$87:$T$160,$N22)</f>
        <v>C</v>
      </c>
      <c r="L22" t="str">
        <f>INDEX('LIVE SOURCE'!$H$87:$H$160,$N22)</f>
        <v>Strong WR2 with top-12 weekly upside.</v>
      </c>
      <c r="M22" t="str">
        <f>INDEX('LIVE SOURCE'!$J$87:$J$160,$N22)</f>
        <v>Target competition, quarterback efficiency and touchdown regression are the main downside paths.</v>
      </c>
      <c r="N22" s="6">
        <f>MATCH($A22,'Draft Engine'!$F$87:$F$160,0)</f>
        <v>19</v>
      </c>
    </row>
    <row r="23" spans="1:14" x14ac:dyDescent="0.25">
      <c r="A23">
        <f>21</f>
        <v>21</v>
      </c>
      <c r="B23" t="str">
        <f>INDEX('Draft Engine'!$B$87:$B$160,$N23)</f>
        <v>Malik Nabers</v>
      </c>
      <c r="C23" s="4">
        <f>INDEX('Draft Engine'!$E$87:$E$160,$N23)</f>
        <v>81.152500000000003</v>
      </c>
      <c r="D23" t="str">
        <f t="shared" si="0"/>
        <v>TIER 3</v>
      </c>
      <c r="E23">
        <f>INDEX('Draft Engine'!$G$87:$G$160,$N23)</f>
        <v>270.8</v>
      </c>
      <c r="F23">
        <f>INDEX('Draft Engine'!$J$87:$J$160,$N23)</f>
        <v>31.5</v>
      </c>
      <c r="G23">
        <f>INDEX('Draft Engine'!$N$87:$N$160,$N23)</f>
        <v>75.137208333333334</v>
      </c>
      <c r="H23">
        <f>INDEX('Draft Engine'!$Q$87:$Q$160,$N23)</f>
        <v>51</v>
      </c>
      <c r="I23">
        <f>INDEX('Draft Engine'!$R$87:$R$160,$N23)</f>
        <v>31.9</v>
      </c>
      <c r="J23">
        <f>INDEX('Draft Engine'!$S$87:$S$160,$N23)</f>
        <v>-19.100000000000001</v>
      </c>
      <c r="K23" t="str">
        <f>INDEX('Draft Engine'!$T$87:$T$160,$N23)</f>
        <v>C</v>
      </c>
      <c r="L23" t="str">
        <f>INDEX('LIVE SOURCE'!$H$87:$H$160,$N23)</f>
        <v>Strong WR2 with top-12 weekly upside.</v>
      </c>
      <c r="M23" t="str">
        <f>INDEX('LIVE SOURCE'!$J$87:$J$160,$N23)</f>
        <v>Evidence is thinner than for established veterans, so camp, depth-chart and role news can move the grade materially.</v>
      </c>
      <c r="N23" s="6">
        <f>MATCH($A23,'Draft Engine'!$F$87:$F$160,0)</f>
        <v>18</v>
      </c>
    </row>
    <row r="24" spans="1:14" x14ac:dyDescent="0.25">
      <c r="A24">
        <f>22</f>
        <v>22</v>
      </c>
      <c r="B24" t="str">
        <f>INDEX('Draft Engine'!$B$87:$B$160,$N24)</f>
        <v>Terry McLaurin</v>
      </c>
      <c r="C24" s="4">
        <f>INDEX('Draft Engine'!$E$87:$E$160,$N24)</f>
        <v>79.900000000000006</v>
      </c>
      <c r="D24" t="str">
        <f t="shared" si="0"/>
        <v>TIER 4</v>
      </c>
      <c r="E24">
        <f>INDEX('Draft Engine'!$G$87:$G$160,$N24)</f>
        <v>265.60000000000002</v>
      </c>
      <c r="F24">
        <f>INDEX('Draft Engine'!$J$87:$J$160,$N24)</f>
        <v>26.3</v>
      </c>
      <c r="G24">
        <f>INDEX('Draft Engine'!$N$87:$N$160,$N24)</f>
        <v>73.179000000000002</v>
      </c>
      <c r="H24">
        <f>INDEX('Draft Engine'!$Q$87:$Q$160,$N24)</f>
        <v>57</v>
      </c>
      <c r="I24">
        <f>INDEX('Draft Engine'!$R$87:$R$160,$N24)</f>
        <v>43</v>
      </c>
      <c r="J24">
        <f>INDEX('Draft Engine'!$S$87:$S$160,$N24)</f>
        <v>-14</v>
      </c>
      <c r="K24" t="str">
        <f>INDEX('Draft Engine'!$T$87:$T$160,$N24)</f>
        <v>C</v>
      </c>
      <c r="L24" t="str">
        <f>INDEX('LIVE SOURCE'!$H$87:$H$160,$N24)</f>
        <v>Strong WR2 with top-12 weekly upside.</v>
      </c>
      <c r="M24" t="str">
        <f>INDEX('LIVE SOURCE'!$J$87:$J$160,$N24)</f>
        <v>Target competition, quarterback efficiency and touchdown regression are the main downside paths.</v>
      </c>
      <c r="N24" s="6">
        <f>MATCH($A24,'Draft Engine'!$F$87:$F$160,0)</f>
        <v>21</v>
      </c>
    </row>
    <row r="25" spans="1:14" x14ac:dyDescent="0.25">
      <c r="A25">
        <f>23</f>
        <v>23</v>
      </c>
      <c r="B25" t="str">
        <f>INDEX('Draft Engine'!$B$87:$B$160,$N25)</f>
        <v>Luther Burden III</v>
      </c>
      <c r="C25" s="4">
        <f>INDEX('Draft Engine'!$E$87:$E$160,$N25)</f>
        <v>78.647499999999994</v>
      </c>
      <c r="D25" t="str">
        <f t="shared" si="0"/>
        <v>TIER 4</v>
      </c>
      <c r="E25">
        <f>INDEX('Draft Engine'!$G$87:$G$160,$N25)</f>
        <v>260.3</v>
      </c>
      <c r="F25">
        <f>INDEX('Draft Engine'!$J$87:$J$160,$N25)</f>
        <v>21</v>
      </c>
      <c r="G25">
        <f>INDEX('Draft Engine'!$N$87:$N$160,$N25)</f>
        <v>71.20279166666667</v>
      </c>
      <c r="H25">
        <f>INDEX('Draft Engine'!$Q$87:$Q$160,$N25)</f>
        <v>61</v>
      </c>
      <c r="I25">
        <f>INDEX('Draft Engine'!$R$87:$R$160,$N25)</f>
        <v>53.1</v>
      </c>
      <c r="J25">
        <f>INDEX('Draft Engine'!$S$87:$S$160,$N25)</f>
        <v>-7.8999999999999986</v>
      </c>
      <c r="K25" t="str">
        <f>INDEX('Draft Engine'!$T$87:$T$160,$N25)</f>
        <v>C</v>
      </c>
      <c r="L25" t="str">
        <f>INDEX('LIVE SOURCE'!$H$87:$H$160,$N25)</f>
        <v>Strong WR2 with top-12 weekly upside.</v>
      </c>
      <c r="M25" t="str">
        <f>INDEX('LIVE SOURCE'!$J$87:$J$160,$N25)</f>
        <v>Target competition, quarterback efficiency and touchdown regression are the main downside paths.</v>
      </c>
      <c r="N25" s="6">
        <f>MATCH($A25,'Draft Engine'!$F$87:$F$160,0)</f>
        <v>24</v>
      </c>
    </row>
    <row r="26" spans="1:14" x14ac:dyDescent="0.25">
      <c r="A26">
        <f>24</f>
        <v>24</v>
      </c>
      <c r="B26" t="str">
        <f>INDEX('Draft Engine'!$B$87:$B$160,$N26)</f>
        <v>Davante Adams</v>
      </c>
      <c r="C26" s="4">
        <f>INDEX('Draft Engine'!$E$87:$E$160,$N26)</f>
        <v>78.064999999999998</v>
      </c>
      <c r="D26" t="str">
        <f t="shared" si="0"/>
        <v>TIER 4</v>
      </c>
      <c r="E26">
        <f>INDEX('Draft Engine'!$G$87:$G$160,$N26)</f>
        <v>257.89999999999998</v>
      </c>
      <c r="F26">
        <f>INDEX('Draft Engine'!$J$87:$J$160,$N26)</f>
        <v>18.600000000000001</v>
      </c>
      <c r="G26">
        <f>INDEX('Draft Engine'!$N$87:$N$160,$N26)</f>
        <v>70.117083333333326</v>
      </c>
      <c r="H26">
        <f>INDEX('Draft Engine'!$Q$87:$Q$160,$N26)</f>
        <v>64</v>
      </c>
      <c r="I26">
        <f>INDEX('Draft Engine'!$R$87:$R$160,$N26)</f>
        <v>41.5</v>
      </c>
      <c r="J26">
        <f>INDEX('Draft Engine'!$S$87:$S$160,$N26)</f>
        <v>-22.5</v>
      </c>
      <c r="K26" t="str">
        <f>INDEX('Draft Engine'!$T$87:$T$160,$N26)</f>
        <v>C</v>
      </c>
      <c r="L26" t="str">
        <f>INDEX('LIVE SOURCE'!$H$87:$H$160,$N26)</f>
        <v>Strong WR2 with top-12 weekly upside.</v>
      </c>
      <c r="M26" t="str">
        <f>INDEX('LIVE SOURCE'!$J$87:$J$160,$N26)</f>
        <v>Target competition, quarterback efficiency and touchdown regression are the main downside paths.</v>
      </c>
      <c r="N26" s="6">
        <f>MATCH($A26,'Draft Engine'!$F$87:$F$160,0)</f>
        <v>23</v>
      </c>
    </row>
    <row r="27" spans="1:14" x14ac:dyDescent="0.25">
      <c r="A27">
        <f>25</f>
        <v>25</v>
      </c>
      <c r="B27" t="str">
        <f>INDEX('Draft Engine'!$B$87:$B$160,$N27)</f>
        <v>Mike Evans</v>
      </c>
      <c r="C27" s="4">
        <f>INDEX('Draft Engine'!$E$87:$E$160,$N27)</f>
        <v>76.477500000000006</v>
      </c>
      <c r="D27" t="str">
        <f t="shared" si="0"/>
        <v>TIER 4</v>
      </c>
      <c r="E27">
        <f>INDEX('Draft Engine'!$G$87:$G$160,$N27)</f>
        <v>251.2</v>
      </c>
      <c r="F27">
        <f>INDEX('Draft Engine'!$J$87:$J$160,$N27)</f>
        <v>11.9</v>
      </c>
      <c r="G27">
        <f>INDEX('Draft Engine'!$N$87:$N$160,$N27)</f>
        <v>67.704625000000007</v>
      </c>
      <c r="H27">
        <f>INDEX('Draft Engine'!$Q$87:$Q$160,$N27)</f>
        <v>70</v>
      </c>
      <c r="I27">
        <f>INDEX('Draft Engine'!$R$87:$R$160,$N27)</f>
        <v>59.4</v>
      </c>
      <c r="J27">
        <f>INDEX('Draft Engine'!$S$87:$S$160,$N27)</f>
        <v>-10.600000000000001</v>
      </c>
      <c r="K27" t="str">
        <f>INDEX('Draft Engine'!$T$87:$T$160,$N27)</f>
        <v>C</v>
      </c>
      <c r="L27" t="str">
        <f>INDEX('LIVE SOURCE'!$H$87:$H$160,$N27)</f>
        <v>WR2/FLEX; dependable lineup option with matchup-driven ceiling.</v>
      </c>
      <c r="M27" t="str">
        <f>INDEX('LIVE SOURCE'!$J$87:$J$160,$N27)</f>
        <v>Evidence is thinner than for established veterans, so camp, depth-chart and role news can move the grade materially.</v>
      </c>
      <c r="N27" s="6">
        <f>MATCH($A27,'Draft Engine'!$F$87:$F$160,0)</f>
        <v>28</v>
      </c>
    </row>
    <row r="28" spans="1:14" x14ac:dyDescent="0.25">
      <c r="A28">
        <f>26</f>
        <v>26</v>
      </c>
      <c r="B28" t="str">
        <f>INDEX('Draft Engine'!$B$87:$B$160,$N28)</f>
        <v>Jordyn Tyson</v>
      </c>
      <c r="C28" s="4">
        <f>INDEX('Draft Engine'!$E$87:$E$160,$N28)</f>
        <v>76.22</v>
      </c>
      <c r="D28" t="str">
        <f t="shared" si="0"/>
        <v>TIER 4</v>
      </c>
      <c r="E28">
        <f>INDEX('Draft Engine'!$G$87:$G$160,$N28)</f>
        <v>250.1</v>
      </c>
      <c r="F28">
        <f>INDEX('Draft Engine'!$J$87:$J$160,$N28)</f>
        <v>10.8</v>
      </c>
      <c r="G28">
        <f>INDEX('Draft Engine'!$N$87:$N$160,$N28)</f>
        <v>67.031666666666666</v>
      </c>
      <c r="H28">
        <f>INDEX('Draft Engine'!$Q$87:$Q$160,$N28)</f>
        <v>72</v>
      </c>
      <c r="I28">
        <f>INDEX('Draft Engine'!$R$87:$R$160,$N28)</f>
        <v>87.1</v>
      </c>
      <c r="J28">
        <f>INDEX('Draft Engine'!$S$87:$S$160,$N28)</f>
        <v>15.099999999999994</v>
      </c>
      <c r="K28" t="str">
        <f>INDEX('Draft Engine'!$T$87:$T$160,$N28)</f>
        <v>C</v>
      </c>
      <c r="L28" t="str">
        <f>INDEX('LIVE SOURCE'!$H$87:$H$160,$N28)</f>
        <v>WR2/FLEX; dependable lineup option with matchup-driven ceiling.</v>
      </c>
      <c r="M28" t="str">
        <f>INDEX('LIVE SOURCE'!$J$87:$J$160,$N28)</f>
        <v>NFL translation and exact weekly role are the main variables; preseason first-team usage can move this rating quickly.</v>
      </c>
      <c r="N28" s="6">
        <f>MATCH($A28,'Draft Engine'!$F$87:$F$160,0)</f>
        <v>35</v>
      </c>
    </row>
    <row r="29" spans="1:14" x14ac:dyDescent="0.25">
      <c r="A29">
        <f>27</f>
        <v>27</v>
      </c>
      <c r="B29" t="str">
        <f>INDEX('Draft Engine'!$B$87:$B$160,$N29)</f>
        <v>Jameson Williams</v>
      </c>
      <c r="C29" s="4">
        <f>INDEX('Draft Engine'!$E$87:$E$160,$N29)</f>
        <v>76.0625</v>
      </c>
      <c r="D29" t="str">
        <f t="shared" si="0"/>
        <v>TIER 4</v>
      </c>
      <c r="E29">
        <f>INDEX('Draft Engine'!$G$87:$G$160,$N29)</f>
        <v>249.5</v>
      </c>
      <c r="F29">
        <f>INDEX('Draft Engine'!$J$87:$J$160,$N29)</f>
        <v>10.199999999999999</v>
      </c>
      <c r="G29">
        <f>INDEX('Draft Engine'!$N$87:$N$160,$N29)</f>
        <v>66.503708333333336</v>
      </c>
      <c r="H29">
        <f>INDEX('Draft Engine'!$Q$87:$Q$160,$N29)</f>
        <v>76</v>
      </c>
      <c r="I29">
        <f>INDEX('Draft Engine'!$R$87:$R$160,$N29)</f>
        <v>45.8</v>
      </c>
      <c r="J29">
        <f>INDEX('Draft Engine'!$S$87:$S$160,$N29)</f>
        <v>-30.200000000000003</v>
      </c>
      <c r="K29" t="str">
        <f>INDEX('Draft Engine'!$T$87:$T$160,$N29)</f>
        <v>C</v>
      </c>
      <c r="L29" t="str">
        <f>INDEX('LIVE SOURCE'!$H$87:$H$160,$N29)</f>
        <v>WR2/FLEX; dependable lineup option with matchup-driven ceiling.</v>
      </c>
      <c r="M29" t="str">
        <f>INDEX('LIVE SOURCE'!$J$87:$J$160,$N29)</f>
        <v>Target competition, quarterback efficiency and touchdown regression are the main downside paths.</v>
      </c>
      <c r="N29" s="6">
        <f>MATCH($A29,'Draft Engine'!$F$87:$F$160,0)</f>
        <v>26</v>
      </c>
    </row>
    <row r="30" spans="1:14" x14ac:dyDescent="0.25">
      <c r="A30">
        <f>28</f>
        <v>28</v>
      </c>
      <c r="B30" t="str">
        <f>INDEX('Draft Engine'!$B$87:$B$160,$N30)</f>
        <v>Michael Pittman Jr.</v>
      </c>
      <c r="C30" s="4">
        <f>INDEX('Draft Engine'!$E$87:$E$160,$N30)</f>
        <v>75.55</v>
      </c>
      <c r="D30" t="str">
        <f t="shared" si="0"/>
        <v>TIER 4</v>
      </c>
      <c r="E30">
        <f>INDEX('Draft Engine'!$G$87:$G$160,$N30)</f>
        <v>247.3</v>
      </c>
      <c r="F30">
        <f>INDEX('Draft Engine'!$J$87:$J$160,$N30)</f>
        <v>8</v>
      </c>
      <c r="G30">
        <f>INDEX('Draft Engine'!$N$87:$N$160,$N30)</f>
        <v>65.492500000000007</v>
      </c>
      <c r="H30">
        <f>INDEX('Draft Engine'!$Q$87:$Q$160,$N30)</f>
        <v>79</v>
      </c>
      <c r="I30">
        <f>INDEX('Draft Engine'!$R$87:$R$160,$N30)</f>
        <v>72.2</v>
      </c>
      <c r="J30">
        <f>INDEX('Draft Engine'!$S$87:$S$160,$N30)</f>
        <v>-6.7999999999999972</v>
      </c>
      <c r="K30" t="str">
        <f>INDEX('Draft Engine'!$T$87:$T$160,$N30)</f>
        <v>C</v>
      </c>
      <c r="L30" t="str">
        <f>INDEX('LIVE SOURCE'!$H$87:$H$160,$N30)</f>
        <v>WR2/FLEX; dependable lineup option with matchup-driven ceiling.</v>
      </c>
      <c r="M30" t="str">
        <f>INDEX('LIVE SOURCE'!$J$87:$J$160,$N30)</f>
        <v>Target competition, quarterback efficiency and touchdown regression are the main downside paths.</v>
      </c>
      <c r="N30" s="6">
        <f>MATCH($A30,'Draft Engine'!$F$87:$F$160,0)</f>
        <v>36</v>
      </c>
    </row>
    <row r="31" spans="1:14" x14ac:dyDescent="0.25">
      <c r="A31">
        <f>29</f>
        <v>29</v>
      </c>
      <c r="B31" t="str">
        <f>INDEX('Draft Engine'!$B$87:$B$160,$N31)</f>
        <v>DJ Moore</v>
      </c>
      <c r="C31" s="4">
        <f>INDEX('Draft Engine'!$E$87:$E$160,$N31)</f>
        <v>75.48</v>
      </c>
      <c r="D31" t="str">
        <f t="shared" si="0"/>
        <v>TIER 4</v>
      </c>
      <c r="E31">
        <f>INDEX('Draft Engine'!$G$87:$G$160,$N31)</f>
        <v>247</v>
      </c>
      <c r="F31">
        <f>INDEX('Draft Engine'!$J$87:$J$160,$N31)</f>
        <v>7.7</v>
      </c>
      <c r="G31">
        <f>INDEX('Draft Engine'!$N$87:$N$160,$N31)</f>
        <v>65.066666666666677</v>
      </c>
      <c r="H31">
        <f>INDEX('Draft Engine'!$Q$87:$Q$160,$N31)</f>
        <v>80</v>
      </c>
      <c r="I31">
        <f>INDEX('Draft Engine'!$R$87:$R$160,$N31)</f>
        <v>52.9</v>
      </c>
      <c r="J31">
        <f>INDEX('Draft Engine'!$S$87:$S$160,$N31)</f>
        <v>-27.1</v>
      </c>
      <c r="K31" t="str">
        <f>INDEX('Draft Engine'!$T$87:$T$160,$N31)</f>
        <v>C</v>
      </c>
      <c r="L31" t="str">
        <f>INDEX('LIVE SOURCE'!$H$87:$H$160,$N31)</f>
        <v>WR2/FLEX; dependable lineup option with matchup-driven ceiling.</v>
      </c>
      <c r="M31" t="str">
        <f>INDEX('LIVE SOURCE'!$J$87:$J$160,$N31)</f>
        <v>Target competition, quarterback efficiency and touchdown regression are the main downside paths.</v>
      </c>
      <c r="N31" s="6">
        <f>MATCH($A31,'Draft Engine'!$F$87:$F$160,0)</f>
        <v>25</v>
      </c>
    </row>
    <row r="32" spans="1:14" x14ac:dyDescent="0.25">
      <c r="A32">
        <f>30</f>
        <v>30</v>
      </c>
      <c r="B32" t="str">
        <f>INDEX('Draft Engine'!$B$87:$B$160,$N32)</f>
        <v>Jakobi Meyers</v>
      </c>
      <c r="C32" s="4">
        <f>INDEX('Draft Engine'!$E$87:$E$160,$N32)</f>
        <v>74.88</v>
      </c>
      <c r="D32" t="str">
        <f t="shared" si="0"/>
        <v>TIER 5</v>
      </c>
      <c r="E32">
        <f>INDEX('Draft Engine'!$G$87:$G$160,$N32)</f>
        <v>244.5</v>
      </c>
      <c r="F32">
        <f>INDEX('Draft Engine'!$J$87:$J$160,$N32)</f>
        <v>5.2</v>
      </c>
      <c r="G32">
        <f>INDEX('Draft Engine'!$N$87:$N$160,$N32)</f>
        <v>63.953333333333333</v>
      </c>
      <c r="H32">
        <f>INDEX('Draft Engine'!$Q$87:$Q$160,$N32)</f>
        <v>85</v>
      </c>
      <c r="I32">
        <f>INDEX('Draft Engine'!$R$87:$R$160,$N32)</f>
        <v>75.599999999999994</v>
      </c>
      <c r="J32">
        <f>INDEX('Draft Engine'!$S$87:$S$160,$N32)</f>
        <v>-9.4000000000000057</v>
      </c>
      <c r="K32" t="str">
        <f>INDEX('Draft Engine'!$T$87:$T$160,$N32)</f>
        <v>C</v>
      </c>
      <c r="L32" t="str">
        <f>INDEX('LIVE SOURCE'!$H$87:$H$160,$N32)</f>
        <v>WR2/FLEX; dependable lineup option with matchup-driven ceiling.</v>
      </c>
      <c r="M32" t="str">
        <f>INDEX('LIVE SOURCE'!$J$87:$J$160,$N32)</f>
        <v>Target competition, quarterback efficiency and touchdown regression are the main downside paths.</v>
      </c>
      <c r="N32" s="6">
        <f>MATCH($A32,'Draft Engine'!$F$87:$F$160,0)</f>
        <v>37</v>
      </c>
    </row>
    <row r="33" spans="1:14" x14ac:dyDescent="0.25">
      <c r="A33">
        <f>31</f>
        <v>31</v>
      </c>
      <c r="B33" t="str">
        <f>INDEX('Draft Engine'!$B$87:$B$160,$N33)</f>
        <v>Jordan Addison</v>
      </c>
      <c r="C33" s="4">
        <f>INDEX('Draft Engine'!$E$87:$E$160,$N33)</f>
        <v>74.209999999999994</v>
      </c>
      <c r="D33" t="str">
        <f t="shared" si="0"/>
        <v>TIER 5</v>
      </c>
      <c r="E33">
        <f>INDEX('Draft Engine'!$G$87:$G$160,$N33)</f>
        <v>241.7</v>
      </c>
      <c r="F33">
        <f>INDEX('Draft Engine'!$J$87:$J$160,$N33)</f>
        <v>2.4</v>
      </c>
      <c r="G33">
        <f>INDEX('Draft Engine'!$N$87:$N$160,$N33)</f>
        <v>62.747500000000002</v>
      </c>
      <c r="H33">
        <f>INDEX('Draft Engine'!$Q$87:$Q$160,$N33)</f>
        <v>88</v>
      </c>
      <c r="I33">
        <f>INDEX('Draft Engine'!$R$87:$R$160,$N33)</f>
        <v>103.3</v>
      </c>
      <c r="J33">
        <f>INDEX('Draft Engine'!$S$87:$S$160,$N33)</f>
        <v>15.299999999999997</v>
      </c>
      <c r="K33" t="str">
        <f>INDEX('Draft Engine'!$T$87:$T$160,$N33)</f>
        <v>C</v>
      </c>
      <c r="L33" t="str">
        <f>INDEX('LIVE SOURCE'!$H$87:$H$160,$N33)</f>
        <v>WR2/FLEX; dependable lineup option with matchup-driven ceiling.</v>
      </c>
      <c r="M33" t="str">
        <f>INDEX('LIVE SOURCE'!$J$87:$J$160,$N33)</f>
        <v>Target competition, quarterback efficiency and touchdown regression are the main downside paths.</v>
      </c>
      <c r="N33" s="6">
        <f>MATCH($A33,'Draft Engine'!$F$87:$F$160,0)</f>
        <v>38</v>
      </c>
    </row>
    <row r="34" spans="1:14" x14ac:dyDescent="0.25">
      <c r="A34">
        <f>32</f>
        <v>32</v>
      </c>
      <c r="B34" t="str">
        <f>INDEX('Draft Engine'!$B$87:$B$160,$N34)</f>
        <v>Christian Watson</v>
      </c>
      <c r="C34" s="4">
        <f>INDEX('Draft Engine'!$E$87:$E$160,$N34)</f>
        <v>73.892499999999998</v>
      </c>
      <c r="D34" t="str">
        <f t="shared" si="0"/>
        <v>TIER 5</v>
      </c>
      <c r="E34">
        <f>INDEX('Draft Engine'!$G$87:$G$160,$N34)</f>
        <v>240.3</v>
      </c>
      <c r="F34">
        <f>INDEX('Draft Engine'!$J$87:$J$160,$N34)</f>
        <v>1</v>
      </c>
      <c r="G34">
        <f>INDEX('Draft Engine'!$N$87:$N$160,$N34)</f>
        <v>61.987541666666665</v>
      </c>
      <c r="H34">
        <f>INDEX('Draft Engine'!$Q$87:$Q$160,$N34)</f>
        <v>91</v>
      </c>
      <c r="I34">
        <f>INDEX('Draft Engine'!$R$87:$R$160,$N34)</f>
        <v>70.900000000000006</v>
      </c>
      <c r="J34">
        <f>INDEX('Draft Engine'!$S$87:$S$160,$N34)</f>
        <v>-20.099999999999994</v>
      </c>
      <c r="K34" t="str">
        <f>INDEX('Draft Engine'!$T$87:$T$160,$N34)</f>
        <v>C</v>
      </c>
      <c r="L34" t="str">
        <f>INDEX('LIVE SOURCE'!$H$87:$H$160,$N34)</f>
        <v>WR2/FLEX; dependable lineup option with matchup-driven ceiling.</v>
      </c>
      <c r="M34" t="str">
        <f>INDEX('LIVE SOURCE'!$J$87:$J$160,$N34)</f>
        <v>Target competition, quarterback efficiency and touchdown regression are the main downside paths.</v>
      </c>
      <c r="N34" s="6">
        <f>MATCH($A34,'Draft Engine'!$F$87:$F$160,0)</f>
        <v>30</v>
      </c>
    </row>
    <row r="35" spans="1:14" x14ac:dyDescent="0.25">
      <c r="A35">
        <f>33</f>
        <v>33</v>
      </c>
      <c r="B35" t="str">
        <f>INDEX('Draft Engine'!$B$87:$B$160,$N35)</f>
        <v>Rome Odunze</v>
      </c>
      <c r="C35" s="4">
        <f>INDEX('Draft Engine'!$E$87:$E$160,$N35)</f>
        <v>73.644999999999996</v>
      </c>
      <c r="D35" t="str">
        <f t="shared" ref="D35:D66" si="1">IF($C35&gt;=95,"ELITE",IF($C35&gt;=90,"TIER 1",IF($C35&gt;=85,"TIER 2",IF($C35&gt;=80,"TIER 3",IF($C35&gt;=75,"TIER 4",IF($C35&gt;=70,"TIER 5",IF($C35&gt;=65,"TIER 6","TIER 7")))))))</f>
        <v>TIER 5</v>
      </c>
      <c r="E35">
        <f>INDEX('Draft Engine'!$G$87:$G$160,$N35)</f>
        <v>239.3</v>
      </c>
      <c r="F35">
        <f>INDEX('Draft Engine'!$J$87:$J$160,$N35)</f>
        <v>0</v>
      </c>
      <c r="G35">
        <f>INDEX('Draft Engine'!$N$87:$N$160,$N35)</f>
        <v>61.338083333333337</v>
      </c>
      <c r="H35">
        <f>INDEX('Draft Engine'!$Q$87:$Q$160,$N35)</f>
        <v>93</v>
      </c>
      <c r="I35">
        <f>INDEX('Draft Engine'!$R$87:$R$160,$N35)</f>
        <v>49.3</v>
      </c>
      <c r="J35">
        <f>INDEX('Draft Engine'!$S$87:$S$160,$N35)</f>
        <v>-43.7</v>
      </c>
      <c r="K35" t="str">
        <f>INDEX('Draft Engine'!$T$87:$T$160,$N35)</f>
        <v>C</v>
      </c>
      <c r="L35" t="str">
        <f>INDEX('LIVE SOURCE'!$H$87:$H$160,$N35)</f>
        <v>WR2/FLEX; dependable lineup option with matchup-driven ceiling.</v>
      </c>
      <c r="M35" t="str">
        <f>INDEX('LIVE SOURCE'!$J$87:$J$160,$N35)</f>
        <v>Target competition, quarterback efficiency and touchdown regression are the main downside paths.</v>
      </c>
      <c r="N35" s="6">
        <f>MATCH($A35,'Draft Engine'!$F$87:$F$160,0)</f>
        <v>27</v>
      </c>
    </row>
    <row r="36" spans="1:14" x14ac:dyDescent="0.25">
      <c r="A36">
        <f>34</f>
        <v>34</v>
      </c>
      <c r="B36" t="str">
        <f>INDEX('Draft Engine'!$B$87:$B$160,$N36)</f>
        <v>Wan'Dale Robinson</v>
      </c>
      <c r="C36" s="4">
        <f>INDEX('Draft Engine'!$E$87:$E$160,$N36)</f>
        <v>73.540000000000006</v>
      </c>
      <c r="D36" t="str">
        <f t="shared" si="1"/>
        <v>TIER 5</v>
      </c>
      <c r="E36">
        <f>INDEX('Draft Engine'!$G$87:$G$160,$N36)</f>
        <v>238.9</v>
      </c>
      <c r="F36">
        <f>INDEX('Draft Engine'!$J$87:$J$160,$N36)</f>
        <v>-0.4</v>
      </c>
      <c r="G36">
        <f>INDEX('Draft Engine'!$N$87:$N$160,$N36)</f>
        <v>60.875000000000007</v>
      </c>
      <c r="H36">
        <f>INDEX('Draft Engine'!$Q$87:$Q$160,$N36)</f>
        <v>95</v>
      </c>
      <c r="I36">
        <f>INDEX('Draft Engine'!$R$87:$R$160,$N36)</f>
        <v>71</v>
      </c>
      <c r="J36">
        <f>INDEX('Draft Engine'!$S$87:$S$160,$N36)</f>
        <v>-24</v>
      </c>
      <c r="K36" t="str">
        <f>INDEX('Draft Engine'!$T$87:$T$160,$N36)</f>
        <v>C</v>
      </c>
      <c r="L36" t="str">
        <f>INDEX('LIVE SOURCE'!$H$87:$H$160,$N36)</f>
        <v>WR2/FLEX; dependable lineup option with matchup-driven ceiling.</v>
      </c>
      <c r="M36" t="str">
        <f>INDEX('LIVE SOURCE'!$J$87:$J$160,$N36)</f>
        <v>Target competition, quarterback efficiency and touchdown regression are the main downside paths.</v>
      </c>
      <c r="N36" s="6">
        <f>MATCH($A36,'Draft Engine'!$F$87:$F$160,0)</f>
        <v>39</v>
      </c>
    </row>
    <row r="37" spans="1:14" x14ac:dyDescent="0.25">
      <c r="A37">
        <f>35</f>
        <v>35</v>
      </c>
      <c r="B37" t="str">
        <f>INDEX('Draft Engine'!$B$87:$B$160,$N37)</f>
        <v>Carnell Tate</v>
      </c>
      <c r="C37" s="4">
        <f>INDEX('Draft Engine'!$E$87:$E$160,$N37)</f>
        <v>71.89</v>
      </c>
      <c r="D37" t="str">
        <f t="shared" si="1"/>
        <v>TIER 5</v>
      </c>
      <c r="E37">
        <f>INDEX('Draft Engine'!$G$87:$G$160,$N37)</f>
        <v>231.9</v>
      </c>
      <c r="F37">
        <f>INDEX('Draft Engine'!$J$87:$J$160,$N37)</f>
        <v>-7.4</v>
      </c>
      <c r="G37">
        <f>INDEX('Draft Engine'!$N$87:$N$160,$N37)</f>
        <v>58.374166666666667</v>
      </c>
      <c r="H37">
        <f>INDEX('Draft Engine'!$Q$87:$Q$160,$N37)</f>
        <v>101</v>
      </c>
      <c r="I37">
        <f>INDEX('Draft Engine'!$R$87:$R$160,$N37)</f>
        <v>77.400000000000006</v>
      </c>
      <c r="J37">
        <f>INDEX('Draft Engine'!$S$87:$S$160,$N37)</f>
        <v>-23.599999999999994</v>
      </c>
      <c r="K37" t="str">
        <f>INDEX('Draft Engine'!$T$87:$T$160,$N37)</f>
        <v>C</v>
      </c>
      <c r="L37" t="str">
        <f>INDEX('LIVE SOURCE'!$H$87:$H$160,$N37)</f>
        <v>WR2/FLEX; dependable lineup option with matchup-driven ceiling.</v>
      </c>
      <c r="M37" t="str">
        <f>INDEX('LIVE SOURCE'!$J$87:$J$160,$N37)</f>
        <v>NFL translation and exact weekly role are the main variables; preseason first-team usage can move this rating quickly.</v>
      </c>
      <c r="N37" s="6">
        <f>MATCH($A37,'Draft Engine'!$F$87:$F$160,0)</f>
        <v>33</v>
      </c>
    </row>
    <row r="38" spans="1:14" x14ac:dyDescent="0.25">
      <c r="A38">
        <f>36</f>
        <v>36</v>
      </c>
      <c r="B38" t="str">
        <f>INDEX('Draft Engine'!$B$87:$B$160,$N38)</f>
        <v>Marvin Harrison Jr.</v>
      </c>
      <c r="C38" s="4">
        <f>INDEX('Draft Engine'!$E$87:$E$160,$N38)</f>
        <v>71.81</v>
      </c>
      <c r="D38" t="str">
        <f t="shared" si="1"/>
        <v>TIER 5</v>
      </c>
      <c r="E38">
        <f>INDEX('Draft Engine'!$G$87:$G$160,$N38)</f>
        <v>231.6</v>
      </c>
      <c r="F38">
        <f>INDEX('Draft Engine'!$J$87:$J$160,$N38)</f>
        <v>-7.7</v>
      </c>
      <c r="G38">
        <f>INDEX('Draft Engine'!$N$87:$N$160,$N38)</f>
        <v>57.942833333333347</v>
      </c>
      <c r="H38">
        <f>INDEX('Draft Engine'!$Q$87:$Q$160,$N38)</f>
        <v>103</v>
      </c>
      <c r="I38">
        <f>INDEX('Draft Engine'!$R$87:$R$160,$N38)</f>
        <v>63.9</v>
      </c>
      <c r="J38">
        <f>INDEX('Draft Engine'!$S$87:$S$160,$N38)</f>
        <v>-39.1</v>
      </c>
      <c r="K38" t="str">
        <f>INDEX('Draft Engine'!$T$87:$T$160,$N38)</f>
        <v>C</v>
      </c>
      <c r="L38" t="str">
        <f>INDEX('LIVE SOURCE'!$H$87:$H$160,$N38)</f>
        <v>FLEX/bench receiver; needs target growth or efficiency spikes.</v>
      </c>
      <c r="M38" t="str">
        <f>INDEX('LIVE SOURCE'!$J$87:$J$160,$N38)</f>
        <v>Target competition, quarterback efficiency and touchdown regression are the main downside paths.</v>
      </c>
      <c r="N38" s="6">
        <f>MATCH($A38,'Draft Engine'!$F$87:$F$160,0)</f>
        <v>29</v>
      </c>
    </row>
    <row r="39" spans="1:14" x14ac:dyDescent="0.25">
      <c r="A39">
        <f>37</f>
        <v>37</v>
      </c>
      <c r="B39" t="str">
        <f>INDEX('Draft Engine'!$B$87:$B$160,$N39)</f>
        <v>Parker Washington</v>
      </c>
      <c r="C39" s="4">
        <f>INDEX('Draft Engine'!$E$87:$E$160,$N39)</f>
        <v>71.53</v>
      </c>
      <c r="D39" t="str">
        <f t="shared" si="1"/>
        <v>TIER 5</v>
      </c>
      <c r="E39">
        <f>INDEX('Draft Engine'!$G$87:$G$160,$N39)</f>
        <v>230.4</v>
      </c>
      <c r="F39">
        <f>INDEX('Draft Engine'!$J$87:$J$160,$N39)</f>
        <v>-8.9</v>
      </c>
      <c r="G39">
        <f>INDEX('Draft Engine'!$N$87:$N$160,$N39)</f>
        <v>57.2395</v>
      </c>
      <c r="H39">
        <f>INDEX('Draft Engine'!$Q$87:$Q$160,$N39)</f>
        <v>104</v>
      </c>
      <c r="I39">
        <f>INDEX('Draft Engine'!$R$87:$R$160,$N39)</f>
        <v>72.3</v>
      </c>
      <c r="J39">
        <f>INDEX('Draft Engine'!$S$87:$S$160,$N39)</f>
        <v>-31.700000000000003</v>
      </c>
      <c r="K39" t="str">
        <f>INDEX('Draft Engine'!$T$87:$T$160,$N39)</f>
        <v>C</v>
      </c>
      <c r="L39" t="str">
        <f>INDEX('LIVE SOURCE'!$H$87:$H$160,$N39)</f>
        <v>FLEX/bench receiver; needs target growth or efficiency spikes.</v>
      </c>
      <c r="M39" t="str">
        <f>INDEX('LIVE SOURCE'!$J$87:$J$160,$N39)</f>
        <v>Target competition, quarterback efficiency and touchdown regression are the main downside paths.</v>
      </c>
      <c r="N39" s="6">
        <f>MATCH($A39,'Draft Engine'!$F$87:$F$160,0)</f>
        <v>42</v>
      </c>
    </row>
    <row r="40" spans="1:14" x14ac:dyDescent="0.25">
      <c r="A40">
        <f>38</f>
        <v>38</v>
      </c>
      <c r="B40" t="str">
        <f>INDEX('Draft Engine'!$B$87:$B$160,$N40)</f>
        <v>Stefon Diggs</v>
      </c>
      <c r="C40" s="4">
        <f>INDEX('Draft Engine'!$E$87:$E$160,$N40)</f>
        <v>71.2</v>
      </c>
      <c r="D40" t="str">
        <f t="shared" si="1"/>
        <v>TIER 5</v>
      </c>
      <c r="E40">
        <f>INDEX('Draft Engine'!$G$87:$G$160,$N40)</f>
        <v>229</v>
      </c>
      <c r="F40">
        <f>INDEX('Draft Engine'!$J$87:$J$160,$N40)</f>
        <v>-10.3</v>
      </c>
      <c r="G40">
        <f>INDEX('Draft Engine'!$N$87:$N$160,$N40)</f>
        <v>56.472666666666669</v>
      </c>
      <c r="H40">
        <f>INDEX('Draft Engine'!$Q$87:$Q$160,$N40)</f>
        <v>107</v>
      </c>
      <c r="I40">
        <f>INDEX('Draft Engine'!$R$87:$R$160,$N40)</f>
        <v>90.5</v>
      </c>
      <c r="J40">
        <f>INDEX('Draft Engine'!$S$87:$S$160,$N40)</f>
        <v>-16.5</v>
      </c>
      <c r="K40" t="str">
        <f>INDEX('Draft Engine'!$T$87:$T$160,$N40)</f>
        <v>C</v>
      </c>
      <c r="L40" t="str">
        <f>INDEX('LIVE SOURCE'!$H$87:$H$160,$N40)</f>
        <v>Added 2026-08-12 from ESPN consensus (WR41).</v>
      </c>
      <c r="M40" t="str">
        <f>INDEX('LIVE SOURCE'!$J$87:$J$160,$N40)</f>
        <v>No model projection behind this rating; it is market consensus only. Re-rate manually if you have a strong opinion.</v>
      </c>
      <c r="N40" s="6">
        <f>MATCH($A40,'Draft Engine'!$F$87:$F$160,0)</f>
        <v>71</v>
      </c>
    </row>
    <row r="41" spans="1:14" x14ac:dyDescent="0.25">
      <c r="A41">
        <f>39</f>
        <v>39</v>
      </c>
      <c r="B41" t="str">
        <f>INDEX('Draft Engine'!$B$87:$B$160,$N41)</f>
        <v>Chris Godwin Jr.</v>
      </c>
      <c r="C41" s="4">
        <f>INDEX('Draft Engine'!$E$87:$E$160,$N41)</f>
        <v>70.86</v>
      </c>
      <c r="D41" t="str">
        <f t="shared" si="1"/>
        <v>TIER 5</v>
      </c>
      <c r="E41">
        <f>INDEX('Draft Engine'!$G$87:$G$160,$N41)</f>
        <v>227.6</v>
      </c>
      <c r="F41">
        <f>INDEX('Draft Engine'!$J$87:$J$160,$N41)</f>
        <v>-11.7</v>
      </c>
      <c r="G41">
        <f>INDEX('Draft Engine'!$N$87:$N$160,$N41)</f>
        <v>55.70033333333334</v>
      </c>
      <c r="H41">
        <f>INDEX('Draft Engine'!$Q$87:$Q$160,$N41)</f>
        <v>110</v>
      </c>
      <c r="I41">
        <f>INDEX('Draft Engine'!$R$87:$R$160,$N41)</f>
        <v>92.4</v>
      </c>
      <c r="J41">
        <f>INDEX('Draft Engine'!$S$87:$S$160,$N41)</f>
        <v>-17.599999999999994</v>
      </c>
      <c r="K41" t="str">
        <f>INDEX('Draft Engine'!$T$87:$T$160,$N41)</f>
        <v>C</v>
      </c>
      <c r="L41" t="str">
        <f>INDEX('LIVE SOURCE'!$H$87:$H$160,$N41)</f>
        <v>FLEX/bench receiver; needs target growth or efficiency spikes.</v>
      </c>
      <c r="M41" t="str">
        <f>INDEX('LIVE SOURCE'!$J$87:$J$160,$N41)</f>
        <v>Evidence is thinner than for established veterans, so camp, depth-chart and role news can move the grade materially.</v>
      </c>
      <c r="N41" s="6">
        <f>MATCH($A41,'Draft Engine'!$F$87:$F$160,0)</f>
        <v>43</v>
      </c>
    </row>
    <row r="42" spans="1:14" x14ac:dyDescent="0.25">
      <c r="A42">
        <f>40</f>
        <v>40</v>
      </c>
      <c r="B42" t="str">
        <f>INDEX('Draft Engine'!$B$87:$B$160,$N42)</f>
        <v>Alec Pierce</v>
      </c>
      <c r="C42" s="4">
        <f>INDEX('Draft Engine'!$E$87:$E$160,$N42)</f>
        <v>70.724999999999994</v>
      </c>
      <c r="D42" t="str">
        <f t="shared" si="1"/>
        <v>TIER 5</v>
      </c>
      <c r="E42">
        <f>INDEX('Draft Engine'!$G$87:$G$160,$N42)</f>
        <v>227</v>
      </c>
      <c r="F42">
        <f>INDEX('Draft Engine'!$J$87:$J$160,$N42)</f>
        <v>-12.3</v>
      </c>
      <c r="G42">
        <f>INDEX('Draft Engine'!$N$87:$N$160,$N42)</f>
        <v>55.184750000000001</v>
      </c>
      <c r="H42">
        <f>INDEX('Draft Engine'!$Q$87:$Q$160,$N42)</f>
        <v>111</v>
      </c>
      <c r="I42">
        <f>INDEX('Draft Engine'!$R$87:$R$160,$N42)</f>
        <v>55.3</v>
      </c>
      <c r="J42">
        <f>INDEX('Draft Engine'!$S$87:$S$160,$N42)</f>
        <v>-55.7</v>
      </c>
      <c r="K42" t="str">
        <f>INDEX('Draft Engine'!$T$87:$T$160,$N42)</f>
        <v>C</v>
      </c>
      <c r="L42" t="str">
        <f>INDEX('LIVE SOURCE'!$H$87:$H$160,$N42)</f>
        <v>FLEX/bench receiver; needs target growth or efficiency spikes.</v>
      </c>
      <c r="M42" t="str">
        <f>INDEX('LIVE SOURCE'!$J$87:$J$160,$N42)</f>
        <v>Target competition, quarterback efficiency and touchdown regression are the main downside paths.</v>
      </c>
      <c r="N42" s="6">
        <f>MATCH($A42,'Draft Engine'!$F$87:$F$160,0)</f>
        <v>31</v>
      </c>
    </row>
    <row r="43" spans="1:14" x14ac:dyDescent="0.25">
      <c r="A43">
        <f>41</f>
        <v>41</v>
      </c>
      <c r="B43" t="str">
        <f>INDEX('Draft Engine'!$B$87:$B$160,$N43)</f>
        <v>Quentin Johnston</v>
      </c>
      <c r="C43" s="4">
        <f>INDEX('Draft Engine'!$E$87:$E$160,$N43)</f>
        <v>70.19</v>
      </c>
      <c r="D43" t="str">
        <f t="shared" si="1"/>
        <v>TIER 5</v>
      </c>
      <c r="E43">
        <f>INDEX('Draft Engine'!$G$87:$G$160,$N43)</f>
        <v>224.8</v>
      </c>
      <c r="F43">
        <f>INDEX('Draft Engine'!$J$87:$J$160,$N43)</f>
        <v>-14.5</v>
      </c>
      <c r="G43">
        <f>INDEX('Draft Engine'!$N$87:$N$160,$N43)</f>
        <v>54.161166666666666</v>
      </c>
      <c r="H43">
        <f>INDEX('Draft Engine'!$Q$87:$Q$160,$N43)</f>
        <v>115</v>
      </c>
      <c r="I43">
        <f>INDEX('Draft Engine'!$R$87:$R$160,$N43)</f>
        <v>95.6</v>
      </c>
      <c r="J43">
        <f>INDEX('Draft Engine'!$S$87:$S$160,$N43)</f>
        <v>-19.400000000000006</v>
      </c>
      <c r="K43" t="str">
        <f>INDEX('Draft Engine'!$T$87:$T$160,$N43)</f>
        <v>C</v>
      </c>
      <c r="L43" t="str">
        <f>INDEX('LIVE SOURCE'!$H$87:$H$160,$N43)</f>
        <v>FLEX/bench receiver; needs target growth or efficiency spikes.</v>
      </c>
      <c r="M43" t="str">
        <f>INDEX('LIVE SOURCE'!$J$87:$J$160,$N43)</f>
        <v>Target competition, quarterback efficiency and touchdown regression are the main downside paths.</v>
      </c>
      <c r="N43" s="6">
        <f>MATCH($A43,'Draft Engine'!$F$87:$F$160,0)</f>
        <v>44</v>
      </c>
    </row>
    <row r="44" spans="1:14" x14ac:dyDescent="0.25">
      <c r="A44">
        <f>42</f>
        <v>42</v>
      </c>
      <c r="B44" t="str">
        <f>INDEX('Draft Engine'!$B$87:$B$160,$N44)</f>
        <v>DK Metcalf</v>
      </c>
      <c r="C44" s="4">
        <f>INDEX('Draft Engine'!$E$87:$E$160,$N44)</f>
        <v>69.807500000000005</v>
      </c>
      <c r="D44" t="str">
        <f t="shared" si="1"/>
        <v>TIER 6</v>
      </c>
      <c r="E44">
        <f>INDEX('Draft Engine'!$G$87:$G$160,$N44)</f>
        <v>223.2</v>
      </c>
      <c r="F44">
        <f>INDEX('Draft Engine'!$J$87:$J$160,$N44)</f>
        <v>-16.100000000000001</v>
      </c>
      <c r="G44">
        <f>INDEX('Draft Engine'!$N$87:$N$160,$N44)</f>
        <v>53.329458333333342</v>
      </c>
      <c r="H44">
        <f>INDEX('Draft Engine'!$Q$87:$Q$160,$N44)</f>
        <v>117</v>
      </c>
      <c r="I44">
        <f>INDEX('Draft Engine'!$R$87:$R$160,$N44)</f>
        <v>65.900000000000006</v>
      </c>
      <c r="J44">
        <f>INDEX('Draft Engine'!$S$87:$S$160,$N44)</f>
        <v>-51.099999999999994</v>
      </c>
      <c r="K44" t="str">
        <f>INDEX('Draft Engine'!$T$87:$T$160,$N44)</f>
        <v>C</v>
      </c>
      <c r="L44" t="str">
        <f>INDEX('LIVE SOURCE'!$H$87:$H$160,$N44)</f>
        <v>FLEX/bench receiver; needs target growth or efficiency spikes.</v>
      </c>
      <c r="M44" t="str">
        <f>INDEX('LIVE SOURCE'!$J$87:$J$160,$N44)</f>
        <v>Price is the biggest risk: the market currently asks you to draft him earlier than the model prefers.</v>
      </c>
      <c r="N44" s="6">
        <f>MATCH($A44,'Draft Engine'!$F$87:$F$160,0)</f>
        <v>32</v>
      </c>
    </row>
    <row r="45" spans="1:14" x14ac:dyDescent="0.25">
      <c r="A45">
        <f>43</f>
        <v>43</v>
      </c>
      <c r="B45" t="str">
        <f>INDEX('Draft Engine'!$B$87:$B$160,$N45)</f>
        <v>Makai Lemon</v>
      </c>
      <c r="C45" s="4">
        <f>INDEX('Draft Engine'!$E$87:$E$160,$N45)</f>
        <v>69.2</v>
      </c>
      <c r="D45" t="str">
        <f t="shared" si="1"/>
        <v>TIER 6</v>
      </c>
      <c r="E45">
        <f>INDEX('Draft Engine'!$G$87:$G$160,$N45)</f>
        <v>220.6</v>
      </c>
      <c r="F45">
        <f>INDEX('Draft Engine'!$J$87:$J$160,$N45)</f>
        <v>-18.7</v>
      </c>
      <c r="G45">
        <f>INDEX('Draft Engine'!$N$87:$N$160,$N45)</f>
        <v>52.194000000000003</v>
      </c>
      <c r="H45">
        <f>INDEX('Draft Engine'!$Q$87:$Q$160,$N45)</f>
        <v>121</v>
      </c>
      <c r="I45">
        <f>INDEX('Draft Engine'!$R$87:$R$160,$N45)</f>
        <v>108.5</v>
      </c>
      <c r="J45">
        <f>INDEX('Draft Engine'!$S$87:$S$160,$N45)</f>
        <v>-12.5</v>
      </c>
      <c r="K45" t="str">
        <f>INDEX('Draft Engine'!$T$87:$T$160,$N45)</f>
        <v>C</v>
      </c>
      <c r="L45" t="str">
        <f>INDEX('LIVE SOURCE'!$H$87:$H$160,$N45)</f>
        <v>WR2/FLEX; dependable lineup option with matchup-driven ceiling.</v>
      </c>
      <c r="M45" t="str">
        <f>INDEX('LIVE SOURCE'!$J$87:$J$160,$N45)</f>
        <v>NFL translation and exact weekly role are the main variables; preseason first-team usage can move this rating quickly.</v>
      </c>
      <c r="N45" s="6">
        <f>MATCH($A45,'Draft Engine'!$F$87:$F$160,0)</f>
        <v>41</v>
      </c>
    </row>
    <row r="46" spans="1:14" x14ac:dyDescent="0.25">
      <c r="A46">
        <f>44</f>
        <v>44</v>
      </c>
      <c r="B46" t="str">
        <f>INDEX('Draft Engine'!$B$87:$B$160,$N46)</f>
        <v>Michael Wilson</v>
      </c>
      <c r="C46" s="4">
        <f>INDEX('Draft Engine'!$E$87:$E$160,$N46)</f>
        <v>68.849999999999994</v>
      </c>
      <c r="D46" t="str">
        <f t="shared" si="1"/>
        <v>TIER 6</v>
      </c>
      <c r="E46">
        <f>INDEX('Draft Engine'!$G$87:$G$160,$N46)</f>
        <v>219.2</v>
      </c>
      <c r="F46">
        <f>INDEX('Draft Engine'!$J$87:$J$160,$N46)</f>
        <v>-20.100000000000001</v>
      </c>
      <c r="G46">
        <f>INDEX('Draft Engine'!$N$87:$N$160,$N46)</f>
        <v>51.416166666666662</v>
      </c>
      <c r="H46">
        <f>INDEX('Draft Engine'!$Q$87:$Q$160,$N46)</f>
        <v>123</v>
      </c>
      <c r="I46">
        <f>INDEX('Draft Engine'!$R$87:$R$160,$N46)</f>
        <v>88.6</v>
      </c>
      <c r="J46">
        <f>INDEX('Draft Engine'!$S$87:$S$160,$N46)</f>
        <v>-34.400000000000006</v>
      </c>
      <c r="K46" t="str">
        <f>INDEX('Draft Engine'!$T$87:$T$160,$N46)</f>
        <v>C</v>
      </c>
      <c r="L46" t="str">
        <f>INDEX('LIVE SOURCE'!$H$87:$H$160,$N46)</f>
        <v>FLEX/bench receiver; needs target growth or efficiency spikes.</v>
      </c>
      <c r="M46" t="str">
        <f>INDEX('LIVE SOURCE'!$J$87:$J$160,$N46)</f>
        <v>Target competition, quarterback efficiency and touchdown regression are the main downside paths.</v>
      </c>
      <c r="N46" s="6">
        <f>MATCH($A46,'Draft Engine'!$F$87:$F$160,0)</f>
        <v>46</v>
      </c>
    </row>
    <row r="47" spans="1:14" x14ac:dyDescent="0.25">
      <c r="A47">
        <f>45</f>
        <v>45</v>
      </c>
      <c r="B47" t="str">
        <f>INDEX('Draft Engine'!$B$87:$B$160,$N47)</f>
        <v>Courtland Sutton</v>
      </c>
      <c r="C47" s="4">
        <f>INDEX('Draft Engine'!$E$87:$E$160,$N47)</f>
        <v>68.722499999999997</v>
      </c>
      <c r="D47" t="str">
        <f t="shared" si="1"/>
        <v>TIER 6</v>
      </c>
      <c r="E47">
        <f>INDEX('Draft Engine'!$G$87:$G$160,$N47)</f>
        <v>218.6</v>
      </c>
      <c r="F47">
        <f>INDEX('Draft Engine'!$J$87:$J$160,$N47)</f>
        <v>-20.7</v>
      </c>
      <c r="G47">
        <f>INDEX('Draft Engine'!$N$87:$N$160,$N47)</f>
        <v>50.904708333333339</v>
      </c>
      <c r="H47">
        <f>INDEX('Draft Engine'!$Q$87:$Q$160,$N47)</f>
        <v>126</v>
      </c>
      <c r="I47">
        <f>INDEX('Draft Engine'!$R$87:$R$160,$N47)</f>
        <v>59.6</v>
      </c>
      <c r="J47">
        <f>INDEX('Draft Engine'!$S$87:$S$160,$N47)</f>
        <v>-66.400000000000006</v>
      </c>
      <c r="K47" t="str">
        <f>INDEX('Draft Engine'!$T$87:$T$160,$N47)</f>
        <v>C</v>
      </c>
      <c r="L47" t="str">
        <f>INDEX('LIVE SOURCE'!$H$87:$H$160,$N47)</f>
        <v>FLEX/bench receiver; needs target growth or efficiency spikes.</v>
      </c>
      <c r="M47" t="str">
        <f>INDEX('LIVE SOURCE'!$J$87:$J$160,$N47)</f>
        <v>Target competition, quarterback efficiency and touchdown regression are the main downside paths.</v>
      </c>
      <c r="N47" s="6">
        <f>MATCH($A47,'Draft Engine'!$F$87:$F$160,0)</f>
        <v>34</v>
      </c>
    </row>
    <row r="48" spans="1:14" x14ac:dyDescent="0.25">
      <c r="A48">
        <f>46</f>
        <v>46</v>
      </c>
      <c r="B48" t="str">
        <f>INDEX('Draft Engine'!$B$87:$B$160,$N48)</f>
        <v>Xavier Worthy</v>
      </c>
      <c r="C48" s="4">
        <f>INDEX('Draft Engine'!$E$87:$E$160,$N48)</f>
        <v>68.180000000000007</v>
      </c>
      <c r="D48" t="str">
        <f t="shared" si="1"/>
        <v>TIER 6</v>
      </c>
      <c r="E48">
        <f>INDEX('Draft Engine'!$G$87:$G$160,$N48)</f>
        <v>216.4</v>
      </c>
      <c r="F48">
        <f>INDEX('Draft Engine'!$J$87:$J$160,$N48)</f>
        <v>-22.9</v>
      </c>
      <c r="G48">
        <f>INDEX('Draft Engine'!$N$87:$N$160,$N48)</f>
        <v>49.87700000000001</v>
      </c>
      <c r="H48">
        <f>INDEX('Draft Engine'!$Q$87:$Q$160,$N48)</f>
        <v>128</v>
      </c>
      <c r="I48">
        <f>INDEX('Draft Engine'!$R$87:$R$160,$N48)</f>
        <v>105.9</v>
      </c>
      <c r="J48">
        <f>INDEX('Draft Engine'!$S$87:$S$160,$N48)</f>
        <v>-22.099999999999994</v>
      </c>
      <c r="K48" t="str">
        <f>INDEX('Draft Engine'!$T$87:$T$160,$N48)</f>
        <v>C</v>
      </c>
      <c r="L48" t="str">
        <f>INDEX('LIVE SOURCE'!$H$87:$H$160,$N48)</f>
        <v>FLEX/bench receiver; needs target growth or efficiency spikes.</v>
      </c>
      <c r="M48" t="str">
        <f>INDEX('LIVE SOURCE'!$J$87:$J$160,$N48)</f>
        <v>Target competition, quarterback efficiency and touchdown regression are the main downside paths.</v>
      </c>
      <c r="N48" s="6">
        <f>MATCH($A48,'Draft Engine'!$F$87:$F$160,0)</f>
        <v>47</v>
      </c>
    </row>
    <row r="49" spans="1:14" x14ac:dyDescent="0.25">
      <c r="A49">
        <f>47</f>
        <v>47</v>
      </c>
      <c r="B49" t="str">
        <f>INDEX('Draft Engine'!$B$87:$B$160,$N49)</f>
        <v>Matthew Golden</v>
      </c>
      <c r="C49" s="4">
        <f>INDEX('Draft Engine'!$E$87:$E$160,$N49)</f>
        <v>67.510000000000005</v>
      </c>
      <c r="D49" t="str">
        <f t="shared" si="1"/>
        <v>TIER 6</v>
      </c>
      <c r="E49">
        <f>INDEX('Draft Engine'!$G$87:$G$160,$N49)</f>
        <v>213.5</v>
      </c>
      <c r="F49">
        <f>INDEX('Draft Engine'!$J$87:$J$160,$N49)</f>
        <v>-25.8</v>
      </c>
      <c r="G49">
        <f>INDEX('Draft Engine'!$N$87:$N$160,$N49)</f>
        <v>48.653166666666671</v>
      </c>
      <c r="H49">
        <f>INDEX('Draft Engine'!$Q$87:$Q$160,$N49)</f>
        <v>152</v>
      </c>
      <c r="I49">
        <f>INDEX('Draft Engine'!$R$87:$R$160,$N49)</f>
        <v>122.6</v>
      </c>
      <c r="J49">
        <f>INDEX('Draft Engine'!$S$87:$S$160,$N49)</f>
        <v>-29.400000000000006</v>
      </c>
      <c r="K49" t="str">
        <f>INDEX('Draft Engine'!$T$87:$T$160,$N49)</f>
        <v>C</v>
      </c>
      <c r="L49" t="str">
        <f>INDEX('LIVE SOURCE'!$H$87:$H$160,$N49)</f>
        <v>FLEX/bench receiver; needs target growth or efficiency spikes.</v>
      </c>
      <c r="M49" t="str">
        <f>INDEX('LIVE SOURCE'!$J$87:$J$160,$N49)</f>
        <v>Evidence is thinner than for established veterans, so camp, depth-chart and role news can move the grade materially.</v>
      </c>
      <c r="N49" s="6">
        <f>MATCH($A49,'Draft Engine'!$F$87:$F$160,0)</f>
        <v>48</v>
      </c>
    </row>
    <row r="50" spans="1:14" x14ac:dyDescent="0.25">
      <c r="A50">
        <f>48</f>
        <v>48</v>
      </c>
      <c r="B50" t="str">
        <f>INDEX('Draft Engine'!$B$87:$B$160,$N50)</f>
        <v>Brian Thomas Jr.</v>
      </c>
      <c r="C50" s="4">
        <f>INDEX('Draft Engine'!$E$87:$E$160,$N50)</f>
        <v>66.967500000000001</v>
      </c>
      <c r="D50" t="str">
        <f t="shared" si="1"/>
        <v>TIER 6</v>
      </c>
      <c r="E50">
        <f>INDEX('Draft Engine'!$G$87:$G$160,$N50)</f>
        <v>211.3</v>
      </c>
      <c r="F50">
        <f>INDEX('Draft Engine'!$J$87:$J$160,$N50)</f>
        <v>-28</v>
      </c>
      <c r="G50">
        <f>INDEX('Draft Engine'!$N$87:$N$160,$N50)</f>
        <v>47.625458333333341</v>
      </c>
      <c r="H50">
        <f>INDEX('Draft Engine'!$Q$87:$Q$160,$N50)</f>
        <v>154</v>
      </c>
      <c r="I50">
        <f>INDEX('Draft Engine'!$R$87:$R$160,$N50)</f>
        <v>81.099999999999994</v>
      </c>
      <c r="J50">
        <f>INDEX('Draft Engine'!$S$87:$S$160,$N50)</f>
        <v>-72.900000000000006</v>
      </c>
      <c r="K50" t="str">
        <f>INDEX('Draft Engine'!$T$87:$T$160,$N50)</f>
        <v>C</v>
      </c>
      <c r="L50" t="str">
        <f>INDEX('LIVE SOURCE'!$H$87:$H$160,$N50)</f>
        <v>FLEX/bench receiver; needs target growth or efficiency spikes.</v>
      </c>
      <c r="M50" t="str">
        <f>INDEX('LIVE SOURCE'!$J$87:$J$160,$N50)</f>
        <v>Target competition, quarterback efficiency and touchdown regression are the main downside paths.</v>
      </c>
      <c r="N50" s="6">
        <f>MATCH($A50,'Draft Engine'!$F$87:$F$160,0)</f>
        <v>40</v>
      </c>
    </row>
    <row r="51" spans="1:14" x14ac:dyDescent="0.25">
      <c r="A51">
        <f>49</f>
        <v>49</v>
      </c>
      <c r="B51" t="str">
        <f>INDEX('Draft Engine'!$B$87:$B$160,$N51)</f>
        <v>Josh Downs</v>
      </c>
      <c r="C51" s="4">
        <f>INDEX('Draft Engine'!$E$87:$E$160,$N51)</f>
        <v>66.84</v>
      </c>
      <c r="D51" t="str">
        <f t="shared" si="1"/>
        <v>TIER 6</v>
      </c>
      <c r="E51">
        <f>INDEX('Draft Engine'!$G$87:$G$160,$N51)</f>
        <v>210.7</v>
      </c>
      <c r="F51">
        <f>INDEX('Draft Engine'!$J$87:$J$160,$N51)</f>
        <v>-28.6</v>
      </c>
      <c r="G51">
        <f>INDEX('Draft Engine'!$N$87:$N$160,$N51)</f>
        <v>47.114000000000004</v>
      </c>
      <c r="H51">
        <f>INDEX('Draft Engine'!$Q$87:$Q$160,$N51)</f>
        <v>156</v>
      </c>
      <c r="I51">
        <f>INDEX('Draft Engine'!$R$87:$R$160,$N51)</f>
        <v>92.1</v>
      </c>
      <c r="J51">
        <f>INDEX('Draft Engine'!$S$87:$S$160,$N51)</f>
        <v>-63.900000000000006</v>
      </c>
      <c r="K51" t="str">
        <f>INDEX('Draft Engine'!$T$87:$T$160,$N51)</f>
        <v>C</v>
      </c>
      <c r="L51" t="str">
        <f>INDEX('LIVE SOURCE'!$H$87:$H$160,$N51)</f>
        <v>FLEX/bench receiver; needs target growth or efficiency spikes.</v>
      </c>
      <c r="M51" t="str">
        <f>INDEX('LIVE SOURCE'!$J$87:$J$160,$N51)</f>
        <v>Target competition, quarterback efficiency and touchdown regression are the main downside paths.</v>
      </c>
      <c r="N51" s="6">
        <f>MATCH($A51,'Draft Engine'!$F$87:$F$160,0)</f>
        <v>49</v>
      </c>
    </row>
    <row r="52" spans="1:14" x14ac:dyDescent="0.25">
      <c r="A52">
        <f>50</f>
        <v>50</v>
      </c>
      <c r="B52" t="str">
        <f>INDEX('Draft Engine'!$B$87:$B$160,$N52)</f>
        <v>Jayden Reed</v>
      </c>
      <c r="C52" s="4">
        <f>INDEX('Draft Engine'!$E$87:$E$160,$N52)</f>
        <v>66.17</v>
      </c>
      <c r="D52" t="str">
        <f t="shared" si="1"/>
        <v>TIER 6</v>
      </c>
      <c r="E52">
        <f>INDEX('Draft Engine'!$G$87:$G$160,$N52)</f>
        <v>207.9</v>
      </c>
      <c r="F52">
        <f>INDEX('Draft Engine'!$J$87:$J$160,$N52)</f>
        <v>-31.4</v>
      </c>
      <c r="G52">
        <f>INDEX('Draft Engine'!$N$87:$N$160,$N52)</f>
        <v>45.908166666666666</v>
      </c>
      <c r="H52">
        <f>INDEX('Draft Engine'!$Q$87:$Q$160,$N52)</f>
        <v>160</v>
      </c>
      <c r="I52">
        <f>INDEX('Draft Engine'!$R$87:$R$160,$N52)</f>
        <v>97.2</v>
      </c>
      <c r="J52">
        <f>INDEX('Draft Engine'!$S$87:$S$160,$N52)</f>
        <v>-62.8</v>
      </c>
      <c r="K52" t="str">
        <f>INDEX('Draft Engine'!$T$87:$T$160,$N52)</f>
        <v>C</v>
      </c>
      <c r="L52" t="str">
        <f>INDEX('LIVE SOURCE'!$H$87:$H$160,$N52)</f>
        <v>FLEX/bench receiver; needs target growth or efficiency spikes.</v>
      </c>
      <c r="M52" t="str">
        <f>INDEX('LIVE SOURCE'!$J$87:$J$160,$N52)</f>
        <v>Evidence is thinner than for established veterans, so camp, depth-chart and role news can move the grade materially.</v>
      </c>
      <c r="N52" s="6">
        <f>MATCH($A52,'Draft Engine'!$F$87:$F$160,0)</f>
        <v>50</v>
      </c>
    </row>
    <row r="53" spans="1:14" x14ac:dyDescent="0.25">
      <c r="A53">
        <f>51</f>
        <v>51</v>
      </c>
      <c r="B53" t="str">
        <f>INDEX('Draft Engine'!$B$87:$B$160,$N53)</f>
        <v>Khalil Shakir</v>
      </c>
      <c r="C53" s="4">
        <f>INDEX('Draft Engine'!$E$87:$E$160,$N53)</f>
        <v>65.5</v>
      </c>
      <c r="D53" t="str">
        <f t="shared" si="1"/>
        <v>TIER 6</v>
      </c>
      <c r="E53">
        <f>INDEX('Draft Engine'!$G$87:$G$160,$N53)</f>
        <v>205.1</v>
      </c>
      <c r="F53">
        <f>INDEX('Draft Engine'!$J$87:$J$160,$N53)</f>
        <v>-34.200000000000003</v>
      </c>
      <c r="G53">
        <f>INDEX('Draft Engine'!$N$87:$N$160,$N53)</f>
        <v>44.869000000000007</v>
      </c>
      <c r="H53">
        <f>INDEX('Draft Engine'!$Q$87:$Q$160,$N53)</f>
        <v>162</v>
      </c>
      <c r="I53">
        <f>INDEX('Draft Engine'!$R$87:$R$160,$N53)</f>
        <v>102</v>
      </c>
      <c r="J53">
        <f>INDEX('Draft Engine'!$S$87:$S$160,$N53)</f>
        <v>-60</v>
      </c>
      <c r="K53" t="str">
        <f>INDEX('Draft Engine'!$T$87:$T$160,$N53)</f>
        <v>C</v>
      </c>
      <c r="L53" t="str">
        <f>INDEX('LIVE SOURCE'!$H$87:$H$160,$N53)</f>
        <v>Late-round bench upside; role growth is required for weekly relevance.</v>
      </c>
      <c r="M53" t="str">
        <f>INDEX('LIVE SOURCE'!$J$87:$J$160,$N53)</f>
        <v>Target competition, quarterback efficiency and touchdown regression are the main downside paths.</v>
      </c>
      <c r="N53" s="6">
        <f>MATCH($A53,'Draft Engine'!$F$87:$F$160,0)</f>
        <v>51</v>
      </c>
    </row>
    <row r="54" spans="1:14" x14ac:dyDescent="0.25">
      <c r="A54">
        <f>52</f>
        <v>52</v>
      </c>
      <c r="B54" t="str">
        <f>INDEX('Draft Engine'!$B$87:$B$160,$N54)</f>
        <v>Jalin Hyatt</v>
      </c>
      <c r="C54" s="4">
        <f>INDEX('Draft Engine'!$E$87:$E$160,$N54)</f>
        <v>64.83</v>
      </c>
      <c r="D54" t="str">
        <f t="shared" si="1"/>
        <v>TIER 7</v>
      </c>
      <c r="E54">
        <f>INDEX('Draft Engine'!$G$87:$G$160,$N54)</f>
        <v>202.3</v>
      </c>
      <c r="F54">
        <f>INDEX('Draft Engine'!$J$87:$J$160,$N54)</f>
        <v>-37</v>
      </c>
      <c r="G54">
        <f>INDEX('Draft Engine'!$N$87:$N$160,$N54)</f>
        <v>43.996499999999997</v>
      </c>
      <c r="H54">
        <f>INDEX('Draft Engine'!$Q$87:$Q$160,$N54)</f>
        <v>164</v>
      </c>
      <c r="I54">
        <f>INDEX('Draft Engine'!$R$87:$R$160,$N54)</f>
        <v>201.9</v>
      </c>
      <c r="J54">
        <f>INDEX('Draft Engine'!$S$87:$S$160,$N54)</f>
        <v>37.900000000000006</v>
      </c>
      <c r="K54" t="str">
        <f>INDEX('Draft Engine'!$T$87:$T$160,$N54)</f>
        <v>C</v>
      </c>
      <c r="L54" t="str">
        <f>INDEX('LIVE SOURCE'!$H$87:$H$160,$N54)</f>
        <v>Late-round bench upside; role growth is required for weekly relevance.</v>
      </c>
      <c r="M54" t="str">
        <f>INDEX('LIVE SOURCE'!$J$87:$J$160,$N54)</f>
        <v>Evidence is thinner than for established veterans, so camp, depth-chart and role news can move the grade materially.</v>
      </c>
      <c r="N54" s="6">
        <f>MATCH($A54,'Draft Engine'!$F$87:$F$160,0)</f>
        <v>52</v>
      </c>
    </row>
    <row r="55" spans="1:14" x14ac:dyDescent="0.25">
      <c r="A55">
        <f>53</f>
        <v>53</v>
      </c>
      <c r="B55" t="str">
        <f>INDEX('Draft Engine'!$B$87:$B$160,$N55)</f>
        <v>Romeo Doubs</v>
      </c>
      <c r="C55" s="4">
        <f>INDEX('Draft Engine'!$E$87:$E$160,$N55)</f>
        <v>64.16</v>
      </c>
      <c r="D55" t="str">
        <f t="shared" si="1"/>
        <v>TIER 7</v>
      </c>
      <c r="E55">
        <f>INDEX('Draft Engine'!$G$87:$G$160,$N55)</f>
        <v>199.5</v>
      </c>
      <c r="F55">
        <f>INDEX('Draft Engine'!$J$87:$J$160,$N55)</f>
        <v>-39.799999999999997</v>
      </c>
      <c r="G55">
        <f>INDEX('Draft Engine'!$N$87:$N$160,$N55)</f>
        <v>43.124000000000002</v>
      </c>
      <c r="H55">
        <f>INDEX('Draft Engine'!$Q$87:$Q$160,$N55)</f>
        <v>169</v>
      </c>
      <c r="I55">
        <f>INDEX('Draft Engine'!$R$87:$R$160,$N55)</f>
        <v>116</v>
      </c>
      <c r="J55">
        <f>INDEX('Draft Engine'!$S$87:$S$160,$N55)</f>
        <v>-53</v>
      </c>
      <c r="K55" t="str">
        <f>INDEX('Draft Engine'!$T$87:$T$160,$N55)</f>
        <v>C</v>
      </c>
      <c r="L55" t="str">
        <f>INDEX('LIVE SOURCE'!$H$87:$H$160,$N55)</f>
        <v>Late-round bench upside; role growth is required for weekly relevance.</v>
      </c>
      <c r="M55" t="str">
        <f>INDEX('LIVE SOURCE'!$J$87:$J$160,$N55)</f>
        <v>Target competition, quarterback efficiency and touchdown regression are the main downside paths.</v>
      </c>
      <c r="N55" s="6">
        <f>MATCH($A55,'Draft Engine'!$F$87:$F$160,0)</f>
        <v>53</v>
      </c>
    </row>
    <row r="56" spans="1:14" x14ac:dyDescent="0.25">
      <c r="A56">
        <f>54</f>
        <v>54</v>
      </c>
      <c r="B56" t="str">
        <f>INDEX('Draft Engine'!$B$87:$B$160,$N56)</f>
        <v>Jalen Coker</v>
      </c>
      <c r="C56" s="4">
        <f>INDEX('Draft Engine'!$E$87:$E$160,$N56)</f>
        <v>63.49</v>
      </c>
      <c r="D56" t="str">
        <f t="shared" si="1"/>
        <v>TIER 7</v>
      </c>
      <c r="E56">
        <f>INDEX('Draft Engine'!$G$87:$G$160,$N56)</f>
        <v>196.7</v>
      </c>
      <c r="F56">
        <f>INDEX('Draft Engine'!$J$87:$J$160,$N56)</f>
        <v>-42.6</v>
      </c>
      <c r="G56">
        <f>INDEX('Draft Engine'!$N$87:$N$160,$N56)</f>
        <v>42.251500000000007</v>
      </c>
      <c r="H56">
        <f>INDEX('Draft Engine'!$Q$87:$Q$160,$N56)</f>
        <v>171</v>
      </c>
      <c r="I56">
        <f>INDEX('Draft Engine'!$R$87:$R$160,$N56)</f>
        <v>127.3</v>
      </c>
      <c r="J56">
        <f>INDEX('Draft Engine'!$S$87:$S$160,$N56)</f>
        <v>-43.7</v>
      </c>
      <c r="K56" t="str">
        <f>INDEX('Draft Engine'!$T$87:$T$160,$N56)</f>
        <v>C</v>
      </c>
      <c r="L56" t="str">
        <f>INDEX('LIVE SOURCE'!$H$87:$H$160,$N56)</f>
        <v>Late-round bench upside; role growth is required for weekly relevance.</v>
      </c>
      <c r="M56" t="str">
        <f>INDEX('LIVE SOURCE'!$J$87:$J$160,$N56)</f>
        <v>Target competition, quarterback efficiency and touchdown regression are the main downside paths.</v>
      </c>
      <c r="N56" s="6">
        <f>MATCH($A56,'Draft Engine'!$F$87:$F$160,0)</f>
        <v>54</v>
      </c>
    </row>
    <row r="57" spans="1:14" x14ac:dyDescent="0.25">
      <c r="A57">
        <f>55</f>
        <v>55</v>
      </c>
      <c r="B57" t="str">
        <f>INDEX('Draft Engine'!$B$87:$B$160,$N57)</f>
        <v>Deebo Samuel</v>
      </c>
      <c r="C57" s="4">
        <f>INDEX('Draft Engine'!$E$87:$E$160,$N57)</f>
        <v>63.2</v>
      </c>
      <c r="D57" t="str">
        <f t="shared" si="1"/>
        <v>TIER 7</v>
      </c>
      <c r="E57">
        <f>INDEX('Draft Engine'!$G$87:$G$160,$N57)</f>
        <v>195.4</v>
      </c>
      <c r="F57">
        <f>INDEX('Draft Engine'!$J$87:$J$160,$N57)</f>
        <v>-43.9</v>
      </c>
      <c r="G57">
        <f>INDEX('Draft Engine'!$N$87:$N$160,$N57)</f>
        <v>41.858000000000004</v>
      </c>
      <c r="H57">
        <f>INDEX('Draft Engine'!$Q$87:$Q$160,$N57)</f>
        <v>173</v>
      </c>
      <c r="I57">
        <f>INDEX('Draft Engine'!$R$87:$R$160,$N57)</f>
        <v>96.2</v>
      </c>
      <c r="J57">
        <f>INDEX('Draft Engine'!$S$87:$S$160,$N57)</f>
        <v>-76.8</v>
      </c>
      <c r="K57" t="str">
        <f>INDEX('Draft Engine'!$T$87:$T$160,$N57)</f>
        <v>C</v>
      </c>
      <c r="L57" t="str">
        <f>INDEX('LIVE SOURCE'!$H$87:$H$160,$N57)</f>
        <v>Added 2026-08-12 from ESPN consensus (WR54).</v>
      </c>
      <c r="M57" t="str">
        <f>INDEX('LIVE SOURCE'!$J$87:$J$160,$N57)</f>
        <v>No model projection behind this rating; it is market consensus only. Re-rate manually if you have a strong opinion.</v>
      </c>
      <c r="N57" s="6">
        <f>MATCH($A57,'Draft Engine'!$F$87:$F$160,0)</f>
        <v>72</v>
      </c>
    </row>
    <row r="58" spans="1:14" x14ac:dyDescent="0.25">
      <c r="A58">
        <f>56</f>
        <v>56</v>
      </c>
      <c r="B58" t="str">
        <f>INDEX('Draft Engine'!$B$87:$B$160,$N58)</f>
        <v>KC Concepcion</v>
      </c>
      <c r="C58" s="4">
        <f>INDEX('Draft Engine'!$E$87:$E$160,$N58)</f>
        <v>62.82</v>
      </c>
      <c r="D58" t="str">
        <f t="shared" si="1"/>
        <v>TIER 7</v>
      </c>
      <c r="E58">
        <f>INDEX('Draft Engine'!$G$87:$G$160,$N58)</f>
        <v>193.8</v>
      </c>
      <c r="F58">
        <f>INDEX('Draft Engine'!$J$87:$J$160,$N58)</f>
        <v>-45.5</v>
      </c>
      <c r="G58">
        <f>INDEX('Draft Engine'!$N$87:$N$160,$N58)</f>
        <v>41.361000000000004</v>
      </c>
      <c r="H58">
        <f>INDEX('Draft Engine'!$Q$87:$Q$160,$N58)</f>
        <v>175</v>
      </c>
      <c r="I58">
        <f>INDEX('Draft Engine'!$R$87:$R$160,$N58)</f>
        <v>130.69999999999999</v>
      </c>
      <c r="J58">
        <f>INDEX('Draft Engine'!$S$87:$S$160,$N58)</f>
        <v>-44.300000000000011</v>
      </c>
      <c r="K58" t="str">
        <f>INDEX('Draft Engine'!$T$87:$T$160,$N58)</f>
        <v>C</v>
      </c>
      <c r="L58" t="str">
        <f>INDEX('LIVE SOURCE'!$H$87:$H$160,$N58)</f>
        <v>Late-round bench upside; role growth is required for weekly relevance.</v>
      </c>
      <c r="M58" t="str">
        <f>INDEX('LIVE SOURCE'!$J$87:$J$160,$N58)</f>
        <v>NFL translation and exact weekly role are the main variables; preseason first-team usage can move this rating quickly.</v>
      </c>
      <c r="N58" s="6">
        <f>MATCH($A58,'Draft Engine'!$F$87:$F$160,0)</f>
        <v>55</v>
      </c>
    </row>
    <row r="59" spans="1:14" x14ac:dyDescent="0.25">
      <c r="A59">
        <f>57</f>
        <v>57</v>
      </c>
      <c r="B59" t="str">
        <f>INDEX('Draft Engine'!$B$87:$B$160,$N59)</f>
        <v>Rashid Shaheed</v>
      </c>
      <c r="C59" s="4">
        <f>INDEX('Draft Engine'!$E$87:$E$160,$N59)</f>
        <v>62.15</v>
      </c>
      <c r="D59" t="str">
        <f t="shared" si="1"/>
        <v>TIER 7</v>
      </c>
      <c r="E59">
        <f>INDEX('Draft Engine'!$G$87:$G$160,$N59)</f>
        <v>191</v>
      </c>
      <c r="F59">
        <f>INDEX('Draft Engine'!$J$87:$J$160,$N59)</f>
        <v>-48.3</v>
      </c>
      <c r="G59">
        <f>INDEX('Draft Engine'!$N$87:$N$160,$N59)</f>
        <v>40.488500000000002</v>
      </c>
      <c r="H59">
        <f>INDEX('Draft Engine'!$Q$87:$Q$160,$N59)</f>
        <v>178</v>
      </c>
      <c r="I59">
        <f>INDEX('Draft Engine'!$R$87:$R$160,$N59)</f>
        <v>121.9</v>
      </c>
      <c r="J59">
        <f>INDEX('Draft Engine'!$S$87:$S$160,$N59)</f>
        <v>-56.099999999999994</v>
      </c>
      <c r="K59" t="str">
        <f>INDEX('Draft Engine'!$T$87:$T$160,$N59)</f>
        <v>C</v>
      </c>
      <c r="L59" t="str">
        <f>INDEX('LIVE SOURCE'!$H$87:$H$160,$N59)</f>
        <v>Late-round bench upside; role growth is required for weekly relevance.</v>
      </c>
      <c r="M59" t="str">
        <f>INDEX('LIVE SOURCE'!$J$87:$J$160,$N59)</f>
        <v>Target competition, quarterback efficiency and touchdown regression are the main downside paths.</v>
      </c>
      <c r="N59" s="6">
        <f>MATCH($A59,'Draft Engine'!$F$87:$F$160,0)</f>
        <v>56</v>
      </c>
    </row>
    <row r="60" spans="1:14" x14ac:dyDescent="0.25">
      <c r="A60">
        <f>58</f>
        <v>58</v>
      </c>
      <c r="B60" t="str">
        <f>INDEX('Draft Engine'!$B$87:$B$160,$N60)</f>
        <v>Jayden Higgins</v>
      </c>
      <c r="C60" s="4">
        <f>INDEX('Draft Engine'!$E$87:$E$160,$N60)</f>
        <v>62.1</v>
      </c>
      <c r="D60" t="str">
        <f t="shared" si="1"/>
        <v>TIER 7</v>
      </c>
      <c r="E60">
        <f>INDEX('Draft Engine'!$G$87:$G$160,$N60)</f>
        <v>190.8</v>
      </c>
      <c r="F60">
        <f>INDEX('Draft Engine'!$J$87:$J$160,$N60)</f>
        <v>-48.5</v>
      </c>
      <c r="G60">
        <f>INDEX('Draft Engine'!$N$87:$N$160,$N60)</f>
        <v>40.425000000000004</v>
      </c>
      <c r="H60">
        <f>INDEX('Draft Engine'!$Q$87:$Q$160,$N60)</f>
        <v>179</v>
      </c>
      <c r="I60">
        <f>INDEX('Draft Engine'!$R$87:$R$160,$N60)</f>
        <v>137.1</v>
      </c>
      <c r="J60">
        <f>INDEX('Draft Engine'!$S$87:$S$160,$N60)</f>
        <v>-41.900000000000006</v>
      </c>
      <c r="K60" t="str">
        <f>INDEX('Draft Engine'!$T$87:$T$160,$N60)</f>
        <v>C</v>
      </c>
      <c r="L60" t="str">
        <f>INDEX('LIVE SOURCE'!$H$87:$H$160,$N60)</f>
        <v>Added 2026-08-12 from ESPN consensus (WR56).</v>
      </c>
      <c r="M60" t="str">
        <f>INDEX('LIVE SOURCE'!$J$87:$J$160,$N60)</f>
        <v>No model projection behind this rating; it is market consensus only. Re-rate manually if you have a strong opinion.</v>
      </c>
      <c r="N60" s="6">
        <f>MATCH($A60,'Draft Engine'!$F$87:$F$160,0)</f>
        <v>73</v>
      </c>
    </row>
    <row r="61" spans="1:14" x14ac:dyDescent="0.25">
      <c r="A61">
        <f>59</f>
        <v>59</v>
      </c>
      <c r="B61" t="str">
        <f>INDEX('Draft Engine'!$B$87:$B$160,$N61)</f>
        <v>Calvin Ridley</v>
      </c>
      <c r="C61" s="4">
        <f>INDEX('Draft Engine'!$E$87:$E$160,$N61)</f>
        <v>61.48</v>
      </c>
      <c r="D61" t="str">
        <f t="shared" si="1"/>
        <v>TIER 7</v>
      </c>
      <c r="E61">
        <f>INDEX('Draft Engine'!$G$87:$G$160,$N61)</f>
        <v>188.2</v>
      </c>
      <c r="F61">
        <f>INDEX('Draft Engine'!$J$87:$J$160,$N61)</f>
        <v>-51.1</v>
      </c>
      <c r="G61">
        <f>INDEX('Draft Engine'!$N$87:$N$160,$N61)</f>
        <v>39.616</v>
      </c>
      <c r="H61">
        <f>INDEX('Draft Engine'!$Q$87:$Q$160,$N61)</f>
        <v>183</v>
      </c>
      <c r="I61">
        <f>INDEX('Draft Engine'!$R$87:$R$160,$N61)</f>
        <v>132.80000000000001</v>
      </c>
      <c r="J61">
        <f>INDEX('Draft Engine'!$S$87:$S$160,$N61)</f>
        <v>-50.199999999999989</v>
      </c>
      <c r="K61" t="str">
        <f>INDEX('Draft Engine'!$T$87:$T$160,$N61)</f>
        <v>C</v>
      </c>
      <c r="L61" t="str">
        <f>INDEX('LIVE SOURCE'!$H$87:$H$160,$N61)</f>
        <v>Late-round bench upside; role growth is required for weekly relevance.</v>
      </c>
      <c r="M61" t="str">
        <f>INDEX('LIVE SOURCE'!$J$87:$J$160,$N61)</f>
        <v>Evidence is thinner than for established veterans, so camp, depth-chart and role news can move the grade materially.</v>
      </c>
      <c r="N61" s="6">
        <f>MATCH($A61,'Draft Engine'!$F$87:$F$160,0)</f>
        <v>57</v>
      </c>
    </row>
    <row r="62" spans="1:14" x14ac:dyDescent="0.25">
      <c r="A62">
        <f>60</f>
        <v>60</v>
      </c>
      <c r="B62" t="str">
        <f>INDEX('Draft Engine'!$B$87:$B$160,$N62)</f>
        <v>Omar Cooper Jr.</v>
      </c>
      <c r="C62" s="4">
        <f>INDEX('Draft Engine'!$E$87:$E$160,$N62)</f>
        <v>60.81</v>
      </c>
      <c r="D62" t="str">
        <f t="shared" si="1"/>
        <v>TIER 7</v>
      </c>
      <c r="E62">
        <f>INDEX('Draft Engine'!$G$87:$G$160,$N62)</f>
        <v>185.4</v>
      </c>
      <c r="F62">
        <f>INDEX('Draft Engine'!$J$87:$J$160,$N62)</f>
        <v>-53.9</v>
      </c>
      <c r="G62">
        <f>INDEX('Draft Engine'!$N$87:$N$160,$N62)</f>
        <v>38.743500000000004</v>
      </c>
      <c r="H62">
        <f>INDEX('Draft Engine'!$Q$87:$Q$160,$N62)</f>
        <v>184</v>
      </c>
      <c r="I62">
        <f>INDEX('Draft Engine'!$R$87:$R$160,$N62)</f>
        <v>165.4</v>
      </c>
      <c r="J62">
        <f>INDEX('Draft Engine'!$S$87:$S$160,$N62)</f>
        <v>-18.599999999999994</v>
      </c>
      <c r="K62" t="str">
        <f>INDEX('Draft Engine'!$T$87:$T$160,$N62)</f>
        <v>C</v>
      </c>
      <c r="L62" t="str">
        <f>INDEX('LIVE SOURCE'!$H$87:$H$160,$N62)</f>
        <v>Late-round bench upside; role growth is required for weekly relevance.</v>
      </c>
      <c r="M62" t="str">
        <f>INDEX('LIVE SOURCE'!$J$87:$J$160,$N62)</f>
        <v>NFL translation and exact weekly role are the main variables; preseason first-team usage can move this rating quickly.</v>
      </c>
      <c r="N62" s="6">
        <f>MATCH($A62,'Draft Engine'!$F$87:$F$160,0)</f>
        <v>58</v>
      </c>
    </row>
    <row r="63" spans="1:14" x14ac:dyDescent="0.25">
      <c r="A63">
        <f>61</f>
        <v>61</v>
      </c>
      <c r="B63" t="str">
        <f>INDEX('Draft Engine'!$B$87:$B$160,$N63)</f>
        <v>Jerry Jeudy</v>
      </c>
      <c r="C63" s="4">
        <f>INDEX('Draft Engine'!$E$87:$E$160,$N63)</f>
        <v>60.14</v>
      </c>
      <c r="D63" t="str">
        <f t="shared" si="1"/>
        <v>TIER 7</v>
      </c>
      <c r="E63">
        <f>INDEX('Draft Engine'!$G$87:$G$160,$N63)</f>
        <v>182.6</v>
      </c>
      <c r="F63">
        <f>INDEX('Draft Engine'!$J$87:$J$160,$N63)</f>
        <v>-56.7</v>
      </c>
      <c r="G63">
        <f>INDEX('Draft Engine'!$N$87:$N$160,$N63)</f>
        <v>37.871000000000002</v>
      </c>
      <c r="H63">
        <f>INDEX('Draft Engine'!$Q$87:$Q$160,$N63)</f>
        <v>186</v>
      </c>
      <c r="I63">
        <f>INDEX('Draft Engine'!$R$87:$R$160,$N63)</f>
        <v>134.69999999999999</v>
      </c>
      <c r="J63">
        <f>INDEX('Draft Engine'!$S$87:$S$160,$N63)</f>
        <v>-51.300000000000011</v>
      </c>
      <c r="K63" t="str">
        <f>INDEX('Draft Engine'!$T$87:$T$160,$N63)</f>
        <v>C</v>
      </c>
      <c r="L63" t="str">
        <f>INDEX('LIVE SOURCE'!$H$87:$H$160,$N63)</f>
        <v>Late-round bench upside; role growth is required for weekly relevance.</v>
      </c>
      <c r="M63" t="str">
        <f>INDEX('LIVE SOURCE'!$J$87:$J$160,$N63)</f>
        <v>Target competition, quarterback efficiency and touchdown regression are the main downside paths.</v>
      </c>
      <c r="N63" s="6">
        <f>MATCH($A63,'Draft Engine'!$F$87:$F$160,0)</f>
        <v>59</v>
      </c>
    </row>
    <row r="64" spans="1:14" x14ac:dyDescent="0.25">
      <c r="A64">
        <f>62</f>
        <v>62</v>
      </c>
      <c r="B64" t="str">
        <f>INDEX('Draft Engine'!$B$87:$B$160,$N64)</f>
        <v>Tank Dell</v>
      </c>
      <c r="C64" s="4">
        <f>INDEX('Draft Engine'!$E$87:$E$160,$N64)</f>
        <v>60.1</v>
      </c>
      <c r="D64" t="str">
        <f t="shared" si="1"/>
        <v>TIER 7</v>
      </c>
      <c r="E64">
        <f>INDEX('Draft Engine'!$G$87:$G$160,$N64)</f>
        <v>182.4</v>
      </c>
      <c r="F64">
        <f>INDEX('Draft Engine'!$J$87:$J$160,$N64)</f>
        <v>-56.9</v>
      </c>
      <c r="G64">
        <f>INDEX('Draft Engine'!$N$87:$N$160,$N64)</f>
        <v>37.813000000000009</v>
      </c>
      <c r="H64">
        <f>INDEX('Draft Engine'!$Q$87:$Q$160,$N64)</f>
        <v>187</v>
      </c>
      <c r="I64">
        <f>INDEX('Draft Engine'!$R$87:$R$160,$N64)</f>
        <v>146.6</v>
      </c>
      <c r="J64">
        <f>INDEX('Draft Engine'!$S$87:$S$160,$N64)</f>
        <v>-40.400000000000006</v>
      </c>
      <c r="K64" t="str">
        <f>INDEX('Draft Engine'!$T$87:$T$160,$N64)</f>
        <v>C</v>
      </c>
      <c r="L64" t="str">
        <f>INDEX('LIVE SOURCE'!$H$87:$H$160,$N64)</f>
        <v>Added 2026-08-12 from ESPN consensus (WR56).</v>
      </c>
      <c r="M64" t="str">
        <f>INDEX('LIVE SOURCE'!$J$87:$J$160,$N64)</f>
        <v>No model projection behind this rating; it is market consensus only. Re-rate manually if you have a strong opinion.</v>
      </c>
      <c r="N64" s="6">
        <f>MATCH($A64,'Draft Engine'!$F$87:$F$160,0)</f>
        <v>74</v>
      </c>
    </row>
    <row r="65" spans="1:14" x14ac:dyDescent="0.25">
      <c r="A65">
        <f>63</f>
        <v>63</v>
      </c>
      <c r="B65" t="str">
        <f>INDEX('Draft Engine'!$B$87:$B$160,$N65)</f>
        <v>Jalen Nailor</v>
      </c>
      <c r="C65" s="4">
        <f>INDEX('Draft Engine'!$E$87:$E$160,$N65)</f>
        <v>59.47</v>
      </c>
      <c r="D65" t="str">
        <f t="shared" si="1"/>
        <v>TIER 7</v>
      </c>
      <c r="E65">
        <f>INDEX('Draft Engine'!$G$87:$G$160,$N65)</f>
        <v>179.8</v>
      </c>
      <c r="F65">
        <f>INDEX('Draft Engine'!$J$87:$J$160,$N65)</f>
        <v>-59.5</v>
      </c>
      <c r="G65">
        <f>INDEX('Draft Engine'!$N$87:$N$160,$N65)</f>
        <v>36.9985</v>
      </c>
      <c r="H65">
        <f>INDEX('Draft Engine'!$Q$87:$Q$160,$N65)</f>
        <v>188</v>
      </c>
      <c r="I65">
        <f>INDEX('Draft Engine'!$R$87:$R$160,$N65)</f>
        <v>160.6</v>
      </c>
      <c r="J65">
        <f>INDEX('Draft Engine'!$S$87:$S$160,$N65)</f>
        <v>-27.400000000000006</v>
      </c>
      <c r="K65" t="str">
        <f>INDEX('Draft Engine'!$T$87:$T$160,$N65)</f>
        <v>C</v>
      </c>
      <c r="L65" t="str">
        <f>INDEX('LIVE SOURCE'!$H$87:$H$160,$N65)</f>
        <v>Late-round bench upside; role growth is required for weekly relevance.</v>
      </c>
      <c r="M65" t="str">
        <f>INDEX('LIVE SOURCE'!$J$87:$J$160,$N65)</f>
        <v>Target competition, quarterback efficiency and touchdown regression are the main downside paths.</v>
      </c>
      <c r="N65" s="6">
        <f>MATCH($A65,'Draft Engine'!$F$87:$F$160,0)</f>
        <v>60</v>
      </c>
    </row>
    <row r="66" spans="1:14" x14ac:dyDescent="0.25">
      <c r="A66">
        <f>64</f>
        <v>64</v>
      </c>
      <c r="B66" t="str">
        <f>INDEX('Draft Engine'!$B$87:$B$160,$N66)</f>
        <v>Jalen McMillan</v>
      </c>
      <c r="C66" s="4">
        <f>INDEX('Draft Engine'!$E$87:$E$160,$N66)</f>
        <v>58.8</v>
      </c>
      <c r="D66" t="str">
        <f t="shared" si="1"/>
        <v>TIER 7</v>
      </c>
      <c r="E66">
        <f>INDEX('Draft Engine'!$G$87:$G$160,$N66)</f>
        <v>177</v>
      </c>
      <c r="F66">
        <f>INDEX('Draft Engine'!$J$87:$J$160,$N66)</f>
        <v>-62.3</v>
      </c>
      <c r="G66">
        <f>INDEX('Draft Engine'!$N$87:$N$160,$N66)</f>
        <v>36.126000000000005</v>
      </c>
      <c r="H66">
        <f>INDEX('Draft Engine'!$Q$87:$Q$160,$N66)</f>
        <v>191</v>
      </c>
      <c r="I66">
        <f>INDEX('Draft Engine'!$R$87:$R$160,$N66)</f>
        <v>152.80000000000001</v>
      </c>
      <c r="J66">
        <f>INDEX('Draft Engine'!$S$87:$S$160,$N66)</f>
        <v>-38.199999999999989</v>
      </c>
      <c r="K66" t="str">
        <f>INDEX('Draft Engine'!$T$87:$T$160,$N66)</f>
        <v>C</v>
      </c>
      <c r="L66" t="str">
        <f>INDEX('LIVE SOURCE'!$H$87:$H$160,$N66)</f>
        <v>Late-round bench upside; role growth is required for weekly relevance.</v>
      </c>
      <c r="M66" t="str">
        <f>INDEX('LIVE SOURCE'!$J$87:$J$160,$N66)</f>
        <v>Evidence is thinner than for established veterans, so camp, depth-chart and role news can move the grade materially.</v>
      </c>
      <c r="N66" s="6">
        <f>MATCH($A66,'Draft Engine'!$F$87:$F$160,0)</f>
        <v>61</v>
      </c>
    </row>
    <row r="67" spans="1:14" x14ac:dyDescent="0.25">
      <c r="A67">
        <f>65</f>
        <v>65</v>
      </c>
      <c r="B67" t="str">
        <f>INDEX('Draft Engine'!$B$87:$B$160,$N67)</f>
        <v>Adonai Mitchell</v>
      </c>
      <c r="C67" s="4">
        <f>INDEX('Draft Engine'!$E$87:$E$160,$N67)</f>
        <v>58.13</v>
      </c>
      <c r="D67" t="str">
        <f t="shared" ref="D67:D76" si="2">IF($C67&gt;=95,"ELITE",IF($C67&gt;=90,"TIER 1",IF($C67&gt;=85,"TIER 2",IF($C67&gt;=80,"TIER 3",IF($C67&gt;=75,"TIER 4",IF($C67&gt;=70,"TIER 5",IF($C67&gt;=65,"TIER 6","TIER 7")))))))</f>
        <v>TIER 7</v>
      </c>
      <c r="E67">
        <f>INDEX('Draft Engine'!$G$87:$G$160,$N67)</f>
        <v>174.1</v>
      </c>
      <c r="F67">
        <f>INDEX('Draft Engine'!$J$87:$J$160,$N67)</f>
        <v>-65.2</v>
      </c>
      <c r="G67">
        <f>INDEX('Draft Engine'!$N$87:$N$160,$N67)</f>
        <v>35.235500000000002</v>
      </c>
      <c r="H67">
        <f>INDEX('Draft Engine'!$Q$87:$Q$160,$N67)</f>
        <v>193</v>
      </c>
      <c r="I67">
        <f>INDEX('Draft Engine'!$R$87:$R$160,$N67)</f>
        <v>163.1</v>
      </c>
      <c r="J67">
        <f>INDEX('Draft Engine'!$S$87:$S$160,$N67)</f>
        <v>-29.900000000000006</v>
      </c>
      <c r="K67" t="str">
        <f>INDEX('Draft Engine'!$T$87:$T$160,$N67)</f>
        <v>C</v>
      </c>
      <c r="L67" t="str">
        <f>INDEX('LIVE SOURCE'!$H$87:$H$160,$N67)</f>
        <v>Late-round bench upside; role growth is required for weekly relevance.</v>
      </c>
      <c r="M67" t="str">
        <f>INDEX('LIVE SOURCE'!$J$87:$J$160,$N67)</f>
        <v>Evidence is thinner than for established veterans, so camp, depth-chart and role news can move the grade materially.</v>
      </c>
      <c r="N67" s="6">
        <f>MATCH($A67,'Draft Engine'!$F$87:$F$160,0)</f>
        <v>62</v>
      </c>
    </row>
    <row r="68" spans="1:14" x14ac:dyDescent="0.25">
      <c r="A68">
        <f>66</f>
        <v>66</v>
      </c>
      <c r="B68" t="str">
        <f>INDEX('Draft Engine'!$B$87:$B$160,$N68)</f>
        <v>Isaac TeSlaa</v>
      </c>
      <c r="C68" s="4">
        <f>INDEX('Draft Engine'!$E$87:$E$160,$N68)</f>
        <v>57.46</v>
      </c>
      <c r="D68" t="str">
        <f t="shared" si="2"/>
        <v>TIER 7</v>
      </c>
      <c r="E68">
        <f>INDEX('Draft Engine'!$G$87:$G$160,$N68)</f>
        <v>171.3</v>
      </c>
      <c r="F68">
        <f>INDEX('Draft Engine'!$J$87:$J$160,$N68)</f>
        <v>-68</v>
      </c>
      <c r="G68">
        <f>INDEX('Draft Engine'!$N$87:$N$160,$N68)</f>
        <v>34.363</v>
      </c>
      <c r="H68">
        <f>INDEX('Draft Engine'!$Q$87:$Q$160,$N68)</f>
        <v>194</v>
      </c>
      <c r="I68">
        <f>INDEX('Draft Engine'!$R$87:$R$160,$N68)</f>
        <v>176.3</v>
      </c>
      <c r="J68">
        <f>INDEX('Draft Engine'!$S$87:$S$160,$N68)</f>
        <v>-17.699999999999989</v>
      </c>
      <c r="K68" t="str">
        <f>INDEX('Draft Engine'!$T$87:$T$160,$N68)</f>
        <v>C</v>
      </c>
      <c r="L68" t="str">
        <f>INDEX('LIVE SOURCE'!$H$87:$H$160,$N68)</f>
        <v>Late-round bench upside; role growth is required for weekly relevance.</v>
      </c>
      <c r="M68" t="str">
        <f>INDEX('LIVE SOURCE'!$J$87:$J$160,$N68)</f>
        <v>Target competition, quarterback efficiency and touchdown regression are the main downside paths.</v>
      </c>
      <c r="N68" s="6">
        <f>MATCH($A68,'Draft Engine'!$F$87:$F$160,0)</f>
        <v>63</v>
      </c>
    </row>
    <row r="69" spans="1:14" x14ac:dyDescent="0.25">
      <c r="A69">
        <f>67</f>
        <v>67</v>
      </c>
      <c r="B69" t="str">
        <f>INDEX('Draft Engine'!$B$87:$B$160,$N69)</f>
        <v>Denzel Boston</v>
      </c>
      <c r="C69" s="4">
        <f>INDEX('Draft Engine'!$E$87:$E$160,$N69)</f>
        <v>56.79</v>
      </c>
      <c r="D69" t="str">
        <f t="shared" si="2"/>
        <v>TIER 7</v>
      </c>
      <c r="E69">
        <f>INDEX('Draft Engine'!$G$87:$G$160,$N69)</f>
        <v>168.5</v>
      </c>
      <c r="F69">
        <f>INDEX('Draft Engine'!$J$87:$J$160,$N69)</f>
        <v>-70.8</v>
      </c>
      <c r="G69">
        <f>INDEX('Draft Engine'!$N$87:$N$160,$N69)</f>
        <v>33.490500000000004</v>
      </c>
      <c r="H69">
        <f>INDEX('Draft Engine'!$Q$87:$Q$160,$N69)</f>
        <v>195</v>
      </c>
      <c r="I69">
        <f>INDEX('Draft Engine'!$R$87:$R$160,$N69)</f>
        <v>155.69999999999999</v>
      </c>
      <c r="J69">
        <f>INDEX('Draft Engine'!$S$87:$S$160,$N69)</f>
        <v>-39.300000000000011</v>
      </c>
      <c r="K69" t="str">
        <f>INDEX('Draft Engine'!$T$87:$T$160,$N69)</f>
        <v>C</v>
      </c>
      <c r="L69" t="str">
        <f>INDEX('LIVE SOURCE'!$H$87:$H$160,$N69)</f>
        <v>Late-round bench upside; role growth is required for weekly relevance.</v>
      </c>
      <c r="M69" t="str">
        <f>INDEX('LIVE SOURCE'!$J$87:$J$160,$N69)</f>
        <v>NFL translation and exact weekly role are the main variables; preseason first-team usage can move this rating quickly.</v>
      </c>
      <c r="N69" s="6">
        <f>MATCH($A69,'Draft Engine'!$F$87:$F$160,0)</f>
        <v>64</v>
      </c>
    </row>
    <row r="70" spans="1:14" x14ac:dyDescent="0.25">
      <c r="A70">
        <f>68</f>
        <v>68</v>
      </c>
      <c r="B70" t="str">
        <f>INDEX('Draft Engine'!$B$87:$B$160,$N70)</f>
        <v>Tre Tucker</v>
      </c>
      <c r="C70" s="4">
        <f>INDEX('Draft Engine'!$E$87:$E$160,$N70)</f>
        <v>56.12</v>
      </c>
      <c r="D70" t="str">
        <f t="shared" si="2"/>
        <v>TIER 7</v>
      </c>
      <c r="E70">
        <f>INDEX('Draft Engine'!$G$87:$G$160,$N70)</f>
        <v>165.7</v>
      </c>
      <c r="F70">
        <f>INDEX('Draft Engine'!$J$87:$J$160,$N70)</f>
        <v>-73.599999999999994</v>
      </c>
      <c r="G70">
        <f>INDEX('Draft Engine'!$N$87:$N$160,$N70)</f>
        <v>32.618000000000002</v>
      </c>
      <c r="H70">
        <f>INDEX('Draft Engine'!$Q$87:$Q$160,$N70)</f>
        <v>197</v>
      </c>
      <c r="I70">
        <f>INDEX('Draft Engine'!$R$87:$R$160,$N70)</f>
        <v>135.5</v>
      </c>
      <c r="J70">
        <f>INDEX('Draft Engine'!$S$87:$S$160,$N70)</f>
        <v>-61.5</v>
      </c>
      <c r="K70" t="str">
        <f>INDEX('Draft Engine'!$T$87:$T$160,$N70)</f>
        <v>C</v>
      </c>
      <c r="L70" t="str">
        <f>INDEX('LIVE SOURCE'!$H$87:$H$160,$N70)</f>
        <v>Late-round bench upside; role growth is required for weekly relevance.</v>
      </c>
      <c r="M70" t="str">
        <f>INDEX('LIVE SOURCE'!$J$87:$J$160,$N70)</f>
        <v>Target competition, quarterback efficiency and touchdown regression are the main downside paths.</v>
      </c>
      <c r="N70" s="6">
        <f>MATCH($A70,'Draft Engine'!$F$87:$F$160,0)</f>
        <v>65</v>
      </c>
    </row>
    <row r="71" spans="1:14" x14ac:dyDescent="0.25">
      <c r="A71">
        <f>69</f>
        <v>69</v>
      </c>
      <c r="B71" t="str">
        <f>INDEX('Draft Engine'!$B$87:$B$160,$N71)</f>
        <v>Antonio Williams</v>
      </c>
      <c r="C71" s="4">
        <f>INDEX('Draft Engine'!$E$87:$E$160,$N71)</f>
        <v>55.45</v>
      </c>
      <c r="D71" t="str">
        <f t="shared" si="2"/>
        <v>TIER 7</v>
      </c>
      <c r="E71">
        <f>INDEX('Draft Engine'!$G$87:$G$160,$N71)</f>
        <v>162.9</v>
      </c>
      <c r="F71">
        <f>INDEX('Draft Engine'!$J$87:$J$160,$N71)</f>
        <v>-76.400000000000006</v>
      </c>
      <c r="G71">
        <f>INDEX('Draft Engine'!$N$87:$N$160,$N71)</f>
        <v>31.7455</v>
      </c>
      <c r="H71">
        <f>INDEX('Draft Engine'!$Q$87:$Q$160,$N71)</f>
        <v>198</v>
      </c>
      <c r="I71">
        <f>INDEX('Draft Engine'!$R$87:$R$160,$N71)</f>
        <v>159.6</v>
      </c>
      <c r="J71">
        <f>INDEX('Draft Engine'!$S$87:$S$160,$N71)</f>
        <v>-38.400000000000006</v>
      </c>
      <c r="K71" t="str">
        <f>INDEX('Draft Engine'!$T$87:$T$160,$N71)</f>
        <v>C</v>
      </c>
      <c r="L71" t="str">
        <f>INDEX('LIVE SOURCE'!$H$87:$H$160,$N71)</f>
        <v>Late-round bench upside; role growth is required for weekly relevance.</v>
      </c>
      <c r="M71" t="str">
        <f>INDEX('LIVE SOURCE'!$J$87:$J$160,$N71)</f>
        <v>Evidence is thinner than for established veterans, so camp, depth-chart and role news can move the grade materially.</v>
      </c>
      <c r="N71" s="6">
        <f>MATCH($A71,'Draft Engine'!$F$87:$F$160,0)</f>
        <v>66</v>
      </c>
    </row>
    <row r="72" spans="1:14" x14ac:dyDescent="0.25">
      <c r="A72">
        <f>70</f>
        <v>70</v>
      </c>
      <c r="B72" t="str">
        <f>INDEX('Draft Engine'!$B$87:$B$160,$N72)</f>
        <v>Travis Hunter</v>
      </c>
      <c r="C72" s="4">
        <f>INDEX('Draft Engine'!$E$87:$E$160,$N72)</f>
        <v>54.78</v>
      </c>
      <c r="D72" t="str">
        <f t="shared" si="2"/>
        <v>TIER 7</v>
      </c>
      <c r="E72">
        <f>INDEX('Draft Engine'!$G$87:$G$160,$N72)</f>
        <v>160.1</v>
      </c>
      <c r="F72">
        <f>INDEX('Draft Engine'!$J$87:$J$160,$N72)</f>
        <v>-79.2</v>
      </c>
      <c r="G72">
        <f>INDEX('Draft Engine'!$N$87:$N$160,$N72)</f>
        <v>30.873000000000001</v>
      </c>
      <c r="H72">
        <f>INDEX('Draft Engine'!$Q$87:$Q$160,$N72)</f>
        <v>200</v>
      </c>
      <c r="I72">
        <f>INDEX('Draft Engine'!$R$87:$R$160,$N72)</f>
        <v>164.4</v>
      </c>
      <c r="J72">
        <f>INDEX('Draft Engine'!$S$87:$S$160,$N72)</f>
        <v>-35.599999999999994</v>
      </c>
      <c r="K72" t="str">
        <f>INDEX('Draft Engine'!$T$87:$T$160,$N72)</f>
        <v>C</v>
      </c>
      <c r="L72" t="str">
        <f>INDEX('LIVE SOURCE'!$H$87:$H$160,$N72)</f>
        <v>Late-round bench upside; role growth is required for weekly relevance.</v>
      </c>
      <c r="M72" t="str">
        <f>INDEX('LIVE SOURCE'!$J$87:$J$160,$N72)</f>
        <v>Evidence is thinner than for established veterans, so camp, depth-chart and role news can move the grade materially.</v>
      </c>
      <c r="N72" s="6">
        <f>MATCH($A72,'Draft Engine'!$F$87:$F$160,0)</f>
        <v>67</v>
      </c>
    </row>
    <row r="73" spans="1:14" x14ac:dyDescent="0.25">
      <c r="A73">
        <f>71</f>
        <v>71</v>
      </c>
      <c r="B73" t="str">
        <f>INDEX('Draft Engine'!$B$87:$B$160,$N73)</f>
        <v>Ryan Flournoy</v>
      </c>
      <c r="C73" s="4">
        <f>INDEX('Draft Engine'!$E$87:$E$160,$N73)</f>
        <v>54.11</v>
      </c>
      <c r="D73" t="str">
        <f t="shared" si="2"/>
        <v>TIER 7</v>
      </c>
      <c r="E73">
        <f>INDEX('Draft Engine'!$G$87:$G$160,$N73)</f>
        <v>157.30000000000001</v>
      </c>
      <c r="F73">
        <f>INDEX('Draft Engine'!$J$87:$J$160,$N73)</f>
        <v>-82</v>
      </c>
      <c r="G73">
        <f>INDEX('Draft Engine'!$N$87:$N$160,$N73)</f>
        <v>30.000500000000002</v>
      </c>
      <c r="H73">
        <f>INDEX('Draft Engine'!$Q$87:$Q$160,$N73)</f>
        <v>202</v>
      </c>
      <c r="I73">
        <f>INDEX('Draft Engine'!$R$87:$R$160,$N73)</f>
        <v>176.7</v>
      </c>
      <c r="J73">
        <f>INDEX('Draft Engine'!$S$87:$S$160,$N73)</f>
        <v>-25.300000000000011</v>
      </c>
      <c r="K73" t="str">
        <f>INDEX('Draft Engine'!$T$87:$T$160,$N73)</f>
        <v>C</v>
      </c>
      <c r="L73" t="str">
        <f>INDEX('LIVE SOURCE'!$H$87:$H$160,$N73)</f>
        <v>Late-round bench upside; role growth is required for weekly relevance.</v>
      </c>
      <c r="M73" t="str">
        <f>INDEX('LIVE SOURCE'!$J$87:$J$160,$N73)</f>
        <v>Target competition, quarterback efficiency and touchdown regression are the main downside paths.</v>
      </c>
      <c r="N73" s="6">
        <f>MATCH($A73,'Draft Engine'!$F$87:$F$160,0)</f>
        <v>68</v>
      </c>
    </row>
    <row r="74" spans="1:14" x14ac:dyDescent="0.25">
      <c r="A74">
        <f>72</f>
        <v>72</v>
      </c>
      <c r="B74" t="str">
        <f>INDEX('Draft Engine'!$B$87:$B$160,$N74)</f>
        <v>Jauan Jennings</v>
      </c>
      <c r="C74" s="4">
        <f>INDEX('Draft Engine'!$E$87:$E$160,$N74)</f>
        <v>53.44</v>
      </c>
      <c r="D74" t="str">
        <f t="shared" si="2"/>
        <v>TIER 7</v>
      </c>
      <c r="E74">
        <f>INDEX('Draft Engine'!$G$87:$G$160,$N74)</f>
        <v>154.4</v>
      </c>
      <c r="F74">
        <f>INDEX('Draft Engine'!$J$87:$J$160,$N74)</f>
        <v>-84.9</v>
      </c>
      <c r="G74">
        <f>INDEX('Draft Engine'!$N$87:$N$160,$N74)</f>
        <v>29.391999999999999</v>
      </c>
      <c r="H74">
        <f>INDEX('Draft Engine'!$Q$87:$Q$160,$N74)</f>
        <v>203</v>
      </c>
      <c r="I74">
        <f>INDEX('Draft Engine'!$R$87:$R$160,$N74)</f>
        <v>147.69999999999999</v>
      </c>
      <c r="J74">
        <f>INDEX('Draft Engine'!$S$87:$S$160,$N74)</f>
        <v>-55.300000000000011</v>
      </c>
      <c r="K74" t="str">
        <f>INDEX('Draft Engine'!$T$87:$T$160,$N74)</f>
        <v>C</v>
      </c>
      <c r="L74" t="str">
        <f>INDEX('LIVE SOURCE'!$H$87:$H$160,$N74)</f>
        <v>Late-round bench upside; role growth is required for weekly relevance.</v>
      </c>
      <c r="M74" t="str">
        <f>INDEX('LIVE SOURCE'!$J$87:$J$160,$N74)</f>
        <v>Target competition, quarterback efficiency and touchdown regression are the main downside paths.</v>
      </c>
      <c r="N74" s="6">
        <f>MATCH($A74,'Draft Engine'!$F$87:$F$160,0)</f>
        <v>69</v>
      </c>
    </row>
    <row r="75" spans="1:14" x14ac:dyDescent="0.25">
      <c r="A75">
        <f>73</f>
        <v>73</v>
      </c>
      <c r="B75" t="str">
        <f>INDEX('Draft Engine'!$B$87:$B$160,$N75)</f>
        <v>Darnell Mooney</v>
      </c>
      <c r="C75" s="4">
        <f>INDEX('Draft Engine'!$E$87:$E$160,$N75)</f>
        <v>52.77</v>
      </c>
      <c r="D75" t="str">
        <f t="shared" si="2"/>
        <v>TIER 7</v>
      </c>
      <c r="E75">
        <f>INDEX('Draft Engine'!$G$87:$G$160,$N75)</f>
        <v>151.6</v>
      </c>
      <c r="F75">
        <f>INDEX('Draft Engine'!$J$87:$J$160,$N75)</f>
        <v>-87.7</v>
      </c>
      <c r="G75">
        <f>INDEX('Draft Engine'!$N$87:$N$160,$N75)</f>
        <v>29.023500000000006</v>
      </c>
      <c r="H75">
        <f>INDEX('Draft Engine'!$Q$87:$Q$160,$N75)</f>
        <v>204</v>
      </c>
      <c r="I75">
        <f>INDEX('Draft Engine'!$R$87:$R$160,$N75)</f>
        <v>185.2</v>
      </c>
      <c r="J75">
        <f>INDEX('Draft Engine'!$S$87:$S$160,$N75)</f>
        <v>-18.800000000000011</v>
      </c>
      <c r="K75" t="str">
        <f>INDEX('Draft Engine'!$T$87:$T$160,$N75)</f>
        <v>C</v>
      </c>
      <c r="L75" t="str">
        <f>INDEX('LIVE SOURCE'!$H$87:$H$160,$N75)</f>
        <v>Late-round bench upside; role growth is required for weekly relevance.</v>
      </c>
      <c r="M75" t="str">
        <f>INDEX('LIVE SOURCE'!$J$87:$J$160,$N75)</f>
        <v>Evidence is thinner than for established veterans, so camp, depth-chart and role news can move the grade materially.</v>
      </c>
      <c r="N75" s="6">
        <f>MATCH($A75,'Draft Engine'!$F$87:$F$160,0)</f>
        <v>70</v>
      </c>
    </row>
    <row r="76" spans="1:14" x14ac:dyDescent="0.25">
      <c r="A76">
        <f>74</f>
        <v>74</v>
      </c>
      <c r="B76" t="str">
        <f>INDEX('Draft Engine'!$B$87:$B$160,$N76)</f>
        <v>Ricky Pearsall</v>
      </c>
      <c r="C76" s="4">
        <f>INDEX('Draft Engine'!$E$87:$E$160,$N76)</f>
        <v>40</v>
      </c>
      <c r="D76" t="str">
        <f t="shared" si="2"/>
        <v>TIER 7</v>
      </c>
      <c r="E76">
        <f>INDEX('Draft Engine'!$G$87:$G$160,$N76)</f>
        <v>98</v>
      </c>
      <c r="F76">
        <f>INDEX('Draft Engine'!$J$87:$J$160,$N76)</f>
        <v>-141.30000000000001</v>
      </c>
      <c r="G76">
        <f>INDEX('Draft Engine'!$N$87:$N$160,$N76)</f>
        <v>22</v>
      </c>
      <c r="H76">
        <f>INDEX('Draft Engine'!$Q$87:$Q$160,$N76)</f>
        <v>206</v>
      </c>
      <c r="I76">
        <f>INDEX('Draft Engine'!$R$87:$R$160,$N76)</f>
        <v>112.3</v>
      </c>
      <c r="J76">
        <f>INDEX('Draft Engine'!$S$87:$S$160,$N76)</f>
        <v>-93.7</v>
      </c>
      <c r="K76" t="str">
        <f>INDEX('Draft Engine'!$T$87:$T$160,$N76)</f>
        <v>C</v>
      </c>
      <c r="L76" t="str">
        <f>INDEX('LIVE SOURCE'!$H$87:$H$160,$N76)</f>
        <v>FLEX/bench receiver; needs target growth or efficiency spikes.</v>
      </c>
      <c r="M76" t="str">
        <f>INDEX('LIVE SOURCE'!$J$87:$J$160,$N76)</f>
        <v>Evidence is thinner than for established veterans, so camp, depth-chart and role news can move the grade materially.</v>
      </c>
      <c r="N76" s="6">
        <f>MATCH($A76,'Draft Engine'!$F$87:$F$160,0)</f>
        <v>45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9D18E"/>
  </sheetPr>
  <dimension ref="A1:N30"/>
  <sheetViews>
    <sheetView workbookViewId="0">
      <pane ySplit="2" topLeftCell="A3" activePane="bottomLeft" state="frozen"/>
      <selection pane="bottomLeft"/>
    </sheetView>
  </sheetViews>
  <sheetFormatPr defaultRowHeight="15" x14ac:dyDescent="0.25"/>
  <cols>
    <col min="1" max="1" width="8" customWidth="1"/>
    <col min="2" max="2" width="22" customWidth="1"/>
    <col min="3" max="3" width="10" customWidth="1"/>
    <col min="4" max="4" width="9" customWidth="1"/>
    <col min="5" max="5" width="10" customWidth="1"/>
    <col min="6" max="6" width="8" customWidth="1"/>
    <col min="7" max="8" width="11" customWidth="1"/>
    <col min="9" max="9" width="10" customWidth="1"/>
    <col min="10" max="10" width="9" customWidth="1"/>
    <col min="11" max="11" width="10" customWidth="1"/>
    <col min="12" max="12" width="55" customWidth="1"/>
    <col min="13" max="13" width="50" customWidth="1"/>
    <col min="14" max="14" width="6" customWidth="1"/>
  </cols>
  <sheetData>
    <row r="1" spans="1:14" ht="18.75" x14ac:dyDescent="0.3">
      <c r="A1" s="1" t="s">
        <v>601</v>
      </c>
    </row>
    <row r="2" spans="1:14" ht="27.95" customHeight="1" x14ac:dyDescent="0.25">
      <c r="A2" s="3" t="s">
        <v>4</v>
      </c>
      <c r="B2" s="3" t="s">
        <v>65</v>
      </c>
      <c r="C2" s="3" t="s">
        <v>6</v>
      </c>
      <c r="D2" s="3" t="s">
        <v>7</v>
      </c>
      <c r="E2" s="3" t="s">
        <v>591</v>
      </c>
      <c r="F2" s="3" t="s">
        <v>592</v>
      </c>
      <c r="G2" s="3" t="s">
        <v>8</v>
      </c>
      <c r="H2" s="3" t="s">
        <v>598</v>
      </c>
      <c r="I2" s="3" t="s">
        <v>9</v>
      </c>
      <c r="J2" s="3" t="s">
        <v>10</v>
      </c>
      <c r="K2" s="3" t="s">
        <v>80</v>
      </c>
      <c r="L2" s="3" t="s">
        <v>13</v>
      </c>
      <c r="M2" s="3" t="s">
        <v>83</v>
      </c>
      <c r="N2" s="3" t="s">
        <v>14</v>
      </c>
    </row>
    <row r="3" spans="1:14" x14ac:dyDescent="0.25">
      <c r="A3">
        <f>1</f>
        <v>1</v>
      </c>
      <c r="B3" t="str">
        <f>INDEX('Draft Engine'!$B$161:$B$188,$N3)</f>
        <v>Trey McBride</v>
      </c>
      <c r="C3" s="4">
        <f>INDEX('Draft Engine'!$E$161:$E$188,$N3)</f>
        <v>97.737099999999998</v>
      </c>
      <c r="D3" t="str">
        <f t="shared" ref="D3:D30" si="0">IF($C3&gt;=95,"ELITE",IF($C3&gt;=90,"TIER 1",IF($C3&gt;=85,"TIER 2",IF($C3&gt;=80,"TIER 3",IF($C3&gt;=75,"TIER 4",IF($C3&gt;=70,"TIER 5",IF($C3&gt;=65,"TIER 6","TIER 7")))))))</f>
        <v>ELITE</v>
      </c>
      <c r="E3">
        <f>INDEX('Draft Engine'!$G$161:$G$188,$N3)</f>
        <v>242.1</v>
      </c>
      <c r="F3">
        <f>INDEX('Draft Engine'!$J$161:$J$188,$N3)</f>
        <v>62.4</v>
      </c>
      <c r="G3">
        <f>INDEX('Draft Engine'!$N$161:$N$188,$N3)</f>
        <v>93.487404999999995</v>
      </c>
      <c r="H3">
        <f>INDEX('Draft Engine'!$Q$161:$Q$188,$N3)</f>
        <v>10</v>
      </c>
      <c r="I3">
        <f>INDEX('Draft Engine'!$R$161:$R$188,$N3)</f>
        <v>35.700000000000003</v>
      </c>
      <c r="J3">
        <f>INDEX('Draft Engine'!$S$161:$S$188,$N3)</f>
        <v>25.700000000000003</v>
      </c>
      <c r="K3" t="str">
        <f>INDEX('Draft Engine'!$T$161:$T$188,$N3)</f>
        <v>A</v>
      </c>
      <c r="L3" t="str">
        <f>INDEX('LIVE SOURCE'!$H$161:$H$188,$N3)</f>
        <v>Elite difference-making TE; positional advantage is the expectation.</v>
      </c>
      <c r="M3" t="str">
        <f>INDEX('LIVE SOURCE'!$J$161:$J$188,$N3)</f>
        <v>Route share, target volume and touchdown volatility are the main swing factors.</v>
      </c>
      <c r="N3" s="6">
        <f>MATCH($A3,'Draft Engine'!$F$161:$F$188,0)</f>
        <v>1</v>
      </c>
    </row>
    <row r="4" spans="1:14" x14ac:dyDescent="0.25">
      <c r="A4">
        <f>2</f>
        <v>2</v>
      </c>
      <c r="B4" t="str">
        <f>INDEX('Draft Engine'!$B$161:$B$188,$N4)</f>
        <v>Brock Bowers</v>
      </c>
      <c r="C4" s="4">
        <f>INDEX('Draft Engine'!$E$161:$E$188,$N4)</f>
        <v>94.884600000000006</v>
      </c>
      <c r="D4" t="str">
        <f t="shared" si="0"/>
        <v>TIER 1</v>
      </c>
      <c r="E4">
        <f>INDEX('Draft Engine'!$G$161:$G$188,$N4)</f>
        <v>232.1</v>
      </c>
      <c r="F4">
        <f>INDEX('Draft Engine'!$J$161:$J$188,$N4)</f>
        <v>52.4</v>
      </c>
      <c r="G4">
        <f>INDEX('Draft Engine'!$N$161:$N$188,$N4)</f>
        <v>89.426222307692314</v>
      </c>
      <c r="H4">
        <f>INDEX('Draft Engine'!$Q$161:$Q$188,$N4)</f>
        <v>15</v>
      </c>
      <c r="I4">
        <f>INDEX('Draft Engine'!$R$161:$R$188,$N4)</f>
        <v>41.1</v>
      </c>
      <c r="J4">
        <f>INDEX('Draft Engine'!$S$161:$S$188,$N4)</f>
        <v>26.1</v>
      </c>
      <c r="K4" t="str">
        <f>INDEX('Draft Engine'!$T$161:$T$188,$N4)</f>
        <v>A</v>
      </c>
      <c r="L4" t="str">
        <f>INDEX('LIVE SOURCE'!$H$161:$H$188,$N4)</f>
        <v>Elite difference-making TE; positional advantage is the expectation.</v>
      </c>
      <c r="M4" t="str">
        <f>INDEX('LIVE SOURCE'!$J$161:$J$188,$N4)</f>
        <v>Route share, target volume and touchdown volatility are the main swing factors.</v>
      </c>
      <c r="N4" s="6">
        <f>MATCH($A4,'Draft Engine'!$F$161:$F$188,0)</f>
        <v>2</v>
      </c>
    </row>
    <row r="5" spans="1:14" x14ac:dyDescent="0.25">
      <c r="A5">
        <f>3</f>
        <v>3</v>
      </c>
      <c r="B5" t="str">
        <f>INDEX('Draft Engine'!$B$161:$B$188,$N5)</f>
        <v>Colston Loveland</v>
      </c>
      <c r="C5" s="4">
        <f>INDEX('Draft Engine'!$E$161:$E$188,$N5)</f>
        <v>88.753100000000003</v>
      </c>
      <c r="D5" t="str">
        <f t="shared" si="0"/>
        <v>TIER 2</v>
      </c>
      <c r="E5">
        <f>INDEX('Draft Engine'!$G$161:$G$188,$N5)</f>
        <v>210.6</v>
      </c>
      <c r="F5">
        <f>INDEX('Draft Engine'!$J$161:$J$188,$N5)</f>
        <v>30.9</v>
      </c>
      <c r="G5">
        <f>INDEX('Draft Engine'!$N$161:$N$188,$N5)</f>
        <v>81.491589615384612</v>
      </c>
      <c r="H5">
        <f>INDEX('Draft Engine'!$Q$161:$Q$188,$N5)</f>
        <v>34</v>
      </c>
      <c r="I5">
        <f>INDEX('Draft Engine'!$R$161:$R$188,$N5)</f>
        <v>60.8</v>
      </c>
      <c r="J5">
        <f>INDEX('Draft Engine'!$S$161:$S$188,$N5)</f>
        <v>26.799999999999997</v>
      </c>
      <c r="K5" t="str">
        <f>INDEX('Draft Engine'!$T$161:$T$188,$N5)</f>
        <v>A</v>
      </c>
      <c r="L5" t="str">
        <f>INDEX('LIVE SOURCE'!$H$161:$H$188,$N5)</f>
        <v>Elite difference-making TE; positional advantage is the expectation.</v>
      </c>
      <c r="M5" t="str">
        <f>INDEX('LIVE SOURCE'!$J$161:$J$188,$N5)</f>
        <v>Route share, target volume and touchdown volatility are the main swing factors.</v>
      </c>
      <c r="N5" s="6">
        <f>MATCH($A5,'Draft Engine'!$F$161:$F$188,0)</f>
        <v>3</v>
      </c>
    </row>
    <row r="6" spans="1:14" x14ac:dyDescent="0.25">
      <c r="A6">
        <f>4</f>
        <v>4</v>
      </c>
      <c r="B6" t="str">
        <f>INDEX('Draft Engine'!$B$161:$B$188,$N6)</f>
        <v>Tyler Warren</v>
      </c>
      <c r="C6" s="4">
        <f>INDEX('Draft Engine'!$E$161:$E$188,$N6)</f>
        <v>87.202399999999997</v>
      </c>
      <c r="D6" t="str">
        <f t="shared" si="0"/>
        <v>TIER 2</v>
      </c>
      <c r="E6">
        <f>INDEX('Draft Engine'!$G$161:$G$188,$N6)</f>
        <v>205.2</v>
      </c>
      <c r="F6">
        <f>INDEX('Draft Engine'!$J$161:$J$188,$N6)</f>
        <v>25.5</v>
      </c>
      <c r="G6">
        <f>INDEX('Draft Engine'!$N$161:$N$188,$N6)</f>
        <v>78.974396923076924</v>
      </c>
      <c r="H6">
        <f>INDEX('Draft Engine'!$Q$161:$Q$188,$N6)</f>
        <v>41</v>
      </c>
      <c r="I6">
        <f>INDEX('Draft Engine'!$R$161:$R$188,$N6)</f>
        <v>65.400000000000006</v>
      </c>
      <c r="J6">
        <f>INDEX('Draft Engine'!$S$161:$S$188,$N6)</f>
        <v>24.400000000000006</v>
      </c>
      <c r="K6" t="str">
        <f>INDEX('Draft Engine'!$T$161:$T$188,$N6)</f>
        <v>A</v>
      </c>
      <c r="L6" t="str">
        <f>INDEX('LIVE SOURCE'!$H$161:$H$188,$N6)</f>
        <v>Every-week TE1 with real top-5 upside.</v>
      </c>
      <c r="M6" t="str">
        <f>INDEX('LIVE SOURCE'!$J$161:$J$188,$N6)</f>
        <v>Route share, target volume and touchdown volatility are the main swing factors.</v>
      </c>
      <c r="N6" s="6">
        <f>MATCH($A6,'Draft Engine'!$F$161:$F$188,0)</f>
        <v>4</v>
      </c>
    </row>
    <row r="7" spans="1:14" x14ac:dyDescent="0.25">
      <c r="A7">
        <f>5</f>
        <v>5</v>
      </c>
      <c r="B7" t="str">
        <f>INDEX('Draft Engine'!$B$161:$B$188,$N7)</f>
        <v>George Kittle</v>
      </c>
      <c r="C7" s="4">
        <f>INDEX('Draft Engine'!$E$161:$E$188,$N7)</f>
        <v>86.266400000000004</v>
      </c>
      <c r="D7" t="str">
        <f t="shared" si="0"/>
        <v>TIER 2</v>
      </c>
      <c r="E7">
        <f>INDEX('Draft Engine'!$G$161:$G$188,$N7)</f>
        <v>201.9</v>
      </c>
      <c r="F7">
        <f>INDEX('Draft Engine'!$J$161:$J$188,$N7)</f>
        <v>22.2</v>
      </c>
      <c r="G7">
        <f>INDEX('Draft Engine'!$N$161:$N$188,$N7)</f>
        <v>77.173289230769228</v>
      </c>
      <c r="H7">
        <f>INDEX('Draft Engine'!$Q$161:$Q$188,$N7)</f>
        <v>45</v>
      </c>
      <c r="I7">
        <f>INDEX('Draft Engine'!$R$161:$R$188,$N7)</f>
        <v>115.1</v>
      </c>
      <c r="J7">
        <f>INDEX('Draft Engine'!$S$161:$S$188,$N7)</f>
        <v>70.099999999999994</v>
      </c>
      <c r="K7" t="str">
        <f>INDEX('Draft Engine'!$T$161:$T$188,$N7)</f>
        <v>B</v>
      </c>
      <c r="L7" t="str">
        <f>INDEX('LIVE SOURCE'!$H$161:$H$188,$N7)</f>
        <v>Every-week TE1 with real top-5 upside.</v>
      </c>
      <c r="M7" t="str">
        <f>INDEX('LIVE SOURCE'!$J$161:$J$188,$N7)</f>
        <v>Route share, target volume and touchdown volatility are the main swing factors.</v>
      </c>
      <c r="N7" s="6">
        <f>MATCH($A7,'Draft Engine'!$F$161:$F$188,0)</f>
        <v>5</v>
      </c>
    </row>
    <row r="8" spans="1:14" x14ac:dyDescent="0.25">
      <c r="A8">
        <f>6</f>
        <v>6</v>
      </c>
      <c r="B8" t="str">
        <f>INDEX('Draft Engine'!$B$161:$B$188,$N8)</f>
        <v>Kyle Pitts Sr.</v>
      </c>
      <c r="C8" s="4">
        <f>INDEX('Draft Engine'!$E$161:$E$188,$N8)</f>
        <v>85.304500000000004</v>
      </c>
      <c r="D8" t="str">
        <f t="shared" si="0"/>
        <v>TIER 2</v>
      </c>
      <c r="E8">
        <f>INDEX('Draft Engine'!$G$161:$G$188,$N8)</f>
        <v>198.6</v>
      </c>
      <c r="F8">
        <f>INDEX('Draft Engine'!$J$161:$J$188,$N8)</f>
        <v>18.899999999999999</v>
      </c>
      <c r="G8">
        <f>INDEX('Draft Engine'!$N$161:$N$188,$N8)</f>
        <v>75.35793653846153</v>
      </c>
      <c r="H8">
        <f>INDEX('Draft Engine'!$Q$161:$Q$188,$N8)</f>
        <v>50</v>
      </c>
      <c r="I8">
        <f>INDEX('Draft Engine'!$R$161:$R$188,$N8)</f>
        <v>78.3</v>
      </c>
      <c r="J8">
        <f>INDEX('Draft Engine'!$S$161:$S$188,$N8)</f>
        <v>28.299999999999997</v>
      </c>
      <c r="K8" t="str">
        <f>INDEX('Draft Engine'!$T$161:$T$188,$N8)</f>
        <v>A</v>
      </c>
      <c r="L8" t="str">
        <f>INDEX('LIVE SOURCE'!$H$161:$H$188,$N8)</f>
        <v>Every-week TE1 with real top-5 upside.</v>
      </c>
      <c r="M8" t="str">
        <f>INDEX('LIVE SOURCE'!$J$161:$J$188,$N8)</f>
        <v>Route share, target volume and touchdown volatility are the main swing factors.</v>
      </c>
      <c r="N8" s="6">
        <f>MATCH($A8,'Draft Engine'!$F$161:$F$188,0)</f>
        <v>6</v>
      </c>
    </row>
    <row r="9" spans="1:14" x14ac:dyDescent="0.25">
      <c r="A9">
        <f>7</f>
        <v>7</v>
      </c>
      <c r="B9" t="str">
        <f>INDEX('Draft Engine'!$B$161:$B$188,$N9)</f>
        <v>Harold Fannin Jr.</v>
      </c>
      <c r="C9" s="4">
        <f>INDEX('Draft Engine'!$E$161:$E$188,$N9)</f>
        <v>84.377700000000004</v>
      </c>
      <c r="D9" t="str">
        <f t="shared" si="0"/>
        <v>TIER 3</v>
      </c>
      <c r="E9">
        <f>INDEX('Draft Engine'!$G$161:$G$188,$N9)</f>
        <v>195.3</v>
      </c>
      <c r="F9">
        <f>INDEX('Draft Engine'!$J$161:$J$188,$N9)</f>
        <v>15.6</v>
      </c>
      <c r="G9">
        <f>INDEX('Draft Engine'!$N$161:$N$188,$N9)</f>
        <v>73.561888846153849</v>
      </c>
      <c r="H9">
        <f>INDEX('Draft Engine'!$Q$161:$Q$188,$N9)</f>
        <v>55</v>
      </c>
      <c r="I9">
        <f>INDEX('Draft Engine'!$R$161:$R$188,$N9)</f>
        <v>82.8</v>
      </c>
      <c r="J9">
        <f>INDEX('Draft Engine'!$S$161:$S$188,$N9)</f>
        <v>27.799999999999997</v>
      </c>
      <c r="K9" t="str">
        <f>INDEX('Draft Engine'!$T$161:$T$188,$N9)</f>
        <v>A</v>
      </c>
      <c r="L9" t="str">
        <f>INDEX('LIVE SOURCE'!$H$161:$H$188,$N9)</f>
        <v>Every-week TE1 with real top-5 upside.</v>
      </c>
      <c r="M9" t="str">
        <f>INDEX('LIVE SOURCE'!$J$161:$J$188,$N9)</f>
        <v>Route share, target volume and touchdown volatility are the main swing factors.</v>
      </c>
      <c r="N9" s="6">
        <f>MATCH($A9,'Draft Engine'!$F$161:$F$188,0)</f>
        <v>7</v>
      </c>
    </row>
    <row r="10" spans="1:14" x14ac:dyDescent="0.25">
      <c r="A10">
        <f>8</f>
        <v>8</v>
      </c>
      <c r="B10" t="str">
        <f>INDEX('Draft Engine'!$B$161:$B$188,$N10)</f>
        <v>Jake Ferguson</v>
      </c>
      <c r="C10" s="4">
        <f>INDEX('Draft Engine'!$E$161:$E$188,$N10)</f>
        <v>84.072999999999993</v>
      </c>
      <c r="D10" t="str">
        <f t="shared" si="0"/>
        <v>TIER 3</v>
      </c>
      <c r="E10">
        <f>INDEX('Draft Engine'!$G$161:$G$188,$N10)</f>
        <v>194.3</v>
      </c>
      <c r="F10">
        <f>INDEX('Draft Engine'!$J$161:$J$188,$N10)</f>
        <v>14.6</v>
      </c>
      <c r="G10">
        <f>INDEX('Draft Engine'!$N$161:$N$188,$N10)</f>
        <v>72.521996153846146</v>
      </c>
      <c r="H10">
        <f>INDEX('Draft Engine'!$Q$161:$Q$188,$N10)</f>
        <v>58</v>
      </c>
      <c r="I10">
        <f>INDEX('Draft Engine'!$R$161:$R$188,$N10)</f>
        <v>140.80000000000001</v>
      </c>
      <c r="J10">
        <f>INDEX('Draft Engine'!$S$161:$S$188,$N10)</f>
        <v>82.800000000000011</v>
      </c>
      <c r="K10" t="str">
        <f>INDEX('Draft Engine'!$T$161:$T$188,$N10)</f>
        <v>A</v>
      </c>
      <c r="L10" t="str">
        <f>INDEX('LIVE SOURCE'!$H$161:$H$188,$N10)</f>
        <v>Every-week TE1 with real top-5 upside.</v>
      </c>
      <c r="M10" t="str">
        <f>INDEX('LIVE SOURCE'!$J$161:$J$188,$N10)</f>
        <v>Route share, target volume and touchdown volatility are the main swing factors.</v>
      </c>
      <c r="N10" s="6">
        <f>MATCH($A10,'Draft Engine'!$F$161:$F$188,0)</f>
        <v>8</v>
      </c>
    </row>
    <row r="11" spans="1:14" x14ac:dyDescent="0.25">
      <c r="A11">
        <f>9</f>
        <v>9</v>
      </c>
      <c r="B11" t="str">
        <f>INDEX('Draft Engine'!$B$161:$B$188,$N11)</f>
        <v>Tucker Kraft</v>
      </c>
      <c r="C11" s="4">
        <f>INDEX('Draft Engine'!$E$161:$E$188,$N11)</f>
        <v>83.808599999999998</v>
      </c>
      <c r="D11" t="str">
        <f t="shared" si="0"/>
        <v>TIER 3</v>
      </c>
      <c r="E11">
        <f>INDEX('Draft Engine'!$G$161:$G$188,$N11)</f>
        <v>193.3</v>
      </c>
      <c r="F11">
        <f>INDEX('Draft Engine'!$J$161:$J$188,$N11)</f>
        <v>13.6</v>
      </c>
      <c r="G11">
        <f>INDEX('Draft Engine'!$N$161:$N$188,$N11)</f>
        <v>71.504268461538473</v>
      </c>
      <c r="H11">
        <f>INDEX('Draft Engine'!$Q$161:$Q$188,$N11)</f>
        <v>60</v>
      </c>
      <c r="I11">
        <f>INDEX('Draft Engine'!$R$161:$R$188,$N11)</f>
        <v>108.3</v>
      </c>
      <c r="J11">
        <f>INDEX('Draft Engine'!$S$161:$S$188,$N11)</f>
        <v>48.3</v>
      </c>
      <c r="K11" t="str">
        <f>INDEX('Draft Engine'!$T$161:$T$188,$N11)</f>
        <v>B</v>
      </c>
      <c r="L11" t="str">
        <f>INDEX('LIVE SOURCE'!$H$161:$H$188,$N11)</f>
        <v>Low-end TE1; startable but replacement options remain close.</v>
      </c>
      <c r="M11" t="str">
        <f>INDEX('LIVE SOURCE'!$J$161:$J$188,$N11)</f>
        <v>Availability/sample risk is elevated after only 8 games; talent is not being punished as heavily as durability.</v>
      </c>
      <c r="N11" s="6">
        <f>MATCH($A11,'Draft Engine'!$F$161:$F$188,0)</f>
        <v>9</v>
      </c>
    </row>
    <row r="12" spans="1:14" x14ac:dyDescent="0.25">
      <c r="A12">
        <f>10</f>
        <v>10</v>
      </c>
      <c r="B12" t="str">
        <f>INDEX('Draft Engine'!$B$161:$B$188,$N12)</f>
        <v>Sam LaPorta</v>
      </c>
      <c r="C12" s="4">
        <f>INDEX('Draft Engine'!$E$161:$E$188,$N12)</f>
        <v>82.865300000000005</v>
      </c>
      <c r="D12" t="str">
        <f t="shared" si="0"/>
        <v>TIER 3</v>
      </c>
      <c r="E12">
        <f>INDEX('Draft Engine'!$G$161:$G$188,$N12)</f>
        <v>190</v>
      </c>
      <c r="F12">
        <f>INDEX('Draft Engine'!$J$161:$J$188,$N12)</f>
        <v>10.3</v>
      </c>
      <c r="G12">
        <f>INDEX('Draft Engine'!$N$161:$N$188,$N12)</f>
        <v>69.699145769230782</v>
      </c>
      <c r="H12">
        <f>INDEX('Draft Engine'!$Q$161:$Q$188,$N12)</f>
        <v>66</v>
      </c>
      <c r="I12">
        <f>INDEX('Draft Engine'!$R$161:$R$188,$N12)</f>
        <v>88.7</v>
      </c>
      <c r="J12">
        <f>INDEX('Draft Engine'!$S$161:$S$188,$N12)</f>
        <v>22.700000000000003</v>
      </c>
      <c r="K12" t="str">
        <f>INDEX('Draft Engine'!$T$161:$T$188,$N12)</f>
        <v>B</v>
      </c>
      <c r="L12" t="str">
        <f>INDEX('LIVE SOURCE'!$H$161:$H$188,$N12)</f>
        <v>Low-end TE1; startable but replacement options remain close.</v>
      </c>
      <c r="M12" t="str">
        <f>INDEX('LIVE SOURCE'!$J$161:$J$188,$N12)</f>
        <v>Availability/sample risk is elevated after only 9 games; talent is not being punished as heavily as durability.</v>
      </c>
      <c r="N12" s="6">
        <f>MATCH($A12,'Draft Engine'!$F$161:$F$188,0)</f>
        <v>10</v>
      </c>
    </row>
    <row r="13" spans="1:14" x14ac:dyDescent="0.25">
      <c r="A13">
        <f>11</f>
        <v>11</v>
      </c>
      <c r="B13" t="str">
        <f>INDEX('Draft Engine'!$B$161:$B$188,$N13)</f>
        <v>Dalton Kincaid</v>
      </c>
      <c r="C13" s="4">
        <f>INDEX('Draft Engine'!$E$161:$E$188,$N13)</f>
        <v>81.914100000000005</v>
      </c>
      <c r="D13" t="str">
        <f t="shared" si="0"/>
        <v>TIER 3</v>
      </c>
      <c r="E13">
        <f>INDEX('Draft Engine'!$G$161:$G$188,$N13)</f>
        <v>186.7</v>
      </c>
      <c r="F13">
        <f>INDEX('Draft Engine'!$J$161:$J$188,$N13)</f>
        <v>7</v>
      </c>
      <c r="G13">
        <f>INDEX('Draft Engine'!$N$161:$N$188,$N13)</f>
        <v>67.88967807692309</v>
      </c>
      <c r="H13">
        <f>INDEX('Draft Engine'!$Q$161:$Q$188,$N13)</f>
        <v>69</v>
      </c>
      <c r="I13">
        <f>INDEX('Draft Engine'!$R$161:$R$188,$N13)</f>
        <v>152</v>
      </c>
      <c r="J13">
        <f>INDEX('Draft Engine'!$S$161:$S$188,$N13)</f>
        <v>83</v>
      </c>
      <c r="K13" t="str">
        <f>INDEX('Draft Engine'!$T$161:$T$188,$N13)</f>
        <v>A</v>
      </c>
      <c r="L13" t="str">
        <f>INDEX('LIVE SOURCE'!$H$161:$H$188,$N13)</f>
        <v>Low-end TE1; startable but replacement options remain close.</v>
      </c>
      <c r="M13" t="str">
        <f>INDEX('LIVE SOURCE'!$J$161:$J$188,$N13)</f>
        <v>Route share, target volume and touchdown volatility are the main swing factors.</v>
      </c>
      <c r="N13" s="6">
        <f>MATCH($A13,'Draft Engine'!$F$161:$F$188,0)</f>
        <v>11</v>
      </c>
    </row>
    <row r="14" spans="1:14" x14ac:dyDescent="0.25">
      <c r="A14">
        <f>12</f>
        <v>12</v>
      </c>
      <c r="B14" t="str">
        <f>INDEX('Draft Engine'!$B$161:$B$188,$N14)</f>
        <v>Travis Kelce</v>
      </c>
      <c r="C14" s="4">
        <f>INDEX('Draft Engine'!$E$161:$E$188,$N14)</f>
        <v>81.747799999999998</v>
      </c>
      <c r="D14" t="str">
        <f t="shared" si="0"/>
        <v>TIER 3</v>
      </c>
      <c r="E14">
        <f>INDEX('Draft Engine'!$G$161:$G$188,$N14)</f>
        <v>186.1</v>
      </c>
      <c r="F14">
        <f>INDEX('Draft Engine'!$J$161:$J$188,$N14)</f>
        <v>6.4</v>
      </c>
      <c r="G14">
        <f>INDEX('Draft Engine'!$N$161:$N$188,$N14)</f>
        <v>66.997905384615393</v>
      </c>
      <c r="H14">
        <f>INDEX('Draft Engine'!$Q$161:$Q$188,$N14)</f>
        <v>74</v>
      </c>
      <c r="I14">
        <f>INDEX('Draft Engine'!$R$161:$R$188,$N14)</f>
        <v>108.7</v>
      </c>
      <c r="J14">
        <f>INDEX('Draft Engine'!$S$161:$S$188,$N14)</f>
        <v>34.700000000000003</v>
      </c>
      <c r="K14" t="str">
        <f>INDEX('Draft Engine'!$T$161:$T$188,$N14)</f>
        <v>A</v>
      </c>
      <c r="L14" t="str">
        <f>INDEX('LIVE SOURCE'!$H$161:$H$188,$N14)</f>
        <v>Low-end TE1; startable but replacement options remain close.</v>
      </c>
      <c r="M14" t="str">
        <f>INDEX('LIVE SOURCE'!$J$161:$J$188,$N14)</f>
        <v>Route share, target volume and touchdown volatility are the main swing factors.</v>
      </c>
      <c r="N14" s="6">
        <f>MATCH($A14,'Draft Engine'!$F$161:$F$188,0)</f>
        <v>12</v>
      </c>
    </row>
    <row r="15" spans="1:14" x14ac:dyDescent="0.25">
      <c r="A15">
        <f>13</f>
        <v>13</v>
      </c>
      <c r="B15" t="str">
        <f>INDEX('Draft Engine'!$B$161:$B$188,$N15)</f>
        <v>Dallas Goedert</v>
      </c>
      <c r="C15" s="4">
        <f>INDEX('Draft Engine'!$E$161:$E$188,$N15)</f>
        <v>79.918099999999995</v>
      </c>
      <c r="D15" t="str">
        <f t="shared" si="0"/>
        <v>TIER 4</v>
      </c>
      <c r="E15">
        <f>INDEX('Draft Engine'!$G$161:$G$188,$N15)</f>
        <v>179.7</v>
      </c>
      <c r="F15">
        <f>INDEX('Draft Engine'!$J$161:$J$188,$N15)</f>
        <v>0</v>
      </c>
      <c r="G15">
        <f>INDEX('Draft Engine'!$N$161:$N$188,$N15)</f>
        <v>64.147262692307692</v>
      </c>
      <c r="H15">
        <f>INDEX('Draft Engine'!$Q$161:$Q$188,$N15)</f>
        <v>83</v>
      </c>
      <c r="I15">
        <f>INDEX('Draft Engine'!$R$161:$R$188,$N15)</f>
        <v>103.9</v>
      </c>
      <c r="J15">
        <f>INDEX('Draft Engine'!$S$161:$S$188,$N15)</f>
        <v>20.900000000000006</v>
      </c>
      <c r="K15" t="str">
        <f>INDEX('Draft Engine'!$T$161:$T$188,$N15)</f>
        <v>A</v>
      </c>
      <c r="L15" t="str">
        <f>INDEX('LIVE SOURCE'!$H$161:$H$188,$N15)</f>
        <v>Streaming/TE2 range; touchdown and route volume drive usefulness.</v>
      </c>
      <c r="M15" t="str">
        <f>INDEX('LIVE SOURCE'!$J$161:$J$188,$N15)</f>
        <v>Route share, target volume and touchdown volatility are the main swing factors.</v>
      </c>
      <c r="N15" s="6">
        <f>MATCH($A15,'Draft Engine'!$F$161:$F$188,0)</f>
        <v>13</v>
      </c>
    </row>
    <row r="16" spans="1:14" x14ac:dyDescent="0.25">
      <c r="A16">
        <f>14</f>
        <v>14</v>
      </c>
      <c r="B16" t="str">
        <f>INDEX('Draft Engine'!$B$161:$B$188,$N16)</f>
        <v>Mark Andrews</v>
      </c>
      <c r="C16" s="4">
        <f>INDEX('Draft Engine'!$E$161:$E$188,$N16)</f>
        <v>79.065399999999997</v>
      </c>
      <c r="D16" t="str">
        <f t="shared" si="0"/>
        <v>TIER 4</v>
      </c>
      <c r="E16">
        <f>INDEX('Draft Engine'!$G$161:$G$188,$N16)</f>
        <v>176.7</v>
      </c>
      <c r="F16">
        <f>INDEX('Draft Engine'!$J$161:$J$188,$N16)</f>
        <v>-3</v>
      </c>
      <c r="G16">
        <f>INDEX('Draft Engine'!$N$161:$N$188,$N16)</f>
        <v>62.445970000000003</v>
      </c>
      <c r="H16">
        <f>INDEX('Draft Engine'!$Q$161:$Q$188,$N16)</f>
        <v>89</v>
      </c>
      <c r="I16">
        <f>INDEX('Draft Engine'!$R$161:$R$188,$N16)</f>
        <v>145</v>
      </c>
      <c r="J16">
        <f>INDEX('Draft Engine'!$S$161:$S$188,$N16)</f>
        <v>56</v>
      </c>
      <c r="K16" t="str">
        <f>INDEX('Draft Engine'!$T$161:$T$188,$N16)</f>
        <v>A</v>
      </c>
      <c r="L16" t="str">
        <f>INDEX('LIVE SOURCE'!$H$161:$H$188,$N16)</f>
        <v>Streaming/TE2 range; touchdown and route volume drive usefulness.</v>
      </c>
      <c r="M16" t="str">
        <f>INDEX('LIVE SOURCE'!$J$161:$J$188,$N16)</f>
        <v>Route share, target volume and touchdown volatility are the main swing factors.</v>
      </c>
      <c r="N16" s="6">
        <f>MATCH($A16,'Draft Engine'!$F$161:$F$188,0)</f>
        <v>14</v>
      </c>
    </row>
    <row r="17" spans="1:14" x14ac:dyDescent="0.25">
      <c r="A17">
        <f>15</f>
        <v>15</v>
      </c>
      <c r="B17" t="str">
        <f>INDEX('Draft Engine'!$B$161:$B$188,$N17)</f>
        <v>Isaiah Likely</v>
      </c>
      <c r="C17" s="4">
        <f>INDEX('Draft Engine'!$E$161:$E$188,$N17)</f>
        <v>78.579499999999996</v>
      </c>
      <c r="D17" t="str">
        <f t="shared" si="0"/>
        <v>TIER 4</v>
      </c>
      <c r="E17">
        <f>INDEX('Draft Engine'!$G$161:$G$188,$N17)</f>
        <v>175</v>
      </c>
      <c r="F17">
        <f>INDEX('Draft Engine'!$J$161:$J$188,$N17)</f>
        <v>-4.7</v>
      </c>
      <c r="G17">
        <f>INDEX('Draft Engine'!$N$161:$N$188,$N17)</f>
        <v>61.180417307692309</v>
      </c>
      <c r="H17">
        <f>INDEX('Draft Engine'!$Q$161:$Q$188,$N17)</f>
        <v>94</v>
      </c>
      <c r="I17">
        <f>INDEX('Draft Engine'!$R$161:$R$188,$N17)</f>
        <v>133.1</v>
      </c>
      <c r="J17">
        <f>INDEX('Draft Engine'!$S$161:$S$188,$N17)</f>
        <v>39.099999999999994</v>
      </c>
      <c r="K17" t="str">
        <f>INDEX('Draft Engine'!$T$161:$T$188,$N17)</f>
        <v>A</v>
      </c>
      <c r="L17" t="str">
        <f>INDEX('LIVE SOURCE'!$H$161:$H$188,$N17)</f>
        <v>Streaming/TE2 range; touchdown and route volume drive usefulness.</v>
      </c>
      <c r="M17" t="str">
        <f>INDEX('LIVE SOURCE'!$J$161:$J$188,$N17)</f>
        <v>Route share, target volume and touchdown volatility are the main swing factors.</v>
      </c>
      <c r="N17" s="6">
        <f>MATCH($A17,'Draft Engine'!$F$161:$F$188,0)</f>
        <v>15</v>
      </c>
    </row>
    <row r="18" spans="1:14" x14ac:dyDescent="0.25">
      <c r="A18">
        <f>16</f>
        <v>16</v>
      </c>
      <c r="B18" t="str">
        <f>INDEX('Draft Engine'!$B$161:$B$188,$N18)</f>
        <v>Juwan Johnson</v>
      </c>
      <c r="C18" s="4">
        <f>INDEX('Draft Engine'!$E$161:$E$188,$N18)</f>
        <v>78.320300000000003</v>
      </c>
      <c r="D18" t="str">
        <f t="shared" si="0"/>
        <v>TIER 4</v>
      </c>
      <c r="E18">
        <f>INDEX('Draft Engine'!$G$161:$G$188,$N18)</f>
        <v>174.1</v>
      </c>
      <c r="F18">
        <f>INDEX('Draft Engine'!$J$161:$J$188,$N18)</f>
        <v>-5.6</v>
      </c>
      <c r="G18">
        <f>INDEX('Draft Engine'!$N$161:$N$188,$N18)</f>
        <v>60.183549615384614</v>
      </c>
      <c r="H18">
        <f>INDEX('Draft Engine'!$Q$161:$Q$188,$N18)</f>
        <v>97</v>
      </c>
      <c r="I18">
        <f>INDEX('Draft Engine'!$R$161:$R$188,$N18)</f>
        <v>159.19999999999999</v>
      </c>
      <c r="J18">
        <f>INDEX('Draft Engine'!$S$161:$S$188,$N18)</f>
        <v>62.199999999999989</v>
      </c>
      <c r="K18" t="str">
        <f>INDEX('Draft Engine'!$T$161:$T$188,$N18)</f>
        <v>A</v>
      </c>
      <c r="L18" t="str">
        <f>INDEX('LIVE SOURCE'!$H$161:$H$188,$N18)</f>
        <v>Streaming/TE2 range; touchdown and route volume drive usefulness.</v>
      </c>
      <c r="M18" t="str">
        <f>INDEX('LIVE SOURCE'!$J$161:$J$188,$N18)</f>
        <v>Route share, target volume and touchdown volatility are the main swing factors.</v>
      </c>
      <c r="N18" s="6">
        <f>MATCH($A18,'Draft Engine'!$F$161:$F$188,0)</f>
        <v>16</v>
      </c>
    </row>
    <row r="19" spans="1:14" x14ac:dyDescent="0.25">
      <c r="A19">
        <f>17</f>
        <v>17</v>
      </c>
      <c r="B19" t="str">
        <f>INDEX('Draft Engine'!$B$161:$B$188,$N19)</f>
        <v>Hunter Henry</v>
      </c>
      <c r="C19" s="4">
        <f>INDEX('Draft Engine'!$E$161:$E$188,$N19)</f>
        <v>76.252600000000001</v>
      </c>
      <c r="D19" t="str">
        <f t="shared" si="0"/>
        <v>TIER 4</v>
      </c>
      <c r="E19">
        <f>INDEX('Draft Engine'!$G$161:$G$188,$N19)</f>
        <v>166.9</v>
      </c>
      <c r="F19">
        <f>INDEX('Draft Engine'!$J$161:$J$188,$N19)</f>
        <v>-12.8</v>
      </c>
      <c r="G19">
        <f>INDEX('Draft Engine'!$N$161:$N$188,$N19)</f>
        <v>57.058006923076931</v>
      </c>
      <c r="H19">
        <f>INDEX('Draft Engine'!$Q$161:$Q$188,$N19)</f>
        <v>105</v>
      </c>
      <c r="I19">
        <f>INDEX('Draft Engine'!$R$161:$R$188,$N19)</f>
        <v>156.6</v>
      </c>
      <c r="J19">
        <f>INDEX('Draft Engine'!$S$161:$S$188,$N19)</f>
        <v>51.599999999999994</v>
      </c>
      <c r="K19" t="str">
        <f>INDEX('Draft Engine'!$T$161:$T$188,$N19)</f>
        <v>A</v>
      </c>
      <c r="L19" t="str">
        <f>INDEX('LIVE SOURCE'!$H$161:$H$188,$N19)</f>
        <v>Streaming/TE2 range; touchdown and route volume drive usefulness.</v>
      </c>
      <c r="M19" t="str">
        <f>INDEX('LIVE SOURCE'!$J$161:$J$188,$N19)</f>
        <v>Route share, target volume and touchdown volatility are the main swing factors.</v>
      </c>
      <c r="N19" s="6">
        <f>MATCH($A19,'Draft Engine'!$F$161:$F$188,0)</f>
        <v>17</v>
      </c>
    </row>
    <row r="20" spans="1:14" x14ac:dyDescent="0.25">
      <c r="A20">
        <f>18</f>
        <v>18</v>
      </c>
      <c r="B20" t="str">
        <f>INDEX('Draft Engine'!$B$161:$B$188,$N20)</f>
        <v>Brenton Strange</v>
      </c>
      <c r="C20" s="4">
        <f>INDEX('Draft Engine'!$E$161:$E$188,$N20)</f>
        <v>76.0321</v>
      </c>
      <c r="D20" t="str">
        <f t="shared" si="0"/>
        <v>TIER 4</v>
      </c>
      <c r="E20">
        <f>INDEX('Draft Engine'!$G$161:$G$188,$N20)</f>
        <v>166.1</v>
      </c>
      <c r="F20">
        <f>INDEX('Draft Engine'!$J$161:$J$188,$N20)</f>
        <v>-13.6</v>
      </c>
      <c r="G20">
        <f>INDEX('Draft Engine'!$N$161:$N$188,$N20)</f>
        <v>56.100424230769235</v>
      </c>
      <c r="H20">
        <f>INDEX('Draft Engine'!$Q$161:$Q$188,$N20)</f>
        <v>108</v>
      </c>
      <c r="I20">
        <f>INDEX('Draft Engine'!$R$161:$R$188,$N20)</f>
        <v>165</v>
      </c>
      <c r="J20">
        <f>INDEX('Draft Engine'!$S$161:$S$188,$N20)</f>
        <v>57</v>
      </c>
      <c r="K20" t="str">
        <f>INDEX('Draft Engine'!$T$161:$T$188,$N20)</f>
        <v>A</v>
      </c>
      <c r="L20" t="str">
        <f>INDEX('LIVE SOURCE'!$H$161:$H$188,$N20)</f>
        <v>Streaming/TE2 range; touchdown and route volume drive usefulness.</v>
      </c>
      <c r="M20" t="str">
        <f>INDEX('LIVE SOURCE'!$J$161:$J$188,$N20)</f>
        <v>Route share, target volume and touchdown volatility are the main swing factors.</v>
      </c>
      <c r="N20" s="6">
        <f>MATCH($A20,'Draft Engine'!$F$161:$F$188,0)</f>
        <v>18</v>
      </c>
    </row>
    <row r="21" spans="1:14" x14ac:dyDescent="0.25">
      <c r="A21">
        <f>19</f>
        <v>19</v>
      </c>
      <c r="B21" t="str">
        <f>INDEX('Draft Engine'!$B$161:$B$188,$N21)</f>
        <v>Chig Okonkwo</v>
      </c>
      <c r="C21" s="4">
        <f>INDEX('Draft Engine'!$E$161:$E$188,$N21)</f>
        <v>75.513199999999998</v>
      </c>
      <c r="D21" t="str">
        <f t="shared" si="0"/>
        <v>TIER 4</v>
      </c>
      <c r="E21">
        <f>INDEX('Draft Engine'!$G$161:$G$188,$N21)</f>
        <v>164.3</v>
      </c>
      <c r="F21">
        <f>INDEX('Draft Engine'!$J$161:$J$188,$N21)</f>
        <v>-15.4</v>
      </c>
      <c r="G21">
        <f>INDEX('Draft Engine'!$N$161:$N$188,$N21)</f>
        <v>54.798721538461542</v>
      </c>
      <c r="H21">
        <f>INDEX('Draft Engine'!$Q$161:$Q$188,$N21)</f>
        <v>112</v>
      </c>
      <c r="I21">
        <f>INDEX('Draft Engine'!$R$161:$R$188,$N21)</f>
        <v>162.19999999999999</v>
      </c>
      <c r="J21">
        <f>INDEX('Draft Engine'!$S$161:$S$188,$N21)</f>
        <v>50.199999999999989</v>
      </c>
      <c r="K21" t="str">
        <f>INDEX('Draft Engine'!$T$161:$T$188,$N21)</f>
        <v>A</v>
      </c>
      <c r="L21" t="str">
        <f>INDEX('LIVE SOURCE'!$H$161:$H$188,$N21)</f>
        <v>Deep TE stash; needs a larger route/target role to matter in 10-team leagues.</v>
      </c>
      <c r="M21" t="str">
        <f>INDEX('LIVE SOURCE'!$J$161:$J$188,$N21)</f>
        <v>Route share, target volume and touchdown volatility are the main swing factors.</v>
      </c>
      <c r="N21" s="6">
        <f>MATCH($A21,'Draft Engine'!$F$161:$F$188,0)</f>
        <v>19</v>
      </c>
    </row>
    <row r="22" spans="1:14" x14ac:dyDescent="0.25">
      <c r="A22">
        <f>20</f>
        <v>20</v>
      </c>
      <c r="B22" t="str">
        <f>INDEX('Draft Engine'!$B$161:$B$188,$N22)</f>
        <v>Kenyon Sadiq</v>
      </c>
      <c r="C22" s="4">
        <f>INDEX('Draft Engine'!$E$161:$E$188,$N22)</f>
        <v>74.093800000000002</v>
      </c>
      <c r="D22" t="str">
        <f t="shared" si="0"/>
        <v>TIER 5</v>
      </c>
      <c r="E22">
        <f>INDEX('Draft Engine'!$G$161:$G$188,$N22)</f>
        <v>159.30000000000001</v>
      </c>
      <c r="F22">
        <f>INDEX('Draft Engine'!$J$161:$J$188,$N22)</f>
        <v>-20.399999999999999</v>
      </c>
      <c r="G22">
        <f>INDEX('Draft Engine'!$N$161:$N$188,$N22)</f>
        <v>52.425743846153857</v>
      </c>
      <c r="H22">
        <f>INDEX('Draft Engine'!$Q$161:$Q$188,$N22)</f>
        <v>120</v>
      </c>
      <c r="I22">
        <f>INDEX('Draft Engine'!$R$161:$R$188,$N22)</f>
        <v>158.80000000000001</v>
      </c>
      <c r="J22">
        <f>INDEX('Draft Engine'!$S$161:$S$188,$N22)</f>
        <v>38.800000000000011</v>
      </c>
      <c r="K22" t="str">
        <f>INDEX('Draft Engine'!$T$161:$T$188,$N22)</f>
        <v>B</v>
      </c>
      <c r="L22" t="str">
        <f>INDEX('LIVE SOURCE'!$H$161:$H$188,$N22)</f>
        <v>Deep TE stash; needs a larger route/target role to matter in 10-team leagues.</v>
      </c>
      <c r="M22" t="str">
        <f>INDEX('LIVE SOURCE'!$J$161:$J$188,$N22)</f>
        <v>NFL translation and exact weekly role are the main variables; preseason first-team usage can move this rating quickly.</v>
      </c>
      <c r="N22" s="6">
        <f>MATCH($A22,'Draft Engine'!$F$161:$F$188,0)</f>
        <v>20</v>
      </c>
    </row>
    <row r="23" spans="1:14" x14ac:dyDescent="0.25">
      <c r="A23">
        <f>21</f>
        <v>21</v>
      </c>
      <c r="B23" t="str">
        <f>INDEX('Draft Engine'!$B$161:$B$188,$N23)</f>
        <v>T.J. Hockenson</v>
      </c>
      <c r="C23" s="4">
        <f>INDEX('Draft Engine'!$E$161:$E$188,$N23)</f>
        <v>73.852699999999999</v>
      </c>
      <c r="D23" t="str">
        <f t="shared" si="0"/>
        <v>TIER 5</v>
      </c>
      <c r="E23">
        <f>INDEX('Draft Engine'!$G$161:$G$188,$N23)</f>
        <v>158.5</v>
      </c>
      <c r="F23">
        <f>INDEX('Draft Engine'!$J$161:$J$188,$N23)</f>
        <v>-21.2</v>
      </c>
      <c r="G23">
        <f>INDEX('Draft Engine'!$N$161:$N$188,$N23)</f>
        <v>51.802985</v>
      </c>
      <c r="H23">
        <f>INDEX('Draft Engine'!$Q$161:$Q$188,$N23)</f>
        <v>122</v>
      </c>
      <c r="I23">
        <f>INDEX('Draft Engine'!$R$161:$R$188,$N23)</f>
        <v>146.5</v>
      </c>
      <c r="J23">
        <f>INDEX('Draft Engine'!$S$161:$S$188,$N23)</f>
        <v>24.5</v>
      </c>
      <c r="K23" t="str">
        <f>INDEX('Draft Engine'!$T$161:$T$188,$N23)</f>
        <v>A</v>
      </c>
      <c r="L23" t="str">
        <f>INDEX('LIVE SOURCE'!$H$161:$H$188,$N23)</f>
        <v>Deep TE stash; needs a larger route/target role to matter in 10-team leagues.</v>
      </c>
      <c r="M23" t="str">
        <f>INDEX('LIVE SOURCE'!$J$161:$J$188,$N23)</f>
        <v>Route share, target volume and touchdown volatility are the main swing factors.</v>
      </c>
      <c r="N23" s="6">
        <f>MATCH($A23,'Draft Engine'!$F$161:$F$188,0)</f>
        <v>21</v>
      </c>
    </row>
    <row r="24" spans="1:14" x14ac:dyDescent="0.25">
      <c r="A24">
        <f>22</f>
        <v>22</v>
      </c>
      <c r="B24" t="str">
        <f>INDEX('Draft Engine'!$B$161:$B$188,$N24)</f>
        <v>Dalton Schultz</v>
      </c>
      <c r="C24" s="4">
        <f>INDEX('Draft Engine'!$E$161:$E$188,$N24)</f>
        <v>73.279499999999999</v>
      </c>
      <c r="D24" t="str">
        <f t="shared" si="0"/>
        <v>TIER 5</v>
      </c>
      <c r="E24">
        <f>INDEX('Draft Engine'!$G$161:$G$188,$N24)</f>
        <v>156.5</v>
      </c>
      <c r="F24">
        <f>INDEX('Draft Engine'!$J$161:$J$188,$N24)</f>
        <v>-23.2</v>
      </c>
      <c r="G24">
        <f>INDEX('Draft Engine'!$N$161:$N$188,$N24)</f>
        <v>51.127724999999998</v>
      </c>
      <c r="H24">
        <f>INDEX('Draft Engine'!$Q$161:$Q$188,$N24)</f>
        <v>124</v>
      </c>
      <c r="I24">
        <f>INDEX('Draft Engine'!$R$161:$R$188,$N24)</f>
        <v>157.5</v>
      </c>
      <c r="J24">
        <f>INDEX('Draft Engine'!$S$161:$S$188,$N24)</f>
        <v>33.5</v>
      </c>
      <c r="K24" t="str">
        <f>INDEX('Draft Engine'!$T$161:$T$188,$N24)</f>
        <v>A</v>
      </c>
      <c r="L24" t="str">
        <f>INDEX('LIVE SOURCE'!$H$161:$H$188,$N24)</f>
        <v>Deep TE stash; needs a larger route/target role to matter in 10-team leagues.</v>
      </c>
      <c r="M24" t="str">
        <f>INDEX('LIVE SOURCE'!$J$161:$J$188,$N24)</f>
        <v>Route share, target volume and touchdown volatility are the main swing factors.</v>
      </c>
      <c r="N24" s="6">
        <f>MATCH($A24,'Draft Engine'!$F$161:$F$188,0)</f>
        <v>22</v>
      </c>
    </row>
    <row r="25" spans="1:14" x14ac:dyDescent="0.25">
      <c r="A25">
        <f>23</f>
        <v>23</v>
      </c>
      <c r="B25" t="str">
        <f>INDEX('Draft Engine'!$B$161:$B$188,$N25)</f>
        <v>Oronde Gadsden II</v>
      </c>
      <c r="C25" s="4">
        <f>INDEX('Draft Engine'!$E$161:$E$188,$N25)</f>
        <v>72.513800000000003</v>
      </c>
      <c r="D25" t="str">
        <f t="shared" si="0"/>
        <v>TIER 5</v>
      </c>
      <c r="E25">
        <f>INDEX('Draft Engine'!$G$161:$G$188,$N25)</f>
        <v>153.80000000000001</v>
      </c>
      <c r="F25">
        <f>INDEX('Draft Engine'!$J$161:$J$188,$N25)</f>
        <v>-25.9</v>
      </c>
      <c r="G25">
        <f>INDEX('Draft Engine'!$N$161:$N$188,$N25)</f>
        <v>50.220590000000009</v>
      </c>
      <c r="H25">
        <f>INDEX('Draft Engine'!$Q$161:$Q$188,$N25)</f>
        <v>127</v>
      </c>
      <c r="I25">
        <f>INDEX('Draft Engine'!$R$161:$R$188,$N25)</f>
        <v>150.69999999999999</v>
      </c>
      <c r="J25">
        <f>INDEX('Draft Engine'!$S$161:$S$188,$N25)</f>
        <v>23.699999999999989</v>
      </c>
      <c r="K25" t="str">
        <f>INDEX('Draft Engine'!$T$161:$T$188,$N25)</f>
        <v>A</v>
      </c>
      <c r="L25" t="str">
        <f>INDEX('LIVE SOURCE'!$H$161:$H$188,$N25)</f>
        <v>Deep TE stash; needs a larger route/target role to matter in 10-team leagues.</v>
      </c>
      <c r="M25" t="str">
        <f>INDEX('LIVE SOURCE'!$J$161:$J$188,$N25)</f>
        <v>Route share, target volume and touchdown volatility are the main swing factors.</v>
      </c>
      <c r="N25" s="6">
        <f>MATCH($A25,'Draft Engine'!$F$161:$F$188,0)</f>
        <v>23</v>
      </c>
    </row>
    <row r="26" spans="1:14" x14ac:dyDescent="0.25">
      <c r="A26">
        <f>24</f>
        <v>24</v>
      </c>
      <c r="B26" t="str">
        <f>INDEX('Draft Engine'!$B$161:$B$188,$N26)</f>
        <v>AJ Barner</v>
      </c>
      <c r="C26" s="4">
        <f>INDEX('Draft Engine'!$E$161:$E$188,$N26)</f>
        <v>70.124499999999998</v>
      </c>
      <c r="D26" t="str">
        <f t="shared" si="0"/>
        <v>TIER 5</v>
      </c>
      <c r="E26">
        <f>INDEX('Draft Engine'!$G$161:$G$188,$N26)</f>
        <v>145.4</v>
      </c>
      <c r="F26">
        <f>INDEX('Draft Engine'!$J$161:$J$188,$N26)</f>
        <v>-34.299999999999997</v>
      </c>
      <c r="G26">
        <f>INDEX('Draft Engine'!$N$161:$N$188,$N26)</f>
        <v>47.394475</v>
      </c>
      <c r="H26">
        <f>INDEX('Draft Engine'!$Q$161:$Q$188,$N26)</f>
        <v>155</v>
      </c>
      <c r="I26">
        <f>INDEX('Draft Engine'!$R$161:$R$188,$N26)</f>
        <v>165.8</v>
      </c>
      <c r="J26">
        <f>INDEX('Draft Engine'!$S$161:$S$188,$N26)</f>
        <v>10.800000000000011</v>
      </c>
      <c r="K26" t="str">
        <f>INDEX('Draft Engine'!$T$161:$T$188,$N26)</f>
        <v>A</v>
      </c>
      <c r="L26" t="str">
        <f>INDEX('LIVE SOURCE'!$H$161:$H$188,$N26)</f>
        <v>Deep TE stash; needs a larger route/target role to matter in 10-team leagues.</v>
      </c>
      <c r="M26" t="str">
        <f>INDEX('LIVE SOURCE'!$J$161:$J$188,$N26)</f>
        <v>Route share, target volume and touchdown volatility are the main swing factors.</v>
      </c>
      <c r="N26" s="6">
        <f>MATCH($A26,'Draft Engine'!$F$161:$F$188,0)</f>
        <v>24</v>
      </c>
    </row>
    <row r="27" spans="1:14" x14ac:dyDescent="0.25">
      <c r="A27">
        <f>25</f>
        <v>25</v>
      </c>
      <c r="B27" t="str">
        <f>INDEX('Draft Engine'!$B$161:$B$188,$N27)</f>
        <v>Pat Freiermuth</v>
      </c>
      <c r="C27" s="4">
        <f>INDEX('Draft Engine'!$E$161:$E$188,$N27)</f>
        <v>69.599999999999994</v>
      </c>
      <c r="D27" t="str">
        <f t="shared" si="0"/>
        <v>TIER 6</v>
      </c>
      <c r="E27">
        <f>INDEX('Draft Engine'!$G$161:$G$188,$N27)</f>
        <v>143.6</v>
      </c>
      <c r="F27">
        <f>INDEX('Draft Engine'!$J$161:$J$188,$N27)</f>
        <v>-36.1</v>
      </c>
      <c r="G27">
        <f>INDEX('Draft Engine'!$N$161:$N$188,$N27)</f>
        <v>46.781999999999996</v>
      </c>
      <c r="H27">
        <f>INDEX('Draft Engine'!$Q$161:$Q$188,$N27)</f>
        <v>157</v>
      </c>
      <c r="I27">
        <f>INDEX('Draft Engine'!$R$161:$R$188,$N27)</f>
        <v>228</v>
      </c>
      <c r="J27">
        <f>INDEX('Draft Engine'!$S$161:$S$188,$N27)</f>
        <v>71</v>
      </c>
      <c r="K27" t="str">
        <f>INDEX('Draft Engine'!$T$161:$T$188,$N27)</f>
        <v>C</v>
      </c>
      <c r="L27" t="str">
        <f>INDEX('LIVE SOURCE'!$H$161:$H$188,$N27)</f>
        <v>Added 2026-08-12 from ESPN consensus (TE24).</v>
      </c>
      <c r="M27" t="str">
        <f>INDEX('LIVE SOURCE'!$J$161:$J$188,$N27)</f>
        <v>No model projection behind this rating; it is market consensus only. Re-rate manually if you have a strong opinion.</v>
      </c>
      <c r="N27" s="6">
        <f>MATCH($A27,'Draft Engine'!$F$161:$F$188,0)</f>
        <v>28</v>
      </c>
    </row>
    <row r="28" spans="1:14" x14ac:dyDescent="0.25">
      <c r="A28">
        <f>26</f>
        <v>26</v>
      </c>
      <c r="B28" t="str">
        <f>INDEX('Draft Engine'!$B$161:$B$188,$N28)</f>
        <v>Cade Otton</v>
      </c>
      <c r="C28" s="4">
        <f>INDEX('Draft Engine'!$E$161:$E$188,$N28)</f>
        <v>66.649000000000001</v>
      </c>
      <c r="D28" t="str">
        <f t="shared" si="0"/>
        <v>TIER 6</v>
      </c>
      <c r="E28">
        <f>INDEX('Draft Engine'!$G$161:$G$188,$N28)</f>
        <v>133.30000000000001</v>
      </c>
      <c r="F28">
        <f>INDEX('Draft Engine'!$J$161:$J$188,$N28)</f>
        <v>-46.4</v>
      </c>
      <c r="G28">
        <f>INDEX('Draft Engine'!$N$161:$N$188,$N28)</f>
        <v>43.304950000000005</v>
      </c>
      <c r="H28">
        <f>INDEX('Draft Engine'!$Q$161:$Q$188,$N28)</f>
        <v>166</v>
      </c>
      <c r="I28">
        <f>INDEX('Draft Engine'!$R$161:$R$188,$N28)</f>
        <v>142.6</v>
      </c>
      <c r="J28">
        <f>INDEX('Draft Engine'!$S$161:$S$188,$N28)</f>
        <v>-23.400000000000006</v>
      </c>
      <c r="K28" t="str">
        <f>INDEX('Draft Engine'!$T$161:$T$188,$N28)</f>
        <v>A</v>
      </c>
      <c r="L28" t="str">
        <f>INDEX('LIVE SOURCE'!$H$161:$H$188,$N28)</f>
        <v>Deep TE stash; needs a larger route/target role to matter in 10-team leagues.</v>
      </c>
      <c r="M28" t="str">
        <f>INDEX('LIVE SOURCE'!$J$161:$J$188,$N28)</f>
        <v>Route share, target volume and touchdown volatility are the main swing factors.</v>
      </c>
      <c r="N28" s="6">
        <f>MATCH($A28,'Draft Engine'!$F$161:$F$188,0)</f>
        <v>25</v>
      </c>
    </row>
    <row r="29" spans="1:14" x14ac:dyDescent="0.25">
      <c r="A29">
        <f>27</f>
        <v>27</v>
      </c>
      <c r="B29" t="str">
        <f>INDEX('Draft Engine'!$B$161:$B$188,$N29)</f>
        <v>Gunnar Helm</v>
      </c>
      <c r="C29" s="4">
        <f>INDEX('Draft Engine'!$E$161:$E$188,$N29)</f>
        <v>66.622299999999996</v>
      </c>
      <c r="D29" t="str">
        <f t="shared" si="0"/>
        <v>TIER 6</v>
      </c>
      <c r="E29">
        <f>INDEX('Draft Engine'!$G$161:$G$188,$N29)</f>
        <v>133.19999999999999</v>
      </c>
      <c r="F29">
        <f>INDEX('Draft Engine'!$J$161:$J$188,$N29)</f>
        <v>-46.5</v>
      </c>
      <c r="G29">
        <f>INDEX('Draft Engine'!$N$161:$N$188,$N29)</f>
        <v>43.272265000000004</v>
      </c>
      <c r="H29">
        <f>INDEX('Draft Engine'!$Q$161:$Q$188,$N29)</f>
        <v>167</v>
      </c>
      <c r="I29">
        <f>INDEX('Draft Engine'!$R$161:$R$188,$N29)</f>
        <v>242</v>
      </c>
      <c r="J29">
        <f>INDEX('Draft Engine'!$S$161:$S$188,$N29)</f>
        <v>75</v>
      </c>
      <c r="K29" t="str">
        <f>INDEX('Draft Engine'!$T$161:$T$188,$N29)</f>
        <v>A</v>
      </c>
      <c r="L29" t="str">
        <f>INDEX('LIVE SOURCE'!$H$161:$H$188,$N29)</f>
        <v>Deep TE stash; needs a larger route/target role to matter in 10-team leagues.</v>
      </c>
      <c r="M29" t="str">
        <f>INDEX('LIVE SOURCE'!$J$161:$J$188,$N29)</f>
        <v>Route share, target volume and touchdown volatility are the main swing factors.</v>
      </c>
      <c r="N29" s="6">
        <f>MATCH($A29,'Draft Engine'!$F$161:$F$188,0)</f>
        <v>26</v>
      </c>
    </row>
    <row r="30" spans="1:14" x14ac:dyDescent="0.25">
      <c r="A30">
        <f>28</f>
        <v>28</v>
      </c>
      <c r="B30" t="str">
        <f>INDEX('Draft Engine'!$B$161:$B$188,$N30)</f>
        <v>Terrance Ferguson</v>
      </c>
      <c r="C30" s="4">
        <f>INDEX('Draft Engine'!$E$161:$E$188,$N30)</f>
        <v>64.362099999999998</v>
      </c>
      <c r="D30" t="str">
        <f t="shared" si="0"/>
        <v>TIER 7</v>
      </c>
      <c r="E30">
        <f>INDEX('Draft Engine'!$G$161:$G$188,$N30)</f>
        <v>125.3</v>
      </c>
      <c r="F30">
        <f>INDEX('Draft Engine'!$J$161:$J$188,$N30)</f>
        <v>-54.4</v>
      </c>
      <c r="G30">
        <f>INDEX('Draft Engine'!$N$161:$N$188,$N30)</f>
        <v>40.607154999999999</v>
      </c>
      <c r="H30">
        <f>INDEX('Draft Engine'!$Q$161:$Q$188,$N30)</f>
        <v>177</v>
      </c>
      <c r="I30">
        <f>INDEX('Draft Engine'!$R$161:$R$188,$N30)</f>
        <v>251</v>
      </c>
      <c r="J30">
        <f>INDEX('Draft Engine'!$S$161:$S$188,$N30)</f>
        <v>74</v>
      </c>
      <c r="K30" t="str">
        <f>INDEX('Draft Engine'!$T$161:$T$188,$N30)</f>
        <v>A</v>
      </c>
      <c r="L30" t="str">
        <f>INDEX('LIVE SOURCE'!$H$161:$H$188,$N30)</f>
        <v>Deep TE stash; needs a larger route/target role to matter in 10-team leagues.</v>
      </c>
      <c r="M30" t="str">
        <f>INDEX('LIVE SOURCE'!$J$161:$J$188,$N30)</f>
        <v>Route share, target volume and touchdown volatility are the main swing factors.</v>
      </c>
      <c r="N30" s="6">
        <f>MATCH($A30,'Draft Engine'!$F$161:$F$188,0)</f>
        <v>27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9D18E"/>
  </sheetPr>
  <dimension ref="A1:O14"/>
  <sheetViews>
    <sheetView workbookViewId="0">
      <pane ySplit="2" topLeftCell="A3" activePane="bottomLeft" state="frozen"/>
      <selection pane="bottomLeft"/>
    </sheetView>
  </sheetViews>
  <sheetFormatPr defaultRowHeight="15" x14ac:dyDescent="0.25"/>
  <cols>
    <col min="1" max="1" width="8" customWidth="1"/>
    <col min="2" max="2" width="22" customWidth="1"/>
    <col min="3" max="3" width="6" customWidth="1"/>
    <col min="4" max="4" width="10" customWidth="1"/>
    <col min="5" max="5" width="9" customWidth="1"/>
    <col min="6" max="6" width="10" customWidth="1"/>
    <col min="7" max="7" width="8" customWidth="1"/>
    <col min="8" max="9" width="11" customWidth="1"/>
    <col min="10" max="10" width="10" customWidth="1"/>
    <col min="11" max="11" width="9" customWidth="1"/>
    <col min="12" max="12" width="10" customWidth="1"/>
    <col min="13" max="13" width="55" customWidth="1"/>
    <col min="14" max="14" width="50" customWidth="1"/>
    <col min="15" max="15" width="6" customWidth="1"/>
  </cols>
  <sheetData>
    <row r="1" spans="1:15" ht="18.75" x14ac:dyDescent="0.3">
      <c r="A1" s="1" t="s">
        <v>602</v>
      </c>
    </row>
    <row r="2" spans="1:15" ht="27.95" customHeight="1" x14ac:dyDescent="0.25">
      <c r="A2" s="3" t="s">
        <v>4</v>
      </c>
      <c r="B2" s="3" t="s">
        <v>65</v>
      </c>
      <c r="C2" s="3" t="s">
        <v>79</v>
      </c>
      <c r="D2" s="3" t="s">
        <v>6</v>
      </c>
      <c r="E2" s="3" t="s">
        <v>7</v>
      </c>
      <c r="F2" s="3" t="s">
        <v>591</v>
      </c>
      <c r="G2" s="3" t="s">
        <v>592</v>
      </c>
      <c r="H2" s="3" t="s">
        <v>8</v>
      </c>
      <c r="I2" s="3" t="s">
        <v>598</v>
      </c>
      <c r="J2" s="3" t="s">
        <v>9</v>
      </c>
      <c r="K2" s="3" t="s">
        <v>10</v>
      </c>
      <c r="L2" s="3" t="s">
        <v>80</v>
      </c>
      <c r="M2" s="3" t="s">
        <v>13</v>
      </c>
      <c r="N2" s="3" t="s">
        <v>83</v>
      </c>
      <c r="O2" s="3" t="s">
        <v>14</v>
      </c>
    </row>
    <row r="3" spans="1:15" x14ac:dyDescent="0.25">
      <c r="A3">
        <f>1</f>
        <v>1</v>
      </c>
      <c r="B3" t="str">
        <f>INDEX('Draft Engine'!$B$189:$B$200,$O3)</f>
        <v>Brandon Aubrey</v>
      </c>
      <c r="C3" t="str">
        <f>INDEX('LIVE SOURCE'!$C$189:$C$200,$O3)</f>
        <v>DAL</v>
      </c>
      <c r="D3" s="4">
        <f>INDEX('Draft Engine'!$E$189:$E$200,$O3)</f>
        <v>94</v>
      </c>
      <c r="E3" t="str">
        <f t="shared" ref="E3:E14" si="0">IF($D3&gt;=95,"ELITE",IF($D3&gt;=90,"TIER 1",IF($D3&gt;=85,"TIER 2",IF($D3&gt;=80,"TIER 3",IF($D3&gt;=75,"TIER 4",IF($D3&gt;=70,"TIER 5",IF($D3&gt;=65,"TIER 6","TIER 7")))))))</f>
        <v>TIER 1</v>
      </c>
      <c r="F3">
        <f>INDEX('Draft Engine'!$G$189:$G$200,$O3)</f>
        <v>148</v>
      </c>
      <c r="G3">
        <f>INDEX('Draft Engine'!$J$189:$J$200,$O3)</f>
        <v>39.6</v>
      </c>
      <c r="H3">
        <f>INDEX('Draft Engine'!$N$189:$N$200,$O3)</f>
        <v>64.078000000000003</v>
      </c>
      <c r="I3">
        <f>INDEX('Draft Engine'!$Q$189:$Q$200,$O3)</f>
        <v>141</v>
      </c>
      <c r="J3">
        <f>INDEX('Draft Engine'!$R$189:$R$200,$O3)</f>
        <v>155</v>
      </c>
      <c r="K3">
        <f>INDEX('Draft Engine'!$S$189:$S$200,$O3)</f>
        <v>14</v>
      </c>
      <c r="L3" t="str">
        <f>INDEX('Draft Engine'!$T$189:$T$200,$O3)</f>
        <v>B</v>
      </c>
      <c r="M3" t="str">
        <f>INDEX('LIVE SOURCE'!$H$189:$H$200,$O3)</f>
        <v>Top-tier kicker option, but still a final-round target.</v>
      </c>
      <c r="N3" t="str">
        <f>INDEX('LIVE SOURCE'!$J$189:$J$200,$O3)</f>
        <v>Kicker scoring is volatile and replaceable on waivers; do not pay meaningful draft capital.</v>
      </c>
      <c r="O3" s="6">
        <f>MATCH($A3,'Draft Engine'!$F$189:$F$200,0)</f>
        <v>1</v>
      </c>
    </row>
    <row r="4" spans="1:15" x14ac:dyDescent="0.25">
      <c r="A4">
        <f>2</f>
        <v>2</v>
      </c>
      <c r="B4" t="str">
        <f>INDEX('Draft Engine'!$B$189:$B$200,$O4)</f>
        <v>Ka'imi Fairbairn</v>
      </c>
      <c r="C4" t="str">
        <f>INDEX('LIVE SOURCE'!$C$189:$C$200,$O4)</f>
        <v>HOU</v>
      </c>
      <c r="D4" s="4">
        <f>INDEX('Draft Engine'!$E$189:$E$200,$O4)</f>
        <v>91.8</v>
      </c>
      <c r="E4" t="str">
        <f t="shared" si="0"/>
        <v>TIER 1</v>
      </c>
      <c r="F4">
        <f>INDEX('Draft Engine'!$G$189:$G$200,$O4)</f>
        <v>143.6</v>
      </c>
      <c r="G4">
        <f>INDEX('Draft Engine'!$J$189:$J$200,$O4)</f>
        <v>35.200000000000003</v>
      </c>
      <c r="H4">
        <f>INDEX('Draft Engine'!$N$189:$N$200,$O4)</f>
        <v>61.52600000000001</v>
      </c>
      <c r="I4">
        <f>INDEX('Draft Engine'!$Q$189:$Q$200,$O4)</f>
        <v>142</v>
      </c>
      <c r="J4">
        <f>INDEX('Draft Engine'!$R$189:$R$200,$O4)</f>
        <v>160</v>
      </c>
      <c r="K4">
        <f>INDEX('Draft Engine'!$S$189:$S$200,$O4)</f>
        <v>18</v>
      </c>
      <c r="L4" t="str">
        <f>INDEX('Draft Engine'!$T$189:$T$200,$O4)</f>
        <v>B</v>
      </c>
      <c r="M4" t="str">
        <f>INDEX('LIVE SOURCE'!$H$189:$H$200,$O4)</f>
        <v>Top-tier kicker option, but still a final-round target.</v>
      </c>
      <c r="N4" t="str">
        <f>INDEX('LIVE SOURCE'!$J$189:$J$200,$O4)</f>
        <v>Kicker scoring is volatile and replaceable on waivers; do not pay meaningful draft capital.</v>
      </c>
      <c r="O4" s="6">
        <f>MATCH($A4,'Draft Engine'!$F$189:$F$200,0)</f>
        <v>2</v>
      </c>
    </row>
    <row r="5" spans="1:15" x14ac:dyDescent="0.25">
      <c r="A5">
        <f>3</f>
        <v>3</v>
      </c>
      <c r="B5" t="str">
        <f>INDEX('Draft Engine'!$B$189:$B$200,$O5)</f>
        <v>Cameron Dicker</v>
      </c>
      <c r="C5" t="str">
        <f>INDEX('LIVE SOURCE'!$C$189:$C$200,$O5)</f>
        <v>LAC</v>
      </c>
      <c r="D5" s="4">
        <f>INDEX('Draft Engine'!$E$189:$E$200,$O5)</f>
        <v>89.6</v>
      </c>
      <c r="E5" t="str">
        <f t="shared" si="0"/>
        <v>TIER 2</v>
      </c>
      <c r="F5">
        <f>INDEX('Draft Engine'!$G$189:$G$200,$O5)</f>
        <v>139.19999999999999</v>
      </c>
      <c r="G5">
        <f>INDEX('Draft Engine'!$J$189:$J$200,$O5)</f>
        <v>30.8</v>
      </c>
      <c r="H5">
        <f>INDEX('Draft Engine'!$N$189:$N$200,$O5)</f>
        <v>58.974000000000004</v>
      </c>
      <c r="I5">
        <f>INDEX('Draft Engine'!$Q$189:$Q$200,$O5)</f>
        <v>143</v>
      </c>
      <c r="J5">
        <f>INDEX('Draft Engine'!$R$189:$R$200,$O5)</f>
        <v>165</v>
      </c>
      <c r="K5">
        <f>INDEX('Draft Engine'!$S$189:$S$200,$O5)</f>
        <v>22</v>
      </c>
      <c r="L5" t="str">
        <f>INDEX('Draft Engine'!$T$189:$T$200,$O5)</f>
        <v>B</v>
      </c>
      <c r="M5" t="str">
        <f>INDEX('LIVE SOURCE'!$H$189:$H$200,$O5)</f>
        <v>Top-tier kicker option, but still a final-round target.</v>
      </c>
      <c r="N5" t="str">
        <f>INDEX('LIVE SOURCE'!$J$189:$J$200,$O5)</f>
        <v>Kicker scoring is volatile and replaceable on waivers; do not pay meaningful draft capital.</v>
      </c>
      <c r="O5" s="6">
        <f>MATCH($A5,'Draft Engine'!$F$189:$F$200,0)</f>
        <v>3</v>
      </c>
    </row>
    <row r="6" spans="1:15" x14ac:dyDescent="0.25">
      <c r="A6">
        <f>4</f>
        <v>4</v>
      </c>
      <c r="B6" t="str">
        <f>INDEX('Draft Engine'!$B$189:$B$200,$O6)</f>
        <v>Jason Myers</v>
      </c>
      <c r="C6" t="str">
        <f>INDEX('LIVE SOURCE'!$C$189:$C$200,$O6)</f>
        <v>SEA</v>
      </c>
      <c r="D6" s="4">
        <f>INDEX('Draft Engine'!$E$189:$E$200,$O6)</f>
        <v>87.4</v>
      </c>
      <c r="E6" t="str">
        <f t="shared" si="0"/>
        <v>TIER 2</v>
      </c>
      <c r="F6">
        <f>INDEX('Draft Engine'!$G$189:$G$200,$O6)</f>
        <v>134.80000000000001</v>
      </c>
      <c r="G6">
        <f>INDEX('Draft Engine'!$J$189:$J$200,$O6)</f>
        <v>26.4</v>
      </c>
      <c r="H6">
        <f>INDEX('Draft Engine'!$N$189:$N$200,$O6)</f>
        <v>56.421999999999997</v>
      </c>
      <c r="I6">
        <f>INDEX('Draft Engine'!$Q$189:$Q$200,$O6)</f>
        <v>144</v>
      </c>
      <c r="J6">
        <f>INDEX('Draft Engine'!$R$189:$R$200,$O6)</f>
        <v>170</v>
      </c>
      <c r="K6">
        <f>INDEX('Draft Engine'!$S$189:$S$200,$O6)</f>
        <v>26</v>
      </c>
      <c r="L6" t="str">
        <f>INDEX('Draft Engine'!$T$189:$T$200,$O6)</f>
        <v>B</v>
      </c>
      <c r="M6" t="str">
        <f>INDEX('LIVE SOURCE'!$H$189:$H$200,$O6)</f>
        <v>Top-tier kicker option, but still a final-round target.</v>
      </c>
      <c r="N6" t="str">
        <f>INDEX('LIVE SOURCE'!$J$189:$J$200,$O6)</f>
        <v>Kicker scoring is volatile and replaceable on waivers; do not pay meaningful draft capital.</v>
      </c>
      <c r="O6" s="6">
        <f>MATCH($A6,'Draft Engine'!$F$189:$F$200,0)</f>
        <v>4</v>
      </c>
    </row>
    <row r="7" spans="1:15" x14ac:dyDescent="0.25">
      <c r="A7">
        <f>5</f>
        <v>5</v>
      </c>
      <c r="B7" t="str">
        <f>INDEX('Draft Engine'!$B$189:$B$200,$O7)</f>
        <v>Cam Little</v>
      </c>
      <c r="C7" t="str">
        <f>INDEX('LIVE SOURCE'!$C$189:$C$200,$O7)</f>
        <v>JAX</v>
      </c>
      <c r="D7" s="4">
        <f>INDEX('Draft Engine'!$E$189:$E$200,$O7)</f>
        <v>85.2</v>
      </c>
      <c r="E7" t="str">
        <f t="shared" si="0"/>
        <v>TIER 2</v>
      </c>
      <c r="F7">
        <f>INDEX('Draft Engine'!$G$189:$G$200,$O7)</f>
        <v>130.4</v>
      </c>
      <c r="G7">
        <f>INDEX('Draft Engine'!$J$189:$J$200,$O7)</f>
        <v>22</v>
      </c>
      <c r="H7">
        <f>INDEX('Draft Engine'!$N$189:$N$200,$O7)</f>
        <v>53.870000000000005</v>
      </c>
      <c r="I7">
        <f>INDEX('Draft Engine'!$Q$189:$Q$200,$O7)</f>
        <v>145</v>
      </c>
      <c r="J7">
        <f>INDEX('Draft Engine'!$R$189:$R$200,$O7)</f>
        <v>175</v>
      </c>
      <c r="K7">
        <f>INDEX('Draft Engine'!$S$189:$S$200,$O7)</f>
        <v>30</v>
      </c>
      <c r="L7" t="str">
        <f>INDEX('Draft Engine'!$T$189:$T$200,$O7)</f>
        <v>B</v>
      </c>
      <c r="M7" t="str">
        <f>INDEX('LIVE SOURCE'!$H$189:$H$200,$O7)</f>
        <v>Top-tier kicker option, but still a final-round target.</v>
      </c>
      <c r="N7" t="str">
        <f>INDEX('LIVE SOURCE'!$J$189:$J$200,$O7)</f>
        <v>Kicker scoring is volatile and replaceable on waivers; do not pay meaningful draft capital.</v>
      </c>
      <c r="O7" s="6">
        <f>MATCH($A7,'Draft Engine'!$F$189:$F$200,0)</f>
        <v>5</v>
      </c>
    </row>
    <row r="8" spans="1:15" x14ac:dyDescent="0.25">
      <c r="A8">
        <f>6</f>
        <v>6</v>
      </c>
      <c r="B8" t="str">
        <f>INDEX('Draft Engine'!$B$189:$B$200,$O8)</f>
        <v>Eddy Pineiro</v>
      </c>
      <c r="C8" t="str">
        <f>INDEX('LIVE SOURCE'!$C$189:$C$200,$O8)</f>
        <v>SF</v>
      </c>
      <c r="D8" s="4">
        <f>INDEX('Draft Engine'!$E$189:$E$200,$O8)</f>
        <v>83</v>
      </c>
      <c r="E8" t="str">
        <f t="shared" si="0"/>
        <v>TIER 3</v>
      </c>
      <c r="F8">
        <f>INDEX('Draft Engine'!$G$189:$G$200,$O8)</f>
        <v>126</v>
      </c>
      <c r="G8">
        <f>INDEX('Draft Engine'!$J$189:$J$200,$O8)</f>
        <v>17.600000000000001</v>
      </c>
      <c r="H8">
        <f>INDEX('Draft Engine'!$N$189:$N$200,$O8)</f>
        <v>51.318000000000012</v>
      </c>
      <c r="I8">
        <f>INDEX('Draft Engine'!$Q$189:$Q$200,$O8)</f>
        <v>146</v>
      </c>
      <c r="J8">
        <f>INDEX('Draft Engine'!$R$189:$R$200,$O8)</f>
        <v>180</v>
      </c>
      <c r="K8">
        <f>INDEX('Draft Engine'!$S$189:$S$200,$O8)</f>
        <v>34</v>
      </c>
      <c r="L8" t="str">
        <f>INDEX('Draft Engine'!$T$189:$T$200,$O8)</f>
        <v>B</v>
      </c>
      <c r="M8" t="str">
        <f>INDEX('LIVE SOURCE'!$H$189:$H$200,$O8)</f>
        <v>Late-round kicker; treat as replaceable unless scoring strongly rewards distance.</v>
      </c>
      <c r="N8" t="str">
        <f>INDEX('LIVE SOURCE'!$J$189:$J$200,$O8)</f>
        <v>Kicker scoring is volatile and replaceable on waivers; do not pay meaningful draft capital.</v>
      </c>
      <c r="O8" s="6">
        <f>MATCH($A8,'Draft Engine'!$F$189:$F$200,0)</f>
        <v>6</v>
      </c>
    </row>
    <row r="9" spans="1:15" x14ac:dyDescent="0.25">
      <c r="A9">
        <f>7</f>
        <v>7</v>
      </c>
      <c r="B9" t="str">
        <f>INDEX('Draft Engine'!$B$189:$B$200,$O9)</f>
        <v>Tyler Loop</v>
      </c>
      <c r="C9" t="str">
        <f>INDEX('LIVE SOURCE'!$C$189:$C$200,$O9)</f>
        <v>BAL</v>
      </c>
      <c r="D9" s="4">
        <f>INDEX('Draft Engine'!$E$189:$E$200,$O9)</f>
        <v>80.8</v>
      </c>
      <c r="E9" t="str">
        <f t="shared" si="0"/>
        <v>TIER 3</v>
      </c>
      <c r="F9">
        <f>INDEX('Draft Engine'!$G$189:$G$200,$O9)</f>
        <v>121.6</v>
      </c>
      <c r="G9">
        <f>INDEX('Draft Engine'!$J$189:$J$200,$O9)</f>
        <v>13.2</v>
      </c>
      <c r="H9">
        <f>INDEX('Draft Engine'!$N$189:$N$200,$O9)</f>
        <v>48.766000000000005</v>
      </c>
      <c r="I9">
        <f>INDEX('Draft Engine'!$Q$189:$Q$200,$O9)</f>
        <v>147</v>
      </c>
      <c r="J9">
        <f>INDEX('Draft Engine'!$R$189:$R$200,$O9)</f>
        <v>185</v>
      </c>
      <c r="K9">
        <f>INDEX('Draft Engine'!$S$189:$S$200,$O9)</f>
        <v>38</v>
      </c>
      <c r="L9" t="str">
        <f>INDEX('Draft Engine'!$T$189:$T$200,$O9)</f>
        <v>B</v>
      </c>
      <c r="M9" t="str">
        <f>INDEX('LIVE SOURCE'!$H$189:$H$200,$O9)</f>
        <v>Late-round kicker; treat as replaceable unless scoring strongly rewards distance.</v>
      </c>
      <c r="N9" t="str">
        <f>INDEX('LIVE SOURCE'!$J$189:$J$200,$O9)</f>
        <v>Kicker scoring is volatile and replaceable on waivers; do not pay meaningful draft capital.</v>
      </c>
      <c r="O9" s="6">
        <f>MATCH($A9,'Draft Engine'!$F$189:$F$200,0)</f>
        <v>7</v>
      </c>
    </row>
    <row r="10" spans="1:15" x14ac:dyDescent="0.25">
      <c r="A10">
        <f>8</f>
        <v>8</v>
      </c>
      <c r="B10" t="str">
        <f>INDEX('Draft Engine'!$B$189:$B$200,$O10)</f>
        <v>Harrison Mevis</v>
      </c>
      <c r="C10" t="str">
        <f>INDEX('LIVE SOURCE'!$C$189:$C$200,$O10)</f>
        <v>LAR</v>
      </c>
      <c r="D10" s="4">
        <f>INDEX('Draft Engine'!$E$189:$E$200,$O10)</f>
        <v>78.599999999999994</v>
      </c>
      <c r="E10" t="str">
        <f t="shared" si="0"/>
        <v>TIER 4</v>
      </c>
      <c r="F10">
        <f>INDEX('Draft Engine'!$G$189:$G$200,$O10)</f>
        <v>117.2</v>
      </c>
      <c r="G10">
        <f>INDEX('Draft Engine'!$J$189:$J$200,$O10)</f>
        <v>8.8000000000000007</v>
      </c>
      <c r="H10">
        <f>INDEX('Draft Engine'!$N$189:$N$200,$O10)</f>
        <v>46.213999999999999</v>
      </c>
      <c r="I10">
        <f>INDEX('Draft Engine'!$Q$189:$Q$200,$O10)</f>
        <v>148</v>
      </c>
      <c r="J10">
        <f>INDEX('Draft Engine'!$R$189:$R$200,$O10)</f>
        <v>190</v>
      </c>
      <c r="K10">
        <f>INDEX('Draft Engine'!$S$189:$S$200,$O10)</f>
        <v>42</v>
      </c>
      <c r="L10" t="str">
        <f>INDEX('Draft Engine'!$T$189:$T$200,$O10)</f>
        <v>B</v>
      </c>
      <c r="M10" t="str">
        <f>INDEX('LIVE SOURCE'!$H$189:$H$200,$O10)</f>
        <v>Late-round kicker; treat as replaceable unless scoring strongly rewards distance.</v>
      </c>
      <c r="N10" t="str">
        <f>INDEX('LIVE SOURCE'!$J$189:$J$200,$O10)</f>
        <v>Kicker scoring is volatile and replaceable on waivers; do not pay meaningful draft capital.</v>
      </c>
      <c r="O10" s="6">
        <f>MATCH($A10,'Draft Engine'!$F$189:$F$200,0)</f>
        <v>8</v>
      </c>
    </row>
    <row r="11" spans="1:15" x14ac:dyDescent="0.25">
      <c r="A11">
        <f>9</f>
        <v>9</v>
      </c>
      <c r="B11" t="str">
        <f>INDEX('Draft Engine'!$B$189:$B$200,$O11)</f>
        <v>Chase McLaughlin</v>
      </c>
      <c r="C11" t="str">
        <f>INDEX('LIVE SOURCE'!$C$189:$C$200,$O11)</f>
        <v>TB</v>
      </c>
      <c r="D11" s="4">
        <f>INDEX('Draft Engine'!$E$189:$E$200,$O11)</f>
        <v>76.400000000000006</v>
      </c>
      <c r="E11" t="str">
        <f t="shared" si="0"/>
        <v>TIER 4</v>
      </c>
      <c r="F11">
        <f>INDEX('Draft Engine'!$G$189:$G$200,$O11)</f>
        <v>112.8</v>
      </c>
      <c r="G11">
        <f>INDEX('Draft Engine'!$J$189:$J$200,$O11)</f>
        <v>4.4000000000000004</v>
      </c>
      <c r="H11">
        <f>INDEX('Draft Engine'!$N$189:$N$200,$O11)</f>
        <v>43.662000000000006</v>
      </c>
      <c r="I11">
        <f>INDEX('Draft Engine'!$Q$189:$Q$200,$O11)</f>
        <v>149</v>
      </c>
      <c r="J11">
        <f>INDEX('Draft Engine'!$R$189:$R$200,$O11)</f>
        <v>195</v>
      </c>
      <c r="K11">
        <f>INDEX('Draft Engine'!$S$189:$S$200,$O11)</f>
        <v>46</v>
      </c>
      <c r="L11" t="str">
        <f>INDEX('Draft Engine'!$T$189:$T$200,$O11)</f>
        <v>B</v>
      </c>
      <c r="M11" t="str">
        <f>INDEX('LIVE SOURCE'!$H$189:$H$200,$O11)</f>
        <v>Late-round kicker; treat as replaceable unless scoring strongly rewards distance.</v>
      </c>
      <c r="N11" t="str">
        <f>INDEX('LIVE SOURCE'!$J$189:$J$200,$O11)</f>
        <v>Kicker scoring is volatile and replaceable on waivers; do not pay meaningful draft capital.</v>
      </c>
      <c r="O11" s="6">
        <f>MATCH($A11,'Draft Engine'!$F$189:$F$200,0)</f>
        <v>9</v>
      </c>
    </row>
    <row r="12" spans="1:15" x14ac:dyDescent="0.25">
      <c r="A12">
        <f>10</f>
        <v>10</v>
      </c>
      <c r="B12" t="str">
        <f>INDEX('Draft Engine'!$B$189:$B$200,$O12)</f>
        <v>Cairo Santos</v>
      </c>
      <c r="C12" t="str">
        <f>INDEX('LIVE SOURCE'!$C$189:$C$200,$O12)</f>
        <v>CHI</v>
      </c>
      <c r="D12" s="4">
        <f>INDEX('Draft Engine'!$E$189:$E$200,$O12)</f>
        <v>74.2</v>
      </c>
      <c r="E12" t="str">
        <f t="shared" si="0"/>
        <v>TIER 5</v>
      </c>
      <c r="F12">
        <f>INDEX('Draft Engine'!$G$189:$G$200,$O12)</f>
        <v>108.4</v>
      </c>
      <c r="G12">
        <f>INDEX('Draft Engine'!$J$189:$J$200,$O12)</f>
        <v>0</v>
      </c>
      <c r="H12">
        <f>INDEX('Draft Engine'!$N$189:$N$200,$O12)</f>
        <v>41.11</v>
      </c>
      <c r="I12">
        <f>INDEX('Draft Engine'!$Q$189:$Q$200,$O12)</f>
        <v>150</v>
      </c>
      <c r="J12">
        <f>INDEX('Draft Engine'!$R$189:$R$200,$O12)</f>
        <v>200</v>
      </c>
      <c r="K12">
        <f>INDEX('Draft Engine'!$S$189:$S$200,$O12)</f>
        <v>50</v>
      </c>
      <c r="L12" t="str">
        <f>INDEX('Draft Engine'!$T$189:$T$200,$O12)</f>
        <v>B</v>
      </c>
      <c r="M12" t="str">
        <f>INDEX('LIVE SOURCE'!$H$189:$H$200,$O12)</f>
        <v>Late-round kicker; treat as replaceable unless scoring strongly rewards distance.</v>
      </c>
      <c r="N12" t="str">
        <f>INDEX('LIVE SOURCE'!$J$189:$J$200,$O12)</f>
        <v>Kicker scoring is volatile and replaceable on waivers; do not pay meaningful draft capital.</v>
      </c>
      <c r="O12" s="6">
        <f>MATCH($A12,'Draft Engine'!$F$189:$F$200,0)</f>
        <v>10</v>
      </c>
    </row>
    <row r="13" spans="1:15" x14ac:dyDescent="0.25">
      <c r="A13">
        <f>11</f>
        <v>11</v>
      </c>
      <c r="B13" t="str">
        <f>INDEX('Draft Engine'!$B$189:$B$200,$O13)</f>
        <v>Andy Borregales</v>
      </c>
      <c r="C13" t="str">
        <f>INDEX('LIVE SOURCE'!$C$189:$C$200,$O13)</f>
        <v>NE</v>
      </c>
      <c r="D13" s="4">
        <f>INDEX('Draft Engine'!$E$189:$E$200,$O13)</f>
        <v>72</v>
      </c>
      <c r="E13" t="str">
        <f t="shared" si="0"/>
        <v>TIER 5</v>
      </c>
      <c r="F13">
        <f>INDEX('Draft Engine'!$G$189:$G$200,$O13)</f>
        <v>104</v>
      </c>
      <c r="G13">
        <f>INDEX('Draft Engine'!$J$189:$J$200,$O13)</f>
        <v>-4.4000000000000004</v>
      </c>
      <c r="H13">
        <f>INDEX('Draft Engine'!$N$189:$N$200,$O13)</f>
        <v>38.558</v>
      </c>
      <c r="I13">
        <f>INDEX('Draft Engine'!$Q$189:$Q$200,$O13)</f>
        <v>229</v>
      </c>
      <c r="J13">
        <f>INDEX('Draft Engine'!$R$189:$R$200,$O13)</f>
        <v>205</v>
      </c>
      <c r="K13">
        <f>INDEX('Draft Engine'!$S$189:$S$200,$O13)</f>
        <v>-24</v>
      </c>
      <c r="L13" t="str">
        <f>INDEX('Draft Engine'!$T$189:$T$200,$O13)</f>
        <v>B</v>
      </c>
      <c r="M13" t="str">
        <f>INDEX('LIVE SOURCE'!$H$189:$H$200,$O13)</f>
        <v>Late-round kicker; treat as replaceable unless scoring strongly rewards distance.</v>
      </c>
      <c r="N13" t="str">
        <f>INDEX('LIVE SOURCE'!$J$189:$J$200,$O13)</f>
        <v>Kicker scoring is volatile and replaceable on waivers; do not pay meaningful draft capital.</v>
      </c>
      <c r="O13" s="6">
        <f>MATCH($A13,'Draft Engine'!$F$189:$F$200,0)</f>
        <v>11</v>
      </c>
    </row>
    <row r="14" spans="1:15" x14ac:dyDescent="0.25">
      <c r="A14">
        <f>12</f>
        <v>12</v>
      </c>
      <c r="B14" t="str">
        <f>INDEX('Draft Engine'!$B$189:$B$200,$O14)</f>
        <v>Evan McPherson</v>
      </c>
      <c r="C14" t="str">
        <f>INDEX('LIVE SOURCE'!$C$189:$C$200,$O14)</f>
        <v>CIN</v>
      </c>
      <c r="D14" s="4">
        <f>INDEX('Draft Engine'!$E$189:$E$200,$O14)</f>
        <v>69.8</v>
      </c>
      <c r="E14" t="str">
        <f t="shared" si="0"/>
        <v>TIER 6</v>
      </c>
      <c r="F14">
        <f>INDEX('Draft Engine'!$G$189:$G$200,$O14)</f>
        <v>99.6</v>
      </c>
      <c r="G14">
        <f>INDEX('Draft Engine'!$J$189:$J$200,$O14)</f>
        <v>-8.8000000000000007</v>
      </c>
      <c r="H14">
        <f>INDEX('Draft Engine'!$N$189:$N$200,$O14)</f>
        <v>36.006</v>
      </c>
      <c r="I14">
        <f>INDEX('Draft Engine'!$Q$189:$Q$200,$O14)</f>
        <v>230</v>
      </c>
      <c r="J14">
        <f>INDEX('Draft Engine'!$R$189:$R$200,$O14)</f>
        <v>210</v>
      </c>
      <c r="K14">
        <f>INDEX('Draft Engine'!$S$189:$S$200,$O14)</f>
        <v>-20</v>
      </c>
      <c r="L14" t="str">
        <f>INDEX('Draft Engine'!$T$189:$T$200,$O14)</f>
        <v>B</v>
      </c>
      <c r="M14" t="str">
        <f>INDEX('LIVE SOURCE'!$H$189:$H$200,$O14)</f>
        <v>Late-round kicker; treat as replaceable unless scoring strongly rewards distance.</v>
      </c>
      <c r="N14" t="str">
        <f>INDEX('LIVE SOURCE'!$J$189:$J$200,$O14)</f>
        <v>Kicker scoring is volatile and replaceable on waivers; do not pay meaningful draft capital.</v>
      </c>
      <c r="O14" s="6">
        <f>MATCH($A14,'Draft Engine'!$F$189:$F$200,0)</f>
        <v>12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9D18E"/>
  </sheetPr>
  <dimension ref="A1:O34"/>
  <sheetViews>
    <sheetView workbookViewId="0">
      <pane ySplit="2" topLeftCell="A3" activePane="bottomLeft" state="frozen"/>
      <selection pane="bottomLeft"/>
    </sheetView>
  </sheetViews>
  <sheetFormatPr defaultRowHeight="15" x14ac:dyDescent="0.25"/>
  <cols>
    <col min="1" max="1" width="8" customWidth="1"/>
    <col min="2" max="2" width="22" customWidth="1"/>
    <col min="3" max="3" width="6" customWidth="1"/>
    <col min="4" max="4" width="10" customWidth="1"/>
    <col min="5" max="5" width="9" customWidth="1"/>
    <col min="6" max="6" width="10" customWidth="1"/>
    <col min="7" max="7" width="8" customWidth="1"/>
    <col min="8" max="9" width="11" customWidth="1"/>
    <col min="10" max="10" width="10" customWidth="1"/>
    <col min="11" max="11" width="9" customWidth="1"/>
    <col min="12" max="12" width="10" customWidth="1"/>
    <col min="13" max="13" width="55" customWidth="1"/>
    <col min="14" max="14" width="50" customWidth="1"/>
    <col min="15" max="15" width="6" customWidth="1"/>
  </cols>
  <sheetData>
    <row r="1" spans="1:15" ht="18.75" x14ac:dyDescent="0.3">
      <c r="A1" s="1" t="s">
        <v>603</v>
      </c>
    </row>
    <row r="2" spans="1:15" ht="27.95" customHeight="1" x14ac:dyDescent="0.25">
      <c r="A2" s="3" t="s">
        <v>4</v>
      </c>
      <c r="B2" s="3" t="s">
        <v>604</v>
      </c>
      <c r="C2" s="3" t="s">
        <v>79</v>
      </c>
      <c r="D2" s="3" t="s">
        <v>6</v>
      </c>
      <c r="E2" s="3" t="s">
        <v>7</v>
      </c>
      <c r="F2" s="3" t="s">
        <v>591</v>
      </c>
      <c r="G2" s="3" t="s">
        <v>592</v>
      </c>
      <c r="H2" s="3" t="s">
        <v>8</v>
      </c>
      <c r="I2" s="3" t="s">
        <v>598</v>
      </c>
      <c r="J2" s="3" t="s">
        <v>9</v>
      </c>
      <c r="K2" s="3" t="s">
        <v>10</v>
      </c>
      <c r="L2" s="3" t="s">
        <v>80</v>
      </c>
      <c r="M2" s="3" t="s">
        <v>13</v>
      </c>
      <c r="N2" s="3" t="s">
        <v>83</v>
      </c>
      <c r="O2" s="3" t="s">
        <v>14</v>
      </c>
    </row>
    <row r="3" spans="1:15" x14ac:dyDescent="0.25">
      <c r="A3">
        <f>1</f>
        <v>1</v>
      </c>
      <c r="B3" t="str">
        <f>INDEX('Draft Engine'!$B$201:$B$232,$O3)</f>
        <v>Houston Texans</v>
      </c>
      <c r="C3" t="str">
        <f>INDEX('LIVE SOURCE'!$C$201:$C$232,$O3)</f>
        <v>HOU</v>
      </c>
      <c r="D3" s="4">
        <f>INDEX('Draft Engine'!$E$201:$E$232,$O3)</f>
        <v>93</v>
      </c>
      <c r="E3" t="str">
        <f t="shared" ref="E3:E34" si="0">IF($D3&gt;=95,"ELITE",IF($D3&gt;=90,"TIER 1",IF($D3&gt;=85,"TIER 2",IF($D3&gt;=80,"TIER 3",IF($D3&gt;=75,"TIER 4",IF($D3&gt;=70,"TIER 5",IF($D3&gt;=65,"TIER 6","TIER 7")))))))</f>
        <v>TIER 1</v>
      </c>
      <c r="F3">
        <f>INDEX('Draft Engine'!$G$201:$G$232,$O3)</f>
        <v>117.4</v>
      </c>
      <c r="G3">
        <f>INDEX('Draft Engine'!$J$201:$J$232,$O3)</f>
        <v>17.8</v>
      </c>
      <c r="H3">
        <f>INDEX('Draft Engine'!$N$201:$N$232,$O3)</f>
        <v>56.854000000000013</v>
      </c>
      <c r="I3">
        <f>INDEX('Draft Engine'!$Q$201:$Q$232,$O3)</f>
        <v>131</v>
      </c>
      <c r="J3">
        <f>INDEX('Draft Engine'!$R$201:$R$232,$O3)</f>
        <v>160</v>
      </c>
      <c r="K3">
        <f>INDEX('Draft Engine'!$S$201:$S$232,$O3)</f>
        <v>29</v>
      </c>
      <c r="L3" t="str">
        <f>INDEX('Draft Engine'!$T$201:$T$232,$O3)</f>
        <v>B</v>
      </c>
      <c r="M3" t="str">
        <f>INDEX('LIVE SOURCE'!$H$201:$H$232,$O3)</f>
        <v>Elite DST target if available in the final rounds; otherwise streaming remains viable.</v>
      </c>
      <c r="N3" t="str">
        <f>INDEX('LIVE SOURCE'!$J$201:$J$232,$O3)</f>
        <v>DST scoring is highly opponent- and turnover-dependent, making season-long rank fragile.</v>
      </c>
      <c r="O3" s="6">
        <f>MATCH($A3,'Draft Engine'!$F$201:$F$232,0)</f>
        <v>1</v>
      </c>
    </row>
    <row r="4" spans="1:15" x14ac:dyDescent="0.25">
      <c r="A4">
        <f>2</f>
        <v>2</v>
      </c>
      <c r="B4" t="str">
        <f>INDEX('Draft Engine'!$B$201:$B$232,$O4)</f>
        <v>Denver Broncos</v>
      </c>
      <c r="C4" t="str">
        <f>INDEX('LIVE SOURCE'!$C$201:$C$232,$O4)</f>
        <v>DEN</v>
      </c>
      <c r="D4" s="4">
        <f>INDEX('Draft Engine'!$E$201:$E$232,$O4)</f>
        <v>91.9</v>
      </c>
      <c r="E4" t="str">
        <f t="shared" si="0"/>
        <v>TIER 1</v>
      </c>
      <c r="F4">
        <f>INDEX('Draft Engine'!$G$201:$G$232,$O4)</f>
        <v>115.4</v>
      </c>
      <c r="G4">
        <f>INDEX('Draft Engine'!$J$201:$J$232,$O4)</f>
        <v>15.8</v>
      </c>
      <c r="H4">
        <f>INDEX('Draft Engine'!$N$201:$N$232,$O4)</f>
        <v>55.38900000000001</v>
      </c>
      <c r="I4">
        <f>INDEX('Draft Engine'!$Q$201:$Q$232,$O4)</f>
        <v>132</v>
      </c>
      <c r="J4">
        <f>INDEX('Draft Engine'!$R$201:$R$232,$O4)</f>
        <v>164</v>
      </c>
      <c r="K4">
        <f>INDEX('Draft Engine'!$S$201:$S$232,$O4)</f>
        <v>32</v>
      </c>
      <c r="L4" t="str">
        <f>INDEX('Draft Engine'!$T$201:$T$232,$O4)</f>
        <v>B</v>
      </c>
      <c r="M4" t="str">
        <f>INDEX('LIVE SOURCE'!$H$201:$H$232,$O4)</f>
        <v>Elite DST target if available in the final rounds; otherwise streaming remains viable.</v>
      </c>
      <c r="N4" t="str">
        <f>INDEX('LIVE SOURCE'!$J$201:$J$232,$O4)</f>
        <v>DST scoring is highly opponent- and turnover-dependent, making season-long rank fragile.</v>
      </c>
      <c r="O4" s="6">
        <f>MATCH($A4,'Draft Engine'!$F$201:$F$232,0)</f>
        <v>2</v>
      </c>
    </row>
    <row r="5" spans="1:15" x14ac:dyDescent="0.25">
      <c r="A5">
        <f>3</f>
        <v>3</v>
      </c>
      <c r="B5" t="str">
        <f>INDEX('Draft Engine'!$B$201:$B$232,$O5)</f>
        <v>Seattle Seahawks</v>
      </c>
      <c r="C5" t="str">
        <f>INDEX('LIVE SOURCE'!$C$201:$C$232,$O5)</f>
        <v>SEA</v>
      </c>
      <c r="D5" s="4">
        <f>INDEX('Draft Engine'!$E$201:$E$232,$O5)</f>
        <v>90.8</v>
      </c>
      <c r="E5" t="str">
        <f t="shared" si="0"/>
        <v>TIER 1</v>
      </c>
      <c r="F5">
        <f>INDEX('Draft Engine'!$G$201:$G$232,$O5)</f>
        <v>113.4</v>
      </c>
      <c r="G5">
        <f>INDEX('Draft Engine'!$J$201:$J$232,$O5)</f>
        <v>13.8</v>
      </c>
      <c r="H5">
        <f>INDEX('Draft Engine'!$N$201:$N$232,$O5)</f>
        <v>53.924000000000007</v>
      </c>
      <c r="I5">
        <f>INDEX('Draft Engine'!$Q$201:$Q$232,$O5)</f>
        <v>133</v>
      </c>
      <c r="J5">
        <f>INDEX('Draft Engine'!$R$201:$R$232,$O5)</f>
        <v>168</v>
      </c>
      <c r="K5">
        <f>INDEX('Draft Engine'!$S$201:$S$232,$O5)</f>
        <v>35</v>
      </c>
      <c r="L5" t="str">
        <f>INDEX('Draft Engine'!$T$201:$T$232,$O5)</f>
        <v>B</v>
      </c>
      <c r="M5" t="str">
        <f>INDEX('LIVE SOURCE'!$H$201:$H$232,$O5)</f>
        <v>Elite DST target if available in the final rounds; otherwise streaming remains viable.</v>
      </c>
      <c r="N5" t="str">
        <f>INDEX('LIVE SOURCE'!$J$201:$J$232,$O5)</f>
        <v>DST scoring is highly opponent- and turnover-dependent, making season-long rank fragile.</v>
      </c>
      <c r="O5" s="6">
        <f>MATCH($A5,'Draft Engine'!$F$201:$F$232,0)</f>
        <v>3</v>
      </c>
    </row>
    <row r="6" spans="1:15" x14ac:dyDescent="0.25">
      <c r="A6">
        <f>4</f>
        <v>4</v>
      </c>
      <c r="B6" t="str">
        <f>INDEX('Draft Engine'!$B$201:$B$232,$O6)</f>
        <v>Los Angeles Rams</v>
      </c>
      <c r="C6" t="str">
        <f>INDEX('LIVE SOURCE'!$C$201:$C$232,$O6)</f>
        <v>LAR</v>
      </c>
      <c r="D6" s="4">
        <f>INDEX('Draft Engine'!$E$201:$E$232,$O6)</f>
        <v>89.7</v>
      </c>
      <c r="E6" t="str">
        <f t="shared" si="0"/>
        <v>TIER 2</v>
      </c>
      <c r="F6">
        <f>INDEX('Draft Engine'!$G$201:$G$232,$O6)</f>
        <v>111.5</v>
      </c>
      <c r="G6">
        <f>INDEX('Draft Engine'!$J$201:$J$232,$O6)</f>
        <v>11.9</v>
      </c>
      <c r="H6">
        <f>INDEX('Draft Engine'!$N$201:$N$232,$O6)</f>
        <v>52.477000000000004</v>
      </c>
      <c r="I6">
        <f>INDEX('Draft Engine'!$Q$201:$Q$232,$O6)</f>
        <v>134</v>
      </c>
      <c r="J6">
        <f>INDEX('Draft Engine'!$R$201:$R$232,$O6)</f>
        <v>134.1</v>
      </c>
      <c r="K6">
        <f>INDEX('Draft Engine'!$S$201:$S$232,$O6)</f>
        <v>9.9999999999994316E-2</v>
      </c>
      <c r="L6" t="str">
        <f>INDEX('Draft Engine'!$T$201:$T$232,$O6)</f>
        <v>B</v>
      </c>
      <c r="M6" t="str">
        <f>INDEX('LIVE SOURCE'!$H$201:$H$232,$O6)</f>
        <v>Elite DST target if available in the final rounds; otherwise streaming remains viable.</v>
      </c>
      <c r="N6" t="str">
        <f>INDEX('LIVE SOURCE'!$J$201:$J$232,$O6)</f>
        <v>DST scoring is highly opponent- and turnover-dependent, making season-long rank fragile.</v>
      </c>
      <c r="O6" s="6">
        <f>MATCH($A6,'Draft Engine'!$F$201:$F$232,0)</f>
        <v>4</v>
      </c>
    </row>
    <row r="7" spans="1:15" x14ac:dyDescent="0.25">
      <c r="A7">
        <f>5</f>
        <v>5</v>
      </c>
      <c r="B7" t="str">
        <f>INDEX('Draft Engine'!$B$201:$B$232,$O7)</f>
        <v>Philadelphia Eagles</v>
      </c>
      <c r="C7" t="str">
        <f>INDEX('LIVE SOURCE'!$C$201:$C$232,$O7)</f>
        <v>PHI</v>
      </c>
      <c r="D7" s="4">
        <f>INDEX('Draft Engine'!$E$201:$E$232,$O7)</f>
        <v>88.6</v>
      </c>
      <c r="E7" t="str">
        <f t="shared" si="0"/>
        <v>TIER 2</v>
      </c>
      <c r="F7">
        <f>INDEX('Draft Engine'!$G$201:$G$232,$O7)</f>
        <v>109.5</v>
      </c>
      <c r="G7">
        <f>INDEX('Draft Engine'!$J$201:$J$232,$O7)</f>
        <v>9.9</v>
      </c>
      <c r="H7">
        <f>INDEX('Draft Engine'!$N$201:$N$232,$O7)</f>
        <v>51.012</v>
      </c>
      <c r="I7">
        <f>INDEX('Draft Engine'!$Q$201:$Q$232,$O7)</f>
        <v>135</v>
      </c>
      <c r="J7">
        <f>INDEX('Draft Engine'!$R$201:$R$232,$O7)</f>
        <v>176</v>
      </c>
      <c r="K7">
        <f>INDEX('Draft Engine'!$S$201:$S$232,$O7)</f>
        <v>41</v>
      </c>
      <c r="L7" t="str">
        <f>INDEX('Draft Engine'!$T$201:$T$232,$O7)</f>
        <v>B</v>
      </c>
      <c r="M7" t="str">
        <f>INDEX('LIVE SOURCE'!$H$201:$H$232,$O7)</f>
        <v>Elite DST target if available in the final rounds; otherwise streaming remains viable.</v>
      </c>
      <c r="N7" t="str">
        <f>INDEX('LIVE SOURCE'!$J$201:$J$232,$O7)</f>
        <v>DST scoring is highly opponent- and turnover-dependent, making season-long rank fragile.</v>
      </c>
      <c r="O7" s="6">
        <f>MATCH($A7,'Draft Engine'!$F$201:$F$232,0)</f>
        <v>5</v>
      </c>
    </row>
    <row r="8" spans="1:15" x14ac:dyDescent="0.25">
      <c r="A8">
        <f>6</f>
        <v>6</v>
      </c>
      <c r="B8" t="str">
        <f>INDEX('Draft Engine'!$B$201:$B$232,$O8)</f>
        <v>Minnesota Vikings</v>
      </c>
      <c r="C8" t="str">
        <f>INDEX('LIVE SOURCE'!$C$201:$C$232,$O8)</f>
        <v>MIN</v>
      </c>
      <c r="D8" s="4">
        <f>INDEX('Draft Engine'!$E$201:$E$232,$O8)</f>
        <v>87.5</v>
      </c>
      <c r="E8" t="str">
        <f t="shared" si="0"/>
        <v>TIER 2</v>
      </c>
      <c r="F8">
        <f>INDEX('Draft Engine'!$G$201:$G$232,$O8)</f>
        <v>107.5</v>
      </c>
      <c r="G8">
        <f>INDEX('Draft Engine'!$J$201:$J$232,$O8)</f>
        <v>7.9</v>
      </c>
      <c r="H8">
        <f>INDEX('Draft Engine'!$N$201:$N$232,$O8)</f>
        <v>49.547000000000011</v>
      </c>
      <c r="I8">
        <f>INDEX('Draft Engine'!$Q$201:$Q$232,$O8)</f>
        <v>136</v>
      </c>
      <c r="J8">
        <f>INDEX('Draft Engine'!$R$201:$R$232,$O8)</f>
        <v>180</v>
      </c>
      <c r="K8">
        <f>INDEX('Draft Engine'!$S$201:$S$232,$O8)</f>
        <v>44</v>
      </c>
      <c r="L8" t="str">
        <f>INDEX('Draft Engine'!$T$201:$T$232,$O8)</f>
        <v>B</v>
      </c>
      <c r="M8" t="str">
        <f>INDEX('LIVE SOURCE'!$H$201:$H$232,$O8)</f>
        <v>Streaming/late-round defense; matchup matters more than preseason rank.</v>
      </c>
      <c r="N8" t="str">
        <f>INDEX('LIVE SOURCE'!$J$201:$J$232,$O8)</f>
        <v>DST scoring is highly opponent- and turnover-dependent, making season-long rank fragile.</v>
      </c>
      <c r="O8" s="6">
        <f>MATCH($A8,'Draft Engine'!$F$201:$F$232,0)</f>
        <v>6</v>
      </c>
    </row>
    <row r="9" spans="1:15" x14ac:dyDescent="0.25">
      <c r="A9">
        <f>7</f>
        <v>7</v>
      </c>
      <c r="B9" t="str">
        <f>INDEX('Draft Engine'!$B$201:$B$232,$O9)</f>
        <v>New England Patriots</v>
      </c>
      <c r="C9" t="str">
        <f>INDEX('LIVE SOURCE'!$C$201:$C$232,$O9)</f>
        <v>NE</v>
      </c>
      <c r="D9" s="4">
        <f>INDEX('Draft Engine'!$E$201:$E$232,$O9)</f>
        <v>86.4</v>
      </c>
      <c r="E9" t="str">
        <f t="shared" si="0"/>
        <v>TIER 2</v>
      </c>
      <c r="F9">
        <f>INDEX('Draft Engine'!$G$201:$G$232,$O9)</f>
        <v>105.5</v>
      </c>
      <c r="G9">
        <f>INDEX('Draft Engine'!$J$201:$J$232,$O9)</f>
        <v>5.9</v>
      </c>
      <c r="H9">
        <f>INDEX('Draft Engine'!$N$201:$N$232,$O9)</f>
        <v>48.082000000000008</v>
      </c>
      <c r="I9">
        <f>INDEX('Draft Engine'!$Q$201:$Q$232,$O9)</f>
        <v>137</v>
      </c>
      <c r="J9">
        <f>INDEX('Draft Engine'!$R$201:$R$232,$O9)</f>
        <v>184</v>
      </c>
      <c r="K9">
        <f>INDEX('Draft Engine'!$S$201:$S$232,$O9)</f>
        <v>47</v>
      </c>
      <c r="L9" t="str">
        <f>INDEX('Draft Engine'!$T$201:$T$232,$O9)</f>
        <v>B</v>
      </c>
      <c r="M9" t="str">
        <f>INDEX('LIVE SOURCE'!$H$201:$H$232,$O9)</f>
        <v>Streaming/late-round defense; matchup matters more than preseason rank.</v>
      </c>
      <c r="N9" t="str">
        <f>INDEX('LIVE SOURCE'!$J$201:$J$232,$O9)</f>
        <v>DST scoring is highly opponent- and turnover-dependent, making season-long rank fragile.</v>
      </c>
      <c r="O9" s="6">
        <f>MATCH($A9,'Draft Engine'!$F$201:$F$232,0)</f>
        <v>7</v>
      </c>
    </row>
    <row r="10" spans="1:15" x14ac:dyDescent="0.25">
      <c r="A10">
        <f>8</f>
        <v>8</v>
      </c>
      <c r="B10" t="str">
        <f>INDEX('Draft Engine'!$B$201:$B$232,$O10)</f>
        <v>Jacksonville Jaguars</v>
      </c>
      <c r="C10" t="str">
        <f>INDEX('LIVE SOURCE'!$C$201:$C$232,$O10)</f>
        <v>JAX</v>
      </c>
      <c r="D10" s="4">
        <f>INDEX('Draft Engine'!$E$201:$E$232,$O10)</f>
        <v>85.3</v>
      </c>
      <c r="E10" t="str">
        <f t="shared" si="0"/>
        <v>TIER 2</v>
      </c>
      <c r="F10">
        <f>INDEX('Draft Engine'!$G$201:$G$232,$O10)</f>
        <v>103.5</v>
      </c>
      <c r="G10">
        <f>INDEX('Draft Engine'!$J$201:$J$232,$O10)</f>
        <v>3.9</v>
      </c>
      <c r="H10">
        <f>INDEX('Draft Engine'!$N$201:$N$232,$O10)</f>
        <v>46.61699999999999</v>
      </c>
      <c r="I10">
        <f>INDEX('Draft Engine'!$Q$201:$Q$232,$O10)</f>
        <v>138</v>
      </c>
      <c r="J10">
        <f>INDEX('Draft Engine'!$R$201:$R$232,$O10)</f>
        <v>188</v>
      </c>
      <c r="K10">
        <f>INDEX('Draft Engine'!$S$201:$S$232,$O10)</f>
        <v>50</v>
      </c>
      <c r="L10" t="str">
        <f>INDEX('Draft Engine'!$T$201:$T$232,$O10)</f>
        <v>B</v>
      </c>
      <c r="M10" t="str">
        <f>INDEX('LIVE SOURCE'!$H$201:$H$232,$O10)</f>
        <v>Streaming/late-round defense; matchup matters more than preseason rank.</v>
      </c>
      <c r="N10" t="str">
        <f>INDEX('LIVE SOURCE'!$J$201:$J$232,$O10)</f>
        <v>DST scoring is highly opponent- and turnover-dependent, making season-long rank fragile.</v>
      </c>
      <c r="O10" s="6">
        <f>MATCH($A10,'Draft Engine'!$F$201:$F$232,0)</f>
        <v>8</v>
      </c>
    </row>
    <row r="11" spans="1:15" x14ac:dyDescent="0.25">
      <c r="A11">
        <f>9</f>
        <v>9</v>
      </c>
      <c r="B11" t="str">
        <f>INDEX('Draft Engine'!$B$201:$B$232,$O11)</f>
        <v>Pittsburgh Steelers</v>
      </c>
      <c r="C11" t="str">
        <f>INDEX('LIVE SOURCE'!$C$201:$C$232,$O11)</f>
        <v>PIT</v>
      </c>
      <c r="D11" s="4">
        <f>INDEX('Draft Engine'!$E$201:$E$232,$O11)</f>
        <v>84.2</v>
      </c>
      <c r="E11" t="str">
        <f t="shared" si="0"/>
        <v>TIER 3</v>
      </c>
      <c r="F11">
        <f>INDEX('Draft Engine'!$G$201:$G$232,$O11)</f>
        <v>101.6</v>
      </c>
      <c r="G11">
        <f>INDEX('Draft Engine'!$J$201:$J$232,$O11)</f>
        <v>2</v>
      </c>
      <c r="H11">
        <f>INDEX('Draft Engine'!$N$201:$N$232,$O11)</f>
        <v>45.17</v>
      </c>
      <c r="I11">
        <f>INDEX('Draft Engine'!$Q$201:$Q$232,$O11)</f>
        <v>139</v>
      </c>
      <c r="J11">
        <f>INDEX('Draft Engine'!$R$201:$R$232,$O11)</f>
        <v>192</v>
      </c>
      <c r="K11">
        <f>INDEX('Draft Engine'!$S$201:$S$232,$O11)</f>
        <v>53</v>
      </c>
      <c r="L11" t="str">
        <f>INDEX('Draft Engine'!$T$201:$T$232,$O11)</f>
        <v>B</v>
      </c>
      <c r="M11" t="str">
        <f>INDEX('LIVE SOURCE'!$H$201:$H$232,$O11)</f>
        <v>Streaming/late-round defense; matchup matters more than preseason rank.</v>
      </c>
      <c r="N11" t="str">
        <f>INDEX('LIVE SOURCE'!$J$201:$J$232,$O11)</f>
        <v>DST scoring is highly opponent- and turnover-dependent, making season-long rank fragile.</v>
      </c>
      <c r="O11" s="6">
        <f>MATCH($A11,'Draft Engine'!$F$201:$F$232,0)</f>
        <v>9</v>
      </c>
    </row>
    <row r="12" spans="1:15" x14ac:dyDescent="0.25">
      <c r="A12">
        <f>10</f>
        <v>10</v>
      </c>
      <c r="B12" t="str">
        <f>INDEX('Draft Engine'!$B$201:$B$232,$O12)</f>
        <v>Los Angeles Chargers</v>
      </c>
      <c r="C12" t="str">
        <f>INDEX('LIVE SOURCE'!$C$201:$C$232,$O12)</f>
        <v>LAC</v>
      </c>
      <c r="D12" s="4">
        <f>INDEX('Draft Engine'!$E$201:$E$232,$O12)</f>
        <v>83.1</v>
      </c>
      <c r="E12" t="str">
        <f t="shared" si="0"/>
        <v>TIER 3</v>
      </c>
      <c r="F12">
        <f>INDEX('Draft Engine'!$G$201:$G$232,$O12)</f>
        <v>99.6</v>
      </c>
      <c r="G12">
        <f>INDEX('Draft Engine'!$J$201:$J$232,$O12)</f>
        <v>0</v>
      </c>
      <c r="H12">
        <f>INDEX('Draft Engine'!$N$201:$N$232,$O12)</f>
        <v>43.704999999999998</v>
      </c>
      <c r="I12">
        <f>INDEX('Draft Engine'!$Q$201:$Q$232,$O12)</f>
        <v>140</v>
      </c>
      <c r="J12">
        <f>INDEX('Draft Engine'!$R$201:$R$232,$O12)</f>
        <v>144.69999999999999</v>
      </c>
      <c r="K12">
        <f>INDEX('Draft Engine'!$S$201:$S$232,$O12)</f>
        <v>4.6999999999999886</v>
      </c>
      <c r="L12" t="str">
        <f>INDEX('Draft Engine'!$T$201:$T$232,$O12)</f>
        <v>B</v>
      </c>
      <c r="M12" t="str">
        <f>INDEX('LIVE SOURCE'!$H$201:$H$232,$O12)</f>
        <v>Streaming/late-round defense; matchup matters more than preseason rank.</v>
      </c>
      <c r="N12" t="str">
        <f>INDEX('LIVE SOURCE'!$J$201:$J$232,$O12)</f>
        <v>DST scoring is highly opponent- and turnover-dependent, making season-long rank fragile.</v>
      </c>
      <c r="O12" s="6">
        <f>MATCH($A12,'Draft Engine'!$F$201:$F$232,0)</f>
        <v>10</v>
      </c>
    </row>
    <row r="13" spans="1:15" x14ac:dyDescent="0.25">
      <c r="A13">
        <f>11</f>
        <v>11</v>
      </c>
      <c r="B13" t="str">
        <f>INDEX('Draft Engine'!$B$201:$B$232,$O13)</f>
        <v>Baltimore Ravens</v>
      </c>
      <c r="C13" t="str">
        <f>INDEX('LIVE SOURCE'!$C$201:$C$232,$O13)</f>
        <v>BAL</v>
      </c>
      <c r="D13" s="4">
        <f>INDEX('Draft Engine'!$E$201:$E$232,$O13)</f>
        <v>82</v>
      </c>
      <c r="E13" t="str">
        <f t="shared" si="0"/>
        <v>TIER 3</v>
      </c>
      <c r="F13">
        <f>INDEX('Draft Engine'!$G$201:$G$232,$O13)</f>
        <v>97.6</v>
      </c>
      <c r="G13">
        <f>INDEX('Draft Engine'!$J$201:$J$232,$O13)</f>
        <v>-2</v>
      </c>
      <c r="H13">
        <f>INDEX('Draft Engine'!$N$201:$N$232,$O13)</f>
        <v>42.24</v>
      </c>
      <c r="I13">
        <f>INDEX('Draft Engine'!$Q$201:$Q$232,$O13)</f>
        <v>207</v>
      </c>
      <c r="J13">
        <f>INDEX('Draft Engine'!$R$201:$R$232,$O13)</f>
        <v>200</v>
      </c>
      <c r="K13">
        <f>INDEX('Draft Engine'!$S$201:$S$232,$O13)</f>
        <v>-7</v>
      </c>
      <c r="L13" t="str">
        <f>INDEX('Draft Engine'!$T$201:$T$232,$O13)</f>
        <v>B</v>
      </c>
      <c r="M13" t="str">
        <f>INDEX('LIVE SOURCE'!$H$201:$H$232,$O13)</f>
        <v>Streaming/late-round defense; matchup matters more than preseason rank.</v>
      </c>
      <c r="N13" t="str">
        <f>INDEX('LIVE SOURCE'!$J$201:$J$232,$O13)</f>
        <v>DST scoring is highly opponent- and turnover-dependent, making season-long rank fragile.</v>
      </c>
      <c r="O13" s="6">
        <f>MATCH($A13,'Draft Engine'!$F$201:$F$232,0)</f>
        <v>11</v>
      </c>
    </row>
    <row r="14" spans="1:15" x14ac:dyDescent="0.25">
      <c r="A14">
        <f>12</f>
        <v>12</v>
      </c>
      <c r="B14" t="str">
        <f>INDEX('Draft Engine'!$B$201:$B$232,$O14)</f>
        <v>Green Bay Packers</v>
      </c>
      <c r="C14" t="str">
        <f>INDEX('LIVE SOURCE'!$C$201:$C$232,$O14)</f>
        <v>GB</v>
      </c>
      <c r="D14" s="4">
        <f>INDEX('Draft Engine'!$E$201:$E$232,$O14)</f>
        <v>80.900000000000006</v>
      </c>
      <c r="E14" t="str">
        <f t="shared" si="0"/>
        <v>TIER 3</v>
      </c>
      <c r="F14">
        <f>INDEX('Draft Engine'!$G$201:$G$232,$O14)</f>
        <v>95.6</v>
      </c>
      <c r="G14">
        <f>INDEX('Draft Engine'!$J$201:$J$232,$O14)</f>
        <v>-4</v>
      </c>
      <c r="H14">
        <f>INDEX('Draft Engine'!$N$201:$N$232,$O14)</f>
        <v>40.775000000000006</v>
      </c>
      <c r="I14">
        <f>INDEX('Draft Engine'!$Q$201:$Q$232,$O14)</f>
        <v>208</v>
      </c>
      <c r="J14">
        <f>INDEX('Draft Engine'!$R$201:$R$232,$O14)</f>
        <v>204</v>
      </c>
      <c r="K14">
        <f>INDEX('Draft Engine'!$S$201:$S$232,$O14)</f>
        <v>-4</v>
      </c>
      <c r="L14" t="str">
        <f>INDEX('Draft Engine'!$T$201:$T$232,$O14)</f>
        <v>B</v>
      </c>
      <c r="M14" t="str">
        <f>INDEX('LIVE SOURCE'!$H$201:$H$232,$O14)</f>
        <v>Streaming/late-round defense; matchup matters more than preseason rank.</v>
      </c>
      <c r="N14" t="str">
        <f>INDEX('LIVE SOURCE'!$J$201:$J$232,$O14)</f>
        <v>DST scoring is highly opponent- and turnover-dependent, making season-long rank fragile.</v>
      </c>
      <c r="O14" s="6">
        <f>MATCH($A14,'Draft Engine'!$F$201:$F$232,0)</f>
        <v>12</v>
      </c>
    </row>
    <row r="15" spans="1:15" x14ac:dyDescent="0.25">
      <c r="A15">
        <f>13</f>
        <v>13</v>
      </c>
      <c r="B15" t="str">
        <f>INDEX('Draft Engine'!$B$201:$B$232,$O15)</f>
        <v>Detroit Lions</v>
      </c>
      <c r="C15" t="str">
        <f>INDEX('LIVE SOURCE'!$C$201:$C$232,$O15)</f>
        <v>DET</v>
      </c>
      <c r="D15" s="4">
        <f>INDEX('Draft Engine'!$E$201:$E$232,$O15)</f>
        <v>79.8</v>
      </c>
      <c r="E15" t="str">
        <f t="shared" si="0"/>
        <v>TIER 4</v>
      </c>
      <c r="F15">
        <f>INDEX('Draft Engine'!$G$201:$G$232,$O15)</f>
        <v>93.6</v>
      </c>
      <c r="G15">
        <f>INDEX('Draft Engine'!$J$201:$J$232,$O15)</f>
        <v>-6</v>
      </c>
      <c r="H15">
        <f>INDEX('Draft Engine'!$N$201:$N$232,$O15)</f>
        <v>39.31</v>
      </c>
      <c r="I15">
        <f>INDEX('Draft Engine'!$Q$201:$Q$232,$O15)</f>
        <v>209</v>
      </c>
      <c r="J15">
        <f>INDEX('Draft Engine'!$R$201:$R$232,$O15)</f>
        <v>208</v>
      </c>
      <c r="K15">
        <f>INDEX('Draft Engine'!$S$201:$S$232,$O15)</f>
        <v>-1</v>
      </c>
      <c r="L15" t="str">
        <f>INDEX('Draft Engine'!$T$201:$T$232,$O15)</f>
        <v>B</v>
      </c>
      <c r="M15" t="str">
        <f>INDEX('LIVE SOURCE'!$H$201:$H$232,$O15)</f>
        <v>Streaming/late-round defense; matchup matters more than preseason rank.</v>
      </c>
      <c r="N15" t="str">
        <f>INDEX('LIVE SOURCE'!$J$201:$J$232,$O15)</f>
        <v>DST scoring is highly opponent- and turnover-dependent, making season-long rank fragile.</v>
      </c>
      <c r="O15" s="6">
        <f>MATCH($A15,'Draft Engine'!$F$201:$F$232,0)</f>
        <v>13</v>
      </c>
    </row>
    <row r="16" spans="1:15" x14ac:dyDescent="0.25">
      <c r="A16">
        <f>14</f>
        <v>14</v>
      </c>
      <c r="B16" t="str">
        <f>INDEX('Draft Engine'!$B$201:$B$232,$O16)</f>
        <v>Buffalo Bills</v>
      </c>
      <c r="C16" t="str">
        <f>INDEX('LIVE SOURCE'!$C$201:$C$232,$O16)</f>
        <v>BUF</v>
      </c>
      <c r="D16" s="4">
        <f>INDEX('Draft Engine'!$E$201:$E$232,$O16)</f>
        <v>78.7</v>
      </c>
      <c r="E16" t="str">
        <f t="shared" si="0"/>
        <v>TIER 4</v>
      </c>
      <c r="F16">
        <f>INDEX('Draft Engine'!$G$201:$G$232,$O16)</f>
        <v>91.7</v>
      </c>
      <c r="G16">
        <f>INDEX('Draft Engine'!$J$201:$J$232,$O16)</f>
        <v>-7.9</v>
      </c>
      <c r="H16">
        <f>INDEX('Draft Engine'!$N$201:$N$232,$O16)</f>
        <v>37.863</v>
      </c>
      <c r="I16">
        <f>INDEX('Draft Engine'!$Q$201:$Q$232,$O16)</f>
        <v>210</v>
      </c>
      <c r="J16">
        <f>INDEX('Draft Engine'!$R$201:$R$232,$O16)</f>
        <v>212</v>
      </c>
      <c r="K16">
        <f>INDEX('Draft Engine'!$S$201:$S$232,$O16)</f>
        <v>2</v>
      </c>
      <c r="L16" t="str">
        <f>INDEX('Draft Engine'!$T$201:$T$232,$O16)</f>
        <v>B</v>
      </c>
      <c r="M16" t="str">
        <f>INDEX('LIVE SOURCE'!$H$201:$H$232,$O16)</f>
        <v>Streaming/late-round defense; matchup matters more than preseason rank.</v>
      </c>
      <c r="N16" t="str">
        <f>INDEX('LIVE SOURCE'!$J$201:$J$232,$O16)</f>
        <v>DST scoring is highly opponent- and turnover-dependent, making season-long rank fragile.</v>
      </c>
      <c r="O16" s="6">
        <f>MATCH($A16,'Draft Engine'!$F$201:$F$232,0)</f>
        <v>14</v>
      </c>
    </row>
    <row r="17" spans="1:15" x14ac:dyDescent="0.25">
      <c r="A17">
        <f>15</f>
        <v>15</v>
      </c>
      <c r="B17" t="str">
        <f>INDEX('Draft Engine'!$B$201:$B$232,$O17)</f>
        <v>Kansas City Chiefs</v>
      </c>
      <c r="C17" t="str">
        <f>INDEX('LIVE SOURCE'!$C$201:$C$232,$O17)</f>
        <v>KC</v>
      </c>
      <c r="D17" s="4">
        <f>INDEX('Draft Engine'!$E$201:$E$232,$O17)</f>
        <v>77.599999999999994</v>
      </c>
      <c r="E17" t="str">
        <f t="shared" si="0"/>
        <v>TIER 4</v>
      </c>
      <c r="F17">
        <f>INDEX('Draft Engine'!$G$201:$G$232,$O17)</f>
        <v>89.7</v>
      </c>
      <c r="G17">
        <f>INDEX('Draft Engine'!$J$201:$J$232,$O17)</f>
        <v>-9.9</v>
      </c>
      <c r="H17">
        <f>INDEX('Draft Engine'!$N$201:$N$232,$O17)</f>
        <v>36.397999999999996</v>
      </c>
      <c r="I17">
        <f>INDEX('Draft Engine'!$Q$201:$Q$232,$O17)</f>
        <v>211</v>
      </c>
      <c r="J17">
        <f>INDEX('Draft Engine'!$R$201:$R$232,$O17)</f>
        <v>216</v>
      </c>
      <c r="K17">
        <f>INDEX('Draft Engine'!$S$201:$S$232,$O17)</f>
        <v>5</v>
      </c>
      <c r="L17" t="str">
        <f>INDEX('Draft Engine'!$T$201:$T$232,$O17)</f>
        <v>B</v>
      </c>
      <c r="M17" t="str">
        <f>INDEX('LIVE SOURCE'!$H$201:$H$232,$O17)</f>
        <v>Streaming/late-round defense; matchup matters more than preseason rank.</v>
      </c>
      <c r="N17" t="str">
        <f>INDEX('LIVE SOURCE'!$J$201:$J$232,$O17)</f>
        <v>DST scoring is highly opponent- and turnover-dependent, making season-long rank fragile.</v>
      </c>
      <c r="O17" s="6">
        <f>MATCH($A17,'Draft Engine'!$F$201:$F$232,0)</f>
        <v>15</v>
      </c>
    </row>
    <row r="18" spans="1:15" x14ac:dyDescent="0.25">
      <c r="A18">
        <f>16</f>
        <v>16</v>
      </c>
      <c r="B18" t="str">
        <f>INDEX('Draft Engine'!$B$201:$B$232,$O18)</f>
        <v>Cleveland Browns</v>
      </c>
      <c r="C18" t="str">
        <f>INDEX('LIVE SOURCE'!$C$201:$C$232,$O18)</f>
        <v>CLE</v>
      </c>
      <c r="D18" s="4">
        <f>INDEX('Draft Engine'!$E$201:$E$232,$O18)</f>
        <v>76.5</v>
      </c>
      <c r="E18" t="str">
        <f t="shared" si="0"/>
        <v>TIER 4</v>
      </c>
      <c r="F18">
        <f>INDEX('Draft Engine'!$G$201:$G$232,$O18)</f>
        <v>87.7</v>
      </c>
      <c r="G18">
        <f>INDEX('Draft Engine'!$J$201:$J$232,$O18)</f>
        <v>-11.9</v>
      </c>
      <c r="H18">
        <f>INDEX('Draft Engine'!$N$201:$N$232,$O18)</f>
        <v>34.933</v>
      </c>
      <c r="I18">
        <f>INDEX('Draft Engine'!$Q$201:$Q$232,$O18)</f>
        <v>212</v>
      </c>
      <c r="J18">
        <f>INDEX('Draft Engine'!$R$201:$R$232,$O18)</f>
        <v>220</v>
      </c>
      <c r="K18">
        <f>INDEX('Draft Engine'!$S$201:$S$232,$O18)</f>
        <v>8</v>
      </c>
      <c r="L18" t="str">
        <f>INDEX('Draft Engine'!$T$201:$T$232,$O18)</f>
        <v>B</v>
      </c>
      <c r="M18" t="str">
        <f>INDEX('LIVE SOURCE'!$H$201:$H$232,$O18)</f>
        <v>Streaming/late-round defense; matchup matters more than preseason rank.</v>
      </c>
      <c r="N18" t="str">
        <f>INDEX('LIVE SOURCE'!$J$201:$J$232,$O18)</f>
        <v>DST scoring is highly opponent- and turnover-dependent, making season-long rank fragile.</v>
      </c>
      <c r="O18" s="6">
        <f>MATCH($A18,'Draft Engine'!$F$201:$F$232,0)</f>
        <v>16</v>
      </c>
    </row>
    <row r="19" spans="1:15" x14ac:dyDescent="0.25">
      <c r="A19">
        <f>17</f>
        <v>17</v>
      </c>
      <c r="B19" t="str">
        <f>INDEX('Draft Engine'!$B$201:$B$232,$O19)</f>
        <v>San Francisco 49ers</v>
      </c>
      <c r="C19" t="str">
        <f>INDEX('LIVE SOURCE'!$C$201:$C$232,$O19)</f>
        <v>SF</v>
      </c>
      <c r="D19" s="4">
        <f>INDEX('Draft Engine'!$E$201:$E$232,$O19)</f>
        <v>75.400000000000006</v>
      </c>
      <c r="E19" t="str">
        <f t="shared" si="0"/>
        <v>TIER 4</v>
      </c>
      <c r="F19">
        <f>INDEX('Draft Engine'!$G$201:$G$232,$O19)</f>
        <v>85.7</v>
      </c>
      <c r="G19">
        <f>INDEX('Draft Engine'!$J$201:$J$232,$O19)</f>
        <v>-13.9</v>
      </c>
      <c r="H19">
        <f>INDEX('Draft Engine'!$N$201:$N$232,$O19)</f>
        <v>33.968000000000004</v>
      </c>
      <c r="I19">
        <f>INDEX('Draft Engine'!$Q$201:$Q$232,$O19)</f>
        <v>213</v>
      </c>
      <c r="J19">
        <f>INDEX('Draft Engine'!$R$201:$R$232,$O19)</f>
        <v>224</v>
      </c>
      <c r="K19">
        <f>INDEX('Draft Engine'!$S$201:$S$232,$O19)</f>
        <v>11</v>
      </c>
      <c r="L19" t="str">
        <f>INDEX('Draft Engine'!$T$201:$T$232,$O19)</f>
        <v>B</v>
      </c>
      <c r="M19" t="str">
        <f>INDEX('LIVE SOURCE'!$H$201:$H$232,$O19)</f>
        <v>Streaming/late-round defense; matchup matters more than preseason rank.</v>
      </c>
      <c r="N19" t="str">
        <f>INDEX('LIVE SOURCE'!$J$201:$J$232,$O19)</f>
        <v>DST scoring is highly opponent- and turnover-dependent, making season-long rank fragile.</v>
      </c>
      <c r="O19" s="6">
        <f>MATCH($A19,'Draft Engine'!$F$201:$F$232,0)</f>
        <v>17</v>
      </c>
    </row>
    <row r="20" spans="1:15" x14ac:dyDescent="0.25">
      <c r="A20">
        <f>18</f>
        <v>18</v>
      </c>
      <c r="B20" t="str">
        <f>INDEX('Draft Engine'!$B$201:$B$232,$O20)</f>
        <v>New Orleans Saints</v>
      </c>
      <c r="C20" t="str">
        <f>INDEX('LIVE SOURCE'!$C$201:$C$232,$O20)</f>
        <v>NO</v>
      </c>
      <c r="D20" s="4">
        <f>INDEX('Draft Engine'!$E$201:$E$232,$O20)</f>
        <v>74.3</v>
      </c>
      <c r="E20" t="str">
        <f t="shared" si="0"/>
        <v>TIER 5</v>
      </c>
      <c r="F20">
        <f>INDEX('Draft Engine'!$G$201:$G$232,$O20)</f>
        <v>83.7</v>
      </c>
      <c r="G20">
        <f>INDEX('Draft Engine'!$J$201:$J$232,$O20)</f>
        <v>-15.9</v>
      </c>
      <c r="H20">
        <f>INDEX('Draft Engine'!$N$201:$N$232,$O20)</f>
        <v>33.003</v>
      </c>
      <c r="I20">
        <f>INDEX('Draft Engine'!$Q$201:$Q$232,$O20)</f>
        <v>214</v>
      </c>
      <c r="J20">
        <f>INDEX('Draft Engine'!$R$201:$R$232,$O20)</f>
        <v>228</v>
      </c>
      <c r="K20">
        <f>INDEX('Draft Engine'!$S$201:$S$232,$O20)</f>
        <v>14</v>
      </c>
      <c r="L20" t="str">
        <f>INDEX('Draft Engine'!$T$201:$T$232,$O20)</f>
        <v>B</v>
      </c>
      <c r="M20" t="str">
        <f>INDEX('LIVE SOURCE'!$H$201:$H$232,$O20)</f>
        <v>Streaming/late-round defense; matchup matters more than preseason rank.</v>
      </c>
      <c r="N20" t="str">
        <f>INDEX('LIVE SOURCE'!$J$201:$J$232,$O20)</f>
        <v>DST scoring is highly opponent- and turnover-dependent, making season-long rank fragile.</v>
      </c>
      <c r="O20" s="6">
        <f>MATCH($A20,'Draft Engine'!$F$201:$F$232,0)</f>
        <v>18</v>
      </c>
    </row>
    <row r="21" spans="1:15" x14ac:dyDescent="0.25">
      <c r="A21">
        <f>19</f>
        <v>19</v>
      </c>
      <c r="B21" t="str">
        <f>INDEX('Draft Engine'!$B$201:$B$232,$O21)</f>
        <v>Atlanta Falcons</v>
      </c>
      <c r="C21" t="str">
        <f>INDEX('LIVE SOURCE'!$C$201:$C$232,$O21)</f>
        <v>ATL</v>
      </c>
      <c r="D21" s="4">
        <f>INDEX('Draft Engine'!$E$201:$E$232,$O21)</f>
        <v>73.2</v>
      </c>
      <c r="E21" t="str">
        <f t="shared" si="0"/>
        <v>TIER 5</v>
      </c>
      <c r="F21">
        <f>INDEX('Draft Engine'!$G$201:$G$232,$O21)</f>
        <v>81.8</v>
      </c>
      <c r="G21">
        <f>INDEX('Draft Engine'!$J$201:$J$232,$O21)</f>
        <v>-17.8</v>
      </c>
      <c r="H21">
        <f>INDEX('Draft Engine'!$N$201:$N$232,$O21)</f>
        <v>32.056000000000004</v>
      </c>
      <c r="I21">
        <f>INDEX('Draft Engine'!$Q$201:$Q$232,$O21)</f>
        <v>215</v>
      </c>
      <c r="J21">
        <f>INDEX('Draft Engine'!$R$201:$R$232,$O21)</f>
        <v>232</v>
      </c>
      <c r="K21">
        <f>INDEX('Draft Engine'!$S$201:$S$232,$O21)</f>
        <v>17</v>
      </c>
      <c r="L21" t="str">
        <f>INDEX('Draft Engine'!$T$201:$T$232,$O21)</f>
        <v>B</v>
      </c>
      <c r="M21" t="str">
        <f>INDEX('LIVE SOURCE'!$H$201:$H$232,$O21)</f>
        <v>Streaming/late-round defense; matchup matters more than preseason rank.</v>
      </c>
      <c r="N21" t="str">
        <f>INDEX('LIVE SOURCE'!$J$201:$J$232,$O21)</f>
        <v>DST scoring is highly opponent- and turnover-dependent, making season-long rank fragile.</v>
      </c>
      <c r="O21" s="6">
        <f>MATCH($A21,'Draft Engine'!$F$201:$F$232,0)</f>
        <v>19</v>
      </c>
    </row>
    <row r="22" spans="1:15" x14ac:dyDescent="0.25">
      <c r="A22">
        <f>20</f>
        <v>20</v>
      </c>
      <c r="B22" t="str">
        <f>INDEX('Draft Engine'!$B$201:$B$232,$O22)</f>
        <v>Chicago Bears</v>
      </c>
      <c r="C22" t="str">
        <f>INDEX('LIVE SOURCE'!$C$201:$C$232,$O22)</f>
        <v>CHI</v>
      </c>
      <c r="D22" s="4">
        <f>INDEX('Draft Engine'!$E$201:$E$232,$O22)</f>
        <v>72.099999999999994</v>
      </c>
      <c r="E22" t="str">
        <f t="shared" si="0"/>
        <v>TIER 5</v>
      </c>
      <c r="F22">
        <f>INDEX('Draft Engine'!$G$201:$G$232,$O22)</f>
        <v>79.8</v>
      </c>
      <c r="G22">
        <f>INDEX('Draft Engine'!$J$201:$J$232,$O22)</f>
        <v>-19.8</v>
      </c>
      <c r="H22">
        <f>INDEX('Draft Engine'!$N$201:$N$232,$O22)</f>
        <v>31.091000000000001</v>
      </c>
      <c r="I22">
        <f>INDEX('Draft Engine'!$Q$201:$Q$232,$O22)</f>
        <v>216</v>
      </c>
      <c r="J22">
        <f>INDEX('Draft Engine'!$R$201:$R$232,$O22)</f>
        <v>236</v>
      </c>
      <c r="K22">
        <f>INDEX('Draft Engine'!$S$201:$S$232,$O22)</f>
        <v>20</v>
      </c>
      <c r="L22" t="str">
        <f>INDEX('Draft Engine'!$T$201:$T$232,$O22)</f>
        <v>B</v>
      </c>
      <c r="M22" t="str">
        <f>INDEX('LIVE SOURCE'!$H$201:$H$232,$O22)</f>
        <v>Streaming/late-round defense; matchup matters more than preseason rank.</v>
      </c>
      <c r="N22" t="str">
        <f>INDEX('LIVE SOURCE'!$J$201:$J$232,$O22)</f>
        <v>DST scoring is highly opponent- and turnover-dependent, making season-long rank fragile.</v>
      </c>
      <c r="O22" s="6">
        <f>MATCH($A22,'Draft Engine'!$F$201:$F$232,0)</f>
        <v>20</v>
      </c>
    </row>
    <row r="23" spans="1:15" x14ac:dyDescent="0.25">
      <c r="A23">
        <f>21</f>
        <v>21</v>
      </c>
      <c r="B23" t="str">
        <f>INDEX('Draft Engine'!$B$201:$B$232,$O23)</f>
        <v>Indianapolis Colts</v>
      </c>
      <c r="C23" t="str">
        <f>INDEX('LIVE SOURCE'!$C$201:$C$232,$O23)</f>
        <v>IND</v>
      </c>
      <c r="D23" s="4">
        <f>INDEX('Draft Engine'!$E$201:$E$232,$O23)</f>
        <v>71</v>
      </c>
      <c r="E23" t="str">
        <f t="shared" si="0"/>
        <v>TIER 5</v>
      </c>
      <c r="F23">
        <f>INDEX('Draft Engine'!$G$201:$G$232,$O23)</f>
        <v>77.8</v>
      </c>
      <c r="G23">
        <f>INDEX('Draft Engine'!$J$201:$J$232,$O23)</f>
        <v>-21.8</v>
      </c>
      <c r="H23">
        <f>INDEX('Draft Engine'!$N$201:$N$232,$O23)</f>
        <v>30.126000000000005</v>
      </c>
      <c r="I23">
        <f>INDEX('Draft Engine'!$Q$201:$Q$232,$O23)</f>
        <v>217</v>
      </c>
      <c r="J23">
        <f>INDEX('Draft Engine'!$R$201:$R$232,$O23)</f>
        <v>240</v>
      </c>
      <c r="K23">
        <f>INDEX('Draft Engine'!$S$201:$S$232,$O23)</f>
        <v>23</v>
      </c>
      <c r="L23" t="str">
        <f>INDEX('Draft Engine'!$T$201:$T$232,$O23)</f>
        <v>B</v>
      </c>
      <c r="M23" t="str">
        <f>INDEX('LIVE SOURCE'!$H$201:$H$232,$O23)</f>
        <v>Streaming/late-round defense; matchup matters more than preseason rank.</v>
      </c>
      <c r="N23" t="str">
        <f>INDEX('LIVE SOURCE'!$J$201:$J$232,$O23)</f>
        <v>DST scoring is highly opponent- and turnover-dependent, making season-long rank fragile.</v>
      </c>
      <c r="O23" s="6">
        <f>MATCH($A23,'Draft Engine'!$F$201:$F$232,0)</f>
        <v>21</v>
      </c>
    </row>
    <row r="24" spans="1:15" x14ac:dyDescent="0.25">
      <c r="A24">
        <f>22</f>
        <v>22</v>
      </c>
      <c r="B24" t="str">
        <f>INDEX('Draft Engine'!$B$201:$B$232,$O24)</f>
        <v>New York Giants</v>
      </c>
      <c r="C24" t="str">
        <f>INDEX('LIVE SOURCE'!$C$201:$C$232,$O24)</f>
        <v>NYG</v>
      </c>
      <c r="D24" s="4">
        <f>INDEX('Draft Engine'!$E$201:$E$232,$O24)</f>
        <v>69.900000000000006</v>
      </c>
      <c r="E24" t="str">
        <f t="shared" si="0"/>
        <v>TIER 6</v>
      </c>
      <c r="F24">
        <f>INDEX('Draft Engine'!$G$201:$G$232,$O24)</f>
        <v>75.8</v>
      </c>
      <c r="G24">
        <f>INDEX('Draft Engine'!$J$201:$J$232,$O24)</f>
        <v>-23.8</v>
      </c>
      <c r="H24">
        <f>INDEX('Draft Engine'!$N$201:$N$232,$O24)</f>
        <v>29.161000000000008</v>
      </c>
      <c r="I24">
        <f>INDEX('Draft Engine'!$Q$201:$Q$232,$O24)</f>
        <v>218</v>
      </c>
      <c r="J24">
        <f>INDEX('Draft Engine'!$R$201:$R$232,$O24)</f>
        <v>166.7</v>
      </c>
      <c r="K24">
        <f>INDEX('Draft Engine'!$S$201:$S$232,$O24)</f>
        <v>-51.300000000000011</v>
      </c>
      <c r="L24" t="str">
        <f>INDEX('Draft Engine'!$T$201:$T$232,$O24)</f>
        <v>B</v>
      </c>
      <c r="M24" t="str">
        <f>INDEX('LIVE SOURCE'!$H$201:$H$232,$O24)</f>
        <v>Streaming/late-round defense; matchup matters more than preseason rank.</v>
      </c>
      <c r="N24" t="str">
        <f>INDEX('LIVE SOURCE'!$J$201:$J$232,$O24)</f>
        <v>DST scoring is highly opponent- and turnover-dependent, making season-long rank fragile.</v>
      </c>
      <c r="O24" s="6">
        <f>MATCH($A24,'Draft Engine'!$F$201:$F$232,0)</f>
        <v>22</v>
      </c>
    </row>
    <row r="25" spans="1:15" x14ac:dyDescent="0.25">
      <c r="A25">
        <f>23</f>
        <v>23</v>
      </c>
      <c r="B25" t="str">
        <f>INDEX('Draft Engine'!$B$201:$B$232,$O25)</f>
        <v>Tampa Bay Buccaneers</v>
      </c>
      <c r="C25" t="str">
        <f>INDEX('LIVE SOURCE'!$C$201:$C$232,$O25)</f>
        <v>TB</v>
      </c>
      <c r="D25" s="4">
        <f>INDEX('Draft Engine'!$E$201:$E$232,$O25)</f>
        <v>68.8</v>
      </c>
      <c r="E25" t="str">
        <f t="shared" si="0"/>
        <v>TIER 6</v>
      </c>
      <c r="F25">
        <f>INDEX('Draft Engine'!$G$201:$G$232,$O25)</f>
        <v>73.8</v>
      </c>
      <c r="G25">
        <f>INDEX('Draft Engine'!$J$201:$J$232,$O25)</f>
        <v>-25.8</v>
      </c>
      <c r="H25">
        <f>INDEX('Draft Engine'!$N$201:$N$232,$O25)</f>
        <v>28.195999999999998</v>
      </c>
      <c r="I25">
        <f>INDEX('Draft Engine'!$Q$201:$Q$232,$O25)</f>
        <v>219</v>
      </c>
      <c r="J25">
        <f>INDEX('Draft Engine'!$R$201:$R$232,$O25)</f>
        <v>248</v>
      </c>
      <c r="K25">
        <f>INDEX('Draft Engine'!$S$201:$S$232,$O25)</f>
        <v>29</v>
      </c>
      <c r="L25" t="str">
        <f>INDEX('Draft Engine'!$T$201:$T$232,$O25)</f>
        <v>B</v>
      </c>
      <c r="M25" t="str">
        <f>INDEX('LIVE SOURCE'!$H$201:$H$232,$O25)</f>
        <v>Streaming/late-round defense; matchup matters more than preseason rank.</v>
      </c>
      <c r="N25" t="str">
        <f>INDEX('LIVE SOURCE'!$J$201:$J$232,$O25)</f>
        <v>DST scoring is highly opponent- and turnover-dependent, making season-long rank fragile.</v>
      </c>
      <c r="O25" s="6">
        <f>MATCH($A25,'Draft Engine'!$F$201:$F$232,0)</f>
        <v>23</v>
      </c>
    </row>
    <row r="26" spans="1:15" x14ac:dyDescent="0.25">
      <c r="A26">
        <f>24</f>
        <v>24</v>
      </c>
      <c r="B26" t="str">
        <f>INDEX('Draft Engine'!$B$201:$B$232,$O26)</f>
        <v>Dallas Cowboys</v>
      </c>
      <c r="C26" t="str">
        <f>INDEX('LIVE SOURCE'!$C$201:$C$232,$O26)</f>
        <v>DAL</v>
      </c>
      <c r="D26" s="4">
        <f>INDEX('Draft Engine'!$E$201:$E$232,$O26)</f>
        <v>67.7</v>
      </c>
      <c r="E26" t="str">
        <f t="shared" si="0"/>
        <v>TIER 6</v>
      </c>
      <c r="F26">
        <f>INDEX('Draft Engine'!$G$201:$G$232,$O26)</f>
        <v>71.900000000000006</v>
      </c>
      <c r="G26">
        <f>INDEX('Draft Engine'!$J$201:$J$232,$O26)</f>
        <v>-27.7</v>
      </c>
      <c r="H26">
        <f>INDEX('Draft Engine'!$N$201:$N$232,$O26)</f>
        <v>27.249000000000009</v>
      </c>
      <c r="I26">
        <f>INDEX('Draft Engine'!$Q$201:$Q$232,$O26)</f>
        <v>220</v>
      </c>
      <c r="J26">
        <f>INDEX('Draft Engine'!$R$201:$R$232,$O26)</f>
        <v>252</v>
      </c>
      <c r="K26">
        <f>INDEX('Draft Engine'!$S$201:$S$232,$O26)</f>
        <v>32</v>
      </c>
      <c r="L26" t="str">
        <f>INDEX('Draft Engine'!$T$201:$T$232,$O26)</f>
        <v>B</v>
      </c>
      <c r="M26" t="str">
        <f>INDEX('LIVE SOURCE'!$H$201:$H$232,$O26)</f>
        <v>Streaming/late-round defense; matchup matters more than preseason rank.</v>
      </c>
      <c r="N26" t="str">
        <f>INDEX('LIVE SOURCE'!$J$201:$J$232,$O26)</f>
        <v>DST scoring is highly opponent- and turnover-dependent, making season-long rank fragile.</v>
      </c>
      <c r="O26" s="6">
        <f>MATCH($A26,'Draft Engine'!$F$201:$F$232,0)</f>
        <v>24</v>
      </c>
    </row>
    <row r="27" spans="1:15" x14ac:dyDescent="0.25">
      <c r="A27">
        <f>25</f>
        <v>25</v>
      </c>
      <c r="B27" t="str">
        <f>INDEX('Draft Engine'!$B$201:$B$232,$O27)</f>
        <v>Carolina Panthers</v>
      </c>
      <c r="C27" t="str">
        <f>INDEX('LIVE SOURCE'!$C$201:$C$232,$O27)</f>
        <v>CAR</v>
      </c>
      <c r="D27" s="4">
        <f>INDEX('Draft Engine'!$E$201:$E$232,$O27)</f>
        <v>66.599999999999994</v>
      </c>
      <c r="E27" t="str">
        <f t="shared" si="0"/>
        <v>TIER 6</v>
      </c>
      <c r="F27">
        <f>INDEX('Draft Engine'!$G$201:$G$232,$O27)</f>
        <v>69.900000000000006</v>
      </c>
      <c r="G27">
        <f>INDEX('Draft Engine'!$J$201:$J$232,$O27)</f>
        <v>-29.7</v>
      </c>
      <c r="H27">
        <f>INDEX('Draft Engine'!$N$201:$N$232,$O27)</f>
        <v>26.284000000000006</v>
      </c>
      <c r="I27">
        <f>INDEX('Draft Engine'!$Q$201:$Q$232,$O27)</f>
        <v>221</v>
      </c>
      <c r="J27">
        <f>INDEX('Draft Engine'!$R$201:$R$232,$O27)</f>
        <v>256</v>
      </c>
      <c r="K27">
        <f>INDEX('Draft Engine'!$S$201:$S$232,$O27)</f>
        <v>35</v>
      </c>
      <c r="L27" t="str">
        <f>INDEX('Draft Engine'!$T$201:$T$232,$O27)</f>
        <v>B</v>
      </c>
      <c r="M27" t="str">
        <f>INDEX('LIVE SOURCE'!$H$201:$H$232,$O27)</f>
        <v>Streaming/late-round defense; matchup matters more than preseason rank.</v>
      </c>
      <c r="N27" t="str">
        <f>INDEX('LIVE SOURCE'!$J$201:$J$232,$O27)</f>
        <v>DST scoring is highly opponent- and turnover-dependent, making season-long rank fragile.</v>
      </c>
      <c r="O27" s="6">
        <f>MATCH($A27,'Draft Engine'!$F$201:$F$232,0)</f>
        <v>25</v>
      </c>
    </row>
    <row r="28" spans="1:15" x14ac:dyDescent="0.25">
      <c r="A28">
        <f>26</f>
        <v>26</v>
      </c>
      <c r="B28" t="str">
        <f>INDEX('Draft Engine'!$B$201:$B$232,$O28)</f>
        <v>Tennessee Titans</v>
      </c>
      <c r="C28" t="str">
        <f>INDEX('LIVE SOURCE'!$C$201:$C$232,$O28)</f>
        <v>TEN</v>
      </c>
      <c r="D28" s="4">
        <f>INDEX('Draft Engine'!$E$201:$E$232,$O28)</f>
        <v>65.5</v>
      </c>
      <c r="E28" t="str">
        <f t="shared" si="0"/>
        <v>TIER 6</v>
      </c>
      <c r="F28">
        <f>INDEX('Draft Engine'!$G$201:$G$232,$O28)</f>
        <v>67.900000000000006</v>
      </c>
      <c r="G28">
        <f>INDEX('Draft Engine'!$J$201:$J$232,$O28)</f>
        <v>-31.7</v>
      </c>
      <c r="H28">
        <f>INDEX('Draft Engine'!$N$201:$N$232,$O28)</f>
        <v>25.319000000000003</v>
      </c>
      <c r="I28">
        <f>INDEX('Draft Engine'!$Q$201:$Q$232,$O28)</f>
        <v>222</v>
      </c>
      <c r="J28">
        <f>INDEX('Draft Engine'!$R$201:$R$232,$O28)</f>
        <v>260</v>
      </c>
      <c r="K28">
        <f>INDEX('Draft Engine'!$S$201:$S$232,$O28)</f>
        <v>38</v>
      </c>
      <c r="L28" t="str">
        <f>INDEX('Draft Engine'!$T$201:$T$232,$O28)</f>
        <v>B</v>
      </c>
      <c r="M28" t="str">
        <f>INDEX('LIVE SOURCE'!$H$201:$H$232,$O28)</f>
        <v>Streaming/late-round defense; matchup matters more than preseason rank.</v>
      </c>
      <c r="N28" t="str">
        <f>INDEX('LIVE SOURCE'!$J$201:$J$232,$O28)</f>
        <v>DST scoring is highly opponent- and turnover-dependent, making season-long rank fragile.</v>
      </c>
      <c r="O28" s="6">
        <f>MATCH($A28,'Draft Engine'!$F$201:$F$232,0)</f>
        <v>26</v>
      </c>
    </row>
    <row r="29" spans="1:15" x14ac:dyDescent="0.25">
      <c r="A29">
        <f>27</f>
        <v>27</v>
      </c>
      <c r="B29" t="str">
        <f>INDEX('Draft Engine'!$B$201:$B$232,$O29)</f>
        <v>Miami Dolphins</v>
      </c>
      <c r="C29" t="str">
        <f>INDEX('LIVE SOURCE'!$C$201:$C$232,$O29)</f>
        <v>MIA</v>
      </c>
      <c r="D29" s="4">
        <f>INDEX('Draft Engine'!$E$201:$E$232,$O29)</f>
        <v>64.400000000000006</v>
      </c>
      <c r="E29" t="str">
        <f t="shared" si="0"/>
        <v>TIER 7</v>
      </c>
      <c r="F29">
        <f>INDEX('Draft Engine'!$G$201:$G$232,$O29)</f>
        <v>65.900000000000006</v>
      </c>
      <c r="G29">
        <f>INDEX('Draft Engine'!$J$201:$J$232,$O29)</f>
        <v>-33.700000000000003</v>
      </c>
      <c r="H29">
        <f>INDEX('Draft Engine'!$N$201:$N$232,$O29)</f>
        <v>24.354000000000006</v>
      </c>
      <c r="I29">
        <f>INDEX('Draft Engine'!$Q$201:$Q$232,$O29)</f>
        <v>223</v>
      </c>
      <c r="J29">
        <f>INDEX('Draft Engine'!$R$201:$R$232,$O29)</f>
        <v>264</v>
      </c>
      <c r="K29">
        <f>INDEX('Draft Engine'!$S$201:$S$232,$O29)</f>
        <v>41</v>
      </c>
      <c r="L29" t="str">
        <f>INDEX('Draft Engine'!$T$201:$T$232,$O29)</f>
        <v>B</v>
      </c>
      <c r="M29" t="str">
        <f>INDEX('LIVE SOURCE'!$H$201:$H$232,$O29)</f>
        <v>Streaming/late-round defense; matchup matters more than preseason rank.</v>
      </c>
      <c r="N29" t="str">
        <f>INDEX('LIVE SOURCE'!$J$201:$J$232,$O29)</f>
        <v>DST scoring is highly opponent- and turnover-dependent, making season-long rank fragile.</v>
      </c>
      <c r="O29" s="6">
        <f>MATCH($A29,'Draft Engine'!$F$201:$F$232,0)</f>
        <v>27</v>
      </c>
    </row>
    <row r="30" spans="1:15" x14ac:dyDescent="0.25">
      <c r="A30">
        <f>28</f>
        <v>28</v>
      </c>
      <c r="B30" t="str">
        <f>INDEX('Draft Engine'!$B$201:$B$232,$O30)</f>
        <v>Washington Commanders</v>
      </c>
      <c r="C30" t="str">
        <f>INDEX('LIVE SOURCE'!$C$201:$C$232,$O30)</f>
        <v>WAS</v>
      </c>
      <c r="D30" s="4">
        <f>INDEX('Draft Engine'!$E$201:$E$232,$O30)</f>
        <v>63.3</v>
      </c>
      <c r="E30" t="str">
        <f t="shared" si="0"/>
        <v>TIER 7</v>
      </c>
      <c r="F30">
        <f>INDEX('Draft Engine'!$G$201:$G$232,$O30)</f>
        <v>63.9</v>
      </c>
      <c r="G30">
        <f>INDEX('Draft Engine'!$J$201:$J$232,$O30)</f>
        <v>-35.700000000000003</v>
      </c>
      <c r="H30">
        <f>INDEX('Draft Engine'!$N$201:$N$232,$O30)</f>
        <v>23.388999999999996</v>
      </c>
      <c r="I30">
        <f>INDEX('Draft Engine'!$Q$201:$Q$232,$O30)</f>
        <v>224</v>
      </c>
      <c r="J30">
        <f>INDEX('Draft Engine'!$R$201:$R$232,$O30)</f>
        <v>268</v>
      </c>
      <c r="K30">
        <f>INDEX('Draft Engine'!$S$201:$S$232,$O30)</f>
        <v>44</v>
      </c>
      <c r="L30" t="str">
        <f>INDEX('Draft Engine'!$T$201:$T$232,$O30)</f>
        <v>B</v>
      </c>
      <c r="M30" t="str">
        <f>INDEX('LIVE SOURCE'!$H$201:$H$232,$O30)</f>
        <v>Streaming/late-round defense; matchup matters more than preseason rank.</v>
      </c>
      <c r="N30" t="str">
        <f>INDEX('LIVE SOURCE'!$J$201:$J$232,$O30)</f>
        <v>DST scoring is highly opponent- and turnover-dependent, making season-long rank fragile.</v>
      </c>
      <c r="O30" s="6">
        <f>MATCH($A30,'Draft Engine'!$F$201:$F$232,0)</f>
        <v>28</v>
      </c>
    </row>
    <row r="31" spans="1:15" x14ac:dyDescent="0.25">
      <c r="A31">
        <f>29</f>
        <v>29</v>
      </c>
      <c r="B31" t="str">
        <f>INDEX('Draft Engine'!$B$201:$B$232,$O31)</f>
        <v>New York Jets</v>
      </c>
      <c r="C31" t="str">
        <f>INDEX('LIVE SOURCE'!$C$201:$C$232,$O31)</f>
        <v>NYJ</v>
      </c>
      <c r="D31" s="4">
        <f>INDEX('Draft Engine'!$E$201:$E$232,$O31)</f>
        <v>62.2</v>
      </c>
      <c r="E31" t="str">
        <f t="shared" si="0"/>
        <v>TIER 7</v>
      </c>
      <c r="F31">
        <f>INDEX('Draft Engine'!$G$201:$G$232,$O31)</f>
        <v>62</v>
      </c>
      <c r="G31">
        <f>INDEX('Draft Engine'!$J$201:$J$232,$O31)</f>
        <v>-37.6</v>
      </c>
      <c r="H31">
        <f>INDEX('Draft Engine'!$N$201:$N$232,$O31)</f>
        <v>22.442</v>
      </c>
      <c r="I31">
        <f>INDEX('Draft Engine'!$Q$201:$Q$232,$O31)</f>
        <v>225</v>
      </c>
      <c r="J31">
        <f>INDEX('Draft Engine'!$R$201:$R$232,$O31)</f>
        <v>149.9</v>
      </c>
      <c r="K31">
        <f>INDEX('Draft Engine'!$S$201:$S$232,$O31)</f>
        <v>-75.099999999999994</v>
      </c>
      <c r="L31" t="str">
        <f>INDEX('Draft Engine'!$T$201:$T$232,$O31)</f>
        <v>B</v>
      </c>
      <c r="M31" t="str">
        <f>INDEX('LIVE SOURCE'!$H$201:$H$232,$O31)</f>
        <v>Streaming/late-round defense; matchup matters more than preseason rank.</v>
      </c>
      <c r="N31" t="str">
        <f>INDEX('LIVE SOURCE'!$J$201:$J$232,$O31)</f>
        <v>DST scoring is highly opponent- and turnover-dependent, making season-long rank fragile.</v>
      </c>
      <c r="O31" s="6">
        <f>MATCH($A31,'Draft Engine'!$F$201:$F$232,0)</f>
        <v>29</v>
      </c>
    </row>
    <row r="32" spans="1:15" x14ac:dyDescent="0.25">
      <c r="A32">
        <f>30</f>
        <v>30</v>
      </c>
      <c r="B32" t="str">
        <f>INDEX('Draft Engine'!$B$201:$B$232,$O32)</f>
        <v>Arizona Cardinals</v>
      </c>
      <c r="C32" t="str">
        <f>INDEX('LIVE SOURCE'!$C$201:$C$232,$O32)</f>
        <v>ARI</v>
      </c>
      <c r="D32" s="4">
        <f>INDEX('Draft Engine'!$E$201:$E$232,$O32)</f>
        <v>61.1</v>
      </c>
      <c r="E32" t="str">
        <f t="shared" si="0"/>
        <v>TIER 7</v>
      </c>
      <c r="F32">
        <f>INDEX('Draft Engine'!$G$201:$G$232,$O32)</f>
        <v>60</v>
      </c>
      <c r="G32">
        <f>INDEX('Draft Engine'!$J$201:$J$232,$O32)</f>
        <v>-39.6</v>
      </c>
      <c r="H32">
        <f>INDEX('Draft Engine'!$N$201:$N$232,$O32)</f>
        <v>21.477000000000004</v>
      </c>
      <c r="I32">
        <f>INDEX('Draft Engine'!$Q$201:$Q$232,$O32)</f>
        <v>226</v>
      </c>
      <c r="J32">
        <f>INDEX('Draft Engine'!$R$201:$R$232,$O32)</f>
        <v>276</v>
      </c>
      <c r="K32">
        <f>INDEX('Draft Engine'!$S$201:$S$232,$O32)</f>
        <v>50</v>
      </c>
      <c r="L32" t="str">
        <f>INDEX('Draft Engine'!$T$201:$T$232,$O32)</f>
        <v>B</v>
      </c>
      <c r="M32" t="str">
        <f>INDEX('LIVE SOURCE'!$H$201:$H$232,$O32)</f>
        <v>Streaming/late-round defense; matchup matters more than preseason rank.</v>
      </c>
      <c r="N32" t="str">
        <f>INDEX('LIVE SOURCE'!$J$201:$J$232,$O32)</f>
        <v>DST scoring is highly opponent- and turnover-dependent, making season-long rank fragile.</v>
      </c>
      <c r="O32" s="6">
        <f>MATCH($A32,'Draft Engine'!$F$201:$F$232,0)</f>
        <v>30</v>
      </c>
    </row>
    <row r="33" spans="1:15" x14ac:dyDescent="0.25">
      <c r="A33">
        <f>31</f>
        <v>31</v>
      </c>
      <c r="B33" t="str">
        <f>INDEX('Draft Engine'!$B$201:$B$232,$O33)</f>
        <v>Cincinnati Bengals</v>
      </c>
      <c r="C33" t="str">
        <f>INDEX('LIVE SOURCE'!$C$201:$C$232,$O33)</f>
        <v>CIN</v>
      </c>
      <c r="D33" s="4">
        <f>INDEX('Draft Engine'!$E$201:$E$232,$O33)</f>
        <v>60</v>
      </c>
      <c r="E33" t="str">
        <f t="shared" si="0"/>
        <v>TIER 7</v>
      </c>
      <c r="F33">
        <f>INDEX('Draft Engine'!$G$201:$G$232,$O33)</f>
        <v>58</v>
      </c>
      <c r="G33">
        <f>INDEX('Draft Engine'!$J$201:$J$232,$O33)</f>
        <v>-41.6</v>
      </c>
      <c r="H33">
        <f>INDEX('Draft Engine'!$N$201:$N$232,$O33)</f>
        <v>20.512</v>
      </c>
      <c r="I33">
        <f>INDEX('Draft Engine'!$Q$201:$Q$232,$O33)</f>
        <v>227</v>
      </c>
      <c r="J33">
        <f>INDEX('Draft Engine'!$R$201:$R$232,$O33)</f>
        <v>280</v>
      </c>
      <c r="K33">
        <f>INDEX('Draft Engine'!$S$201:$S$232,$O33)</f>
        <v>53</v>
      </c>
      <c r="L33" t="str">
        <f>INDEX('Draft Engine'!$T$201:$T$232,$O33)</f>
        <v>B</v>
      </c>
      <c r="M33" t="str">
        <f>INDEX('LIVE SOURCE'!$H$201:$H$232,$O33)</f>
        <v>Streaming/late-round defense; matchup matters more than preseason rank.</v>
      </c>
      <c r="N33" t="str">
        <f>INDEX('LIVE SOURCE'!$J$201:$J$232,$O33)</f>
        <v>DST scoring is highly opponent- and turnover-dependent, making season-long rank fragile.</v>
      </c>
      <c r="O33" s="6">
        <f>MATCH($A33,'Draft Engine'!$F$201:$F$232,0)</f>
        <v>31</v>
      </c>
    </row>
    <row r="34" spans="1:15" x14ac:dyDescent="0.25">
      <c r="A34">
        <f>32</f>
        <v>32</v>
      </c>
      <c r="B34" t="str">
        <f>INDEX('Draft Engine'!$B$201:$B$232,$O34)</f>
        <v>Las Vegas Raiders</v>
      </c>
      <c r="C34" t="str">
        <f>INDEX('LIVE SOURCE'!$C$201:$C$232,$O34)</f>
        <v>LV</v>
      </c>
      <c r="D34" s="4">
        <f>INDEX('Draft Engine'!$E$201:$E$232,$O34)</f>
        <v>58.9</v>
      </c>
      <c r="E34" t="str">
        <f t="shared" si="0"/>
        <v>TIER 7</v>
      </c>
      <c r="F34">
        <f>INDEX('Draft Engine'!$G$201:$G$232,$O34)</f>
        <v>56</v>
      </c>
      <c r="G34">
        <f>INDEX('Draft Engine'!$J$201:$J$232,$O34)</f>
        <v>-43.6</v>
      </c>
      <c r="H34">
        <f>INDEX('Draft Engine'!$N$201:$N$232,$O34)</f>
        <v>19.547000000000004</v>
      </c>
      <c r="I34">
        <f>INDEX('Draft Engine'!$Q$201:$Q$232,$O34)</f>
        <v>228</v>
      </c>
      <c r="J34">
        <f>INDEX('Draft Engine'!$R$201:$R$232,$O34)</f>
        <v>284</v>
      </c>
      <c r="K34">
        <f>INDEX('Draft Engine'!$S$201:$S$232,$O34)</f>
        <v>56</v>
      </c>
      <c r="L34" t="str">
        <f>INDEX('Draft Engine'!$T$201:$T$232,$O34)</f>
        <v>B</v>
      </c>
      <c r="M34" t="str">
        <f>INDEX('LIVE SOURCE'!$H$201:$H$232,$O34)</f>
        <v>Streaming/late-round defense; matchup matters more than preseason rank.</v>
      </c>
      <c r="N34" t="str">
        <f>INDEX('LIVE SOURCE'!$J$201:$J$232,$O34)</f>
        <v>DST scoring is highly opponent- and turnover-dependent, making season-long rank fragile.</v>
      </c>
      <c r="O34" s="6">
        <f>MATCH($A34,'Draft Engine'!$F$201:$F$232,0)</f>
        <v>32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sheetPr>
  <dimension ref="A1:Z232"/>
  <sheetViews>
    <sheetView workbookViewId="0">
      <pane ySplit="2" topLeftCell="A3" activePane="bottomLeft" state="frozen"/>
      <selection pane="bottomLeft"/>
    </sheetView>
  </sheetViews>
  <sheetFormatPr defaultRowHeight="15" x14ac:dyDescent="0.25"/>
  <cols>
    <col min="1" max="1" width="6" customWidth="1"/>
    <col min="2" max="2" width="22" customWidth="1"/>
    <col min="3" max="3" width="10" customWidth="1"/>
    <col min="4" max="4" width="9" customWidth="1"/>
    <col min="5" max="5" width="11" customWidth="1"/>
    <col min="6" max="6" width="8" customWidth="1"/>
    <col min="7" max="7" width="10" customWidth="1"/>
    <col min="8" max="8" width="9" customWidth="1"/>
    <col min="9" max="9" width="10" customWidth="1"/>
    <col min="10" max="10" width="8" customWidth="1"/>
    <col min="11" max="11" width="10" customWidth="1"/>
    <col min="12" max="12" width="9" customWidth="1"/>
    <col min="13" max="13" width="8" customWidth="1"/>
    <col min="14" max="14" width="11" customWidth="1"/>
    <col min="15" max="16" width="8" customWidth="1"/>
    <col min="17" max="18" width="10" customWidth="1"/>
    <col min="19" max="19" width="9" customWidth="1"/>
    <col min="20" max="20" width="10" customWidth="1"/>
    <col min="21" max="23" width="8" customWidth="1"/>
    <col min="24" max="24" width="22" customWidth="1"/>
    <col min="25" max="25" width="11" customWidth="1"/>
    <col min="26" max="26" width="9" customWidth="1"/>
  </cols>
  <sheetData>
    <row r="1" spans="1:26" ht="18.75" x14ac:dyDescent="0.3">
      <c r="A1" s="1" t="s">
        <v>605</v>
      </c>
    </row>
    <row r="2" spans="1:26" ht="27.95" customHeight="1" x14ac:dyDescent="0.25">
      <c r="A2" s="3" t="s">
        <v>3</v>
      </c>
      <c r="B2" s="3" t="s">
        <v>65</v>
      </c>
      <c r="C2" s="3" t="s">
        <v>66</v>
      </c>
      <c r="D2" s="3" t="s">
        <v>606</v>
      </c>
      <c r="E2" s="3" t="s">
        <v>607</v>
      </c>
      <c r="F2" s="3" t="s">
        <v>4</v>
      </c>
      <c r="G2" s="3" t="s">
        <v>591</v>
      </c>
      <c r="H2" s="3" t="s">
        <v>608</v>
      </c>
      <c r="I2" s="3" t="s">
        <v>609</v>
      </c>
      <c r="J2" s="3" t="s">
        <v>592</v>
      </c>
      <c r="K2" s="3" t="s">
        <v>610</v>
      </c>
      <c r="L2" s="3" t="s">
        <v>594</v>
      </c>
      <c r="M2" s="3" t="s">
        <v>611</v>
      </c>
      <c r="N2" s="3" t="s">
        <v>8</v>
      </c>
      <c r="O2" s="3" t="s">
        <v>612</v>
      </c>
      <c r="P2" s="3" t="s">
        <v>613</v>
      </c>
      <c r="Q2" s="3" t="s">
        <v>598</v>
      </c>
      <c r="R2" s="3" t="s">
        <v>9</v>
      </c>
      <c r="S2" s="3" t="s">
        <v>10</v>
      </c>
      <c r="T2" s="3" t="s">
        <v>80</v>
      </c>
      <c r="U2" s="3" t="s">
        <v>595</v>
      </c>
      <c r="V2" s="3" t="s">
        <v>614</v>
      </c>
      <c r="W2" s="3" t="s">
        <v>596</v>
      </c>
      <c r="X2" s="3" t="s">
        <v>81</v>
      </c>
      <c r="Y2" s="3" t="s">
        <v>615</v>
      </c>
      <c r="Z2" s="3" t="s">
        <v>12</v>
      </c>
    </row>
    <row r="3" spans="1:26" x14ac:dyDescent="0.25">
      <c r="A3" t="str">
        <f>'LIVE SOURCE'!A3</f>
        <v>QB</v>
      </c>
      <c r="B3" t="str">
        <f>'LIVE SOURCE'!B3</f>
        <v>Josh Allen</v>
      </c>
      <c r="C3" s="4">
        <f>'LIVE SOURCE'!D3</f>
        <v>97.309899999999999</v>
      </c>
      <c r="D3" s="4">
        <f>'Manual Adjustments'!G3</f>
        <v>0</v>
      </c>
      <c r="E3" s="4">
        <f t="shared" ref="E3:E66" si="0">MAX(40,MIN(100,C3+D3))</f>
        <v>97.309899999999999</v>
      </c>
      <c r="F3">
        <f>COUNTIFS($A$3:$A$232,A3,$E$3:$E$232,"&gt;"&amp;E3)+COUNTIFS($A$3:A3,A3,$E$3:E3,E3)</f>
        <v>1</v>
      </c>
      <c r="G3" s="4">
        <f>ROUND(INDEX('League Config'!$K$4:$K$9,MATCH(A3,'League Config'!$E$4:$E$9,0))*E3+INDEX('League Config'!$L$4:$L$9,MATCH(A3,'League Config'!$E$4:$E$9,0)),1)</f>
        <v>407.9</v>
      </c>
      <c r="H3">
        <f>INDEX('League Config'!$H$4:$H$9,MATCH(A3,'League Config'!$E$4:$E$9,0))</f>
        <v>13</v>
      </c>
      <c r="I3" s="4">
        <f>INDEX('League Config'!$I$4:$I$9,MATCH(A3,'League Config'!$E$4:$E$9,0))</f>
        <v>351.1</v>
      </c>
      <c r="J3" s="4">
        <f t="shared" ref="J3:J66" si="1">ROUND(G3-I3,1)</f>
        <v>56.8</v>
      </c>
      <c r="K3" s="4">
        <f t="shared" ref="K3:K66" si="2">MAX(0,MIN(100,50+J3*0.6))</f>
        <v>84.08</v>
      </c>
      <c r="L3" s="4">
        <f>MIN(100,MAX(0,(1-(F3-1)/(H3*1.5))*100*INDEX('League Config'!$J$4:$J$9,MATCH(A3,'League Config'!$E$4:$E$9,0))))</f>
        <v>100</v>
      </c>
      <c r="M3">
        <f>IF(A3="K",'League Config'!$B$14,IF(A3="DST",'League Config'!$B$15,IF(A3="QB",'League Config'!$B$16,0)))</f>
        <v>3</v>
      </c>
      <c r="N3" s="4">
        <f t="shared" ref="N3:N66" si="3">MIN(100,MAX(0,0.55*E3+0.3*K3+0.15*L3-M3))</f>
        <v>90.744444999999999</v>
      </c>
      <c r="O3" s="9">
        <f t="shared" ref="O3:O66" si="4">IF(OR(A3="K",A3="DST"),"",N3)</f>
        <v>90.744444999999999</v>
      </c>
      <c r="P3" s="6">
        <f>IF(O3="","",COUNTIF($O$3:$O$232,"&gt;"&amp;O3)+COUNTIF($O$3:O3,O3))</f>
        <v>12</v>
      </c>
      <c r="Q3">
        <f t="shared" ref="Q3:Q66" si="5">IF(A3="DST",IF(F3&lt;=GateSize,DstStart-1+F3,NSkill+2*GateSize+F3-GateSize),IF(A3="K",IF(F3&lt;=GateSize,KStart-1+F3,NSkill+GateSize+NDst+F3-GateSize),IF(P3&lt;=DstStart-1,P3,P3+2*GateSize)))</f>
        <v>12</v>
      </c>
      <c r="R3" s="4">
        <f>'LIVE SOURCE'!E3</f>
        <v>26.6</v>
      </c>
      <c r="S3" s="4">
        <f t="shared" ref="S3:S66" si="6">R3-Q3</f>
        <v>14.600000000000001</v>
      </c>
      <c r="T3" t="str">
        <f>'LIVE SOURCE'!F3</f>
        <v>A</v>
      </c>
      <c r="U3" s="4">
        <f t="shared" ref="U3:U66" si="7">MAX(40,E3-IF(T3="A",6,IF(T3="B",9,12)))</f>
        <v>91.309899999999999</v>
      </c>
      <c r="V3" s="4">
        <f t="shared" ref="V3:V66" si="8">E3</f>
        <v>97.309899999999999</v>
      </c>
      <c r="W3" s="4">
        <f t="shared" ref="W3:W66" si="9">MIN(100,E3+IF(T3="A",6,IF(T3="B",9,12)))</f>
        <v>100</v>
      </c>
      <c r="X3" t="str">
        <f>'LIVE SOURCE'!G3</f>
        <v>RATE-ADJUSTED VETERAN</v>
      </c>
      <c r="Y3" t="str">
        <f>IF(INDEX('Draft Board'!$J$3:$J$232,Q3)="","Available",INDEX('Draft Board'!$J$3:$J$232,Q3))</f>
        <v>Available</v>
      </c>
      <c r="Z3">
        <f t="shared" ref="Z3:Z66" si="10">IF(Y3&lt;&gt;"Available","",1+COUNTIFS($Y$3:$Y$232,"Available",$Q$3:$Q$232,"&lt;"&amp;Q3))</f>
        <v>12</v>
      </c>
    </row>
    <row r="4" spans="1:26" x14ac:dyDescent="0.25">
      <c r="A4" t="str">
        <f>'LIVE SOURCE'!A4</f>
        <v>QB</v>
      </c>
      <c r="B4" t="str">
        <f>'LIVE SOURCE'!B4</f>
        <v>Caleb Williams</v>
      </c>
      <c r="C4" s="4">
        <f>'LIVE SOURCE'!D4</f>
        <v>92.192700000000002</v>
      </c>
      <c r="D4" s="4">
        <f>'Manual Adjustments'!G4</f>
        <v>0</v>
      </c>
      <c r="E4" s="4">
        <f t="shared" si="0"/>
        <v>92.192700000000002</v>
      </c>
      <c r="F4">
        <f>COUNTIFS($A$3:$A$232,A4,$E$3:$E$232,"&gt;"&amp;E4)+COUNTIFS($A$3:A4,A4,$E$3:E4,E4)</f>
        <v>2</v>
      </c>
      <c r="G4" s="4">
        <f>ROUND(INDEX('League Config'!$K$4:$K$9,MATCH(A4,'League Config'!$E$4:$E$9,0))*E4+INDEX('League Config'!$L$4:$L$9,MATCH(A4,'League Config'!$E$4:$E$9,0)),1)</f>
        <v>384.9</v>
      </c>
      <c r="H4">
        <f>INDEX('League Config'!$H$4:$H$9,MATCH(A4,'League Config'!$E$4:$E$9,0))</f>
        <v>13</v>
      </c>
      <c r="I4" s="4">
        <f>INDEX('League Config'!$I$4:$I$9,MATCH(A4,'League Config'!$E$4:$E$9,0))</f>
        <v>351.1</v>
      </c>
      <c r="J4" s="4">
        <f t="shared" si="1"/>
        <v>33.799999999999997</v>
      </c>
      <c r="K4" s="4">
        <f t="shared" si="2"/>
        <v>70.28</v>
      </c>
      <c r="L4" s="4">
        <f>MIN(100,MAX(0,(1-(F4-1)/(H4*1.5))*100*INDEX('League Config'!$J$4:$J$9,MATCH(A4,'League Config'!$E$4:$E$9,0))))</f>
        <v>94.871794871794862</v>
      </c>
      <c r="M4">
        <f>IF(A4="K",'League Config'!$B$14,IF(A4="DST",'League Config'!$B$15,IF(A4="QB",'League Config'!$B$16,0)))</f>
        <v>3</v>
      </c>
      <c r="N4" s="4">
        <f t="shared" si="3"/>
        <v>83.020754230769228</v>
      </c>
      <c r="O4" s="9">
        <f t="shared" si="4"/>
        <v>83.020754230769228</v>
      </c>
      <c r="P4" s="6">
        <f>IF(O4="","",COUNTIF($O$3:$O$232,"&gt;"&amp;O4)+COUNTIF($O$3:O4,O4))</f>
        <v>30</v>
      </c>
      <c r="Q4">
        <f t="shared" si="5"/>
        <v>30</v>
      </c>
      <c r="R4" s="4">
        <f>'LIVE SOURCE'!E4</f>
        <v>107.5</v>
      </c>
      <c r="S4" s="4">
        <f t="shared" si="6"/>
        <v>77.5</v>
      </c>
      <c r="T4" t="str">
        <f>'LIVE SOURCE'!F4</f>
        <v>A</v>
      </c>
      <c r="U4" s="4">
        <f t="shared" si="7"/>
        <v>86.192700000000002</v>
      </c>
      <c r="V4" s="4">
        <f t="shared" si="8"/>
        <v>92.192700000000002</v>
      </c>
      <c r="W4" s="4">
        <f t="shared" si="9"/>
        <v>98.192700000000002</v>
      </c>
      <c r="X4" t="str">
        <f>'LIVE SOURCE'!G4</f>
        <v>RATE-ADJUSTED VETERAN</v>
      </c>
      <c r="Y4" t="str">
        <f>IF(INDEX('Draft Board'!$J$3:$J$232,Q4)="","Available",INDEX('Draft Board'!$J$3:$J$232,Q4))</f>
        <v>Available</v>
      </c>
      <c r="Z4">
        <f t="shared" si="10"/>
        <v>30</v>
      </c>
    </row>
    <row r="5" spans="1:26" x14ac:dyDescent="0.25">
      <c r="A5" t="str">
        <f>'LIVE SOURCE'!A5</f>
        <v>QB</v>
      </c>
      <c r="B5" t="str">
        <f>'LIVE SOURCE'!B5</f>
        <v>Drake Maye</v>
      </c>
      <c r="C5" s="4">
        <f>'LIVE SOURCE'!D5</f>
        <v>91.043000000000006</v>
      </c>
      <c r="D5" s="4">
        <f>'Manual Adjustments'!G5</f>
        <v>0</v>
      </c>
      <c r="E5" s="4">
        <f t="shared" si="0"/>
        <v>91.043000000000006</v>
      </c>
      <c r="F5">
        <f>COUNTIFS($A$3:$A$232,A5,$E$3:$E$232,"&gt;"&amp;E5)+COUNTIFS($A$3:A5,A5,$E$3:E5,E5)</f>
        <v>3</v>
      </c>
      <c r="G5" s="4">
        <f>ROUND(INDEX('League Config'!$K$4:$K$9,MATCH(A5,'League Config'!$E$4:$E$9,0))*E5+INDEX('League Config'!$L$4:$L$9,MATCH(A5,'League Config'!$E$4:$E$9,0)),1)</f>
        <v>379.7</v>
      </c>
      <c r="H5">
        <f>INDEX('League Config'!$H$4:$H$9,MATCH(A5,'League Config'!$E$4:$E$9,0))</f>
        <v>13</v>
      </c>
      <c r="I5" s="4">
        <f>INDEX('League Config'!$I$4:$I$9,MATCH(A5,'League Config'!$E$4:$E$9,0))</f>
        <v>351.1</v>
      </c>
      <c r="J5" s="4">
        <f t="shared" si="1"/>
        <v>28.6</v>
      </c>
      <c r="K5" s="4">
        <f t="shared" si="2"/>
        <v>67.16</v>
      </c>
      <c r="L5" s="4">
        <f>MIN(100,MAX(0,(1-(F5-1)/(H5*1.5))*100*INDEX('League Config'!$J$4:$J$9,MATCH(A5,'League Config'!$E$4:$E$9,0))))</f>
        <v>89.743589743589752</v>
      </c>
      <c r="M5">
        <f>IF(A5="K",'League Config'!$B$14,IF(A5="DST",'League Config'!$B$15,IF(A5="QB",'League Config'!$B$16,0)))</f>
        <v>3</v>
      </c>
      <c r="N5" s="4">
        <f t="shared" si="3"/>
        <v>80.683188461538478</v>
      </c>
      <c r="O5" s="9">
        <f t="shared" si="4"/>
        <v>80.683188461538478</v>
      </c>
      <c r="P5" s="6">
        <f>IF(O5="","",COUNTIF($O$3:$O$232,"&gt;"&amp;O5)+COUNTIF($O$3:O5,O5))</f>
        <v>37</v>
      </c>
      <c r="Q5">
        <f t="shared" si="5"/>
        <v>37</v>
      </c>
      <c r="R5" s="4">
        <f>'LIVE SOURCE'!E5</f>
        <v>49.8</v>
      </c>
      <c r="S5" s="4">
        <f t="shared" si="6"/>
        <v>12.799999999999997</v>
      </c>
      <c r="T5" t="str">
        <f>'LIVE SOURCE'!F5</f>
        <v>A</v>
      </c>
      <c r="U5" s="4">
        <f t="shared" si="7"/>
        <v>85.043000000000006</v>
      </c>
      <c r="V5" s="4">
        <f t="shared" si="8"/>
        <v>91.043000000000006</v>
      </c>
      <c r="W5" s="4">
        <f t="shared" si="9"/>
        <v>97.043000000000006</v>
      </c>
      <c r="X5" t="str">
        <f>'LIVE SOURCE'!G5</f>
        <v>RATE-ADJUSTED VETERAN</v>
      </c>
      <c r="Y5" t="str">
        <f>IF(INDEX('Draft Board'!$J$3:$J$232,Q5)="","Available",INDEX('Draft Board'!$J$3:$J$232,Q5))</f>
        <v>Available</v>
      </c>
      <c r="Z5">
        <f t="shared" si="10"/>
        <v>37</v>
      </c>
    </row>
    <row r="6" spans="1:26" x14ac:dyDescent="0.25">
      <c r="A6" t="str">
        <f>'LIVE SOURCE'!A6</f>
        <v>QB</v>
      </c>
      <c r="B6" t="str">
        <f>'LIVE SOURCE'!B6</f>
        <v>Justin Herbert</v>
      </c>
      <c r="C6" s="4">
        <f>'LIVE SOURCE'!D6</f>
        <v>90.116900000000001</v>
      </c>
      <c r="D6" s="4">
        <f>'Manual Adjustments'!G6</f>
        <v>0</v>
      </c>
      <c r="E6" s="4">
        <f t="shared" si="0"/>
        <v>90.116900000000001</v>
      </c>
      <c r="F6">
        <f>COUNTIFS($A$3:$A$232,A6,$E$3:$E$232,"&gt;"&amp;E6)+COUNTIFS($A$3:A6,A6,$E$3:E6,E6)</f>
        <v>4</v>
      </c>
      <c r="G6" s="4">
        <f>ROUND(INDEX('League Config'!$K$4:$K$9,MATCH(A6,'League Config'!$E$4:$E$9,0))*E6+INDEX('League Config'!$L$4:$L$9,MATCH(A6,'League Config'!$E$4:$E$9,0)),1)</f>
        <v>375.5</v>
      </c>
      <c r="H6">
        <f>INDEX('League Config'!$H$4:$H$9,MATCH(A6,'League Config'!$E$4:$E$9,0))</f>
        <v>13</v>
      </c>
      <c r="I6" s="4">
        <f>INDEX('League Config'!$I$4:$I$9,MATCH(A6,'League Config'!$E$4:$E$9,0))</f>
        <v>351.1</v>
      </c>
      <c r="J6" s="4">
        <f t="shared" si="1"/>
        <v>24.4</v>
      </c>
      <c r="K6" s="4">
        <f t="shared" si="2"/>
        <v>64.64</v>
      </c>
      <c r="L6" s="4">
        <f>MIN(100,MAX(0,(1-(F6-1)/(H6*1.5))*100*INDEX('League Config'!$J$4:$J$9,MATCH(A6,'League Config'!$E$4:$E$9,0))))</f>
        <v>84.615384615384613</v>
      </c>
      <c r="M6">
        <f>IF(A6="K",'League Config'!$B$14,IF(A6="DST",'League Config'!$B$15,IF(A6="QB",'League Config'!$B$16,0)))</f>
        <v>3</v>
      </c>
      <c r="N6" s="4">
        <f t="shared" si="3"/>
        <v>78.648602692307691</v>
      </c>
      <c r="O6" s="9">
        <f t="shared" si="4"/>
        <v>78.648602692307691</v>
      </c>
      <c r="P6" s="6">
        <f>IF(O6="","",COUNTIF($O$3:$O$232,"&gt;"&amp;O6)+COUNTIF($O$3:O6,O6))</f>
        <v>42</v>
      </c>
      <c r="Q6">
        <f t="shared" si="5"/>
        <v>42</v>
      </c>
      <c r="R6" s="4">
        <f>'LIVE SOURCE'!E6</f>
        <v>104.2</v>
      </c>
      <c r="S6" s="4">
        <f t="shared" si="6"/>
        <v>62.2</v>
      </c>
      <c r="T6" t="str">
        <f>'LIVE SOURCE'!F6</f>
        <v>A</v>
      </c>
      <c r="U6" s="4">
        <f t="shared" si="7"/>
        <v>84.116900000000001</v>
      </c>
      <c r="V6" s="4">
        <f t="shared" si="8"/>
        <v>90.116900000000001</v>
      </c>
      <c r="W6" s="4">
        <f t="shared" si="9"/>
        <v>96.116900000000001</v>
      </c>
      <c r="X6" t="str">
        <f>'LIVE SOURCE'!G6</f>
        <v>RATE-ADJUSTED VETERAN</v>
      </c>
      <c r="Y6" t="str">
        <f>IF(INDEX('Draft Board'!$J$3:$J$232,Q6)="","Available",INDEX('Draft Board'!$J$3:$J$232,Q6))</f>
        <v>Available</v>
      </c>
      <c r="Z6">
        <f t="shared" si="10"/>
        <v>42</v>
      </c>
    </row>
    <row r="7" spans="1:26" x14ac:dyDescent="0.25">
      <c r="A7" t="str">
        <f>'LIVE SOURCE'!A7</f>
        <v>QB</v>
      </c>
      <c r="B7" t="str">
        <f>'LIVE SOURCE'!B7</f>
        <v>Lamar Jackson</v>
      </c>
      <c r="C7" s="4">
        <f>'LIVE SOURCE'!D7</f>
        <v>88.711200000000005</v>
      </c>
      <c r="D7" s="4">
        <f>'Manual Adjustments'!G7</f>
        <v>0</v>
      </c>
      <c r="E7" s="4">
        <f t="shared" si="0"/>
        <v>88.711200000000005</v>
      </c>
      <c r="F7">
        <f>COUNTIFS($A$3:$A$232,A7,$E$3:$E$232,"&gt;"&amp;E7)+COUNTIFS($A$3:A7,A7,$E$3:E7,E7)</f>
        <v>5</v>
      </c>
      <c r="G7" s="4">
        <f>ROUND(INDEX('League Config'!$K$4:$K$9,MATCH(A7,'League Config'!$E$4:$E$9,0))*E7+INDEX('League Config'!$L$4:$L$9,MATCH(A7,'League Config'!$E$4:$E$9,0)),1)</f>
        <v>369.2</v>
      </c>
      <c r="H7">
        <f>INDEX('League Config'!$H$4:$H$9,MATCH(A7,'League Config'!$E$4:$E$9,0))</f>
        <v>13</v>
      </c>
      <c r="I7" s="4">
        <f>INDEX('League Config'!$I$4:$I$9,MATCH(A7,'League Config'!$E$4:$E$9,0))</f>
        <v>351.1</v>
      </c>
      <c r="J7" s="4">
        <f t="shared" si="1"/>
        <v>18.100000000000001</v>
      </c>
      <c r="K7" s="4">
        <f t="shared" si="2"/>
        <v>60.86</v>
      </c>
      <c r="L7" s="4">
        <f>MIN(100,MAX(0,(1-(F7-1)/(H7*1.5))*100*INDEX('League Config'!$J$4:$J$9,MATCH(A7,'League Config'!$E$4:$E$9,0))))</f>
        <v>79.487179487179489</v>
      </c>
      <c r="M7">
        <f>IF(A7="K",'League Config'!$B$14,IF(A7="DST",'League Config'!$B$15,IF(A7="QB",'League Config'!$B$16,0)))</f>
        <v>3</v>
      </c>
      <c r="N7" s="4">
        <f t="shared" si="3"/>
        <v>75.97223692307692</v>
      </c>
      <c r="O7" s="9">
        <f t="shared" si="4"/>
        <v>75.97223692307692</v>
      </c>
      <c r="P7" s="6">
        <f>IF(O7="","",COUNTIF($O$3:$O$232,"&gt;"&amp;O7)+COUNTIF($O$3:O7,O7))</f>
        <v>49</v>
      </c>
      <c r="Q7">
        <f t="shared" si="5"/>
        <v>49</v>
      </c>
      <c r="R7" s="4">
        <f>'LIVE SOURCE'!E7</f>
        <v>52.6</v>
      </c>
      <c r="S7" s="4">
        <f t="shared" si="6"/>
        <v>3.6000000000000014</v>
      </c>
      <c r="T7" t="str">
        <f>'LIVE SOURCE'!F7</f>
        <v>A</v>
      </c>
      <c r="U7" s="4">
        <f t="shared" si="7"/>
        <v>82.711200000000005</v>
      </c>
      <c r="V7" s="4">
        <f t="shared" si="8"/>
        <v>88.711200000000005</v>
      </c>
      <c r="W7" s="4">
        <f t="shared" si="9"/>
        <v>94.711200000000005</v>
      </c>
      <c r="X7" t="str">
        <f>'LIVE SOURCE'!G7</f>
        <v>RATE-ADJUSTED VETERAN</v>
      </c>
      <c r="Y7" t="str">
        <f>IF(INDEX('Draft Board'!$J$3:$J$232,Q7)="","Available",INDEX('Draft Board'!$J$3:$J$232,Q7))</f>
        <v>Available</v>
      </c>
      <c r="Z7">
        <f t="shared" si="10"/>
        <v>49</v>
      </c>
    </row>
    <row r="8" spans="1:26" x14ac:dyDescent="0.25">
      <c r="A8" t="str">
        <f>'LIVE SOURCE'!A8</f>
        <v>QB</v>
      </c>
      <c r="B8" t="str">
        <f>'LIVE SOURCE'!B8</f>
        <v>Jalen Hurts</v>
      </c>
      <c r="C8" s="4">
        <f>'LIVE SOURCE'!D8</f>
        <v>88.4499</v>
      </c>
      <c r="D8" s="4">
        <f>'Manual Adjustments'!G8</f>
        <v>0</v>
      </c>
      <c r="E8" s="4">
        <f t="shared" si="0"/>
        <v>88.4499</v>
      </c>
      <c r="F8">
        <f>COUNTIFS($A$3:$A$232,A8,$E$3:$E$232,"&gt;"&amp;E8)+COUNTIFS($A$3:A8,A8,$E$3:E8,E8)</f>
        <v>6</v>
      </c>
      <c r="G8" s="4">
        <f>ROUND(INDEX('League Config'!$K$4:$K$9,MATCH(A8,'League Config'!$E$4:$E$9,0))*E8+INDEX('League Config'!$L$4:$L$9,MATCH(A8,'League Config'!$E$4:$E$9,0)),1)</f>
        <v>368</v>
      </c>
      <c r="H8">
        <f>INDEX('League Config'!$H$4:$H$9,MATCH(A8,'League Config'!$E$4:$E$9,0))</f>
        <v>13</v>
      </c>
      <c r="I8" s="4">
        <f>INDEX('League Config'!$I$4:$I$9,MATCH(A8,'League Config'!$E$4:$E$9,0))</f>
        <v>351.1</v>
      </c>
      <c r="J8" s="4">
        <f t="shared" si="1"/>
        <v>16.899999999999999</v>
      </c>
      <c r="K8" s="4">
        <f t="shared" si="2"/>
        <v>60.14</v>
      </c>
      <c r="L8" s="4">
        <f>MIN(100,MAX(0,(1-(F8-1)/(H8*1.5))*100*INDEX('League Config'!$J$4:$J$9,MATCH(A8,'League Config'!$E$4:$E$9,0))))</f>
        <v>74.358974358974365</v>
      </c>
      <c r="M8">
        <f>IF(A8="K",'League Config'!$B$14,IF(A8="DST",'League Config'!$B$15,IF(A8="QB",'League Config'!$B$16,0)))</f>
        <v>3</v>
      </c>
      <c r="N8" s="4">
        <f t="shared" si="3"/>
        <v>74.843291153846167</v>
      </c>
      <c r="O8" s="9">
        <f t="shared" si="4"/>
        <v>74.843291153846167</v>
      </c>
      <c r="P8" s="6">
        <f>IF(O8="","",COUNTIF($O$3:$O$232,"&gt;"&amp;O8)+COUNTIF($O$3:O8,O8))</f>
        <v>52</v>
      </c>
      <c r="Q8">
        <f t="shared" si="5"/>
        <v>52</v>
      </c>
      <c r="R8" s="4">
        <f>'LIVE SOURCE'!E8</f>
        <v>73.7</v>
      </c>
      <c r="S8" s="4">
        <f t="shared" si="6"/>
        <v>21.700000000000003</v>
      </c>
      <c r="T8" t="str">
        <f>'LIVE SOURCE'!F8</f>
        <v>A</v>
      </c>
      <c r="U8" s="4">
        <f t="shared" si="7"/>
        <v>82.4499</v>
      </c>
      <c r="V8" s="4">
        <f t="shared" si="8"/>
        <v>88.4499</v>
      </c>
      <c r="W8" s="4">
        <f t="shared" si="9"/>
        <v>94.4499</v>
      </c>
      <c r="X8" t="str">
        <f>'LIVE SOURCE'!G8</f>
        <v>RATE-ADJUSTED VETERAN</v>
      </c>
      <c r="Y8" t="str">
        <f>IF(INDEX('Draft Board'!$J$3:$J$232,Q8)="","Available",INDEX('Draft Board'!$J$3:$J$232,Q8))</f>
        <v>Available</v>
      </c>
      <c r="Z8">
        <f t="shared" si="10"/>
        <v>52</v>
      </c>
    </row>
    <row r="9" spans="1:26" x14ac:dyDescent="0.25">
      <c r="A9" t="str">
        <f>'LIVE SOURCE'!A9</f>
        <v>QB</v>
      </c>
      <c r="B9" t="str">
        <f>'LIVE SOURCE'!B9</f>
        <v>Patrick Mahomes II</v>
      </c>
      <c r="C9" s="4">
        <f>'LIVE SOURCE'!D9</f>
        <v>87.006299999999996</v>
      </c>
      <c r="D9" s="4">
        <f>'Manual Adjustments'!G9</f>
        <v>0</v>
      </c>
      <c r="E9" s="4">
        <f t="shared" si="0"/>
        <v>87.006299999999996</v>
      </c>
      <c r="F9">
        <f>COUNTIFS($A$3:$A$232,A9,$E$3:$E$232,"&gt;"&amp;E9)+COUNTIFS($A$3:A9,A9,$E$3:E9,E9)</f>
        <v>7</v>
      </c>
      <c r="G9" s="4">
        <f>ROUND(INDEX('League Config'!$K$4:$K$9,MATCH(A9,'League Config'!$E$4:$E$9,0))*E9+INDEX('League Config'!$L$4:$L$9,MATCH(A9,'League Config'!$E$4:$E$9,0)),1)</f>
        <v>361.5</v>
      </c>
      <c r="H9">
        <f>INDEX('League Config'!$H$4:$H$9,MATCH(A9,'League Config'!$E$4:$E$9,0))</f>
        <v>13</v>
      </c>
      <c r="I9" s="4">
        <f>INDEX('League Config'!$I$4:$I$9,MATCH(A9,'League Config'!$E$4:$E$9,0))</f>
        <v>351.1</v>
      </c>
      <c r="J9" s="4">
        <f t="shared" si="1"/>
        <v>10.4</v>
      </c>
      <c r="K9" s="4">
        <f t="shared" si="2"/>
        <v>56.24</v>
      </c>
      <c r="L9" s="4">
        <f>MIN(100,MAX(0,(1-(F9-1)/(H9*1.5))*100*INDEX('League Config'!$J$4:$J$9,MATCH(A9,'League Config'!$E$4:$E$9,0))))</f>
        <v>69.230769230769226</v>
      </c>
      <c r="M9">
        <f>IF(A9="K",'League Config'!$B$14,IF(A9="DST",'League Config'!$B$15,IF(A9="QB",'League Config'!$B$16,0)))</f>
        <v>3</v>
      </c>
      <c r="N9" s="4">
        <f t="shared" si="3"/>
        <v>72.110080384615387</v>
      </c>
      <c r="O9" s="9">
        <f t="shared" si="4"/>
        <v>72.110080384615387</v>
      </c>
      <c r="P9" s="6">
        <f>IF(O9="","",COUNTIF($O$3:$O$232,"&gt;"&amp;O9)+COUNTIF($O$3:O9,O9))</f>
        <v>59</v>
      </c>
      <c r="Q9">
        <f t="shared" si="5"/>
        <v>59</v>
      </c>
      <c r="R9" s="4">
        <f>'LIVE SOURCE'!E9</f>
        <v>97.4</v>
      </c>
      <c r="S9" s="4">
        <f t="shared" si="6"/>
        <v>38.400000000000006</v>
      </c>
      <c r="T9" t="str">
        <f>'LIVE SOURCE'!F9</f>
        <v>A</v>
      </c>
      <c r="U9" s="4">
        <f t="shared" si="7"/>
        <v>81.006299999999996</v>
      </c>
      <c r="V9" s="4">
        <f t="shared" si="8"/>
        <v>87.006299999999996</v>
      </c>
      <c r="W9" s="4">
        <f t="shared" si="9"/>
        <v>93.006299999999996</v>
      </c>
      <c r="X9" t="str">
        <f>'LIVE SOURCE'!G9</f>
        <v>RATE-ADJUSTED VETERAN</v>
      </c>
      <c r="Y9" t="str">
        <f>IF(INDEX('Draft Board'!$J$3:$J$232,Q9)="","Available",INDEX('Draft Board'!$J$3:$J$232,Q9))</f>
        <v>Available</v>
      </c>
      <c r="Z9">
        <f t="shared" si="10"/>
        <v>59</v>
      </c>
    </row>
    <row r="10" spans="1:26" x14ac:dyDescent="0.25">
      <c r="A10" t="str">
        <f>'LIVE SOURCE'!A10</f>
        <v>QB</v>
      </c>
      <c r="B10" t="str">
        <f>'LIVE SOURCE'!B10</f>
        <v>Jayden Daniels</v>
      </c>
      <c r="C10" s="4">
        <f>'LIVE SOURCE'!D10</f>
        <v>86.700299999999999</v>
      </c>
      <c r="D10" s="4">
        <f>'Manual Adjustments'!G10</f>
        <v>0</v>
      </c>
      <c r="E10" s="4">
        <f t="shared" si="0"/>
        <v>86.700299999999999</v>
      </c>
      <c r="F10">
        <f>COUNTIFS($A$3:$A$232,A10,$E$3:$E$232,"&gt;"&amp;E10)+COUNTIFS($A$3:A10,A10,$E$3:E10,E10)</f>
        <v>8</v>
      </c>
      <c r="G10" s="4">
        <f>ROUND(INDEX('League Config'!$K$4:$K$9,MATCH(A10,'League Config'!$E$4:$E$9,0))*E10+INDEX('League Config'!$L$4:$L$9,MATCH(A10,'League Config'!$E$4:$E$9,0)),1)</f>
        <v>360.2</v>
      </c>
      <c r="H10">
        <f>INDEX('League Config'!$H$4:$H$9,MATCH(A10,'League Config'!$E$4:$E$9,0))</f>
        <v>13</v>
      </c>
      <c r="I10" s="4">
        <f>INDEX('League Config'!$I$4:$I$9,MATCH(A10,'League Config'!$E$4:$E$9,0))</f>
        <v>351.1</v>
      </c>
      <c r="J10" s="4">
        <f t="shared" si="1"/>
        <v>9.1</v>
      </c>
      <c r="K10" s="4">
        <f t="shared" si="2"/>
        <v>55.46</v>
      </c>
      <c r="L10" s="4">
        <f>MIN(100,MAX(0,(1-(F10-1)/(H10*1.5))*100*INDEX('League Config'!$J$4:$J$9,MATCH(A10,'League Config'!$E$4:$E$9,0))))</f>
        <v>64.102564102564102</v>
      </c>
      <c r="M10">
        <f>IF(A10="K",'League Config'!$B$14,IF(A10="DST",'League Config'!$B$15,IF(A10="QB",'League Config'!$B$16,0)))</f>
        <v>3</v>
      </c>
      <c r="N10" s="4">
        <f t="shared" si="3"/>
        <v>70.938549615384616</v>
      </c>
      <c r="O10" s="9">
        <f t="shared" si="4"/>
        <v>70.938549615384616</v>
      </c>
      <c r="P10" s="6">
        <f>IF(O10="","",COUNTIF($O$3:$O$232,"&gt;"&amp;O10)+COUNTIF($O$3:O10,O10))</f>
        <v>62</v>
      </c>
      <c r="Q10">
        <f t="shared" si="5"/>
        <v>62</v>
      </c>
      <c r="R10" s="4">
        <f>'LIVE SOURCE'!E10</f>
        <v>67</v>
      </c>
      <c r="S10" s="4">
        <f t="shared" si="6"/>
        <v>5</v>
      </c>
      <c r="T10" t="str">
        <f>'LIVE SOURCE'!F10</f>
        <v>B</v>
      </c>
      <c r="U10" s="4">
        <f t="shared" si="7"/>
        <v>77.700299999999999</v>
      </c>
      <c r="V10" s="4">
        <f t="shared" si="8"/>
        <v>86.700299999999999</v>
      </c>
      <c r="W10" s="4">
        <f t="shared" si="9"/>
        <v>95.700299999999999</v>
      </c>
      <c r="X10" t="str">
        <f>'LIVE SOURCE'!G10</f>
        <v>RATE-ADJUSTED VETERAN</v>
      </c>
      <c r="Y10" t="str">
        <f>IF(INDEX('Draft Board'!$J$3:$J$232,Q10)="","Available",INDEX('Draft Board'!$J$3:$J$232,Q10))</f>
        <v>Available</v>
      </c>
      <c r="Z10">
        <f t="shared" si="10"/>
        <v>62</v>
      </c>
    </row>
    <row r="11" spans="1:26" x14ac:dyDescent="0.25">
      <c r="A11" t="str">
        <f>'LIVE SOURCE'!A11</f>
        <v>QB</v>
      </c>
      <c r="B11" t="str">
        <f>'LIVE SOURCE'!B11</f>
        <v>Joe Burrow</v>
      </c>
      <c r="C11" s="4">
        <f>'LIVE SOURCE'!D11</f>
        <v>85.591300000000004</v>
      </c>
      <c r="D11" s="4">
        <f>'Manual Adjustments'!G11</f>
        <v>0</v>
      </c>
      <c r="E11" s="4">
        <f t="shared" si="0"/>
        <v>85.591300000000004</v>
      </c>
      <c r="F11">
        <f>COUNTIFS($A$3:$A$232,A11,$E$3:$E$232,"&gt;"&amp;E11)+COUNTIFS($A$3:A11,A11,$E$3:E11,E11)</f>
        <v>9</v>
      </c>
      <c r="G11" s="4">
        <f>ROUND(INDEX('League Config'!$K$4:$K$9,MATCH(A11,'League Config'!$E$4:$E$9,0))*E11+INDEX('League Config'!$L$4:$L$9,MATCH(A11,'League Config'!$E$4:$E$9,0)),1)</f>
        <v>355.2</v>
      </c>
      <c r="H11">
        <f>INDEX('League Config'!$H$4:$H$9,MATCH(A11,'League Config'!$E$4:$E$9,0))</f>
        <v>13</v>
      </c>
      <c r="I11" s="4">
        <f>INDEX('League Config'!$I$4:$I$9,MATCH(A11,'League Config'!$E$4:$E$9,0))</f>
        <v>351.1</v>
      </c>
      <c r="J11" s="4">
        <f t="shared" si="1"/>
        <v>4.0999999999999996</v>
      </c>
      <c r="K11" s="4">
        <f t="shared" si="2"/>
        <v>52.46</v>
      </c>
      <c r="L11" s="4">
        <f>MIN(100,MAX(0,(1-(F11-1)/(H11*1.5))*100*INDEX('League Config'!$J$4:$J$9,MATCH(A11,'League Config'!$E$4:$E$9,0))))</f>
        <v>58.974358974358978</v>
      </c>
      <c r="M11">
        <f>IF(A11="K",'League Config'!$B$14,IF(A11="DST",'League Config'!$B$15,IF(A11="QB",'League Config'!$B$16,0)))</f>
        <v>3</v>
      </c>
      <c r="N11" s="4">
        <f t="shared" si="3"/>
        <v>68.659368846153853</v>
      </c>
      <c r="O11" s="9">
        <f t="shared" si="4"/>
        <v>68.659368846153853</v>
      </c>
      <c r="P11" s="6">
        <f>IF(O11="","",COUNTIF($O$3:$O$232,"&gt;"&amp;O11)+COUNTIF($O$3:O11,O11))</f>
        <v>67</v>
      </c>
      <c r="Q11">
        <f t="shared" si="5"/>
        <v>67</v>
      </c>
      <c r="R11" s="4">
        <f>'LIVE SOURCE'!E11</f>
        <v>57.3</v>
      </c>
      <c r="S11" s="4">
        <f t="shared" si="6"/>
        <v>-9.7000000000000028</v>
      </c>
      <c r="T11" t="str">
        <f>'LIVE SOURCE'!F11</f>
        <v>B</v>
      </c>
      <c r="U11" s="4">
        <f t="shared" si="7"/>
        <v>76.591300000000004</v>
      </c>
      <c r="V11" s="4">
        <f t="shared" si="8"/>
        <v>85.591300000000004</v>
      </c>
      <c r="W11" s="4">
        <f t="shared" si="9"/>
        <v>94.591300000000004</v>
      </c>
      <c r="X11" t="str">
        <f>'LIVE SOURCE'!G11</f>
        <v>RATE-ADJUSTED VETERAN</v>
      </c>
      <c r="Y11" t="str">
        <f>IF(INDEX('Draft Board'!$J$3:$J$232,Q11)="","Available",INDEX('Draft Board'!$J$3:$J$232,Q11))</f>
        <v>Available</v>
      </c>
      <c r="Z11">
        <f t="shared" si="10"/>
        <v>67</v>
      </c>
    </row>
    <row r="12" spans="1:26" x14ac:dyDescent="0.25">
      <c r="A12" t="str">
        <f>'LIVE SOURCE'!A12</f>
        <v>QB</v>
      </c>
      <c r="B12" t="str">
        <f>'LIVE SOURCE'!B12</f>
        <v>Matthew Stafford</v>
      </c>
      <c r="C12" s="4">
        <f>'LIVE SOURCE'!D12</f>
        <v>85.419700000000006</v>
      </c>
      <c r="D12" s="4">
        <f>'Manual Adjustments'!G12</f>
        <v>0</v>
      </c>
      <c r="E12" s="4">
        <f t="shared" si="0"/>
        <v>85.419700000000006</v>
      </c>
      <c r="F12">
        <f>COUNTIFS($A$3:$A$232,A12,$E$3:$E$232,"&gt;"&amp;E12)+COUNTIFS($A$3:A12,A12,$E$3:E12,E12)</f>
        <v>10</v>
      </c>
      <c r="G12" s="4">
        <f>ROUND(INDEX('League Config'!$K$4:$K$9,MATCH(A12,'League Config'!$E$4:$E$9,0))*E12+INDEX('League Config'!$L$4:$L$9,MATCH(A12,'League Config'!$E$4:$E$9,0)),1)</f>
        <v>354.4</v>
      </c>
      <c r="H12">
        <f>INDEX('League Config'!$H$4:$H$9,MATCH(A12,'League Config'!$E$4:$E$9,0))</f>
        <v>13</v>
      </c>
      <c r="I12" s="4">
        <f>INDEX('League Config'!$I$4:$I$9,MATCH(A12,'League Config'!$E$4:$E$9,0))</f>
        <v>351.1</v>
      </c>
      <c r="J12" s="4">
        <f t="shared" si="1"/>
        <v>3.3</v>
      </c>
      <c r="K12" s="4">
        <f t="shared" si="2"/>
        <v>51.98</v>
      </c>
      <c r="L12" s="4">
        <f>MIN(100,MAX(0,(1-(F12-1)/(H12*1.5))*100*INDEX('League Config'!$J$4:$J$9,MATCH(A12,'League Config'!$E$4:$E$9,0))))</f>
        <v>53.846153846153847</v>
      </c>
      <c r="M12">
        <f>IF(A12="K",'League Config'!$B$14,IF(A12="DST",'League Config'!$B$15,IF(A12="QB",'League Config'!$B$16,0)))</f>
        <v>3</v>
      </c>
      <c r="N12" s="4">
        <f t="shared" si="3"/>
        <v>67.651758076923088</v>
      </c>
      <c r="O12" s="9">
        <f t="shared" si="4"/>
        <v>67.651758076923088</v>
      </c>
      <c r="P12" s="6">
        <f>IF(O12="","",COUNTIF($O$3:$O$232,"&gt;"&amp;O12)+COUNTIF($O$3:O12,O12))</f>
        <v>71</v>
      </c>
      <c r="Q12">
        <f t="shared" si="5"/>
        <v>71</v>
      </c>
      <c r="R12" s="4">
        <f>'LIVE SOURCE'!E12</f>
        <v>83.7</v>
      </c>
      <c r="S12" s="4">
        <f t="shared" si="6"/>
        <v>12.700000000000003</v>
      </c>
      <c r="T12" t="str">
        <f>'LIVE SOURCE'!F12</f>
        <v>A</v>
      </c>
      <c r="U12" s="4">
        <f t="shared" si="7"/>
        <v>79.419700000000006</v>
      </c>
      <c r="V12" s="4">
        <f t="shared" si="8"/>
        <v>85.419700000000006</v>
      </c>
      <c r="W12" s="4">
        <f t="shared" si="9"/>
        <v>91.419700000000006</v>
      </c>
      <c r="X12" t="str">
        <f>'LIVE SOURCE'!G12</f>
        <v>RATE-ADJUSTED VETERAN</v>
      </c>
      <c r="Y12" t="str">
        <f>IF(INDEX('Draft Board'!$J$3:$J$232,Q12)="","Available",INDEX('Draft Board'!$J$3:$J$232,Q12))</f>
        <v>Available</v>
      </c>
      <c r="Z12">
        <f t="shared" si="10"/>
        <v>71</v>
      </c>
    </row>
    <row r="13" spans="1:26" x14ac:dyDescent="0.25">
      <c r="A13" t="str">
        <f>'LIVE SOURCE'!A13</f>
        <v>QB</v>
      </c>
      <c r="B13" t="str">
        <f>'LIVE SOURCE'!B13</f>
        <v>Bo Nix</v>
      </c>
      <c r="C13" s="4">
        <f>'LIVE SOURCE'!D13</f>
        <v>85.248500000000007</v>
      </c>
      <c r="D13" s="4">
        <f>'Manual Adjustments'!G13</f>
        <v>0</v>
      </c>
      <c r="E13" s="4">
        <f t="shared" si="0"/>
        <v>85.248500000000007</v>
      </c>
      <c r="F13">
        <f>COUNTIFS($A$3:$A$232,A13,$E$3:$E$232,"&gt;"&amp;E13)+COUNTIFS($A$3:A13,A13,$E$3:E13,E13)</f>
        <v>11</v>
      </c>
      <c r="G13" s="4">
        <f>ROUND(INDEX('League Config'!$K$4:$K$9,MATCH(A13,'League Config'!$E$4:$E$9,0))*E13+INDEX('League Config'!$L$4:$L$9,MATCH(A13,'League Config'!$E$4:$E$9,0)),1)</f>
        <v>353.6</v>
      </c>
      <c r="H13">
        <f>INDEX('League Config'!$H$4:$H$9,MATCH(A13,'League Config'!$E$4:$E$9,0))</f>
        <v>13</v>
      </c>
      <c r="I13" s="4">
        <f>INDEX('League Config'!$I$4:$I$9,MATCH(A13,'League Config'!$E$4:$E$9,0))</f>
        <v>351.1</v>
      </c>
      <c r="J13" s="4">
        <f t="shared" si="1"/>
        <v>2.5</v>
      </c>
      <c r="K13" s="4">
        <f t="shared" si="2"/>
        <v>51.5</v>
      </c>
      <c r="L13" s="4">
        <f>MIN(100,MAX(0,(1-(F13-1)/(H13*1.5))*100*INDEX('League Config'!$J$4:$J$9,MATCH(A13,'League Config'!$E$4:$E$9,0))))</f>
        <v>48.717948717948723</v>
      </c>
      <c r="M13">
        <f>IF(A13="K",'League Config'!$B$14,IF(A13="DST",'League Config'!$B$15,IF(A13="QB",'League Config'!$B$16,0)))</f>
        <v>3</v>
      </c>
      <c r="N13" s="4">
        <f t="shared" si="3"/>
        <v>66.64436730769232</v>
      </c>
      <c r="O13" s="9">
        <f t="shared" si="4"/>
        <v>66.64436730769232</v>
      </c>
      <c r="P13" s="6">
        <f>IF(O13="","",COUNTIF($O$3:$O$232,"&gt;"&amp;O13)+COUNTIF($O$3:O13,O13))</f>
        <v>75</v>
      </c>
      <c r="Q13">
        <f t="shared" si="5"/>
        <v>75</v>
      </c>
      <c r="R13" s="4">
        <f>'LIVE SOURCE'!E13</f>
        <v>121.5</v>
      </c>
      <c r="S13" s="4">
        <f t="shared" si="6"/>
        <v>46.5</v>
      </c>
      <c r="T13" t="str">
        <f>'LIVE SOURCE'!F13</f>
        <v>A</v>
      </c>
      <c r="U13" s="4">
        <f t="shared" si="7"/>
        <v>79.248500000000007</v>
      </c>
      <c r="V13" s="4">
        <f t="shared" si="8"/>
        <v>85.248500000000007</v>
      </c>
      <c r="W13" s="4">
        <f t="shared" si="9"/>
        <v>91.248500000000007</v>
      </c>
      <c r="X13" t="str">
        <f>'LIVE SOURCE'!G13</f>
        <v>RATE-ADJUSTED VETERAN</v>
      </c>
      <c r="Y13" t="str">
        <f>IF(INDEX('Draft Board'!$J$3:$J$232,Q13)="","Available",INDEX('Draft Board'!$J$3:$J$232,Q13))</f>
        <v>Available</v>
      </c>
      <c r="Z13">
        <f t="shared" si="10"/>
        <v>75</v>
      </c>
    </row>
    <row r="14" spans="1:26" x14ac:dyDescent="0.25">
      <c r="A14" t="str">
        <f>'LIVE SOURCE'!A14</f>
        <v>QB</v>
      </c>
      <c r="B14" t="str">
        <f>'LIVE SOURCE'!B14</f>
        <v>Dak Prescott</v>
      </c>
      <c r="C14" s="4">
        <f>'LIVE SOURCE'!D14</f>
        <v>85.115600000000001</v>
      </c>
      <c r="D14" s="4">
        <f>'Manual Adjustments'!G14</f>
        <v>0</v>
      </c>
      <c r="E14" s="4">
        <f t="shared" si="0"/>
        <v>85.115600000000001</v>
      </c>
      <c r="F14">
        <f>COUNTIFS($A$3:$A$232,A14,$E$3:$E$232,"&gt;"&amp;E14)+COUNTIFS($A$3:A14,A14,$E$3:E14,E14)</f>
        <v>12</v>
      </c>
      <c r="G14" s="4">
        <f>ROUND(INDEX('League Config'!$K$4:$K$9,MATCH(A14,'League Config'!$E$4:$E$9,0))*E14+INDEX('League Config'!$L$4:$L$9,MATCH(A14,'League Config'!$E$4:$E$9,0)),1)</f>
        <v>353</v>
      </c>
      <c r="H14">
        <f>INDEX('League Config'!$H$4:$H$9,MATCH(A14,'League Config'!$E$4:$E$9,0))</f>
        <v>13</v>
      </c>
      <c r="I14" s="4">
        <f>INDEX('League Config'!$I$4:$I$9,MATCH(A14,'League Config'!$E$4:$E$9,0))</f>
        <v>351.1</v>
      </c>
      <c r="J14" s="4">
        <f t="shared" si="1"/>
        <v>1.9</v>
      </c>
      <c r="K14" s="4">
        <f t="shared" si="2"/>
        <v>51.14</v>
      </c>
      <c r="L14" s="4">
        <f>MIN(100,MAX(0,(1-(F14-1)/(H14*1.5))*100*INDEX('League Config'!$J$4:$J$9,MATCH(A14,'League Config'!$E$4:$E$9,0))))</f>
        <v>43.589743589743591</v>
      </c>
      <c r="M14">
        <f>IF(A14="K",'League Config'!$B$14,IF(A14="DST",'League Config'!$B$15,IF(A14="QB",'League Config'!$B$16,0)))</f>
        <v>3</v>
      </c>
      <c r="N14" s="4">
        <f t="shared" si="3"/>
        <v>65.694041538461533</v>
      </c>
      <c r="O14" s="9">
        <f t="shared" si="4"/>
        <v>65.694041538461533</v>
      </c>
      <c r="P14" s="6">
        <f>IF(O14="","",COUNTIF($O$3:$O$232,"&gt;"&amp;O14)+COUNTIF($O$3:O14,O14))</f>
        <v>78</v>
      </c>
      <c r="Q14">
        <f t="shared" si="5"/>
        <v>78</v>
      </c>
      <c r="R14" s="4">
        <f>'LIVE SOURCE'!E14</f>
        <v>65.400000000000006</v>
      </c>
      <c r="S14" s="4">
        <f t="shared" si="6"/>
        <v>-12.599999999999994</v>
      </c>
      <c r="T14" t="str">
        <f>'LIVE SOURCE'!F14</f>
        <v>A</v>
      </c>
      <c r="U14" s="4">
        <f t="shared" si="7"/>
        <v>79.115600000000001</v>
      </c>
      <c r="V14" s="4">
        <f t="shared" si="8"/>
        <v>85.115600000000001</v>
      </c>
      <c r="W14" s="4">
        <f t="shared" si="9"/>
        <v>91.115600000000001</v>
      </c>
      <c r="X14" t="str">
        <f>'LIVE SOURCE'!G14</f>
        <v>RATE-ADJUSTED VETERAN</v>
      </c>
      <c r="Y14" t="str">
        <f>IF(INDEX('Draft Board'!$J$3:$J$232,Q14)="","Available",INDEX('Draft Board'!$J$3:$J$232,Q14))</f>
        <v>Available</v>
      </c>
      <c r="Z14">
        <f t="shared" si="10"/>
        <v>78</v>
      </c>
    </row>
    <row r="15" spans="1:26" x14ac:dyDescent="0.25">
      <c r="A15" t="str">
        <f>'LIVE SOURCE'!A15</f>
        <v>QB</v>
      </c>
      <c r="B15" t="str">
        <f>'LIVE SOURCE'!B15</f>
        <v>Trevor Lawrence</v>
      </c>
      <c r="C15" s="4">
        <f>'LIVE SOURCE'!D15</f>
        <v>84.692099999999996</v>
      </c>
      <c r="D15" s="4">
        <f>'Manual Adjustments'!G15</f>
        <v>0</v>
      </c>
      <c r="E15" s="4">
        <f t="shared" si="0"/>
        <v>84.692099999999996</v>
      </c>
      <c r="F15">
        <f>COUNTIFS($A$3:$A$232,A15,$E$3:$E$232,"&gt;"&amp;E15)+COUNTIFS($A$3:A15,A15,$E$3:E15,E15)</f>
        <v>13</v>
      </c>
      <c r="G15" s="4">
        <f>ROUND(INDEX('League Config'!$K$4:$K$9,MATCH(A15,'League Config'!$E$4:$E$9,0))*E15+INDEX('League Config'!$L$4:$L$9,MATCH(A15,'League Config'!$E$4:$E$9,0)),1)</f>
        <v>351.1</v>
      </c>
      <c r="H15">
        <f>INDEX('League Config'!$H$4:$H$9,MATCH(A15,'League Config'!$E$4:$E$9,0))</f>
        <v>13</v>
      </c>
      <c r="I15" s="4">
        <f>INDEX('League Config'!$I$4:$I$9,MATCH(A15,'League Config'!$E$4:$E$9,0))</f>
        <v>351.1</v>
      </c>
      <c r="J15" s="4">
        <f t="shared" si="1"/>
        <v>0</v>
      </c>
      <c r="K15" s="4">
        <f t="shared" si="2"/>
        <v>50</v>
      </c>
      <c r="L15" s="4">
        <f>MIN(100,MAX(0,(1-(F15-1)/(H15*1.5))*100*INDEX('League Config'!$J$4:$J$9,MATCH(A15,'League Config'!$E$4:$E$9,0))))</f>
        <v>38.46153846153846</v>
      </c>
      <c r="M15">
        <f>IF(A15="K",'League Config'!$B$14,IF(A15="DST",'League Config'!$B$15,IF(A15="QB",'League Config'!$B$16,0)))</f>
        <v>3</v>
      </c>
      <c r="N15" s="4">
        <f t="shared" si="3"/>
        <v>64.349885769230767</v>
      </c>
      <c r="O15" s="9">
        <f t="shared" si="4"/>
        <v>64.349885769230767</v>
      </c>
      <c r="P15" s="6">
        <f>IF(O15="","",COUNTIF($O$3:$O$232,"&gt;"&amp;O15)+COUNTIF($O$3:O15,O15))</f>
        <v>82</v>
      </c>
      <c r="Q15">
        <f t="shared" si="5"/>
        <v>82</v>
      </c>
      <c r="R15" s="4">
        <f>'LIVE SOURCE'!E15</f>
        <v>89.6</v>
      </c>
      <c r="S15" s="4">
        <f t="shared" si="6"/>
        <v>7.5999999999999943</v>
      </c>
      <c r="T15" t="str">
        <f>'LIVE SOURCE'!F15</f>
        <v>A</v>
      </c>
      <c r="U15" s="4">
        <f t="shared" si="7"/>
        <v>78.692099999999996</v>
      </c>
      <c r="V15" s="4">
        <f t="shared" si="8"/>
        <v>84.692099999999996</v>
      </c>
      <c r="W15" s="4">
        <f t="shared" si="9"/>
        <v>90.692099999999996</v>
      </c>
      <c r="X15" t="str">
        <f>'LIVE SOURCE'!G15</f>
        <v>RATE-ADJUSTED VETERAN</v>
      </c>
      <c r="Y15" t="str">
        <f>IF(INDEX('Draft Board'!$J$3:$J$232,Q15)="","Available",INDEX('Draft Board'!$J$3:$J$232,Q15))</f>
        <v>Available</v>
      </c>
      <c r="Z15">
        <f t="shared" si="10"/>
        <v>82</v>
      </c>
    </row>
    <row r="16" spans="1:26" x14ac:dyDescent="0.25">
      <c r="A16" t="str">
        <f>'LIVE SOURCE'!A16</f>
        <v>QB</v>
      </c>
      <c r="B16" t="str">
        <f>'LIVE SOURCE'!B16</f>
        <v>Brock Purdy</v>
      </c>
      <c r="C16" s="4">
        <f>'LIVE SOURCE'!D16</f>
        <v>83.8386</v>
      </c>
      <c r="D16" s="4">
        <f>'Manual Adjustments'!G16</f>
        <v>0</v>
      </c>
      <c r="E16" s="4">
        <f t="shared" si="0"/>
        <v>83.8386</v>
      </c>
      <c r="F16">
        <f>COUNTIFS($A$3:$A$232,A16,$E$3:$E$232,"&gt;"&amp;E16)+COUNTIFS($A$3:A16,A16,$E$3:E16,E16)</f>
        <v>14</v>
      </c>
      <c r="G16" s="4">
        <f>ROUND(INDEX('League Config'!$K$4:$K$9,MATCH(A16,'League Config'!$E$4:$E$9,0))*E16+INDEX('League Config'!$L$4:$L$9,MATCH(A16,'League Config'!$E$4:$E$9,0)),1)</f>
        <v>347.3</v>
      </c>
      <c r="H16">
        <f>INDEX('League Config'!$H$4:$H$9,MATCH(A16,'League Config'!$E$4:$E$9,0))</f>
        <v>13</v>
      </c>
      <c r="I16" s="4">
        <f>INDEX('League Config'!$I$4:$I$9,MATCH(A16,'League Config'!$E$4:$E$9,0))</f>
        <v>351.1</v>
      </c>
      <c r="J16" s="4">
        <f t="shared" si="1"/>
        <v>-3.8</v>
      </c>
      <c r="K16" s="4">
        <f t="shared" si="2"/>
        <v>47.72</v>
      </c>
      <c r="L16" s="4">
        <f>MIN(100,MAX(0,(1-(F16-1)/(H16*1.5))*100*INDEX('League Config'!$J$4:$J$9,MATCH(A16,'League Config'!$E$4:$E$9,0))))</f>
        <v>33.333333333333336</v>
      </c>
      <c r="M16">
        <f>IF(A16="K",'League Config'!$B$14,IF(A16="DST",'League Config'!$B$15,IF(A16="QB",'League Config'!$B$16,0)))</f>
        <v>3</v>
      </c>
      <c r="N16" s="4">
        <f t="shared" si="3"/>
        <v>62.427230000000009</v>
      </c>
      <c r="O16" s="9">
        <f t="shared" si="4"/>
        <v>62.427230000000009</v>
      </c>
      <c r="P16" s="6">
        <f>IF(O16="","",COUNTIF($O$3:$O$232,"&gt;"&amp;O16)+COUNTIF($O$3:O16,O16))</f>
        <v>90</v>
      </c>
      <c r="Q16">
        <f t="shared" si="5"/>
        <v>90</v>
      </c>
      <c r="R16" s="4">
        <f>'LIVE SOURCE'!E16</f>
        <v>75.7</v>
      </c>
      <c r="S16" s="4">
        <f t="shared" si="6"/>
        <v>-14.299999999999997</v>
      </c>
      <c r="T16" t="str">
        <f>'LIVE SOURCE'!F16</f>
        <v>B</v>
      </c>
      <c r="U16" s="4">
        <f t="shared" si="7"/>
        <v>74.8386</v>
      </c>
      <c r="V16" s="4">
        <f t="shared" si="8"/>
        <v>83.8386</v>
      </c>
      <c r="W16" s="4">
        <f t="shared" si="9"/>
        <v>92.8386</v>
      </c>
      <c r="X16" t="str">
        <f>'LIVE SOURCE'!G16</f>
        <v>RATE-ADJUSTED VETERAN</v>
      </c>
      <c r="Y16" t="str">
        <f>IF(INDEX('Draft Board'!$J$3:$J$232,Q16)="","Available",INDEX('Draft Board'!$J$3:$J$232,Q16))</f>
        <v>Available</v>
      </c>
      <c r="Z16">
        <f t="shared" si="10"/>
        <v>90</v>
      </c>
    </row>
    <row r="17" spans="1:26" x14ac:dyDescent="0.25">
      <c r="A17" t="str">
        <f>'LIVE SOURCE'!A17</f>
        <v>QB</v>
      </c>
      <c r="B17" t="str">
        <f>'LIVE SOURCE'!B17</f>
        <v>Jaxson Dart</v>
      </c>
      <c r="C17" s="4">
        <f>'LIVE SOURCE'!D17</f>
        <v>83.060699999999997</v>
      </c>
      <c r="D17" s="4">
        <f>'Manual Adjustments'!G17</f>
        <v>0</v>
      </c>
      <c r="E17" s="4">
        <f t="shared" si="0"/>
        <v>83.060699999999997</v>
      </c>
      <c r="F17">
        <f>COUNTIFS($A$3:$A$232,A17,$E$3:$E$232,"&gt;"&amp;E17)+COUNTIFS($A$3:A17,A17,$E$3:E17,E17)</f>
        <v>15</v>
      </c>
      <c r="G17" s="4">
        <f>ROUND(INDEX('League Config'!$K$4:$K$9,MATCH(A17,'League Config'!$E$4:$E$9,0))*E17+INDEX('League Config'!$L$4:$L$9,MATCH(A17,'League Config'!$E$4:$E$9,0)),1)</f>
        <v>343.8</v>
      </c>
      <c r="H17">
        <f>INDEX('League Config'!$H$4:$H$9,MATCH(A17,'League Config'!$E$4:$E$9,0))</f>
        <v>13</v>
      </c>
      <c r="I17" s="4">
        <f>INDEX('League Config'!$I$4:$I$9,MATCH(A17,'League Config'!$E$4:$E$9,0))</f>
        <v>351.1</v>
      </c>
      <c r="J17" s="4">
        <f t="shared" si="1"/>
        <v>-7.3</v>
      </c>
      <c r="K17" s="4">
        <f t="shared" si="2"/>
        <v>45.62</v>
      </c>
      <c r="L17" s="4">
        <f>MIN(100,MAX(0,(1-(F17-1)/(H17*1.5))*100*INDEX('League Config'!$J$4:$J$9,MATCH(A17,'League Config'!$E$4:$E$9,0))))</f>
        <v>28.205128205128204</v>
      </c>
      <c r="M17">
        <f>IF(A17="K",'League Config'!$B$14,IF(A17="DST",'League Config'!$B$15,IF(A17="QB",'League Config'!$B$16,0)))</f>
        <v>3</v>
      </c>
      <c r="N17" s="4">
        <f t="shared" si="3"/>
        <v>60.600154230769235</v>
      </c>
      <c r="O17" s="9">
        <f t="shared" si="4"/>
        <v>60.600154230769235</v>
      </c>
      <c r="P17" s="6">
        <f>IF(O17="","",COUNTIF($O$3:$O$232,"&gt;"&amp;O17)+COUNTIF($O$3:O17,O17))</f>
        <v>96</v>
      </c>
      <c r="Q17">
        <f t="shared" si="5"/>
        <v>96</v>
      </c>
      <c r="R17" s="4">
        <f>'LIVE SOURCE'!E17</f>
        <v>100.4</v>
      </c>
      <c r="S17" s="4">
        <f t="shared" si="6"/>
        <v>4.4000000000000057</v>
      </c>
      <c r="T17" t="str">
        <f>'LIVE SOURCE'!F17</f>
        <v>A</v>
      </c>
      <c r="U17" s="4">
        <f t="shared" si="7"/>
        <v>77.060699999999997</v>
      </c>
      <c r="V17" s="4">
        <f t="shared" si="8"/>
        <v>83.060699999999997</v>
      </c>
      <c r="W17" s="4">
        <f t="shared" si="9"/>
        <v>89.060699999999997</v>
      </c>
      <c r="X17" t="str">
        <f>'LIVE SOURCE'!G17</f>
        <v>RATE-ADJUSTED VETERAN</v>
      </c>
      <c r="Y17" t="str">
        <f>IF(INDEX('Draft Board'!$J$3:$J$232,Q17)="","Available",INDEX('Draft Board'!$J$3:$J$232,Q17))</f>
        <v>Available</v>
      </c>
      <c r="Z17">
        <f t="shared" si="10"/>
        <v>96</v>
      </c>
    </row>
    <row r="18" spans="1:26" x14ac:dyDescent="0.25">
      <c r="A18" t="str">
        <f>'LIVE SOURCE'!A18</f>
        <v>QB</v>
      </c>
      <c r="B18" t="str">
        <f>'LIVE SOURCE'!B18</f>
        <v>Jared Goff</v>
      </c>
      <c r="C18" s="4">
        <f>'LIVE SOURCE'!D18</f>
        <v>82.642499999999998</v>
      </c>
      <c r="D18" s="4">
        <f>'Manual Adjustments'!G18</f>
        <v>0</v>
      </c>
      <c r="E18" s="4">
        <f t="shared" si="0"/>
        <v>82.642499999999998</v>
      </c>
      <c r="F18">
        <f>COUNTIFS($A$3:$A$232,A18,$E$3:$E$232,"&gt;"&amp;E18)+COUNTIFS($A$3:A18,A18,$E$3:E18,E18)</f>
        <v>16</v>
      </c>
      <c r="G18" s="4">
        <f>ROUND(INDEX('League Config'!$K$4:$K$9,MATCH(A18,'League Config'!$E$4:$E$9,0))*E18+INDEX('League Config'!$L$4:$L$9,MATCH(A18,'League Config'!$E$4:$E$9,0)),1)</f>
        <v>341.9</v>
      </c>
      <c r="H18">
        <f>INDEX('League Config'!$H$4:$H$9,MATCH(A18,'League Config'!$E$4:$E$9,0))</f>
        <v>13</v>
      </c>
      <c r="I18" s="4">
        <f>INDEX('League Config'!$I$4:$I$9,MATCH(A18,'League Config'!$E$4:$E$9,0))</f>
        <v>351.1</v>
      </c>
      <c r="J18" s="4">
        <f t="shared" si="1"/>
        <v>-9.1999999999999993</v>
      </c>
      <c r="K18" s="4">
        <f t="shared" si="2"/>
        <v>44.480000000000004</v>
      </c>
      <c r="L18" s="4">
        <f>MIN(100,MAX(0,(1-(F18-1)/(H18*1.5))*100*INDEX('League Config'!$J$4:$J$9,MATCH(A18,'League Config'!$E$4:$E$9,0))))</f>
        <v>23.076923076923073</v>
      </c>
      <c r="M18">
        <f>IF(A18="K",'League Config'!$B$14,IF(A18="DST",'League Config'!$B$15,IF(A18="QB",'League Config'!$B$16,0)))</f>
        <v>3</v>
      </c>
      <c r="N18" s="4">
        <f t="shared" si="3"/>
        <v>59.258913461538462</v>
      </c>
      <c r="O18" s="9">
        <f t="shared" si="4"/>
        <v>59.258913461538462</v>
      </c>
      <c r="P18" s="6">
        <f>IF(O18="","",COUNTIF($O$3:$O$232,"&gt;"&amp;O18)+COUNTIF($O$3:O18,O18))</f>
        <v>99</v>
      </c>
      <c r="Q18">
        <f t="shared" si="5"/>
        <v>99</v>
      </c>
      <c r="R18" s="4">
        <f>'LIVE SOURCE'!E18</f>
        <v>107.9</v>
      </c>
      <c r="S18" s="4">
        <f t="shared" si="6"/>
        <v>8.9000000000000057</v>
      </c>
      <c r="T18" t="str">
        <f>'LIVE SOURCE'!F18</f>
        <v>A</v>
      </c>
      <c r="U18" s="4">
        <f t="shared" si="7"/>
        <v>76.642499999999998</v>
      </c>
      <c r="V18" s="4">
        <f t="shared" si="8"/>
        <v>82.642499999999998</v>
      </c>
      <c r="W18" s="4">
        <f t="shared" si="9"/>
        <v>88.642499999999998</v>
      </c>
      <c r="X18" t="str">
        <f>'LIVE SOURCE'!G18</f>
        <v>RATE-ADJUSTED VETERAN</v>
      </c>
      <c r="Y18" t="str">
        <f>IF(INDEX('Draft Board'!$J$3:$J$232,Q18)="","Available",INDEX('Draft Board'!$J$3:$J$232,Q18))</f>
        <v>Available</v>
      </c>
      <c r="Z18">
        <f t="shared" si="10"/>
        <v>99</v>
      </c>
    </row>
    <row r="19" spans="1:26" x14ac:dyDescent="0.25">
      <c r="A19" t="str">
        <f>'LIVE SOURCE'!A19</f>
        <v>QB</v>
      </c>
      <c r="B19" t="str">
        <f>'LIVE SOURCE'!B19</f>
        <v>Kyler Murray</v>
      </c>
      <c r="C19" s="4">
        <f>'LIVE SOURCE'!D19</f>
        <v>80.710099999999997</v>
      </c>
      <c r="D19" s="4">
        <f>'Manual Adjustments'!G19</f>
        <v>0</v>
      </c>
      <c r="E19" s="4">
        <f t="shared" si="0"/>
        <v>80.710099999999997</v>
      </c>
      <c r="F19">
        <f>COUNTIFS($A$3:$A$232,A19,$E$3:$E$232,"&gt;"&amp;E19)+COUNTIFS($A$3:A19,A19,$E$3:E19,E19)</f>
        <v>17</v>
      </c>
      <c r="G19" s="4">
        <f>ROUND(INDEX('League Config'!$K$4:$K$9,MATCH(A19,'League Config'!$E$4:$E$9,0))*E19+INDEX('League Config'!$L$4:$L$9,MATCH(A19,'League Config'!$E$4:$E$9,0)),1)</f>
        <v>333.2</v>
      </c>
      <c r="H19">
        <f>INDEX('League Config'!$H$4:$H$9,MATCH(A19,'League Config'!$E$4:$E$9,0))</f>
        <v>13</v>
      </c>
      <c r="I19" s="4">
        <f>INDEX('League Config'!$I$4:$I$9,MATCH(A19,'League Config'!$E$4:$E$9,0))</f>
        <v>351.1</v>
      </c>
      <c r="J19" s="4">
        <f t="shared" si="1"/>
        <v>-17.899999999999999</v>
      </c>
      <c r="K19" s="4">
        <f t="shared" si="2"/>
        <v>39.260000000000005</v>
      </c>
      <c r="L19" s="4">
        <f>MIN(100,MAX(0,(1-(F19-1)/(H19*1.5))*100*INDEX('League Config'!$J$4:$J$9,MATCH(A19,'League Config'!$E$4:$E$9,0))))</f>
        <v>17.948717948717952</v>
      </c>
      <c r="M19">
        <f>IF(A19="K",'League Config'!$B$14,IF(A19="DST",'League Config'!$B$15,IF(A19="QB",'League Config'!$B$16,0)))</f>
        <v>3</v>
      </c>
      <c r="N19" s="4">
        <f t="shared" si="3"/>
        <v>55.860862692307691</v>
      </c>
      <c r="O19" s="9">
        <f t="shared" si="4"/>
        <v>55.860862692307691</v>
      </c>
      <c r="P19" s="6">
        <f>IF(O19="","",COUNTIF($O$3:$O$232,"&gt;"&amp;O19)+COUNTIF($O$3:O19,O19))</f>
        <v>109</v>
      </c>
      <c r="Q19">
        <f t="shared" si="5"/>
        <v>109</v>
      </c>
      <c r="R19" s="4">
        <f>'LIVE SOURCE'!E19</f>
        <v>146.6</v>
      </c>
      <c r="S19" s="4">
        <f t="shared" si="6"/>
        <v>37.599999999999994</v>
      </c>
      <c r="T19" t="str">
        <f>'LIVE SOURCE'!F19</f>
        <v>B</v>
      </c>
      <c r="U19" s="4">
        <f t="shared" si="7"/>
        <v>71.710099999999997</v>
      </c>
      <c r="V19" s="4">
        <f t="shared" si="8"/>
        <v>80.710099999999997</v>
      </c>
      <c r="W19" s="4">
        <f t="shared" si="9"/>
        <v>89.710099999999997</v>
      </c>
      <c r="X19" t="str">
        <f>'LIVE SOURCE'!G19</f>
        <v>RATE-ADJUSTED VETERAN</v>
      </c>
      <c r="Y19" t="str">
        <f>IF(INDEX('Draft Board'!$J$3:$J$232,Q19)="","Available",INDEX('Draft Board'!$J$3:$J$232,Q19))</f>
        <v>Available</v>
      </c>
      <c r="Z19">
        <f t="shared" si="10"/>
        <v>109</v>
      </c>
    </row>
    <row r="20" spans="1:26" x14ac:dyDescent="0.25">
      <c r="A20" t="str">
        <f>'LIVE SOURCE'!A20</f>
        <v>QB</v>
      </c>
      <c r="B20" t="str">
        <f>'LIVE SOURCE'!B20</f>
        <v>Jordan Love</v>
      </c>
      <c r="C20" s="4">
        <f>'LIVE SOURCE'!D20</f>
        <v>80.040800000000004</v>
      </c>
      <c r="D20" s="4">
        <f>'Manual Adjustments'!G20</f>
        <v>0</v>
      </c>
      <c r="E20" s="4">
        <f t="shared" si="0"/>
        <v>80.040800000000004</v>
      </c>
      <c r="F20">
        <f>COUNTIFS($A$3:$A$232,A20,$E$3:$E$232,"&gt;"&amp;E20)+COUNTIFS($A$3:A20,A20,$E$3:E20,E20)</f>
        <v>18</v>
      </c>
      <c r="G20" s="4">
        <f>ROUND(INDEX('League Config'!$K$4:$K$9,MATCH(A20,'League Config'!$E$4:$E$9,0))*E20+INDEX('League Config'!$L$4:$L$9,MATCH(A20,'League Config'!$E$4:$E$9,0)),1)</f>
        <v>330.2</v>
      </c>
      <c r="H20">
        <f>INDEX('League Config'!$H$4:$H$9,MATCH(A20,'League Config'!$E$4:$E$9,0))</f>
        <v>13</v>
      </c>
      <c r="I20" s="4">
        <f>INDEX('League Config'!$I$4:$I$9,MATCH(A20,'League Config'!$E$4:$E$9,0))</f>
        <v>351.1</v>
      </c>
      <c r="J20" s="4">
        <f t="shared" si="1"/>
        <v>-20.9</v>
      </c>
      <c r="K20" s="4">
        <f t="shared" si="2"/>
        <v>37.46</v>
      </c>
      <c r="L20" s="4">
        <f>MIN(100,MAX(0,(1-(F20-1)/(H20*1.5))*100*INDEX('League Config'!$J$4:$J$9,MATCH(A20,'League Config'!$E$4:$E$9,0))))</f>
        <v>12.820512820512819</v>
      </c>
      <c r="M20">
        <f>IF(A20="K",'League Config'!$B$14,IF(A20="DST",'League Config'!$B$15,IF(A20="QB",'League Config'!$B$16,0)))</f>
        <v>3</v>
      </c>
      <c r="N20" s="4">
        <f t="shared" si="3"/>
        <v>54.183516923076922</v>
      </c>
      <c r="O20" s="9">
        <f t="shared" si="4"/>
        <v>54.183516923076922</v>
      </c>
      <c r="P20" s="6">
        <f>IF(O20="","",COUNTIF($O$3:$O$232,"&gt;"&amp;O20)+COUNTIF($O$3:O20,O20))</f>
        <v>114</v>
      </c>
      <c r="Q20">
        <f t="shared" si="5"/>
        <v>114</v>
      </c>
      <c r="R20" s="4">
        <f>'LIVE SOURCE'!E20</f>
        <v>150.5</v>
      </c>
      <c r="S20" s="4">
        <f t="shared" si="6"/>
        <v>36.5</v>
      </c>
      <c r="T20" t="str">
        <f>'LIVE SOURCE'!F20</f>
        <v>A</v>
      </c>
      <c r="U20" s="4">
        <f t="shared" si="7"/>
        <v>74.040800000000004</v>
      </c>
      <c r="V20" s="4">
        <f t="shared" si="8"/>
        <v>80.040800000000004</v>
      </c>
      <c r="W20" s="4">
        <f t="shared" si="9"/>
        <v>86.040800000000004</v>
      </c>
      <c r="X20" t="str">
        <f>'LIVE SOURCE'!G20</f>
        <v>RATE-ADJUSTED VETERAN</v>
      </c>
      <c r="Y20" t="str">
        <f>IF(INDEX('Draft Board'!$J$3:$J$232,Q20)="","Available",INDEX('Draft Board'!$J$3:$J$232,Q20))</f>
        <v>Available</v>
      </c>
      <c r="Z20">
        <f t="shared" si="10"/>
        <v>114</v>
      </c>
    </row>
    <row r="21" spans="1:26" x14ac:dyDescent="0.25">
      <c r="A21" t="str">
        <f>'LIVE SOURCE'!A21</f>
        <v>QB</v>
      </c>
      <c r="B21" t="str">
        <f>'LIVE SOURCE'!B21</f>
        <v>Baker Mayfield</v>
      </c>
      <c r="C21" s="4">
        <f>'LIVE SOURCE'!D21</f>
        <v>79.825999999999993</v>
      </c>
      <c r="D21" s="4">
        <f>'Manual Adjustments'!G21</f>
        <v>0</v>
      </c>
      <c r="E21" s="4">
        <f t="shared" si="0"/>
        <v>79.825999999999993</v>
      </c>
      <c r="F21">
        <f>COUNTIFS($A$3:$A$232,A21,$E$3:$E$232,"&gt;"&amp;E21)+COUNTIFS($A$3:A21,A21,$E$3:E21,E21)</f>
        <v>19</v>
      </c>
      <c r="G21" s="4">
        <f>ROUND(INDEX('League Config'!$K$4:$K$9,MATCH(A21,'League Config'!$E$4:$E$9,0))*E21+INDEX('League Config'!$L$4:$L$9,MATCH(A21,'League Config'!$E$4:$E$9,0)),1)</f>
        <v>329.2</v>
      </c>
      <c r="H21">
        <f>INDEX('League Config'!$H$4:$H$9,MATCH(A21,'League Config'!$E$4:$E$9,0))</f>
        <v>13</v>
      </c>
      <c r="I21" s="4">
        <f>INDEX('League Config'!$I$4:$I$9,MATCH(A21,'League Config'!$E$4:$E$9,0))</f>
        <v>351.1</v>
      </c>
      <c r="J21" s="4">
        <f t="shared" si="1"/>
        <v>-21.9</v>
      </c>
      <c r="K21" s="4">
        <f t="shared" si="2"/>
        <v>36.86</v>
      </c>
      <c r="L21" s="4">
        <f>MIN(100,MAX(0,(1-(F21-1)/(H21*1.5))*100*INDEX('League Config'!$J$4:$J$9,MATCH(A21,'League Config'!$E$4:$E$9,0))))</f>
        <v>7.6923076923076872</v>
      </c>
      <c r="M21">
        <f>IF(A21="K",'League Config'!$B$14,IF(A21="DST",'League Config'!$B$15,IF(A21="QB",'League Config'!$B$16,0)))</f>
        <v>3</v>
      </c>
      <c r="N21" s="4">
        <f t="shared" si="3"/>
        <v>53.116146153846152</v>
      </c>
      <c r="O21" s="9">
        <f t="shared" si="4"/>
        <v>53.116146153846152</v>
      </c>
      <c r="P21" s="6">
        <f>IF(O21="","",COUNTIF($O$3:$O$232,"&gt;"&amp;O21)+COUNTIF($O$3:O21,O21))</f>
        <v>118</v>
      </c>
      <c r="Q21">
        <f t="shared" si="5"/>
        <v>118</v>
      </c>
      <c r="R21" s="4">
        <f>'LIVE SOURCE'!E21</f>
        <v>128.6</v>
      </c>
      <c r="S21" s="4">
        <f t="shared" si="6"/>
        <v>10.599999999999994</v>
      </c>
      <c r="T21" t="str">
        <f>'LIVE SOURCE'!F21</f>
        <v>A</v>
      </c>
      <c r="U21" s="4">
        <f t="shared" si="7"/>
        <v>73.825999999999993</v>
      </c>
      <c r="V21" s="4">
        <f t="shared" si="8"/>
        <v>79.825999999999993</v>
      </c>
      <c r="W21" s="4">
        <f t="shared" si="9"/>
        <v>85.825999999999993</v>
      </c>
      <c r="X21" t="str">
        <f>'LIVE SOURCE'!G21</f>
        <v>RATE-ADJUSTED VETERAN</v>
      </c>
      <c r="Y21" t="str">
        <f>IF(INDEX('Draft Board'!$J$3:$J$232,Q21)="","Available",INDEX('Draft Board'!$J$3:$J$232,Q21))</f>
        <v>Available</v>
      </c>
      <c r="Z21">
        <f t="shared" si="10"/>
        <v>118</v>
      </c>
    </row>
    <row r="22" spans="1:26" x14ac:dyDescent="0.25">
      <c r="A22" t="str">
        <f>'LIVE SOURCE'!A22</f>
        <v>QB</v>
      </c>
      <c r="B22" t="str">
        <f>'LIVE SOURCE'!B22</f>
        <v>Tyler Shough</v>
      </c>
      <c r="C22" s="4">
        <f>'LIVE SOURCE'!D22</f>
        <v>77.365600000000001</v>
      </c>
      <c r="D22" s="4">
        <f>'Manual Adjustments'!G22</f>
        <v>0</v>
      </c>
      <c r="E22" s="4">
        <f t="shared" si="0"/>
        <v>77.365600000000001</v>
      </c>
      <c r="F22">
        <f>COUNTIFS($A$3:$A$232,A22,$E$3:$E$232,"&gt;"&amp;E22)+COUNTIFS($A$3:A22,A22,$E$3:E22,E22)</f>
        <v>20</v>
      </c>
      <c r="G22" s="4">
        <f>ROUND(INDEX('League Config'!$K$4:$K$9,MATCH(A22,'League Config'!$E$4:$E$9,0))*E22+INDEX('League Config'!$L$4:$L$9,MATCH(A22,'League Config'!$E$4:$E$9,0)),1)</f>
        <v>318.10000000000002</v>
      </c>
      <c r="H22">
        <f>INDEX('League Config'!$H$4:$H$9,MATCH(A22,'League Config'!$E$4:$E$9,0))</f>
        <v>13</v>
      </c>
      <c r="I22" s="4">
        <f>INDEX('League Config'!$I$4:$I$9,MATCH(A22,'League Config'!$E$4:$E$9,0))</f>
        <v>351.1</v>
      </c>
      <c r="J22" s="4">
        <f t="shared" si="1"/>
        <v>-33</v>
      </c>
      <c r="K22" s="4">
        <f t="shared" si="2"/>
        <v>30.2</v>
      </c>
      <c r="L22" s="4">
        <f>MIN(100,MAX(0,(1-(F22-1)/(H22*1.5))*100*INDEX('League Config'!$J$4:$J$9,MATCH(A22,'League Config'!$E$4:$E$9,0))))</f>
        <v>2.5641025641025661</v>
      </c>
      <c r="M22">
        <f>IF(A22="K",'League Config'!$B$14,IF(A22="DST",'League Config'!$B$15,IF(A22="QB",'League Config'!$B$16,0)))</f>
        <v>3</v>
      </c>
      <c r="N22" s="4">
        <f t="shared" si="3"/>
        <v>48.995695384615388</v>
      </c>
      <c r="O22" s="9">
        <f t="shared" si="4"/>
        <v>48.995695384615388</v>
      </c>
      <c r="P22" s="6">
        <f>IF(O22="","",COUNTIF($O$3:$O$232,"&gt;"&amp;O22)+COUNTIF($O$3:O22,O22))</f>
        <v>130</v>
      </c>
      <c r="Q22">
        <f t="shared" si="5"/>
        <v>130</v>
      </c>
      <c r="R22" s="4">
        <f>'LIVE SOURCE'!E22</f>
        <v>137.69999999999999</v>
      </c>
      <c r="S22" s="4">
        <f t="shared" si="6"/>
        <v>7.6999999999999886</v>
      </c>
      <c r="T22" t="str">
        <f>'LIVE SOURCE'!F22</f>
        <v>B</v>
      </c>
      <c r="U22" s="4">
        <f t="shared" si="7"/>
        <v>68.365600000000001</v>
      </c>
      <c r="V22" s="4">
        <f t="shared" si="8"/>
        <v>77.365600000000001</v>
      </c>
      <c r="W22" s="4">
        <f t="shared" si="9"/>
        <v>86.365600000000001</v>
      </c>
      <c r="X22" t="str">
        <f>'LIVE SOURCE'!G22</f>
        <v>RATE-ADJUSTED VETERAN</v>
      </c>
      <c r="Y22" t="str">
        <f>IF(INDEX('Draft Board'!$J$3:$J$232,Q22)="","Available",INDEX('Draft Board'!$J$3:$J$232,Q22))</f>
        <v>Available</v>
      </c>
      <c r="Z22">
        <f t="shared" si="10"/>
        <v>130</v>
      </c>
    </row>
    <row r="23" spans="1:26" x14ac:dyDescent="0.25">
      <c r="A23" t="str">
        <f>'LIVE SOURCE'!A23</f>
        <v>QB</v>
      </c>
      <c r="B23" t="str">
        <f>'LIVE SOURCE'!B23</f>
        <v>C.J. Stroud</v>
      </c>
      <c r="C23" s="4">
        <f>'LIVE SOURCE'!D23</f>
        <v>75.762100000000004</v>
      </c>
      <c r="D23" s="4">
        <f>'Manual Adjustments'!G23</f>
        <v>0</v>
      </c>
      <c r="E23" s="4">
        <f t="shared" si="0"/>
        <v>75.762100000000004</v>
      </c>
      <c r="F23">
        <f>COUNTIFS($A$3:$A$232,A23,$E$3:$E$232,"&gt;"&amp;E23)+COUNTIFS($A$3:A23,A23,$E$3:E23,E23)</f>
        <v>21</v>
      </c>
      <c r="G23" s="4">
        <f>ROUND(INDEX('League Config'!$K$4:$K$9,MATCH(A23,'League Config'!$E$4:$E$9,0))*E23+INDEX('League Config'!$L$4:$L$9,MATCH(A23,'League Config'!$E$4:$E$9,0)),1)</f>
        <v>310.89999999999998</v>
      </c>
      <c r="H23">
        <f>INDEX('League Config'!$H$4:$H$9,MATCH(A23,'League Config'!$E$4:$E$9,0))</f>
        <v>13</v>
      </c>
      <c r="I23" s="4">
        <f>INDEX('League Config'!$I$4:$I$9,MATCH(A23,'League Config'!$E$4:$E$9,0))</f>
        <v>351.1</v>
      </c>
      <c r="J23" s="4">
        <f t="shared" si="1"/>
        <v>-40.200000000000003</v>
      </c>
      <c r="K23" s="4">
        <f t="shared" si="2"/>
        <v>25.88</v>
      </c>
      <c r="L23" s="4">
        <f>MIN(100,MAX(0,(1-(F23-1)/(H23*1.5))*100*INDEX('League Config'!$J$4:$J$9,MATCH(A23,'League Config'!$E$4:$E$9,0))))</f>
        <v>0</v>
      </c>
      <c r="M23">
        <f>IF(A23="K",'League Config'!$B$14,IF(A23="DST",'League Config'!$B$15,IF(A23="QB",'League Config'!$B$16,0)))</f>
        <v>3</v>
      </c>
      <c r="N23" s="4">
        <f t="shared" si="3"/>
        <v>46.433154999999999</v>
      </c>
      <c r="O23" s="9">
        <f t="shared" si="4"/>
        <v>46.433154999999999</v>
      </c>
      <c r="P23" s="6">
        <f>IF(O23="","",COUNTIF($O$3:$O$232,"&gt;"&amp;O23)+COUNTIF($O$3:O23,O23))</f>
        <v>138</v>
      </c>
      <c r="Q23">
        <f t="shared" si="5"/>
        <v>158</v>
      </c>
      <c r="R23" s="4">
        <f>'LIVE SOURCE'!E23</f>
        <v>162.5</v>
      </c>
      <c r="S23" s="4">
        <f t="shared" si="6"/>
        <v>4.5</v>
      </c>
      <c r="T23" t="str">
        <f>'LIVE SOURCE'!F23</f>
        <v>A</v>
      </c>
      <c r="U23" s="4">
        <f t="shared" si="7"/>
        <v>69.762100000000004</v>
      </c>
      <c r="V23" s="4">
        <f t="shared" si="8"/>
        <v>75.762100000000004</v>
      </c>
      <c r="W23" s="4">
        <f t="shared" si="9"/>
        <v>81.762100000000004</v>
      </c>
      <c r="X23" t="str">
        <f>'LIVE SOURCE'!G23</f>
        <v>RATE-ADJUSTED VETERAN</v>
      </c>
      <c r="Y23" t="str">
        <f>IF(INDEX('Draft Board'!$J$3:$J$232,Q23)="","Available",INDEX('Draft Board'!$J$3:$J$232,Q23))</f>
        <v>Available</v>
      </c>
      <c r="Z23">
        <f t="shared" si="10"/>
        <v>158</v>
      </c>
    </row>
    <row r="24" spans="1:26" x14ac:dyDescent="0.25">
      <c r="A24" t="str">
        <f>'LIVE SOURCE'!A24</f>
        <v>QB</v>
      </c>
      <c r="B24" t="str">
        <f>'LIVE SOURCE'!B24</f>
        <v>Sam Darnold</v>
      </c>
      <c r="C24" s="4">
        <f>'LIVE SOURCE'!D24</f>
        <v>75.554199999999994</v>
      </c>
      <c r="D24" s="4">
        <f>'Manual Adjustments'!G24</f>
        <v>0</v>
      </c>
      <c r="E24" s="4">
        <f t="shared" si="0"/>
        <v>75.554199999999994</v>
      </c>
      <c r="F24">
        <f>COUNTIFS($A$3:$A$232,A24,$E$3:$E$232,"&gt;"&amp;E24)+COUNTIFS($A$3:A24,A24,$E$3:E24,E24)</f>
        <v>22</v>
      </c>
      <c r="G24" s="4">
        <f>ROUND(INDEX('League Config'!$K$4:$K$9,MATCH(A24,'League Config'!$E$4:$E$9,0))*E24+INDEX('League Config'!$L$4:$L$9,MATCH(A24,'League Config'!$E$4:$E$9,0)),1)</f>
        <v>310</v>
      </c>
      <c r="H24">
        <f>INDEX('League Config'!$H$4:$H$9,MATCH(A24,'League Config'!$E$4:$E$9,0))</f>
        <v>13</v>
      </c>
      <c r="I24" s="4">
        <f>INDEX('League Config'!$I$4:$I$9,MATCH(A24,'League Config'!$E$4:$E$9,0))</f>
        <v>351.1</v>
      </c>
      <c r="J24" s="4">
        <f t="shared" si="1"/>
        <v>-41.1</v>
      </c>
      <c r="K24" s="4">
        <f t="shared" si="2"/>
        <v>25.34</v>
      </c>
      <c r="L24" s="4">
        <f>MIN(100,MAX(0,(1-(F24-1)/(H24*1.5))*100*INDEX('League Config'!$J$4:$J$9,MATCH(A24,'League Config'!$E$4:$E$9,0))))</f>
        <v>0</v>
      </c>
      <c r="M24">
        <f>IF(A24="K",'League Config'!$B$14,IF(A24="DST",'League Config'!$B$15,IF(A24="QB",'League Config'!$B$16,0)))</f>
        <v>3</v>
      </c>
      <c r="N24" s="4">
        <f t="shared" si="3"/>
        <v>46.15681</v>
      </c>
      <c r="O24" s="9">
        <f t="shared" si="4"/>
        <v>46.15681</v>
      </c>
      <c r="P24" s="6">
        <f>IF(O24="","",COUNTIF($O$3:$O$232,"&gt;"&amp;O24)+COUNTIF($O$3:O24,O24))</f>
        <v>139</v>
      </c>
      <c r="Q24">
        <f t="shared" si="5"/>
        <v>159</v>
      </c>
      <c r="R24" s="4">
        <f>'LIVE SOURCE'!E24</f>
        <v>142.4</v>
      </c>
      <c r="S24" s="4">
        <f t="shared" si="6"/>
        <v>-16.599999999999994</v>
      </c>
      <c r="T24" t="str">
        <f>'LIVE SOURCE'!F24</f>
        <v>A</v>
      </c>
      <c r="U24" s="4">
        <f t="shared" si="7"/>
        <v>69.554199999999994</v>
      </c>
      <c r="V24" s="4">
        <f t="shared" si="8"/>
        <v>75.554199999999994</v>
      </c>
      <c r="W24" s="4">
        <f t="shared" si="9"/>
        <v>81.554199999999994</v>
      </c>
      <c r="X24" t="str">
        <f>'LIVE SOURCE'!G24</f>
        <v>RATE-ADJUSTED VETERAN</v>
      </c>
      <c r="Y24" t="str">
        <f>IF(INDEX('Draft Board'!$J$3:$J$232,Q24)="","Available",INDEX('Draft Board'!$J$3:$J$232,Q24))</f>
        <v>Available</v>
      </c>
      <c r="Z24">
        <f t="shared" si="10"/>
        <v>159</v>
      </c>
    </row>
    <row r="25" spans="1:26" x14ac:dyDescent="0.25">
      <c r="A25" t="str">
        <f>'LIVE SOURCE'!A25</f>
        <v>QB</v>
      </c>
      <c r="B25" t="str">
        <f>'LIVE SOURCE'!B25</f>
        <v>Daniel Jones</v>
      </c>
      <c r="C25" s="4">
        <f>'LIVE SOURCE'!D25</f>
        <v>74.790400000000005</v>
      </c>
      <c r="D25" s="4">
        <f>'Manual Adjustments'!G25</f>
        <v>0</v>
      </c>
      <c r="E25" s="4">
        <f t="shared" si="0"/>
        <v>74.790400000000005</v>
      </c>
      <c r="F25">
        <f>COUNTIFS($A$3:$A$232,A25,$E$3:$E$232,"&gt;"&amp;E25)+COUNTIFS($A$3:A25,A25,$E$3:E25,E25)</f>
        <v>23</v>
      </c>
      <c r="G25" s="4">
        <f>ROUND(INDEX('League Config'!$K$4:$K$9,MATCH(A25,'League Config'!$E$4:$E$9,0))*E25+INDEX('League Config'!$L$4:$L$9,MATCH(A25,'League Config'!$E$4:$E$9,0)),1)</f>
        <v>306.60000000000002</v>
      </c>
      <c r="H25">
        <f>INDEX('League Config'!$H$4:$H$9,MATCH(A25,'League Config'!$E$4:$E$9,0))</f>
        <v>13</v>
      </c>
      <c r="I25" s="4">
        <f>INDEX('League Config'!$I$4:$I$9,MATCH(A25,'League Config'!$E$4:$E$9,0))</f>
        <v>351.1</v>
      </c>
      <c r="J25" s="4">
        <f t="shared" si="1"/>
        <v>-44.5</v>
      </c>
      <c r="K25" s="4">
        <f t="shared" si="2"/>
        <v>23.3</v>
      </c>
      <c r="L25" s="4">
        <f>MIN(100,MAX(0,(1-(F25-1)/(H25*1.5))*100*INDEX('League Config'!$J$4:$J$9,MATCH(A25,'League Config'!$E$4:$E$9,0))))</f>
        <v>0</v>
      </c>
      <c r="M25">
        <f>IF(A25="K",'League Config'!$B$14,IF(A25="DST",'League Config'!$B$15,IF(A25="QB",'League Config'!$B$16,0)))</f>
        <v>3</v>
      </c>
      <c r="N25" s="4">
        <f t="shared" si="3"/>
        <v>45.124720000000011</v>
      </c>
      <c r="O25" s="9">
        <f t="shared" si="4"/>
        <v>45.124720000000011</v>
      </c>
      <c r="P25" s="6">
        <f>IF(O25="","",COUNTIF($O$3:$O$232,"&gt;"&amp;O25)+COUNTIF($O$3:O25,O25))</f>
        <v>141</v>
      </c>
      <c r="Q25">
        <f t="shared" si="5"/>
        <v>161</v>
      </c>
      <c r="R25" s="4">
        <f>'LIVE SOURCE'!E25</f>
        <v>143.9</v>
      </c>
      <c r="S25" s="4">
        <f t="shared" si="6"/>
        <v>-17.099999999999994</v>
      </c>
      <c r="T25" t="str">
        <f>'LIVE SOURCE'!F25</f>
        <v>A</v>
      </c>
      <c r="U25" s="4">
        <f t="shared" si="7"/>
        <v>68.790400000000005</v>
      </c>
      <c r="V25" s="4">
        <f t="shared" si="8"/>
        <v>74.790400000000005</v>
      </c>
      <c r="W25" s="4">
        <f t="shared" si="9"/>
        <v>80.790400000000005</v>
      </c>
      <c r="X25" t="str">
        <f>'LIVE SOURCE'!G25</f>
        <v>RATE-ADJUSTED VETERAN</v>
      </c>
      <c r="Y25" t="str">
        <f>IF(INDEX('Draft Board'!$J$3:$J$232,Q25)="","Available",INDEX('Draft Board'!$J$3:$J$232,Q25))</f>
        <v>Available</v>
      </c>
      <c r="Z25">
        <f t="shared" si="10"/>
        <v>161</v>
      </c>
    </row>
    <row r="26" spans="1:26" x14ac:dyDescent="0.25">
      <c r="A26" t="str">
        <f>'LIVE SOURCE'!A26</f>
        <v>QB</v>
      </c>
      <c r="B26" t="str">
        <f>'LIVE SOURCE'!B26</f>
        <v>Malik Willis</v>
      </c>
      <c r="C26" s="4">
        <f>'LIVE SOURCE'!D26</f>
        <v>74.240300000000005</v>
      </c>
      <c r="D26" s="4">
        <f>'Manual Adjustments'!G26</f>
        <v>0</v>
      </c>
      <c r="E26" s="4">
        <f t="shared" si="0"/>
        <v>74.240300000000005</v>
      </c>
      <c r="F26">
        <f>COUNTIFS($A$3:$A$232,A26,$E$3:$E$232,"&gt;"&amp;E26)+COUNTIFS($A$3:A26,A26,$E$3:E26,E26)</f>
        <v>24</v>
      </c>
      <c r="G26" s="4">
        <f>ROUND(INDEX('League Config'!$K$4:$K$9,MATCH(A26,'League Config'!$E$4:$E$9,0))*E26+INDEX('League Config'!$L$4:$L$9,MATCH(A26,'League Config'!$E$4:$E$9,0)),1)</f>
        <v>304.10000000000002</v>
      </c>
      <c r="H26">
        <f>INDEX('League Config'!$H$4:$H$9,MATCH(A26,'League Config'!$E$4:$E$9,0))</f>
        <v>13</v>
      </c>
      <c r="I26" s="4">
        <f>INDEX('League Config'!$I$4:$I$9,MATCH(A26,'League Config'!$E$4:$E$9,0))</f>
        <v>351.1</v>
      </c>
      <c r="J26" s="4">
        <f t="shared" si="1"/>
        <v>-47</v>
      </c>
      <c r="K26" s="4">
        <f t="shared" si="2"/>
        <v>21.8</v>
      </c>
      <c r="L26" s="4">
        <f>MIN(100,MAX(0,(1-(F26-1)/(H26*1.5))*100*INDEX('League Config'!$J$4:$J$9,MATCH(A26,'League Config'!$E$4:$E$9,0))))</f>
        <v>0</v>
      </c>
      <c r="M26">
        <f>IF(A26="K",'League Config'!$B$14,IF(A26="DST",'League Config'!$B$15,IF(A26="QB",'League Config'!$B$16,0)))</f>
        <v>3</v>
      </c>
      <c r="N26" s="4">
        <f t="shared" si="3"/>
        <v>44.372165000000003</v>
      </c>
      <c r="O26" s="9">
        <f t="shared" si="4"/>
        <v>44.372165000000003</v>
      </c>
      <c r="P26" s="6">
        <f>IF(O26="","",COUNTIF($O$3:$O$232,"&gt;"&amp;O26)+COUNTIF($O$3:O26,O26))</f>
        <v>143</v>
      </c>
      <c r="Q26">
        <f t="shared" si="5"/>
        <v>163</v>
      </c>
      <c r="R26" s="4">
        <f>'LIVE SOURCE'!E26</f>
        <v>160.4</v>
      </c>
      <c r="S26" s="4">
        <f t="shared" si="6"/>
        <v>-2.5999999999999943</v>
      </c>
      <c r="T26" t="str">
        <f>'LIVE SOURCE'!F26</f>
        <v>B</v>
      </c>
      <c r="U26" s="4">
        <f t="shared" si="7"/>
        <v>65.240300000000005</v>
      </c>
      <c r="V26" s="4">
        <f t="shared" si="8"/>
        <v>74.240300000000005</v>
      </c>
      <c r="W26" s="4">
        <f t="shared" si="9"/>
        <v>83.240300000000005</v>
      </c>
      <c r="X26" t="str">
        <f>'LIVE SOURCE'!G26</f>
        <v>RATE-ADJUSTED VETERAN</v>
      </c>
      <c r="Y26" t="str">
        <f>IF(INDEX('Draft Board'!$J$3:$J$232,Q26)="","Available",INDEX('Draft Board'!$J$3:$J$232,Q26))</f>
        <v>Available</v>
      </c>
      <c r="Z26">
        <f t="shared" si="10"/>
        <v>163</v>
      </c>
    </row>
    <row r="27" spans="1:26" x14ac:dyDescent="0.25">
      <c r="A27" t="str">
        <f>'LIVE SOURCE'!A27</f>
        <v>QB</v>
      </c>
      <c r="B27" t="str">
        <f>'LIVE SOURCE'!B27</f>
        <v>Bryce Young</v>
      </c>
      <c r="C27" s="4">
        <f>'LIVE SOURCE'!D27</f>
        <v>72.797600000000003</v>
      </c>
      <c r="D27" s="4">
        <f>'Manual Adjustments'!G27</f>
        <v>0</v>
      </c>
      <c r="E27" s="4">
        <f t="shared" si="0"/>
        <v>72.797600000000003</v>
      </c>
      <c r="F27">
        <f>COUNTIFS($A$3:$A$232,A27,$E$3:$E$232,"&gt;"&amp;E27)+COUNTIFS($A$3:A27,A27,$E$3:E27,E27)</f>
        <v>25</v>
      </c>
      <c r="G27" s="4">
        <f>ROUND(INDEX('League Config'!$K$4:$K$9,MATCH(A27,'League Config'!$E$4:$E$9,0))*E27+INDEX('League Config'!$L$4:$L$9,MATCH(A27,'League Config'!$E$4:$E$9,0)),1)</f>
        <v>297.60000000000002</v>
      </c>
      <c r="H27">
        <f>INDEX('League Config'!$H$4:$H$9,MATCH(A27,'League Config'!$E$4:$E$9,0))</f>
        <v>13</v>
      </c>
      <c r="I27" s="4">
        <f>INDEX('League Config'!$I$4:$I$9,MATCH(A27,'League Config'!$E$4:$E$9,0))</f>
        <v>351.1</v>
      </c>
      <c r="J27" s="4">
        <f t="shared" si="1"/>
        <v>-53.5</v>
      </c>
      <c r="K27" s="4">
        <f t="shared" si="2"/>
        <v>17.899999999999999</v>
      </c>
      <c r="L27" s="4">
        <f>MIN(100,MAX(0,(1-(F27-1)/(H27*1.5))*100*INDEX('League Config'!$J$4:$J$9,MATCH(A27,'League Config'!$E$4:$E$9,0))))</f>
        <v>0</v>
      </c>
      <c r="M27">
        <f>IF(A27="K",'League Config'!$B$14,IF(A27="DST",'League Config'!$B$15,IF(A27="QB",'League Config'!$B$16,0)))</f>
        <v>3</v>
      </c>
      <c r="N27" s="4">
        <f t="shared" si="3"/>
        <v>42.408680000000004</v>
      </c>
      <c r="O27" s="9">
        <f t="shared" si="4"/>
        <v>42.408680000000004</v>
      </c>
      <c r="P27" s="6">
        <f>IF(O27="","",COUNTIF($O$3:$O$232,"&gt;"&amp;O27)+COUNTIF($O$3:O27,O27))</f>
        <v>150</v>
      </c>
      <c r="Q27">
        <f t="shared" si="5"/>
        <v>170</v>
      </c>
      <c r="R27" s="4">
        <f>'LIVE SOURCE'!E27</f>
        <v>174.2</v>
      </c>
      <c r="S27" s="4">
        <f t="shared" si="6"/>
        <v>4.1999999999999886</v>
      </c>
      <c r="T27" t="str">
        <f>'LIVE SOURCE'!F27</f>
        <v>A</v>
      </c>
      <c r="U27" s="4">
        <f t="shared" si="7"/>
        <v>66.797600000000003</v>
      </c>
      <c r="V27" s="4">
        <f t="shared" si="8"/>
        <v>72.797600000000003</v>
      </c>
      <c r="W27" s="4">
        <f t="shared" si="9"/>
        <v>78.797600000000003</v>
      </c>
      <c r="X27" t="str">
        <f>'LIVE SOURCE'!G27</f>
        <v>RATE-ADJUSTED VETERAN</v>
      </c>
      <c r="Y27" t="str">
        <f>IF(INDEX('Draft Board'!$J$3:$J$232,Q27)="","Available",INDEX('Draft Board'!$J$3:$J$232,Q27))</f>
        <v>Available</v>
      </c>
      <c r="Z27">
        <f t="shared" si="10"/>
        <v>170</v>
      </c>
    </row>
    <row r="28" spans="1:26" x14ac:dyDescent="0.25">
      <c r="A28" t="str">
        <f>'LIVE SOURCE'!A28</f>
        <v>QB</v>
      </c>
      <c r="B28" t="str">
        <f>'LIVE SOURCE'!B28</f>
        <v>Cam Ward</v>
      </c>
      <c r="C28" s="4">
        <f>'LIVE SOURCE'!D28</f>
        <v>72.664599999999993</v>
      </c>
      <c r="D28" s="4">
        <f>'Manual Adjustments'!G28</f>
        <v>0</v>
      </c>
      <c r="E28" s="4">
        <f t="shared" si="0"/>
        <v>72.664599999999993</v>
      </c>
      <c r="F28">
        <f>COUNTIFS($A$3:$A$232,A28,$E$3:$E$232,"&gt;"&amp;E28)+COUNTIFS($A$3:A28,A28,$E$3:E28,E28)</f>
        <v>26</v>
      </c>
      <c r="G28" s="4">
        <f>ROUND(INDEX('League Config'!$K$4:$K$9,MATCH(A28,'League Config'!$E$4:$E$9,0))*E28+INDEX('League Config'!$L$4:$L$9,MATCH(A28,'League Config'!$E$4:$E$9,0)),1)</f>
        <v>297</v>
      </c>
      <c r="H28">
        <f>INDEX('League Config'!$H$4:$H$9,MATCH(A28,'League Config'!$E$4:$E$9,0))</f>
        <v>13</v>
      </c>
      <c r="I28" s="4">
        <f>INDEX('League Config'!$I$4:$I$9,MATCH(A28,'League Config'!$E$4:$E$9,0))</f>
        <v>351.1</v>
      </c>
      <c r="J28" s="4">
        <f t="shared" si="1"/>
        <v>-54.1</v>
      </c>
      <c r="K28" s="4">
        <f t="shared" si="2"/>
        <v>17.54</v>
      </c>
      <c r="L28" s="4">
        <f>MIN(100,MAX(0,(1-(F28-1)/(H28*1.5))*100*INDEX('League Config'!$J$4:$J$9,MATCH(A28,'League Config'!$E$4:$E$9,0))))</f>
        <v>0</v>
      </c>
      <c r="M28">
        <f>IF(A28="K",'League Config'!$B$14,IF(A28="DST",'League Config'!$B$15,IF(A28="QB",'League Config'!$B$16,0)))</f>
        <v>3</v>
      </c>
      <c r="N28" s="4">
        <f t="shared" si="3"/>
        <v>42.227530000000002</v>
      </c>
      <c r="O28" s="9">
        <f t="shared" si="4"/>
        <v>42.227530000000002</v>
      </c>
      <c r="P28" s="6">
        <f>IF(O28="","",COUNTIF($O$3:$O$232,"&gt;"&amp;O28)+COUNTIF($O$3:O28,O28))</f>
        <v>152</v>
      </c>
      <c r="Q28">
        <f t="shared" si="5"/>
        <v>172</v>
      </c>
      <c r="R28" s="4">
        <f>'LIVE SOURCE'!E28</f>
        <v>175.6</v>
      </c>
      <c r="S28" s="4">
        <f t="shared" si="6"/>
        <v>3.5999999999999943</v>
      </c>
      <c r="T28" t="str">
        <f>'LIVE SOURCE'!F28</f>
        <v>A</v>
      </c>
      <c r="U28" s="4">
        <f t="shared" si="7"/>
        <v>66.664599999999993</v>
      </c>
      <c r="V28" s="4">
        <f t="shared" si="8"/>
        <v>72.664599999999993</v>
      </c>
      <c r="W28" s="4">
        <f t="shared" si="9"/>
        <v>78.664599999999993</v>
      </c>
      <c r="X28" t="str">
        <f>'LIVE SOURCE'!G28</f>
        <v>RATE-ADJUSTED VETERAN</v>
      </c>
      <c r="Y28" t="str">
        <f>IF(INDEX('Draft Board'!$J$3:$J$232,Q28)="","Available",INDEX('Draft Board'!$J$3:$J$232,Q28))</f>
        <v>Available</v>
      </c>
      <c r="Z28">
        <f t="shared" si="10"/>
        <v>172</v>
      </c>
    </row>
    <row r="29" spans="1:26" x14ac:dyDescent="0.25">
      <c r="A29" t="str">
        <f>'LIVE SOURCE'!A29</f>
        <v>QB</v>
      </c>
      <c r="B29" t="str">
        <f>'LIVE SOURCE'!B29</f>
        <v>Jacoby Brissett</v>
      </c>
      <c r="C29" s="4">
        <f>'LIVE SOURCE'!D29</f>
        <v>71.333399999999997</v>
      </c>
      <c r="D29" s="4">
        <f>'Manual Adjustments'!G29</f>
        <v>0</v>
      </c>
      <c r="E29" s="4">
        <f t="shared" si="0"/>
        <v>71.333399999999997</v>
      </c>
      <c r="F29">
        <f>COUNTIFS($A$3:$A$232,A29,$E$3:$E$232,"&gt;"&amp;E29)+COUNTIFS($A$3:A29,A29,$E$3:E29,E29)</f>
        <v>27</v>
      </c>
      <c r="G29" s="4">
        <f>ROUND(INDEX('League Config'!$K$4:$K$9,MATCH(A29,'League Config'!$E$4:$E$9,0))*E29+INDEX('League Config'!$L$4:$L$9,MATCH(A29,'League Config'!$E$4:$E$9,0)),1)</f>
        <v>291</v>
      </c>
      <c r="H29">
        <f>INDEX('League Config'!$H$4:$H$9,MATCH(A29,'League Config'!$E$4:$E$9,0))</f>
        <v>13</v>
      </c>
      <c r="I29" s="4">
        <f>INDEX('League Config'!$I$4:$I$9,MATCH(A29,'League Config'!$E$4:$E$9,0))</f>
        <v>351.1</v>
      </c>
      <c r="J29" s="4">
        <f t="shared" si="1"/>
        <v>-60.1</v>
      </c>
      <c r="K29" s="4">
        <f t="shared" si="2"/>
        <v>13.939999999999998</v>
      </c>
      <c r="L29" s="4">
        <f>MIN(100,MAX(0,(1-(F29-1)/(H29*1.5))*100*INDEX('League Config'!$J$4:$J$9,MATCH(A29,'League Config'!$E$4:$E$9,0))))</f>
        <v>0</v>
      </c>
      <c r="M29">
        <f>IF(A29="K",'League Config'!$B$14,IF(A29="DST",'League Config'!$B$15,IF(A29="QB",'League Config'!$B$16,0)))</f>
        <v>3</v>
      </c>
      <c r="N29" s="4">
        <f t="shared" si="3"/>
        <v>40.415370000000003</v>
      </c>
      <c r="O29" s="9">
        <f t="shared" si="4"/>
        <v>40.415370000000003</v>
      </c>
      <c r="P29" s="6">
        <f>IF(O29="","",COUNTIF($O$3:$O$232,"&gt;"&amp;O29)+COUNTIF($O$3:O29,O29))</f>
        <v>160</v>
      </c>
      <c r="Q29">
        <f t="shared" si="5"/>
        <v>180</v>
      </c>
      <c r="R29" s="4">
        <f>'LIVE SOURCE'!E29</f>
        <v>167.4</v>
      </c>
      <c r="S29" s="4">
        <f t="shared" si="6"/>
        <v>-12.599999999999994</v>
      </c>
      <c r="T29" t="str">
        <f>'LIVE SOURCE'!F29</f>
        <v>A</v>
      </c>
      <c r="U29" s="4">
        <f t="shared" si="7"/>
        <v>65.333399999999997</v>
      </c>
      <c r="V29" s="4">
        <f t="shared" si="8"/>
        <v>71.333399999999997</v>
      </c>
      <c r="W29" s="4">
        <f t="shared" si="9"/>
        <v>77.333399999999997</v>
      </c>
      <c r="X29" t="str">
        <f>'LIVE SOURCE'!G29</f>
        <v>RATE-ADJUSTED VETERAN</v>
      </c>
      <c r="Y29" t="str">
        <f>IF(INDEX('Draft Board'!$J$3:$J$232,Q29)="","Available",INDEX('Draft Board'!$J$3:$J$232,Q29))</f>
        <v>Available</v>
      </c>
      <c r="Z29">
        <f t="shared" si="10"/>
        <v>180</v>
      </c>
    </row>
    <row r="30" spans="1:26" x14ac:dyDescent="0.25">
      <c r="A30" t="str">
        <f>'LIVE SOURCE'!A30</f>
        <v>QB</v>
      </c>
      <c r="B30" t="str">
        <f>'LIVE SOURCE'!B30</f>
        <v>Geno Smith</v>
      </c>
      <c r="C30" s="4">
        <f>'LIVE SOURCE'!D30</f>
        <v>71.098600000000005</v>
      </c>
      <c r="D30" s="4">
        <f>'Manual Adjustments'!G30</f>
        <v>0</v>
      </c>
      <c r="E30" s="4">
        <f t="shared" si="0"/>
        <v>71.098600000000005</v>
      </c>
      <c r="F30">
        <f>COUNTIFS($A$3:$A$232,A30,$E$3:$E$232,"&gt;"&amp;E30)+COUNTIFS($A$3:A30,A30,$E$3:E30,E30)</f>
        <v>28</v>
      </c>
      <c r="G30" s="4">
        <f>ROUND(INDEX('League Config'!$K$4:$K$9,MATCH(A30,'League Config'!$E$4:$E$9,0))*E30+INDEX('League Config'!$L$4:$L$9,MATCH(A30,'League Config'!$E$4:$E$9,0)),1)</f>
        <v>289.89999999999998</v>
      </c>
      <c r="H30">
        <f>INDEX('League Config'!$H$4:$H$9,MATCH(A30,'League Config'!$E$4:$E$9,0))</f>
        <v>13</v>
      </c>
      <c r="I30" s="4">
        <f>INDEX('League Config'!$I$4:$I$9,MATCH(A30,'League Config'!$E$4:$E$9,0))</f>
        <v>351.1</v>
      </c>
      <c r="J30" s="4">
        <f t="shared" si="1"/>
        <v>-61.2</v>
      </c>
      <c r="K30" s="4">
        <f t="shared" si="2"/>
        <v>13.280000000000001</v>
      </c>
      <c r="L30" s="4">
        <f>MIN(100,MAX(0,(1-(F30-1)/(H30*1.5))*100*INDEX('League Config'!$J$4:$J$9,MATCH(A30,'League Config'!$E$4:$E$9,0))))</f>
        <v>0</v>
      </c>
      <c r="M30">
        <f>IF(A30="K",'League Config'!$B$14,IF(A30="DST",'League Config'!$B$15,IF(A30="QB",'League Config'!$B$16,0)))</f>
        <v>3</v>
      </c>
      <c r="N30" s="4">
        <f t="shared" si="3"/>
        <v>40.08823000000001</v>
      </c>
      <c r="O30" s="9">
        <f t="shared" si="4"/>
        <v>40.08823000000001</v>
      </c>
      <c r="P30" s="6">
        <f>IF(O30="","",COUNTIF($O$3:$O$232,"&gt;"&amp;O30)+COUNTIF($O$3:O30,O30))</f>
        <v>161</v>
      </c>
      <c r="Q30">
        <f t="shared" si="5"/>
        <v>181</v>
      </c>
      <c r="R30" s="4">
        <f>'LIVE SOURCE'!E30</f>
        <v>238</v>
      </c>
      <c r="S30" s="4">
        <f t="shared" si="6"/>
        <v>57</v>
      </c>
      <c r="T30" t="str">
        <f>'LIVE SOURCE'!F30</f>
        <v>A</v>
      </c>
      <c r="U30" s="4">
        <f t="shared" si="7"/>
        <v>65.098600000000005</v>
      </c>
      <c r="V30" s="4">
        <f t="shared" si="8"/>
        <v>71.098600000000005</v>
      </c>
      <c r="W30" s="4">
        <f t="shared" si="9"/>
        <v>77.098600000000005</v>
      </c>
      <c r="X30" t="str">
        <f>'LIVE SOURCE'!G30</f>
        <v>RATE-ADJUSTED VETERAN</v>
      </c>
      <c r="Y30" t="str">
        <f>IF(INDEX('Draft Board'!$J$3:$J$232,Q30)="","Available",INDEX('Draft Board'!$J$3:$J$232,Q30))</f>
        <v>Available</v>
      </c>
      <c r="Z30">
        <f t="shared" si="10"/>
        <v>181</v>
      </c>
    </row>
    <row r="31" spans="1:26" x14ac:dyDescent="0.25">
      <c r="A31" t="str">
        <f>'LIVE SOURCE'!A31</f>
        <v>QB</v>
      </c>
      <c r="B31" t="str">
        <f>'LIVE SOURCE'!B31</f>
        <v>Aaron Rodgers</v>
      </c>
      <c r="C31" s="4">
        <f>'LIVE SOURCE'!D31</f>
        <v>70.884799999999998</v>
      </c>
      <c r="D31" s="4">
        <f>'Manual Adjustments'!G31</f>
        <v>0</v>
      </c>
      <c r="E31" s="4">
        <f t="shared" si="0"/>
        <v>70.884799999999998</v>
      </c>
      <c r="F31">
        <f>COUNTIFS($A$3:$A$232,A31,$E$3:$E$232,"&gt;"&amp;E31)+COUNTIFS($A$3:A31,A31,$E$3:E31,E31)</f>
        <v>29</v>
      </c>
      <c r="G31" s="4">
        <f>ROUND(INDEX('League Config'!$K$4:$K$9,MATCH(A31,'League Config'!$E$4:$E$9,0))*E31+INDEX('League Config'!$L$4:$L$9,MATCH(A31,'League Config'!$E$4:$E$9,0)),1)</f>
        <v>289</v>
      </c>
      <c r="H31">
        <f>INDEX('League Config'!$H$4:$H$9,MATCH(A31,'League Config'!$E$4:$E$9,0))</f>
        <v>13</v>
      </c>
      <c r="I31" s="4">
        <f>INDEX('League Config'!$I$4:$I$9,MATCH(A31,'League Config'!$E$4:$E$9,0))</f>
        <v>351.1</v>
      </c>
      <c r="J31" s="4">
        <f t="shared" si="1"/>
        <v>-62.1</v>
      </c>
      <c r="K31" s="4">
        <f t="shared" si="2"/>
        <v>12.740000000000002</v>
      </c>
      <c r="L31" s="4">
        <f>MIN(100,MAX(0,(1-(F31-1)/(H31*1.5))*100*INDEX('League Config'!$J$4:$J$9,MATCH(A31,'League Config'!$E$4:$E$9,0))))</f>
        <v>0</v>
      </c>
      <c r="M31">
        <f>IF(A31="K",'League Config'!$B$14,IF(A31="DST",'League Config'!$B$15,IF(A31="QB",'League Config'!$B$16,0)))</f>
        <v>3</v>
      </c>
      <c r="N31" s="4">
        <f t="shared" si="3"/>
        <v>39.808640000000004</v>
      </c>
      <c r="O31" s="9">
        <f t="shared" si="4"/>
        <v>39.808640000000004</v>
      </c>
      <c r="P31" s="6">
        <f>IF(O31="","",COUNTIF($O$3:$O$232,"&gt;"&amp;O31)+COUNTIF($O$3:O31,O31))</f>
        <v>162</v>
      </c>
      <c r="Q31">
        <f t="shared" si="5"/>
        <v>182</v>
      </c>
      <c r="R31" s="4">
        <f>'LIVE SOURCE'!E31</f>
        <v>168.1</v>
      </c>
      <c r="S31" s="4">
        <f t="shared" si="6"/>
        <v>-13.900000000000006</v>
      </c>
      <c r="T31" t="str">
        <f>'LIVE SOURCE'!F31</f>
        <v>A</v>
      </c>
      <c r="U31" s="4">
        <f t="shared" si="7"/>
        <v>64.884799999999998</v>
      </c>
      <c r="V31" s="4">
        <f t="shared" si="8"/>
        <v>70.884799999999998</v>
      </c>
      <c r="W31" s="4">
        <f t="shared" si="9"/>
        <v>76.884799999999998</v>
      </c>
      <c r="X31" t="str">
        <f>'LIVE SOURCE'!G31</f>
        <v>RATE-ADJUSTED VETERAN</v>
      </c>
      <c r="Y31" t="str">
        <f>IF(INDEX('Draft Board'!$J$3:$J$232,Q31)="","Available",INDEX('Draft Board'!$J$3:$J$232,Q31))</f>
        <v>Available</v>
      </c>
      <c r="Z31">
        <f t="shared" si="10"/>
        <v>182</v>
      </c>
    </row>
    <row r="32" spans="1:26" x14ac:dyDescent="0.25">
      <c r="A32" t="str">
        <f>'LIVE SOURCE'!A32</f>
        <v>QB</v>
      </c>
      <c r="B32" t="str">
        <f>'LIVE SOURCE'!B32</f>
        <v>Tua Tagovailoa</v>
      </c>
      <c r="C32" s="4">
        <f>'LIVE SOURCE'!D32</f>
        <v>67.851200000000006</v>
      </c>
      <c r="D32" s="4">
        <f>'Manual Adjustments'!G32</f>
        <v>0</v>
      </c>
      <c r="E32" s="4">
        <f t="shared" si="0"/>
        <v>67.851200000000006</v>
      </c>
      <c r="F32">
        <f>COUNTIFS($A$3:$A$232,A32,$E$3:$E$232,"&gt;"&amp;E32)+COUNTIFS($A$3:A32,A32,$E$3:E32,E32)</f>
        <v>30</v>
      </c>
      <c r="G32" s="4">
        <f>ROUND(INDEX('League Config'!$K$4:$K$9,MATCH(A32,'League Config'!$E$4:$E$9,0))*E32+INDEX('League Config'!$L$4:$L$9,MATCH(A32,'League Config'!$E$4:$E$9,0)),1)</f>
        <v>275.3</v>
      </c>
      <c r="H32">
        <f>INDEX('League Config'!$H$4:$H$9,MATCH(A32,'League Config'!$E$4:$E$9,0))</f>
        <v>13</v>
      </c>
      <c r="I32" s="4">
        <f>INDEX('League Config'!$I$4:$I$9,MATCH(A32,'League Config'!$E$4:$E$9,0))</f>
        <v>351.1</v>
      </c>
      <c r="J32" s="4">
        <f t="shared" si="1"/>
        <v>-75.8</v>
      </c>
      <c r="K32" s="4">
        <f t="shared" si="2"/>
        <v>4.5200000000000031</v>
      </c>
      <c r="L32" s="4">
        <f>MIN(100,MAX(0,(1-(F32-1)/(H32*1.5))*100*INDEX('League Config'!$J$4:$J$9,MATCH(A32,'League Config'!$E$4:$E$9,0))))</f>
        <v>0</v>
      </c>
      <c r="M32">
        <f>IF(A32="K",'League Config'!$B$14,IF(A32="DST",'League Config'!$B$15,IF(A32="QB",'League Config'!$B$16,0)))</f>
        <v>3</v>
      </c>
      <c r="N32" s="4">
        <f t="shared" si="3"/>
        <v>35.674160000000008</v>
      </c>
      <c r="O32" s="9">
        <f t="shared" si="4"/>
        <v>35.674160000000008</v>
      </c>
      <c r="P32" s="6">
        <f>IF(O32="","",COUNTIF($O$3:$O$232,"&gt;"&amp;O32)+COUNTIF($O$3:O32,O32))</f>
        <v>172</v>
      </c>
      <c r="Q32">
        <f t="shared" si="5"/>
        <v>192</v>
      </c>
      <c r="R32" s="4">
        <f>'LIVE SOURCE'!E32</f>
        <v>254</v>
      </c>
      <c r="S32" s="4">
        <f t="shared" si="6"/>
        <v>62</v>
      </c>
      <c r="T32" t="str">
        <f>'LIVE SOURCE'!F32</f>
        <v>A</v>
      </c>
      <c r="U32" s="4">
        <f t="shared" si="7"/>
        <v>61.851200000000006</v>
      </c>
      <c r="V32" s="4">
        <f t="shared" si="8"/>
        <v>67.851200000000006</v>
      </c>
      <c r="W32" s="4">
        <f t="shared" si="9"/>
        <v>73.851200000000006</v>
      </c>
      <c r="X32" t="str">
        <f>'LIVE SOURCE'!G32</f>
        <v>RATE-ADJUSTED VETERAN</v>
      </c>
      <c r="Y32" t="str">
        <f>IF(INDEX('Draft Board'!$J$3:$J$232,Q32)="","Available",INDEX('Draft Board'!$J$3:$J$232,Q32))</f>
        <v>Available</v>
      </c>
      <c r="Z32">
        <f t="shared" si="10"/>
        <v>192</v>
      </c>
    </row>
    <row r="33" spans="1:26" x14ac:dyDescent="0.25">
      <c r="A33" t="str">
        <f>'LIVE SOURCE'!A33</f>
        <v>QB</v>
      </c>
      <c r="B33" t="str">
        <f>'LIVE SOURCE'!B33</f>
        <v>Kirk Cousins</v>
      </c>
      <c r="C33" s="4">
        <f>'LIVE SOURCE'!D33</f>
        <v>65.792900000000003</v>
      </c>
      <c r="D33" s="4">
        <f>'Manual Adjustments'!G33</f>
        <v>0</v>
      </c>
      <c r="E33" s="4">
        <f t="shared" si="0"/>
        <v>65.792900000000003</v>
      </c>
      <c r="F33">
        <f>COUNTIFS($A$3:$A$232,A33,$E$3:$E$232,"&gt;"&amp;E33)+COUNTIFS($A$3:A33,A33,$E$3:E33,E33)</f>
        <v>31</v>
      </c>
      <c r="G33" s="4">
        <f>ROUND(INDEX('League Config'!$K$4:$K$9,MATCH(A33,'League Config'!$E$4:$E$9,0))*E33+INDEX('League Config'!$L$4:$L$9,MATCH(A33,'League Config'!$E$4:$E$9,0)),1)</f>
        <v>266.10000000000002</v>
      </c>
      <c r="H33">
        <f>INDEX('League Config'!$H$4:$H$9,MATCH(A33,'League Config'!$E$4:$E$9,0))</f>
        <v>13</v>
      </c>
      <c r="I33" s="4">
        <f>INDEX('League Config'!$I$4:$I$9,MATCH(A33,'League Config'!$E$4:$E$9,0))</f>
        <v>351.1</v>
      </c>
      <c r="J33" s="4">
        <f t="shared" si="1"/>
        <v>-85</v>
      </c>
      <c r="K33" s="4">
        <f t="shared" si="2"/>
        <v>0</v>
      </c>
      <c r="L33" s="4">
        <f>MIN(100,MAX(0,(1-(F33-1)/(H33*1.5))*100*INDEX('League Config'!$J$4:$J$9,MATCH(A33,'League Config'!$E$4:$E$9,0))))</f>
        <v>0</v>
      </c>
      <c r="M33">
        <f>IF(A33="K",'League Config'!$B$14,IF(A33="DST",'League Config'!$B$15,IF(A33="QB",'League Config'!$B$16,0)))</f>
        <v>3</v>
      </c>
      <c r="N33" s="4">
        <f t="shared" si="3"/>
        <v>33.186095000000002</v>
      </c>
      <c r="O33" s="9">
        <f t="shared" si="4"/>
        <v>33.186095000000002</v>
      </c>
      <c r="P33" s="6">
        <f>IF(O33="","",COUNTIF($O$3:$O$232,"&gt;"&amp;O33)+COUNTIF($O$3:O33,O33))</f>
        <v>176</v>
      </c>
      <c r="Q33">
        <f t="shared" si="5"/>
        <v>196</v>
      </c>
      <c r="R33" s="4">
        <f>'LIVE SOURCE'!E33</f>
        <v>262</v>
      </c>
      <c r="S33" s="4">
        <f t="shared" si="6"/>
        <v>66</v>
      </c>
      <c r="T33" t="str">
        <f>'LIVE SOURCE'!F33</f>
        <v>B</v>
      </c>
      <c r="U33" s="4">
        <f t="shared" si="7"/>
        <v>56.792900000000003</v>
      </c>
      <c r="V33" s="4">
        <f t="shared" si="8"/>
        <v>65.792900000000003</v>
      </c>
      <c r="W33" s="4">
        <f t="shared" si="9"/>
        <v>74.792900000000003</v>
      </c>
      <c r="X33" t="str">
        <f>'LIVE SOURCE'!G33</f>
        <v>RATE-ADJUSTED VETERAN</v>
      </c>
      <c r="Y33" t="str">
        <f>IF(INDEX('Draft Board'!$J$3:$J$232,Q33)="","Available",INDEX('Draft Board'!$J$3:$J$232,Q33))</f>
        <v>Available</v>
      </c>
      <c r="Z33">
        <f t="shared" si="10"/>
        <v>196</v>
      </c>
    </row>
    <row r="34" spans="1:26" x14ac:dyDescent="0.25">
      <c r="A34" t="str">
        <f>'LIVE SOURCE'!A34</f>
        <v>QB</v>
      </c>
      <c r="B34" t="str">
        <f>'LIVE SOURCE'!B34</f>
        <v>Deshaun Watson</v>
      </c>
      <c r="C34" s="4">
        <f>'LIVE SOURCE'!D34</f>
        <v>60.25</v>
      </c>
      <c r="D34" s="4">
        <f>'Manual Adjustments'!G34</f>
        <v>0</v>
      </c>
      <c r="E34" s="4">
        <f t="shared" si="0"/>
        <v>60.25</v>
      </c>
      <c r="F34">
        <f>COUNTIFS($A$3:$A$232,A34,$E$3:$E$232,"&gt;"&amp;E34)+COUNTIFS($A$3:A34,A34,$E$3:E34,E34)</f>
        <v>32</v>
      </c>
      <c r="G34" s="4">
        <f>ROUND(INDEX('League Config'!$K$4:$K$9,MATCH(A34,'League Config'!$E$4:$E$9,0))*E34+INDEX('League Config'!$L$4:$L$9,MATCH(A34,'League Config'!$E$4:$E$9,0)),1)</f>
        <v>241.1</v>
      </c>
      <c r="H34">
        <f>INDEX('League Config'!$H$4:$H$9,MATCH(A34,'League Config'!$E$4:$E$9,0))</f>
        <v>13</v>
      </c>
      <c r="I34" s="4">
        <f>INDEX('League Config'!$I$4:$I$9,MATCH(A34,'League Config'!$E$4:$E$9,0))</f>
        <v>351.1</v>
      </c>
      <c r="J34" s="4">
        <f t="shared" si="1"/>
        <v>-110</v>
      </c>
      <c r="K34" s="4">
        <f t="shared" si="2"/>
        <v>0</v>
      </c>
      <c r="L34" s="4">
        <f>MIN(100,MAX(0,(1-(F34-1)/(H34*1.5))*100*INDEX('League Config'!$J$4:$J$9,MATCH(A34,'League Config'!$E$4:$E$9,0))))</f>
        <v>0</v>
      </c>
      <c r="M34">
        <f>IF(A34="K",'League Config'!$B$14,IF(A34="DST",'League Config'!$B$15,IF(A34="QB",'League Config'!$B$16,0)))</f>
        <v>3</v>
      </c>
      <c r="N34" s="4">
        <f t="shared" si="3"/>
        <v>30.137500000000003</v>
      </c>
      <c r="O34" s="9">
        <f t="shared" si="4"/>
        <v>30.137500000000003</v>
      </c>
      <c r="P34" s="6">
        <f>IF(O34="","",COUNTIF($O$3:$O$232,"&gt;"&amp;O34)+COUNTIF($O$3:O34,O34))</f>
        <v>181</v>
      </c>
      <c r="Q34">
        <f t="shared" si="5"/>
        <v>201</v>
      </c>
      <c r="R34" s="4">
        <f>'LIVE SOURCE'!E34</f>
        <v>270</v>
      </c>
      <c r="S34" s="4">
        <f t="shared" si="6"/>
        <v>69</v>
      </c>
      <c r="T34" t="str">
        <f>'LIVE SOURCE'!F34</f>
        <v>C</v>
      </c>
      <c r="U34" s="4">
        <f t="shared" si="7"/>
        <v>48.25</v>
      </c>
      <c r="V34" s="4">
        <f t="shared" si="8"/>
        <v>60.25</v>
      </c>
      <c r="W34" s="4">
        <f t="shared" si="9"/>
        <v>72.25</v>
      </c>
      <c r="X34" t="str">
        <f>'LIVE SOURCE'!G34</f>
        <v>HISTORY FALLBACK</v>
      </c>
      <c r="Y34" t="str">
        <f>IF(INDEX('Draft Board'!$J$3:$J$232,Q34)="","Available",INDEX('Draft Board'!$J$3:$J$232,Q34))</f>
        <v>Available</v>
      </c>
      <c r="Z34">
        <f t="shared" si="10"/>
        <v>201</v>
      </c>
    </row>
    <row r="35" spans="1:26" x14ac:dyDescent="0.25">
      <c r="A35" t="str">
        <f>'LIVE SOURCE'!A35</f>
        <v>RB</v>
      </c>
      <c r="B35" t="str">
        <f>'LIVE SOURCE'!B35</f>
        <v>Bijan Robinson</v>
      </c>
      <c r="C35" s="4">
        <f>'LIVE SOURCE'!D35</f>
        <v>97.3673</v>
      </c>
      <c r="D35" s="4">
        <f>'Manual Adjustments'!G35</f>
        <v>0</v>
      </c>
      <c r="E35" s="4">
        <f t="shared" si="0"/>
        <v>97.3673</v>
      </c>
      <c r="F35">
        <f>COUNTIFS($A$3:$A$232,A35,$E$3:$E$232,"&gt;"&amp;E35)+COUNTIFS($A$3:A35,A35,$E$3:E35,E35)</f>
        <v>1</v>
      </c>
      <c r="G35" s="4">
        <f>ROUND(INDEX('League Config'!$K$4:$K$9,MATCH(A35,'League Config'!$E$4:$E$9,0))*E35+INDEX('League Config'!$L$4:$L$9,MATCH(A35,'League Config'!$E$4:$E$9,0)),1)</f>
        <v>338.9</v>
      </c>
      <c r="H35">
        <f>INDEX('League Config'!$H$4:$H$9,MATCH(A35,'League Config'!$E$4:$E$9,0))</f>
        <v>32</v>
      </c>
      <c r="I35" s="4">
        <f>INDEX('League Config'!$I$4:$I$9,MATCH(A35,'League Config'!$E$4:$E$9,0))</f>
        <v>239</v>
      </c>
      <c r="J35" s="4">
        <f t="shared" si="1"/>
        <v>99.9</v>
      </c>
      <c r="K35" s="4">
        <f t="shared" si="2"/>
        <v>100</v>
      </c>
      <c r="L35" s="4">
        <f>MIN(100,MAX(0,(1-(F35-1)/(H35*1.5))*100*INDEX('League Config'!$J$4:$J$9,MATCH(A35,'League Config'!$E$4:$E$9,0))))</f>
        <v>100</v>
      </c>
      <c r="M35">
        <f>IF(A35="K",'League Config'!$B$14,IF(A35="DST",'League Config'!$B$15,IF(A35="QB",'League Config'!$B$16,0)))</f>
        <v>0</v>
      </c>
      <c r="N35" s="4">
        <f t="shared" si="3"/>
        <v>98.552015000000011</v>
      </c>
      <c r="O35" s="9">
        <f t="shared" si="4"/>
        <v>98.552015000000011</v>
      </c>
      <c r="P35" s="6">
        <f>IF(O35="","",COUNTIF($O$3:$O$232,"&gt;"&amp;O35)+COUNTIF($O$3:O35,O35))</f>
        <v>2</v>
      </c>
      <c r="Q35">
        <f t="shared" si="5"/>
        <v>2</v>
      </c>
      <c r="R35" s="4">
        <f>'LIVE SOURCE'!E35</f>
        <v>1.8</v>
      </c>
      <c r="S35" s="4">
        <f t="shared" si="6"/>
        <v>-0.19999999999999996</v>
      </c>
      <c r="T35" t="str">
        <f>'LIVE SOURCE'!F35</f>
        <v>A</v>
      </c>
      <c r="U35" s="4">
        <f t="shared" si="7"/>
        <v>91.3673</v>
      </c>
      <c r="V35" s="4">
        <f t="shared" si="8"/>
        <v>97.3673</v>
      </c>
      <c r="W35" s="4">
        <f t="shared" si="9"/>
        <v>100</v>
      </c>
      <c r="X35" t="str">
        <f>'LIVE SOURCE'!G35</f>
        <v>RATE-ADJUSTED VETERAN</v>
      </c>
      <c r="Y35" t="str">
        <f>IF(INDEX('Draft Board'!$J$3:$J$232,Q35)="","Available",INDEX('Draft Board'!$J$3:$J$232,Q35))</f>
        <v>Available</v>
      </c>
      <c r="Z35">
        <f t="shared" si="10"/>
        <v>2</v>
      </c>
    </row>
    <row r="36" spans="1:26" x14ac:dyDescent="0.25">
      <c r="A36" t="str">
        <f>'LIVE SOURCE'!A36</f>
        <v>RB</v>
      </c>
      <c r="B36" t="str">
        <f>'LIVE SOURCE'!B36</f>
        <v>Jahmyr Gibbs</v>
      </c>
      <c r="C36" s="4">
        <f>'LIVE SOURCE'!D36</f>
        <v>96.332300000000004</v>
      </c>
      <c r="D36" s="4">
        <f>'Manual Adjustments'!G36</f>
        <v>0</v>
      </c>
      <c r="E36" s="4">
        <f t="shared" si="0"/>
        <v>96.332300000000004</v>
      </c>
      <c r="F36">
        <f>COUNTIFS($A$3:$A$232,A36,$E$3:$E$232,"&gt;"&amp;E36)+COUNTIFS($A$3:A36,A36,$E$3:E36,E36)</f>
        <v>2</v>
      </c>
      <c r="G36" s="4">
        <f>ROUND(INDEX('League Config'!$K$4:$K$9,MATCH(A36,'League Config'!$E$4:$E$9,0))*E36+INDEX('League Config'!$L$4:$L$9,MATCH(A36,'League Config'!$E$4:$E$9,0)),1)</f>
        <v>334.6</v>
      </c>
      <c r="H36">
        <f>INDEX('League Config'!$H$4:$H$9,MATCH(A36,'League Config'!$E$4:$E$9,0))</f>
        <v>32</v>
      </c>
      <c r="I36" s="4">
        <f>INDEX('League Config'!$I$4:$I$9,MATCH(A36,'League Config'!$E$4:$E$9,0))</f>
        <v>239</v>
      </c>
      <c r="J36" s="4">
        <f t="shared" si="1"/>
        <v>95.6</v>
      </c>
      <c r="K36" s="4">
        <f t="shared" si="2"/>
        <v>100</v>
      </c>
      <c r="L36" s="4">
        <f>MIN(100,MAX(0,(1-(F36-1)/(H36*1.5))*100*INDEX('League Config'!$J$4:$J$9,MATCH(A36,'League Config'!$E$4:$E$9,0))))</f>
        <v>100</v>
      </c>
      <c r="M36">
        <f>IF(A36="K",'League Config'!$B$14,IF(A36="DST",'League Config'!$B$15,IF(A36="QB",'League Config'!$B$16,0)))</f>
        <v>0</v>
      </c>
      <c r="N36" s="4">
        <f t="shared" si="3"/>
        <v>97.982765000000001</v>
      </c>
      <c r="O36" s="9">
        <f t="shared" si="4"/>
        <v>97.982765000000001</v>
      </c>
      <c r="P36" s="6">
        <f>IF(O36="","",COUNTIF($O$3:$O$232,"&gt;"&amp;O36)+COUNTIF($O$3:O36,O36))</f>
        <v>4</v>
      </c>
      <c r="Q36">
        <f t="shared" si="5"/>
        <v>4</v>
      </c>
      <c r="R36" s="4">
        <f>'LIVE SOURCE'!E36</f>
        <v>1.8</v>
      </c>
      <c r="S36" s="4">
        <f t="shared" si="6"/>
        <v>-2.2000000000000002</v>
      </c>
      <c r="T36" t="str">
        <f>'LIVE SOURCE'!F36</f>
        <v>A</v>
      </c>
      <c r="U36" s="4">
        <f t="shared" si="7"/>
        <v>90.332300000000004</v>
      </c>
      <c r="V36" s="4">
        <f t="shared" si="8"/>
        <v>96.332300000000004</v>
      </c>
      <c r="W36" s="4">
        <f t="shared" si="9"/>
        <v>100</v>
      </c>
      <c r="X36" t="str">
        <f>'LIVE SOURCE'!G36</f>
        <v>RATE-ADJUSTED VETERAN</v>
      </c>
      <c r="Y36" t="str">
        <f>IF(INDEX('Draft Board'!$J$3:$J$232,Q36)="","Available",INDEX('Draft Board'!$J$3:$J$232,Q36))</f>
        <v>Available</v>
      </c>
      <c r="Z36">
        <f t="shared" si="10"/>
        <v>4</v>
      </c>
    </row>
    <row r="37" spans="1:26" x14ac:dyDescent="0.25">
      <c r="A37" t="str">
        <f>'LIVE SOURCE'!A37</f>
        <v>RB</v>
      </c>
      <c r="B37" t="str">
        <f>'LIVE SOURCE'!B37</f>
        <v>Christian McCaffrey</v>
      </c>
      <c r="C37" s="4">
        <f>'LIVE SOURCE'!D37</f>
        <v>94.244699999999995</v>
      </c>
      <c r="D37" s="4">
        <f>'Manual Adjustments'!G37</f>
        <v>0</v>
      </c>
      <c r="E37" s="4">
        <f t="shared" si="0"/>
        <v>94.244699999999995</v>
      </c>
      <c r="F37">
        <f>COUNTIFS($A$3:$A$232,A37,$E$3:$E$232,"&gt;"&amp;E37)+COUNTIFS($A$3:A37,A37,$E$3:E37,E37)</f>
        <v>3</v>
      </c>
      <c r="G37" s="4">
        <f>ROUND(INDEX('League Config'!$K$4:$K$9,MATCH(A37,'League Config'!$E$4:$E$9,0))*E37+INDEX('League Config'!$L$4:$L$9,MATCH(A37,'League Config'!$E$4:$E$9,0)),1)</f>
        <v>325.8</v>
      </c>
      <c r="H37">
        <f>INDEX('League Config'!$H$4:$H$9,MATCH(A37,'League Config'!$E$4:$E$9,0))</f>
        <v>32</v>
      </c>
      <c r="I37" s="4">
        <f>INDEX('League Config'!$I$4:$I$9,MATCH(A37,'League Config'!$E$4:$E$9,0))</f>
        <v>239</v>
      </c>
      <c r="J37" s="4">
        <f t="shared" si="1"/>
        <v>86.8</v>
      </c>
      <c r="K37" s="4">
        <f t="shared" si="2"/>
        <v>100</v>
      </c>
      <c r="L37" s="4">
        <f>MIN(100,MAX(0,(1-(F37-1)/(H37*1.5))*100*INDEX('League Config'!$J$4:$J$9,MATCH(A37,'League Config'!$E$4:$E$9,0))))</f>
        <v>100</v>
      </c>
      <c r="M37">
        <f>IF(A37="K",'League Config'!$B$14,IF(A37="DST",'League Config'!$B$15,IF(A37="QB",'League Config'!$B$16,0)))</f>
        <v>0</v>
      </c>
      <c r="N37" s="4">
        <f t="shared" si="3"/>
        <v>96.834585000000004</v>
      </c>
      <c r="O37" s="9">
        <f t="shared" si="4"/>
        <v>96.834585000000004</v>
      </c>
      <c r="P37" s="6">
        <f>IF(O37="","",COUNTIF($O$3:$O$232,"&gt;"&amp;O37)+COUNTIF($O$3:O37,O37))</f>
        <v>5</v>
      </c>
      <c r="Q37">
        <f t="shared" si="5"/>
        <v>5</v>
      </c>
      <c r="R37" s="4">
        <f>'LIVE SOURCE'!E37</f>
        <v>5.8</v>
      </c>
      <c r="S37" s="4">
        <f t="shared" si="6"/>
        <v>0.79999999999999982</v>
      </c>
      <c r="T37" t="str">
        <f>'LIVE SOURCE'!F37</f>
        <v>A</v>
      </c>
      <c r="U37" s="4">
        <f t="shared" si="7"/>
        <v>88.244699999999995</v>
      </c>
      <c r="V37" s="4">
        <f t="shared" si="8"/>
        <v>94.244699999999995</v>
      </c>
      <c r="W37" s="4">
        <f t="shared" si="9"/>
        <v>100</v>
      </c>
      <c r="X37" t="str">
        <f>'LIVE SOURCE'!G37</f>
        <v>RATE-ADJUSTED VETERAN</v>
      </c>
      <c r="Y37" t="str">
        <f>IF(INDEX('Draft Board'!$J$3:$J$232,Q37)="","Available",INDEX('Draft Board'!$J$3:$J$232,Q37))</f>
        <v>Available</v>
      </c>
      <c r="Z37">
        <f t="shared" si="10"/>
        <v>5</v>
      </c>
    </row>
    <row r="38" spans="1:26" x14ac:dyDescent="0.25">
      <c r="A38" t="str">
        <f>'LIVE SOURCE'!A38</f>
        <v>RB</v>
      </c>
      <c r="B38" t="str">
        <f>'LIVE SOURCE'!B38</f>
        <v>Jonathan Taylor</v>
      </c>
      <c r="C38" s="4">
        <f>'LIVE SOURCE'!D38</f>
        <v>92.147000000000006</v>
      </c>
      <c r="D38" s="4">
        <f>'Manual Adjustments'!G38</f>
        <v>0</v>
      </c>
      <c r="E38" s="4">
        <f t="shared" si="0"/>
        <v>92.147000000000006</v>
      </c>
      <c r="F38">
        <f>COUNTIFS($A$3:$A$232,A38,$E$3:$E$232,"&gt;"&amp;E38)+COUNTIFS($A$3:A38,A38,$E$3:E38,E38)</f>
        <v>4</v>
      </c>
      <c r="G38" s="4">
        <f>ROUND(INDEX('League Config'!$K$4:$K$9,MATCH(A38,'League Config'!$E$4:$E$9,0))*E38+INDEX('League Config'!$L$4:$L$9,MATCH(A38,'League Config'!$E$4:$E$9,0)),1)</f>
        <v>317</v>
      </c>
      <c r="H38">
        <f>INDEX('League Config'!$H$4:$H$9,MATCH(A38,'League Config'!$E$4:$E$9,0))</f>
        <v>32</v>
      </c>
      <c r="I38" s="4">
        <f>INDEX('League Config'!$I$4:$I$9,MATCH(A38,'League Config'!$E$4:$E$9,0))</f>
        <v>239</v>
      </c>
      <c r="J38" s="4">
        <f t="shared" si="1"/>
        <v>78</v>
      </c>
      <c r="K38" s="4">
        <f t="shared" si="2"/>
        <v>96.8</v>
      </c>
      <c r="L38" s="4">
        <f>MIN(100,MAX(0,(1-(F38-1)/(H38*1.5))*100*INDEX('League Config'!$J$4:$J$9,MATCH(A38,'League Config'!$E$4:$E$9,0))))</f>
        <v>100</v>
      </c>
      <c r="M38">
        <f>IF(A38="K",'League Config'!$B$14,IF(A38="DST",'League Config'!$B$15,IF(A38="QB",'League Config'!$B$16,0)))</f>
        <v>0</v>
      </c>
      <c r="N38" s="4">
        <f t="shared" si="3"/>
        <v>94.720850000000013</v>
      </c>
      <c r="O38" s="9">
        <f t="shared" si="4"/>
        <v>94.720850000000013</v>
      </c>
      <c r="P38" s="6">
        <f>IF(O38="","",COUNTIF($O$3:$O$232,"&gt;"&amp;O38)+COUNTIF($O$3:O38,O38))</f>
        <v>8</v>
      </c>
      <c r="Q38">
        <f t="shared" si="5"/>
        <v>8</v>
      </c>
      <c r="R38" s="4">
        <f>'LIVE SOURCE'!E38</f>
        <v>7.4</v>
      </c>
      <c r="S38" s="4">
        <f t="shared" si="6"/>
        <v>-0.59999999999999964</v>
      </c>
      <c r="T38" t="str">
        <f>'LIVE SOURCE'!F38</f>
        <v>A</v>
      </c>
      <c r="U38" s="4">
        <f t="shared" si="7"/>
        <v>86.147000000000006</v>
      </c>
      <c r="V38" s="4">
        <f t="shared" si="8"/>
        <v>92.147000000000006</v>
      </c>
      <c r="W38" s="4">
        <f t="shared" si="9"/>
        <v>98.147000000000006</v>
      </c>
      <c r="X38" t="str">
        <f>'LIVE SOURCE'!G38</f>
        <v>RATE-ADJUSTED VETERAN</v>
      </c>
      <c r="Y38" t="str">
        <f>IF(INDEX('Draft Board'!$J$3:$J$232,Q38)="","Available",INDEX('Draft Board'!$J$3:$J$232,Q38))</f>
        <v>Available</v>
      </c>
      <c r="Z38">
        <f t="shared" si="10"/>
        <v>8</v>
      </c>
    </row>
    <row r="39" spans="1:26" x14ac:dyDescent="0.25">
      <c r="A39" t="str">
        <f>'LIVE SOURCE'!A39</f>
        <v>RB</v>
      </c>
      <c r="B39" t="str">
        <f>'LIVE SOURCE'!B39</f>
        <v>Jeremiyah Love</v>
      </c>
      <c r="C39" s="4">
        <f>'LIVE SOURCE'!D39</f>
        <v>90.865899999999996</v>
      </c>
      <c r="D39" s="4">
        <f>'Manual Adjustments'!G39</f>
        <v>0</v>
      </c>
      <c r="E39" s="4">
        <f t="shared" si="0"/>
        <v>90.865899999999996</v>
      </c>
      <c r="F39">
        <f>COUNTIFS($A$3:$A$232,A39,$E$3:$E$232,"&gt;"&amp;E39)+COUNTIFS($A$3:A39,A39,$E$3:E39,E39)</f>
        <v>5</v>
      </c>
      <c r="G39" s="4">
        <f>ROUND(INDEX('League Config'!$K$4:$K$9,MATCH(A39,'League Config'!$E$4:$E$9,0))*E39+INDEX('League Config'!$L$4:$L$9,MATCH(A39,'League Config'!$E$4:$E$9,0)),1)</f>
        <v>311.60000000000002</v>
      </c>
      <c r="H39">
        <f>INDEX('League Config'!$H$4:$H$9,MATCH(A39,'League Config'!$E$4:$E$9,0))</f>
        <v>32</v>
      </c>
      <c r="I39" s="4">
        <f>INDEX('League Config'!$I$4:$I$9,MATCH(A39,'League Config'!$E$4:$E$9,0))</f>
        <v>239</v>
      </c>
      <c r="J39" s="4">
        <f t="shared" si="1"/>
        <v>72.599999999999994</v>
      </c>
      <c r="K39" s="4">
        <f t="shared" si="2"/>
        <v>93.56</v>
      </c>
      <c r="L39" s="4">
        <f>MIN(100,MAX(0,(1-(F39-1)/(H39*1.5))*100*INDEX('League Config'!$J$4:$J$9,MATCH(A39,'League Config'!$E$4:$E$9,0))))</f>
        <v>100</v>
      </c>
      <c r="M39">
        <f>IF(A39="K",'League Config'!$B$14,IF(A39="DST",'League Config'!$B$15,IF(A39="QB",'League Config'!$B$16,0)))</f>
        <v>0</v>
      </c>
      <c r="N39" s="4">
        <f t="shared" si="3"/>
        <v>93.044245000000004</v>
      </c>
      <c r="O39" s="9">
        <f t="shared" si="4"/>
        <v>93.044245000000004</v>
      </c>
      <c r="P39" s="6">
        <f>IF(O39="","",COUNTIF($O$3:$O$232,"&gt;"&amp;O39)+COUNTIF($O$3:O39,O39))</f>
        <v>11</v>
      </c>
      <c r="Q39">
        <f t="shared" si="5"/>
        <v>11</v>
      </c>
      <c r="R39" s="4">
        <f>'LIVE SOURCE'!E39</f>
        <v>26.2</v>
      </c>
      <c r="S39" s="4">
        <f t="shared" si="6"/>
        <v>15.2</v>
      </c>
      <c r="T39" t="str">
        <f>'LIVE SOURCE'!F39</f>
        <v>B</v>
      </c>
      <c r="U39" s="4">
        <f t="shared" si="7"/>
        <v>81.865899999999996</v>
      </c>
      <c r="V39" s="4">
        <f t="shared" si="8"/>
        <v>90.865899999999996</v>
      </c>
      <c r="W39" s="4">
        <f t="shared" si="9"/>
        <v>99.865899999999996</v>
      </c>
      <c r="X39" t="str">
        <f>'LIVE SOURCE'!G39</f>
        <v>ROOKIE ENGINE</v>
      </c>
      <c r="Y39" t="str">
        <f>IF(INDEX('Draft Board'!$J$3:$J$232,Q39)="","Available",INDEX('Draft Board'!$J$3:$J$232,Q39))</f>
        <v>Available</v>
      </c>
      <c r="Z39">
        <f t="shared" si="10"/>
        <v>11</v>
      </c>
    </row>
    <row r="40" spans="1:26" x14ac:dyDescent="0.25">
      <c r="A40" t="str">
        <f>'LIVE SOURCE'!A40</f>
        <v>RB</v>
      </c>
      <c r="B40" t="str">
        <f>'LIVE SOURCE'!B40</f>
        <v>Omarion Hampton</v>
      </c>
      <c r="C40" s="4">
        <f>'LIVE SOURCE'!D40</f>
        <v>88.642099999999999</v>
      </c>
      <c r="D40" s="4">
        <f>'Manual Adjustments'!G40</f>
        <v>0</v>
      </c>
      <c r="E40" s="4">
        <f t="shared" si="0"/>
        <v>88.642099999999999</v>
      </c>
      <c r="F40">
        <f>COUNTIFS($A$3:$A$232,A40,$E$3:$E$232,"&gt;"&amp;E40)+COUNTIFS($A$3:A40,A40,$E$3:E40,E40)</f>
        <v>6</v>
      </c>
      <c r="G40" s="4">
        <f>ROUND(INDEX('League Config'!$K$4:$K$9,MATCH(A40,'League Config'!$E$4:$E$9,0))*E40+INDEX('League Config'!$L$4:$L$9,MATCH(A40,'League Config'!$E$4:$E$9,0)),1)</f>
        <v>302.3</v>
      </c>
      <c r="H40">
        <f>INDEX('League Config'!$H$4:$H$9,MATCH(A40,'League Config'!$E$4:$E$9,0))</f>
        <v>32</v>
      </c>
      <c r="I40" s="4">
        <f>INDEX('League Config'!$I$4:$I$9,MATCH(A40,'League Config'!$E$4:$E$9,0))</f>
        <v>239</v>
      </c>
      <c r="J40" s="4">
        <f t="shared" si="1"/>
        <v>63.3</v>
      </c>
      <c r="K40" s="4">
        <f t="shared" si="2"/>
        <v>87.97999999999999</v>
      </c>
      <c r="L40" s="4">
        <f>MIN(100,MAX(0,(1-(F40-1)/(H40*1.5))*100*INDEX('League Config'!$J$4:$J$9,MATCH(A40,'League Config'!$E$4:$E$9,0))))</f>
        <v>100</v>
      </c>
      <c r="M40">
        <f>IF(A40="K",'League Config'!$B$14,IF(A40="DST",'League Config'!$B$15,IF(A40="QB",'League Config'!$B$16,0)))</f>
        <v>0</v>
      </c>
      <c r="N40" s="4">
        <f t="shared" si="3"/>
        <v>90.147154999999998</v>
      </c>
      <c r="O40" s="9">
        <f t="shared" si="4"/>
        <v>90.147154999999998</v>
      </c>
      <c r="P40" s="6">
        <f>IF(O40="","",COUNTIF($O$3:$O$232,"&gt;"&amp;O40)+COUNTIF($O$3:O40,O40))</f>
        <v>14</v>
      </c>
      <c r="Q40">
        <f t="shared" si="5"/>
        <v>14</v>
      </c>
      <c r="R40" s="4">
        <f>'LIVE SOURCE'!E40</f>
        <v>19.600000000000001</v>
      </c>
      <c r="S40" s="4">
        <f t="shared" si="6"/>
        <v>5.6000000000000014</v>
      </c>
      <c r="T40" t="str">
        <f>'LIVE SOURCE'!F40</f>
        <v>B</v>
      </c>
      <c r="U40" s="4">
        <f t="shared" si="7"/>
        <v>79.642099999999999</v>
      </c>
      <c r="V40" s="4">
        <f t="shared" si="8"/>
        <v>88.642099999999999</v>
      </c>
      <c r="W40" s="4">
        <f t="shared" si="9"/>
        <v>97.642099999999999</v>
      </c>
      <c r="X40" t="str">
        <f>'LIVE SOURCE'!G40</f>
        <v>RATE-ADJUSTED VETERAN</v>
      </c>
      <c r="Y40" t="str">
        <f>IF(INDEX('Draft Board'!$J$3:$J$232,Q40)="","Available",INDEX('Draft Board'!$J$3:$J$232,Q40))</f>
        <v>Available</v>
      </c>
      <c r="Z40">
        <f t="shared" si="10"/>
        <v>14</v>
      </c>
    </row>
    <row r="41" spans="1:26" x14ac:dyDescent="0.25">
      <c r="A41" t="str">
        <f>'LIVE SOURCE'!A41</f>
        <v>RB</v>
      </c>
      <c r="B41" t="str">
        <f>'LIVE SOURCE'!B41</f>
        <v>De'Von Achane</v>
      </c>
      <c r="C41" s="4">
        <f>'LIVE SOURCE'!D41</f>
        <v>87.944000000000003</v>
      </c>
      <c r="D41" s="4">
        <f>'Manual Adjustments'!G41</f>
        <v>0</v>
      </c>
      <c r="E41" s="4">
        <f t="shared" si="0"/>
        <v>87.944000000000003</v>
      </c>
      <c r="F41">
        <f>COUNTIFS($A$3:$A$232,A41,$E$3:$E$232,"&gt;"&amp;E41)+COUNTIFS($A$3:A41,A41,$E$3:E41,E41)</f>
        <v>7</v>
      </c>
      <c r="G41" s="4">
        <f>ROUND(INDEX('League Config'!$K$4:$K$9,MATCH(A41,'League Config'!$E$4:$E$9,0))*E41+INDEX('League Config'!$L$4:$L$9,MATCH(A41,'League Config'!$E$4:$E$9,0)),1)</f>
        <v>299.39999999999998</v>
      </c>
      <c r="H41">
        <f>INDEX('League Config'!$H$4:$H$9,MATCH(A41,'League Config'!$E$4:$E$9,0))</f>
        <v>32</v>
      </c>
      <c r="I41" s="4">
        <f>INDEX('League Config'!$I$4:$I$9,MATCH(A41,'League Config'!$E$4:$E$9,0))</f>
        <v>239</v>
      </c>
      <c r="J41" s="4">
        <f t="shared" si="1"/>
        <v>60.4</v>
      </c>
      <c r="K41" s="4">
        <f t="shared" si="2"/>
        <v>86.24</v>
      </c>
      <c r="L41" s="4">
        <f>MIN(100,MAX(0,(1-(F41-1)/(H41*1.5))*100*INDEX('League Config'!$J$4:$J$9,MATCH(A41,'League Config'!$E$4:$E$9,0))))</f>
        <v>100</v>
      </c>
      <c r="M41">
        <f>IF(A41="K",'League Config'!$B$14,IF(A41="DST",'League Config'!$B$15,IF(A41="QB",'League Config'!$B$16,0)))</f>
        <v>0</v>
      </c>
      <c r="N41" s="4">
        <f t="shared" si="3"/>
        <v>89.241200000000006</v>
      </c>
      <c r="O41" s="9">
        <f t="shared" si="4"/>
        <v>89.241200000000006</v>
      </c>
      <c r="P41" s="6">
        <f>IF(O41="","",COUNTIF($O$3:$O$232,"&gt;"&amp;O41)+COUNTIF($O$3:O41,O41))</f>
        <v>16</v>
      </c>
      <c r="Q41">
        <f t="shared" si="5"/>
        <v>16</v>
      </c>
      <c r="R41" s="4">
        <f>'LIVE SOURCE'!E41</f>
        <v>10.1</v>
      </c>
      <c r="S41" s="4">
        <f t="shared" si="6"/>
        <v>-5.9</v>
      </c>
      <c r="T41" t="str">
        <f>'LIVE SOURCE'!F41</f>
        <v>A</v>
      </c>
      <c r="U41" s="4">
        <f t="shared" si="7"/>
        <v>81.944000000000003</v>
      </c>
      <c r="V41" s="4">
        <f t="shared" si="8"/>
        <v>87.944000000000003</v>
      </c>
      <c r="W41" s="4">
        <f t="shared" si="9"/>
        <v>93.944000000000003</v>
      </c>
      <c r="X41" t="str">
        <f>'LIVE SOURCE'!G41</f>
        <v>RATE-ADJUSTED VETERAN</v>
      </c>
      <c r="Y41" t="str">
        <f>IF(INDEX('Draft Board'!$J$3:$J$232,Q41)="","Available",INDEX('Draft Board'!$J$3:$J$232,Q41))</f>
        <v>Available</v>
      </c>
      <c r="Z41">
        <f t="shared" si="10"/>
        <v>16</v>
      </c>
    </row>
    <row r="42" spans="1:26" x14ac:dyDescent="0.25">
      <c r="A42" t="str">
        <f>'LIVE SOURCE'!A42</f>
        <v>RB</v>
      </c>
      <c r="B42" t="str">
        <f>'LIVE SOURCE'!B42</f>
        <v>Kenneth Walker III</v>
      </c>
      <c r="C42" s="4">
        <f>'LIVE SOURCE'!D42</f>
        <v>87.292599999999993</v>
      </c>
      <c r="D42" s="4">
        <f>'Manual Adjustments'!G42</f>
        <v>0</v>
      </c>
      <c r="E42" s="4">
        <f t="shared" si="0"/>
        <v>87.292599999999993</v>
      </c>
      <c r="F42">
        <f>COUNTIFS($A$3:$A$232,A42,$E$3:$E$232,"&gt;"&amp;E42)+COUNTIFS($A$3:A42,A42,$E$3:E42,E42)</f>
        <v>8</v>
      </c>
      <c r="G42" s="4">
        <f>ROUND(INDEX('League Config'!$K$4:$K$9,MATCH(A42,'League Config'!$E$4:$E$9,0))*E42+INDEX('League Config'!$L$4:$L$9,MATCH(A42,'League Config'!$E$4:$E$9,0)),1)</f>
        <v>296.60000000000002</v>
      </c>
      <c r="H42">
        <f>INDEX('League Config'!$H$4:$H$9,MATCH(A42,'League Config'!$E$4:$E$9,0))</f>
        <v>32</v>
      </c>
      <c r="I42" s="4">
        <f>INDEX('League Config'!$I$4:$I$9,MATCH(A42,'League Config'!$E$4:$E$9,0))</f>
        <v>239</v>
      </c>
      <c r="J42" s="4">
        <f t="shared" si="1"/>
        <v>57.6</v>
      </c>
      <c r="K42" s="4">
        <f t="shared" si="2"/>
        <v>84.56</v>
      </c>
      <c r="L42" s="4">
        <f>MIN(100,MAX(0,(1-(F42-1)/(H42*1.5))*100*INDEX('League Config'!$J$4:$J$9,MATCH(A42,'League Config'!$E$4:$E$9,0))))</f>
        <v>98.229166666666643</v>
      </c>
      <c r="M42">
        <f>IF(A42="K",'League Config'!$B$14,IF(A42="DST",'League Config'!$B$15,IF(A42="QB",'League Config'!$B$16,0)))</f>
        <v>0</v>
      </c>
      <c r="N42" s="4">
        <f t="shared" si="3"/>
        <v>88.113304999999997</v>
      </c>
      <c r="O42" s="9">
        <f t="shared" si="4"/>
        <v>88.113304999999997</v>
      </c>
      <c r="P42" s="6">
        <f>IF(O42="","",COUNTIF($O$3:$O$232,"&gt;"&amp;O42)+COUNTIF($O$3:O42,O42))</f>
        <v>17</v>
      </c>
      <c r="Q42">
        <f t="shared" si="5"/>
        <v>17</v>
      </c>
      <c r="R42" s="4">
        <f>'LIVE SOURCE'!E42</f>
        <v>26.2</v>
      </c>
      <c r="S42" s="4">
        <f t="shared" si="6"/>
        <v>9.1999999999999993</v>
      </c>
      <c r="T42" t="str">
        <f>'LIVE SOURCE'!F42</f>
        <v>A</v>
      </c>
      <c r="U42" s="4">
        <f t="shared" si="7"/>
        <v>81.292599999999993</v>
      </c>
      <c r="V42" s="4">
        <f t="shared" si="8"/>
        <v>87.292599999999993</v>
      </c>
      <c r="W42" s="4">
        <f t="shared" si="9"/>
        <v>93.292599999999993</v>
      </c>
      <c r="X42" t="str">
        <f>'LIVE SOURCE'!G42</f>
        <v>RATE-ADJUSTED VETERAN</v>
      </c>
      <c r="Y42" t="str">
        <f>IF(INDEX('Draft Board'!$J$3:$J$232,Q42)="","Available",INDEX('Draft Board'!$J$3:$J$232,Q42))</f>
        <v>Available</v>
      </c>
      <c r="Z42">
        <f t="shared" si="10"/>
        <v>17</v>
      </c>
    </row>
    <row r="43" spans="1:26" x14ac:dyDescent="0.25">
      <c r="A43" t="str">
        <f>'LIVE SOURCE'!A43</f>
        <v>RB</v>
      </c>
      <c r="B43" t="str">
        <f>'LIVE SOURCE'!B43</f>
        <v>James Cook III</v>
      </c>
      <c r="C43" s="4">
        <f>'LIVE SOURCE'!D43</f>
        <v>87.058000000000007</v>
      </c>
      <c r="D43" s="4">
        <f>'Manual Adjustments'!G43</f>
        <v>0</v>
      </c>
      <c r="E43" s="4">
        <f t="shared" si="0"/>
        <v>87.058000000000007</v>
      </c>
      <c r="F43">
        <f>COUNTIFS($A$3:$A$232,A43,$E$3:$E$232,"&gt;"&amp;E43)+COUNTIFS($A$3:A43,A43,$E$3:E43,E43)</f>
        <v>9</v>
      </c>
      <c r="G43" s="4">
        <f>ROUND(INDEX('League Config'!$K$4:$K$9,MATCH(A43,'League Config'!$E$4:$E$9,0))*E43+INDEX('League Config'!$L$4:$L$9,MATCH(A43,'League Config'!$E$4:$E$9,0)),1)</f>
        <v>295.60000000000002</v>
      </c>
      <c r="H43">
        <f>INDEX('League Config'!$H$4:$H$9,MATCH(A43,'League Config'!$E$4:$E$9,0))</f>
        <v>32</v>
      </c>
      <c r="I43" s="4">
        <f>INDEX('League Config'!$I$4:$I$9,MATCH(A43,'League Config'!$E$4:$E$9,0))</f>
        <v>239</v>
      </c>
      <c r="J43" s="4">
        <f t="shared" si="1"/>
        <v>56.6</v>
      </c>
      <c r="K43" s="4">
        <f t="shared" si="2"/>
        <v>83.960000000000008</v>
      </c>
      <c r="L43" s="4">
        <f>MIN(100,MAX(0,(1-(F43-1)/(H43*1.5))*100*INDEX('League Config'!$J$4:$J$9,MATCH(A43,'League Config'!$E$4:$E$9,0))))</f>
        <v>95.833333333333343</v>
      </c>
      <c r="M43">
        <f>IF(A43="K",'League Config'!$B$14,IF(A43="DST",'League Config'!$B$15,IF(A43="QB",'League Config'!$B$16,0)))</f>
        <v>0</v>
      </c>
      <c r="N43" s="4">
        <f t="shared" si="3"/>
        <v>87.444900000000018</v>
      </c>
      <c r="O43" s="9">
        <f t="shared" si="4"/>
        <v>87.444900000000018</v>
      </c>
      <c r="P43" s="6">
        <f>IF(O43="","",COUNTIF($O$3:$O$232,"&gt;"&amp;O43)+COUNTIF($O$3:O43,O43))</f>
        <v>20</v>
      </c>
      <c r="Q43">
        <f t="shared" si="5"/>
        <v>20</v>
      </c>
      <c r="R43" s="4">
        <f>'LIVE SOURCE'!E43</f>
        <v>14.9</v>
      </c>
      <c r="S43" s="4">
        <f t="shared" si="6"/>
        <v>-5.0999999999999996</v>
      </c>
      <c r="T43" t="str">
        <f>'LIVE SOURCE'!F43</f>
        <v>A</v>
      </c>
      <c r="U43" s="4">
        <f t="shared" si="7"/>
        <v>81.058000000000007</v>
      </c>
      <c r="V43" s="4">
        <f t="shared" si="8"/>
        <v>87.058000000000007</v>
      </c>
      <c r="W43" s="4">
        <f t="shared" si="9"/>
        <v>93.058000000000007</v>
      </c>
      <c r="X43" t="str">
        <f>'LIVE SOURCE'!G43</f>
        <v>RATE-ADJUSTED VETERAN</v>
      </c>
      <c r="Y43" t="str">
        <f>IF(INDEX('Draft Board'!$J$3:$J$232,Q43)="","Available",INDEX('Draft Board'!$J$3:$J$232,Q43))</f>
        <v>Available</v>
      </c>
      <c r="Z43">
        <f t="shared" si="10"/>
        <v>20</v>
      </c>
    </row>
    <row r="44" spans="1:26" x14ac:dyDescent="0.25">
      <c r="A44" t="str">
        <f>'LIVE SOURCE'!A44</f>
        <v>RB</v>
      </c>
      <c r="B44" t="str">
        <f>'LIVE SOURCE'!B44</f>
        <v>Kyren Williams</v>
      </c>
      <c r="C44" s="4">
        <f>'LIVE SOURCE'!D44</f>
        <v>85.948599999999999</v>
      </c>
      <c r="D44" s="4">
        <f>'Manual Adjustments'!G44</f>
        <v>0</v>
      </c>
      <c r="E44" s="4">
        <f t="shared" si="0"/>
        <v>85.948599999999999</v>
      </c>
      <c r="F44">
        <f>COUNTIFS($A$3:$A$232,A44,$E$3:$E$232,"&gt;"&amp;E44)+COUNTIFS($A$3:A44,A44,$E$3:E44,E44)</f>
        <v>10</v>
      </c>
      <c r="G44" s="4">
        <f>ROUND(INDEX('League Config'!$K$4:$K$9,MATCH(A44,'League Config'!$E$4:$E$9,0))*E44+INDEX('League Config'!$L$4:$L$9,MATCH(A44,'League Config'!$E$4:$E$9,0)),1)</f>
        <v>291</v>
      </c>
      <c r="H44">
        <f>INDEX('League Config'!$H$4:$H$9,MATCH(A44,'League Config'!$E$4:$E$9,0))</f>
        <v>32</v>
      </c>
      <c r="I44" s="4">
        <f>INDEX('League Config'!$I$4:$I$9,MATCH(A44,'League Config'!$E$4:$E$9,0))</f>
        <v>239</v>
      </c>
      <c r="J44" s="4">
        <f t="shared" si="1"/>
        <v>52</v>
      </c>
      <c r="K44" s="4">
        <f t="shared" si="2"/>
        <v>81.2</v>
      </c>
      <c r="L44" s="4">
        <f>MIN(100,MAX(0,(1-(F44-1)/(H44*1.5))*100*INDEX('League Config'!$J$4:$J$9,MATCH(A44,'League Config'!$E$4:$E$9,0))))</f>
        <v>93.437499999999986</v>
      </c>
      <c r="M44">
        <f>IF(A44="K",'League Config'!$B$14,IF(A44="DST",'League Config'!$B$15,IF(A44="QB",'League Config'!$B$16,0)))</f>
        <v>0</v>
      </c>
      <c r="N44" s="4">
        <f t="shared" si="3"/>
        <v>85.647355000000005</v>
      </c>
      <c r="O44" s="9">
        <f t="shared" si="4"/>
        <v>85.647355000000005</v>
      </c>
      <c r="P44" s="6">
        <f>IF(O44="","",COUNTIF($O$3:$O$232,"&gt;"&amp;O44)+COUNTIF($O$3:O44,O44))</f>
        <v>22</v>
      </c>
      <c r="Q44">
        <f t="shared" si="5"/>
        <v>22</v>
      </c>
      <c r="R44" s="4">
        <f>'LIVE SOURCE'!E44</f>
        <v>33.1</v>
      </c>
      <c r="S44" s="4">
        <f t="shared" si="6"/>
        <v>11.100000000000001</v>
      </c>
      <c r="T44" t="str">
        <f>'LIVE SOURCE'!F44</f>
        <v>A</v>
      </c>
      <c r="U44" s="4">
        <f t="shared" si="7"/>
        <v>79.948599999999999</v>
      </c>
      <c r="V44" s="4">
        <f t="shared" si="8"/>
        <v>85.948599999999999</v>
      </c>
      <c r="W44" s="4">
        <f t="shared" si="9"/>
        <v>91.948599999999999</v>
      </c>
      <c r="X44" t="str">
        <f>'LIVE SOURCE'!G44</f>
        <v>RATE-ADJUSTED VETERAN</v>
      </c>
      <c r="Y44" t="str">
        <f>IF(INDEX('Draft Board'!$J$3:$J$232,Q44)="","Available",INDEX('Draft Board'!$J$3:$J$232,Q44))</f>
        <v>Available</v>
      </c>
      <c r="Z44">
        <f t="shared" si="10"/>
        <v>22</v>
      </c>
    </row>
    <row r="45" spans="1:26" x14ac:dyDescent="0.25">
      <c r="A45" t="str">
        <f>'LIVE SOURCE'!A45</f>
        <v>RB</v>
      </c>
      <c r="B45" t="str">
        <f>'LIVE SOURCE'!B45</f>
        <v>Breece Hall</v>
      </c>
      <c r="C45" s="4">
        <f>'LIVE SOURCE'!D45</f>
        <v>85.895200000000003</v>
      </c>
      <c r="D45" s="4">
        <f>'Manual Adjustments'!G45</f>
        <v>0</v>
      </c>
      <c r="E45" s="4">
        <f t="shared" si="0"/>
        <v>85.895200000000003</v>
      </c>
      <c r="F45">
        <f>COUNTIFS($A$3:$A$232,A45,$E$3:$E$232,"&gt;"&amp;E45)+COUNTIFS($A$3:A45,A45,$E$3:E45,E45)</f>
        <v>11</v>
      </c>
      <c r="G45" s="4">
        <f>ROUND(INDEX('League Config'!$K$4:$K$9,MATCH(A45,'League Config'!$E$4:$E$9,0))*E45+INDEX('League Config'!$L$4:$L$9,MATCH(A45,'League Config'!$E$4:$E$9,0)),1)</f>
        <v>290.8</v>
      </c>
      <c r="H45">
        <f>INDEX('League Config'!$H$4:$H$9,MATCH(A45,'League Config'!$E$4:$E$9,0))</f>
        <v>32</v>
      </c>
      <c r="I45" s="4">
        <f>INDEX('League Config'!$I$4:$I$9,MATCH(A45,'League Config'!$E$4:$E$9,0))</f>
        <v>239</v>
      </c>
      <c r="J45" s="4">
        <f t="shared" si="1"/>
        <v>51.8</v>
      </c>
      <c r="K45" s="4">
        <f t="shared" si="2"/>
        <v>81.08</v>
      </c>
      <c r="L45" s="4">
        <f>MIN(100,MAX(0,(1-(F45-1)/(H45*1.5))*100*INDEX('League Config'!$J$4:$J$9,MATCH(A45,'League Config'!$E$4:$E$9,0))))</f>
        <v>91.041666666666643</v>
      </c>
      <c r="M45">
        <f>IF(A45="K",'League Config'!$B$14,IF(A45="DST",'League Config'!$B$15,IF(A45="QB",'League Config'!$B$16,0)))</f>
        <v>0</v>
      </c>
      <c r="N45" s="4">
        <f t="shared" si="3"/>
        <v>85.222610000000003</v>
      </c>
      <c r="O45" s="9">
        <f t="shared" si="4"/>
        <v>85.222610000000003</v>
      </c>
      <c r="P45" s="6">
        <f>IF(O45="","",COUNTIF($O$3:$O$232,"&gt;"&amp;O45)+COUNTIF($O$3:O45,O45))</f>
        <v>24</v>
      </c>
      <c r="Q45">
        <f t="shared" si="5"/>
        <v>24</v>
      </c>
      <c r="R45" s="4">
        <f>'LIVE SOURCE'!E45</f>
        <v>27</v>
      </c>
      <c r="S45" s="4">
        <f t="shared" si="6"/>
        <v>3</v>
      </c>
      <c r="T45" t="str">
        <f>'LIVE SOURCE'!F45</f>
        <v>A</v>
      </c>
      <c r="U45" s="4">
        <f t="shared" si="7"/>
        <v>79.895200000000003</v>
      </c>
      <c r="V45" s="4">
        <f t="shared" si="8"/>
        <v>85.895200000000003</v>
      </c>
      <c r="W45" s="4">
        <f t="shared" si="9"/>
        <v>91.895200000000003</v>
      </c>
      <c r="X45" t="str">
        <f>'LIVE SOURCE'!G45</f>
        <v>RATE-ADJUSTED VETERAN</v>
      </c>
      <c r="Y45" t="str">
        <f>IF(INDEX('Draft Board'!$J$3:$J$232,Q45)="","Available",INDEX('Draft Board'!$J$3:$J$232,Q45))</f>
        <v>Available</v>
      </c>
      <c r="Z45">
        <f t="shared" si="10"/>
        <v>24</v>
      </c>
    </row>
    <row r="46" spans="1:26" x14ac:dyDescent="0.25">
      <c r="A46" t="str">
        <f>'LIVE SOURCE'!A46</f>
        <v>RB</v>
      </c>
      <c r="B46" t="str">
        <f>'LIVE SOURCE'!B46</f>
        <v>Ashton Jeanty</v>
      </c>
      <c r="C46" s="4">
        <f>'LIVE SOURCE'!D46</f>
        <v>85.843299999999999</v>
      </c>
      <c r="D46" s="4">
        <f>'Manual Adjustments'!G46</f>
        <v>0</v>
      </c>
      <c r="E46" s="4">
        <f t="shared" si="0"/>
        <v>85.843299999999999</v>
      </c>
      <c r="F46">
        <f>COUNTIFS($A$3:$A$232,A46,$E$3:$E$232,"&gt;"&amp;E46)+COUNTIFS($A$3:A46,A46,$E$3:E46,E46)</f>
        <v>12</v>
      </c>
      <c r="G46" s="4">
        <f>ROUND(INDEX('League Config'!$K$4:$K$9,MATCH(A46,'League Config'!$E$4:$E$9,0))*E46+INDEX('League Config'!$L$4:$L$9,MATCH(A46,'League Config'!$E$4:$E$9,0)),1)</f>
        <v>290.5</v>
      </c>
      <c r="H46">
        <f>INDEX('League Config'!$H$4:$H$9,MATCH(A46,'League Config'!$E$4:$E$9,0))</f>
        <v>32</v>
      </c>
      <c r="I46" s="4">
        <f>INDEX('League Config'!$I$4:$I$9,MATCH(A46,'League Config'!$E$4:$E$9,0))</f>
        <v>239</v>
      </c>
      <c r="J46" s="4">
        <f t="shared" si="1"/>
        <v>51.5</v>
      </c>
      <c r="K46" s="4">
        <f t="shared" si="2"/>
        <v>80.900000000000006</v>
      </c>
      <c r="L46" s="4">
        <f>MIN(100,MAX(0,(1-(F46-1)/(H46*1.5))*100*INDEX('League Config'!$J$4:$J$9,MATCH(A46,'League Config'!$E$4:$E$9,0))))</f>
        <v>88.645833333333343</v>
      </c>
      <c r="M46">
        <f>IF(A46="K",'League Config'!$B$14,IF(A46="DST",'League Config'!$B$15,IF(A46="QB",'League Config'!$B$16,0)))</f>
        <v>0</v>
      </c>
      <c r="N46" s="4">
        <f t="shared" si="3"/>
        <v>84.780690000000007</v>
      </c>
      <c r="O46" s="9">
        <f t="shared" si="4"/>
        <v>84.780690000000007</v>
      </c>
      <c r="P46" s="6">
        <f>IF(O46="","",COUNTIF($O$3:$O$232,"&gt;"&amp;O46)+COUNTIF($O$3:O46,O46))</f>
        <v>25</v>
      </c>
      <c r="Q46">
        <f t="shared" si="5"/>
        <v>25</v>
      </c>
      <c r="R46" s="4">
        <f>'LIVE SOURCE'!E46</f>
        <v>13.8</v>
      </c>
      <c r="S46" s="4">
        <f t="shared" si="6"/>
        <v>-11.2</v>
      </c>
      <c r="T46" t="str">
        <f>'LIVE SOURCE'!F46</f>
        <v>A</v>
      </c>
      <c r="U46" s="4">
        <f t="shared" si="7"/>
        <v>79.843299999999999</v>
      </c>
      <c r="V46" s="4">
        <f t="shared" si="8"/>
        <v>85.843299999999999</v>
      </c>
      <c r="W46" s="4">
        <f t="shared" si="9"/>
        <v>91.843299999999999</v>
      </c>
      <c r="X46" t="str">
        <f>'LIVE SOURCE'!G46</f>
        <v>RATE-ADJUSTED VETERAN</v>
      </c>
      <c r="Y46" t="str">
        <f>IF(INDEX('Draft Board'!$J$3:$J$232,Q46)="","Available",INDEX('Draft Board'!$J$3:$J$232,Q46))</f>
        <v>Available</v>
      </c>
      <c r="Z46">
        <f t="shared" si="10"/>
        <v>25</v>
      </c>
    </row>
    <row r="47" spans="1:26" x14ac:dyDescent="0.25">
      <c r="A47" t="str">
        <f>'LIVE SOURCE'!A47</f>
        <v>RB</v>
      </c>
      <c r="B47" t="str">
        <f>'LIVE SOURCE'!B47</f>
        <v>Derrick Henry</v>
      </c>
      <c r="C47" s="4">
        <f>'LIVE SOURCE'!D47</f>
        <v>85.667400000000001</v>
      </c>
      <c r="D47" s="4">
        <f>'Manual Adjustments'!G47</f>
        <v>0</v>
      </c>
      <c r="E47" s="4">
        <f t="shared" si="0"/>
        <v>85.667400000000001</v>
      </c>
      <c r="F47">
        <f>COUNTIFS($A$3:$A$232,A47,$E$3:$E$232,"&gt;"&amp;E47)+COUNTIFS($A$3:A47,A47,$E$3:E47,E47)</f>
        <v>13</v>
      </c>
      <c r="G47" s="4">
        <f>ROUND(INDEX('League Config'!$K$4:$K$9,MATCH(A47,'League Config'!$E$4:$E$9,0))*E47+INDEX('League Config'!$L$4:$L$9,MATCH(A47,'League Config'!$E$4:$E$9,0)),1)</f>
        <v>289.8</v>
      </c>
      <c r="H47">
        <f>INDEX('League Config'!$H$4:$H$9,MATCH(A47,'League Config'!$E$4:$E$9,0))</f>
        <v>32</v>
      </c>
      <c r="I47" s="4">
        <f>INDEX('League Config'!$I$4:$I$9,MATCH(A47,'League Config'!$E$4:$E$9,0))</f>
        <v>239</v>
      </c>
      <c r="J47" s="4">
        <f t="shared" si="1"/>
        <v>50.8</v>
      </c>
      <c r="K47" s="4">
        <f t="shared" si="2"/>
        <v>80.47999999999999</v>
      </c>
      <c r="L47" s="4">
        <f>MIN(100,MAX(0,(1-(F47-1)/(H47*1.5))*100*INDEX('League Config'!$J$4:$J$9,MATCH(A47,'League Config'!$E$4:$E$9,0))))</f>
        <v>86.25</v>
      </c>
      <c r="M47">
        <f>IF(A47="K",'League Config'!$B$14,IF(A47="DST",'League Config'!$B$15,IF(A47="QB",'League Config'!$B$16,0)))</f>
        <v>0</v>
      </c>
      <c r="N47" s="4">
        <f t="shared" si="3"/>
        <v>84.198570000000004</v>
      </c>
      <c r="O47" s="9">
        <f t="shared" si="4"/>
        <v>84.198570000000004</v>
      </c>
      <c r="P47" s="6">
        <f>IF(O47="","",COUNTIF($O$3:$O$232,"&gt;"&amp;O47)+COUNTIF($O$3:O47,O47))</f>
        <v>27</v>
      </c>
      <c r="Q47">
        <f t="shared" si="5"/>
        <v>27</v>
      </c>
      <c r="R47" s="4">
        <f>'LIVE SOURCE'!E47</f>
        <v>15.4</v>
      </c>
      <c r="S47" s="4">
        <f t="shared" si="6"/>
        <v>-11.6</v>
      </c>
      <c r="T47" t="str">
        <f>'LIVE SOURCE'!F47</f>
        <v>A</v>
      </c>
      <c r="U47" s="4">
        <f t="shared" si="7"/>
        <v>79.667400000000001</v>
      </c>
      <c r="V47" s="4">
        <f t="shared" si="8"/>
        <v>85.667400000000001</v>
      </c>
      <c r="W47" s="4">
        <f t="shared" si="9"/>
        <v>91.667400000000001</v>
      </c>
      <c r="X47" t="str">
        <f>'LIVE SOURCE'!G47</f>
        <v>RATE-ADJUSTED VETERAN</v>
      </c>
      <c r="Y47" t="str">
        <f>IF(INDEX('Draft Board'!$J$3:$J$232,Q47)="","Available",INDEX('Draft Board'!$J$3:$J$232,Q47))</f>
        <v>Available</v>
      </c>
      <c r="Z47">
        <f t="shared" si="10"/>
        <v>27</v>
      </c>
    </row>
    <row r="48" spans="1:26" x14ac:dyDescent="0.25">
      <c r="A48" t="str">
        <f>'LIVE SOURCE'!A48</f>
        <v>RB</v>
      </c>
      <c r="B48" t="str">
        <f>'LIVE SOURCE'!B48</f>
        <v>Chase Brown</v>
      </c>
      <c r="C48" s="4">
        <f>'LIVE SOURCE'!D48</f>
        <v>85.664400000000001</v>
      </c>
      <c r="D48" s="4">
        <f>'Manual Adjustments'!G48</f>
        <v>0</v>
      </c>
      <c r="E48" s="4">
        <f t="shared" si="0"/>
        <v>85.664400000000001</v>
      </c>
      <c r="F48">
        <f>COUNTIFS($A$3:$A$232,A48,$E$3:$E$232,"&gt;"&amp;E48)+COUNTIFS($A$3:A48,A48,$E$3:E48,E48)</f>
        <v>14</v>
      </c>
      <c r="G48" s="4">
        <f>ROUND(INDEX('League Config'!$K$4:$K$9,MATCH(A48,'League Config'!$E$4:$E$9,0))*E48+INDEX('League Config'!$L$4:$L$9,MATCH(A48,'League Config'!$E$4:$E$9,0)),1)</f>
        <v>289.8</v>
      </c>
      <c r="H48">
        <f>INDEX('League Config'!$H$4:$H$9,MATCH(A48,'League Config'!$E$4:$E$9,0))</f>
        <v>32</v>
      </c>
      <c r="I48" s="4">
        <f>INDEX('League Config'!$I$4:$I$9,MATCH(A48,'League Config'!$E$4:$E$9,0))</f>
        <v>239</v>
      </c>
      <c r="J48" s="4">
        <f t="shared" si="1"/>
        <v>50.8</v>
      </c>
      <c r="K48" s="4">
        <f t="shared" si="2"/>
        <v>80.47999999999999</v>
      </c>
      <c r="L48" s="4">
        <f>MIN(100,MAX(0,(1-(F48-1)/(H48*1.5))*100*INDEX('League Config'!$J$4:$J$9,MATCH(A48,'League Config'!$E$4:$E$9,0))))</f>
        <v>83.854166666666671</v>
      </c>
      <c r="M48">
        <f>IF(A48="K",'League Config'!$B$14,IF(A48="DST",'League Config'!$B$15,IF(A48="QB",'League Config'!$B$16,0)))</f>
        <v>0</v>
      </c>
      <c r="N48" s="4">
        <f t="shared" si="3"/>
        <v>83.837545000000006</v>
      </c>
      <c r="O48" s="9">
        <f t="shared" si="4"/>
        <v>83.837545000000006</v>
      </c>
      <c r="P48" s="6">
        <f>IF(O48="","",COUNTIF($O$3:$O$232,"&gt;"&amp;O48)+COUNTIF($O$3:O48,O48))</f>
        <v>29</v>
      </c>
      <c r="Q48">
        <f t="shared" si="5"/>
        <v>29</v>
      </c>
      <c r="R48" s="4">
        <f>'LIVE SOURCE'!E48</f>
        <v>12.1</v>
      </c>
      <c r="S48" s="4">
        <f t="shared" si="6"/>
        <v>-16.899999999999999</v>
      </c>
      <c r="T48" t="str">
        <f>'LIVE SOURCE'!F48</f>
        <v>A</v>
      </c>
      <c r="U48" s="4">
        <f t="shared" si="7"/>
        <v>79.664400000000001</v>
      </c>
      <c r="V48" s="4">
        <f t="shared" si="8"/>
        <v>85.664400000000001</v>
      </c>
      <c r="W48" s="4">
        <f t="shared" si="9"/>
        <v>91.664400000000001</v>
      </c>
      <c r="X48" t="str">
        <f>'LIVE SOURCE'!G48</f>
        <v>RATE-ADJUSTED VETERAN</v>
      </c>
      <c r="Y48" t="str">
        <f>IF(INDEX('Draft Board'!$J$3:$J$232,Q48)="","Available",INDEX('Draft Board'!$J$3:$J$232,Q48))</f>
        <v>Available</v>
      </c>
      <c r="Z48">
        <f t="shared" si="10"/>
        <v>29</v>
      </c>
    </row>
    <row r="49" spans="1:26" x14ac:dyDescent="0.25">
      <c r="A49" t="str">
        <f>'LIVE SOURCE'!A49</f>
        <v>RB</v>
      </c>
      <c r="B49" t="str">
        <f>'LIVE SOURCE'!B49</f>
        <v>Josh Jacobs</v>
      </c>
      <c r="C49" s="4">
        <f>'LIVE SOURCE'!D49</f>
        <v>84.426400000000001</v>
      </c>
      <c r="D49" s="4">
        <f>'Manual Adjustments'!G49</f>
        <v>0</v>
      </c>
      <c r="E49" s="4">
        <f t="shared" si="0"/>
        <v>84.426400000000001</v>
      </c>
      <c r="F49">
        <f>COUNTIFS($A$3:$A$232,A49,$E$3:$E$232,"&gt;"&amp;E49)+COUNTIFS($A$3:A49,A49,$E$3:E49,E49)</f>
        <v>15</v>
      </c>
      <c r="G49" s="4">
        <f>ROUND(INDEX('League Config'!$K$4:$K$9,MATCH(A49,'League Config'!$E$4:$E$9,0))*E49+INDEX('League Config'!$L$4:$L$9,MATCH(A49,'League Config'!$E$4:$E$9,0)),1)</f>
        <v>284.60000000000002</v>
      </c>
      <c r="H49">
        <f>INDEX('League Config'!$H$4:$H$9,MATCH(A49,'League Config'!$E$4:$E$9,0))</f>
        <v>32</v>
      </c>
      <c r="I49" s="4">
        <f>INDEX('League Config'!$I$4:$I$9,MATCH(A49,'League Config'!$E$4:$E$9,0))</f>
        <v>239</v>
      </c>
      <c r="J49" s="4">
        <f t="shared" si="1"/>
        <v>45.6</v>
      </c>
      <c r="K49" s="4">
        <f t="shared" si="2"/>
        <v>77.36</v>
      </c>
      <c r="L49" s="4">
        <f>MIN(100,MAX(0,(1-(F49-1)/(H49*1.5))*100*INDEX('League Config'!$J$4:$J$9,MATCH(A49,'League Config'!$E$4:$E$9,0))))</f>
        <v>81.458333333333329</v>
      </c>
      <c r="M49">
        <f>IF(A49="K",'League Config'!$B$14,IF(A49="DST",'League Config'!$B$15,IF(A49="QB",'League Config'!$B$16,0)))</f>
        <v>0</v>
      </c>
      <c r="N49" s="4">
        <f t="shared" si="3"/>
        <v>81.861270000000005</v>
      </c>
      <c r="O49" s="9">
        <f t="shared" si="4"/>
        <v>81.861270000000005</v>
      </c>
      <c r="P49" s="6">
        <f>IF(O49="","",COUNTIF($O$3:$O$232,"&gt;"&amp;O49)+COUNTIF($O$3:O49,O49))</f>
        <v>33</v>
      </c>
      <c r="Q49">
        <f t="shared" si="5"/>
        <v>33</v>
      </c>
      <c r="R49" s="4">
        <f>'LIVE SOURCE'!E49</f>
        <v>24.2</v>
      </c>
      <c r="S49" s="4">
        <f t="shared" si="6"/>
        <v>-8.8000000000000007</v>
      </c>
      <c r="T49" t="str">
        <f>'LIVE SOURCE'!F49</f>
        <v>A</v>
      </c>
      <c r="U49" s="4">
        <f t="shared" si="7"/>
        <v>78.426400000000001</v>
      </c>
      <c r="V49" s="4">
        <f t="shared" si="8"/>
        <v>84.426400000000001</v>
      </c>
      <c r="W49" s="4">
        <f t="shared" si="9"/>
        <v>90.426400000000001</v>
      </c>
      <c r="X49" t="str">
        <f>'LIVE SOURCE'!G49</f>
        <v>RATE-ADJUSTED VETERAN</v>
      </c>
      <c r="Y49" t="str">
        <f>IF(INDEX('Draft Board'!$J$3:$J$232,Q49)="","Available",INDEX('Draft Board'!$J$3:$J$232,Q49))</f>
        <v>Available</v>
      </c>
      <c r="Z49">
        <f t="shared" si="10"/>
        <v>33</v>
      </c>
    </row>
    <row r="50" spans="1:26" x14ac:dyDescent="0.25">
      <c r="A50" t="str">
        <f>'LIVE SOURCE'!A50</f>
        <v>RB</v>
      </c>
      <c r="B50" t="str">
        <f>'LIVE SOURCE'!B50</f>
        <v>Saquon Barkley</v>
      </c>
      <c r="C50" s="4">
        <f>'LIVE SOURCE'!D50</f>
        <v>84.034000000000006</v>
      </c>
      <c r="D50" s="4">
        <f>'Manual Adjustments'!G50</f>
        <v>0</v>
      </c>
      <c r="E50" s="4">
        <f t="shared" si="0"/>
        <v>84.034000000000006</v>
      </c>
      <c r="F50">
        <f>COUNTIFS($A$3:$A$232,A50,$E$3:$E$232,"&gt;"&amp;E50)+COUNTIFS($A$3:A50,A50,$E$3:E50,E50)</f>
        <v>16</v>
      </c>
      <c r="G50" s="4">
        <f>ROUND(INDEX('League Config'!$K$4:$K$9,MATCH(A50,'League Config'!$E$4:$E$9,0))*E50+INDEX('League Config'!$L$4:$L$9,MATCH(A50,'League Config'!$E$4:$E$9,0)),1)</f>
        <v>282.89999999999998</v>
      </c>
      <c r="H50">
        <f>INDEX('League Config'!$H$4:$H$9,MATCH(A50,'League Config'!$E$4:$E$9,0))</f>
        <v>32</v>
      </c>
      <c r="I50" s="4">
        <f>INDEX('League Config'!$I$4:$I$9,MATCH(A50,'League Config'!$E$4:$E$9,0))</f>
        <v>239</v>
      </c>
      <c r="J50" s="4">
        <f t="shared" si="1"/>
        <v>43.9</v>
      </c>
      <c r="K50" s="4">
        <f t="shared" si="2"/>
        <v>76.34</v>
      </c>
      <c r="L50" s="4">
        <f>MIN(100,MAX(0,(1-(F50-1)/(H50*1.5))*100*INDEX('League Config'!$J$4:$J$9,MATCH(A50,'League Config'!$E$4:$E$9,0))))</f>
        <v>79.0625</v>
      </c>
      <c r="M50">
        <f>IF(A50="K",'League Config'!$B$14,IF(A50="DST",'League Config'!$B$15,IF(A50="QB",'League Config'!$B$16,0)))</f>
        <v>0</v>
      </c>
      <c r="N50" s="4">
        <f t="shared" si="3"/>
        <v>80.980074999999999</v>
      </c>
      <c r="O50" s="9">
        <f t="shared" si="4"/>
        <v>80.980074999999999</v>
      </c>
      <c r="P50" s="6">
        <f>IF(O50="","",COUNTIF($O$3:$O$232,"&gt;"&amp;O50)+COUNTIF($O$3:O50,O50))</f>
        <v>36</v>
      </c>
      <c r="Q50">
        <f t="shared" si="5"/>
        <v>36</v>
      </c>
      <c r="R50" s="4">
        <f>'LIVE SOURCE'!E50</f>
        <v>19</v>
      </c>
      <c r="S50" s="4">
        <f t="shared" si="6"/>
        <v>-17</v>
      </c>
      <c r="T50" t="str">
        <f>'LIVE SOURCE'!F50</f>
        <v>A</v>
      </c>
      <c r="U50" s="4">
        <f t="shared" si="7"/>
        <v>78.034000000000006</v>
      </c>
      <c r="V50" s="4">
        <f t="shared" si="8"/>
        <v>84.034000000000006</v>
      </c>
      <c r="W50" s="4">
        <f t="shared" si="9"/>
        <v>90.034000000000006</v>
      </c>
      <c r="X50" t="str">
        <f>'LIVE SOURCE'!G50</f>
        <v>RATE-ADJUSTED VETERAN</v>
      </c>
      <c r="Y50" t="str">
        <f>IF(INDEX('Draft Board'!$J$3:$J$232,Q50)="","Available",INDEX('Draft Board'!$J$3:$J$232,Q50))</f>
        <v>Available</v>
      </c>
      <c r="Z50">
        <f t="shared" si="10"/>
        <v>36</v>
      </c>
    </row>
    <row r="51" spans="1:26" x14ac:dyDescent="0.25">
      <c r="A51" t="str">
        <f>'LIVE SOURCE'!A51</f>
        <v>RB</v>
      </c>
      <c r="B51" t="str">
        <f>'LIVE SOURCE'!B51</f>
        <v>Javonte Williams</v>
      </c>
      <c r="C51" s="4">
        <f>'LIVE SOURCE'!D51</f>
        <v>83.803200000000004</v>
      </c>
      <c r="D51" s="4">
        <f>'Manual Adjustments'!G51</f>
        <v>0</v>
      </c>
      <c r="E51" s="4">
        <f t="shared" si="0"/>
        <v>83.803200000000004</v>
      </c>
      <c r="F51">
        <f>COUNTIFS($A$3:$A$232,A51,$E$3:$E$232,"&gt;"&amp;E51)+COUNTIFS($A$3:A51,A51,$E$3:E51,E51)</f>
        <v>17</v>
      </c>
      <c r="G51" s="4">
        <f>ROUND(INDEX('League Config'!$K$4:$K$9,MATCH(A51,'League Config'!$E$4:$E$9,0))*E51+INDEX('League Config'!$L$4:$L$9,MATCH(A51,'League Config'!$E$4:$E$9,0)),1)</f>
        <v>282</v>
      </c>
      <c r="H51">
        <f>INDEX('League Config'!$H$4:$H$9,MATCH(A51,'League Config'!$E$4:$E$9,0))</f>
        <v>32</v>
      </c>
      <c r="I51" s="4">
        <f>INDEX('League Config'!$I$4:$I$9,MATCH(A51,'League Config'!$E$4:$E$9,0))</f>
        <v>239</v>
      </c>
      <c r="J51" s="4">
        <f t="shared" si="1"/>
        <v>43</v>
      </c>
      <c r="K51" s="4">
        <f t="shared" si="2"/>
        <v>75.8</v>
      </c>
      <c r="L51" s="4">
        <f>MIN(100,MAX(0,(1-(F51-1)/(H51*1.5))*100*INDEX('League Config'!$J$4:$J$9,MATCH(A51,'League Config'!$E$4:$E$9,0))))</f>
        <v>76.666666666666671</v>
      </c>
      <c r="M51">
        <f>IF(A51="K",'League Config'!$B$14,IF(A51="DST",'League Config'!$B$15,IF(A51="QB",'League Config'!$B$16,0)))</f>
        <v>0</v>
      </c>
      <c r="N51" s="4">
        <f t="shared" si="3"/>
        <v>80.331760000000003</v>
      </c>
      <c r="O51" s="9">
        <f t="shared" si="4"/>
        <v>80.331760000000003</v>
      </c>
      <c r="P51" s="6">
        <f>IF(O51="","",COUNTIF($O$3:$O$232,"&gt;"&amp;O51)+COUNTIF($O$3:O51,O51))</f>
        <v>38</v>
      </c>
      <c r="Q51">
        <f t="shared" si="5"/>
        <v>38</v>
      </c>
      <c r="R51" s="4">
        <f>'LIVE SOURCE'!E51</f>
        <v>35.799999999999997</v>
      </c>
      <c r="S51" s="4">
        <f t="shared" si="6"/>
        <v>-2.2000000000000028</v>
      </c>
      <c r="T51" t="str">
        <f>'LIVE SOURCE'!F51</f>
        <v>A</v>
      </c>
      <c r="U51" s="4">
        <f t="shared" si="7"/>
        <v>77.803200000000004</v>
      </c>
      <c r="V51" s="4">
        <f t="shared" si="8"/>
        <v>83.803200000000004</v>
      </c>
      <c r="W51" s="4">
        <f t="shared" si="9"/>
        <v>89.803200000000004</v>
      </c>
      <c r="X51" t="str">
        <f>'LIVE SOURCE'!G51</f>
        <v>RATE-ADJUSTED VETERAN</v>
      </c>
      <c r="Y51" t="str">
        <f>IF(INDEX('Draft Board'!$J$3:$J$232,Q51)="","Available",INDEX('Draft Board'!$J$3:$J$232,Q51))</f>
        <v>Available</v>
      </c>
      <c r="Z51">
        <f t="shared" si="10"/>
        <v>38</v>
      </c>
    </row>
    <row r="52" spans="1:26" x14ac:dyDescent="0.25">
      <c r="A52" t="str">
        <f>'LIVE SOURCE'!A52</f>
        <v>RB</v>
      </c>
      <c r="B52" t="str">
        <f>'LIVE SOURCE'!B52</f>
        <v>Travis Etienne Jr.</v>
      </c>
      <c r="C52" s="4">
        <f>'LIVE SOURCE'!D52</f>
        <v>83.043599999999998</v>
      </c>
      <c r="D52" s="4">
        <f>'Manual Adjustments'!G52</f>
        <v>0</v>
      </c>
      <c r="E52" s="4">
        <f t="shared" si="0"/>
        <v>83.043599999999998</v>
      </c>
      <c r="F52">
        <f>COUNTIFS($A$3:$A$232,A52,$E$3:$E$232,"&gt;"&amp;E52)+COUNTIFS($A$3:A52,A52,$E$3:E52,E52)</f>
        <v>18</v>
      </c>
      <c r="G52" s="4">
        <f>ROUND(INDEX('League Config'!$K$4:$K$9,MATCH(A52,'League Config'!$E$4:$E$9,0))*E52+INDEX('League Config'!$L$4:$L$9,MATCH(A52,'League Config'!$E$4:$E$9,0)),1)</f>
        <v>278.8</v>
      </c>
      <c r="H52">
        <f>INDEX('League Config'!$H$4:$H$9,MATCH(A52,'League Config'!$E$4:$E$9,0))</f>
        <v>32</v>
      </c>
      <c r="I52" s="4">
        <f>INDEX('League Config'!$I$4:$I$9,MATCH(A52,'League Config'!$E$4:$E$9,0))</f>
        <v>239</v>
      </c>
      <c r="J52" s="4">
        <f t="shared" si="1"/>
        <v>39.799999999999997</v>
      </c>
      <c r="K52" s="4">
        <f t="shared" si="2"/>
        <v>73.88</v>
      </c>
      <c r="L52" s="4">
        <f>MIN(100,MAX(0,(1-(F52-1)/(H52*1.5))*100*INDEX('League Config'!$J$4:$J$9,MATCH(A52,'League Config'!$E$4:$E$9,0))))</f>
        <v>74.270833333333329</v>
      </c>
      <c r="M52">
        <f>IF(A52="K",'League Config'!$B$14,IF(A52="DST",'League Config'!$B$15,IF(A52="QB",'League Config'!$B$16,0)))</f>
        <v>0</v>
      </c>
      <c r="N52" s="4">
        <f t="shared" si="3"/>
        <v>78.978605000000002</v>
      </c>
      <c r="O52" s="9">
        <f t="shared" si="4"/>
        <v>78.978605000000002</v>
      </c>
      <c r="P52" s="6">
        <f>IF(O52="","",COUNTIF($O$3:$O$232,"&gt;"&amp;O52)+COUNTIF($O$3:O52,O52))</f>
        <v>40</v>
      </c>
      <c r="Q52">
        <f t="shared" si="5"/>
        <v>40</v>
      </c>
      <c r="R52" s="4">
        <f>'LIVE SOURCE'!E52</f>
        <v>38.4</v>
      </c>
      <c r="S52" s="4">
        <f t="shared" si="6"/>
        <v>-1.6000000000000014</v>
      </c>
      <c r="T52" t="str">
        <f>'LIVE SOURCE'!F52</f>
        <v>A</v>
      </c>
      <c r="U52" s="4">
        <f t="shared" si="7"/>
        <v>77.043599999999998</v>
      </c>
      <c r="V52" s="4">
        <f t="shared" si="8"/>
        <v>83.043599999999998</v>
      </c>
      <c r="W52" s="4">
        <f t="shared" si="9"/>
        <v>89.043599999999998</v>
      </c>
      <c r="X52" t="str">
        <f>'LIVE SOURCE'!G52</f>
        <v>RATE-ADJUSTED VETERAN</v>
      </c>
      <c r="Y52" t="str">
        <f>IF(INDEX('Draft Board'!$J$3:$J$232,Q52)="","Available",INDEX('Draft Board'!$J$3:$J$232,Q52))</f>
        <v>Available</v>
      </c>
      <c r="Z52">
        <f t="shared" si="10"/>
        <v>40</v>
      </c>
    </row>
    <row r="53" spans="1:26" x14ac:dyDescent="0.25">
      <c r="A53" t="str">
        <f>'LIVE SOURCE'!A53</f>
        <v>RB</v>
      </c>
      <c r="B53" t="str">
        <f>'LIVE SOURCE'!B53</f>
        <v>Cam Skattebo</v>
      </c>
      <c r="C53" s="4">
        <f>'LIVE SOURCE'!D53</f>
        <v>81.888400000000004</v>
      </c>
      <c r="D53" s="4">
        <f>'Manual Adjustments'!G53</f>
        <v>0</v>
      </c>
      <c r="E53" s="4">
        <f t="shared" si="0"/>
        <v>81.888400000000004</v>
      </c>
      <c r="F53">
        <f>COUNTIFS($A$3:$A$232,A53,$E$3:$E$232,"&gt;"&amp;E53)+COUNTIFS($A$3:A53,A53,$E$3:E53,E53)</f>
        <v>19</v>
      </c>
      <c r="G53" s="4">
        <f>ROUND(INDEX('League Config'!$K$4:$K$9,MATCH(A53,'League Config'!$E$4:$E$9,0))*E53+INDEX('League Config'!$L$4:$L$9,MATCH(A53,'League Config'!$E$4:$E$9,0)),1)</f>
        <v>273.89999999999998</v>
      </c>
      <c r="H53">
        <f>INDEX('League Config'!$H$4:$H$9,MATCH(A53,'League Config'!$E$4:$E$9,0))</f>
        <v>32</v>
      </c>
      <c r="I53" s="4">
        <f>INDEX('League Config'!$I$4:$I$9,MATCH(A53,'League Config'!$E$4:$E$9,0))</f>
        <v>239</v>
      </c>
      <c r="J53" s="4">
        <f t="shared" si="1"/>
        <v>34.9</v>
      </c>
      <c r="K53" s="4">
        <f t="shared" si="2"/>
        <v>70.94</v>
      </c>
      <c r="L53" s="4">
        <f>MIN(100,MAX(0,(1-(F53-1)/(H53*1.5))*100*INDEX('League Config'!$J$4:$J$9,MATCH(A53,'League Config'!$E$4:$E$9,0))))</f>
        <v>71.875</v>
      </c>
      <c r="M53">
        <f>IF(A53="K",'League Config'!$B$14,IF(A53="DST",'League Config'!$B$15,IF(A53="QB",'League Config'!$B$16,0)))</f>
        <v>0</v>
      </c>
      <c r="N53" s="4">
        <f t="shared" si="3"/>
        <v>77.101870000000005</v>
      </c>
      <c r="O53" s="9">
        <f t="shared" si="4"/>
        <v>77.101870000000005</v>
      </c>
      <c r="P53" s="6">
        <f>IF(O53="","",COUNTIF($O$3:$O$232,"&gt;"&amp;O53)+COUNTIF($O$3:O53,O53))</f>
        <v>46</v>
      </c>
      <c r="Q53">
        <f t="shared" si="5"/>
        <v>46</v>
      </c>
      <c r="R53" s="4">
        <f>'LIVE SOURCE'!E53</f>
        <v>30.8</v>
      </c>
      <c r="S53" s="4">
        <f t="shared" si="6"/>
        <v>-15.2</v>
      </c>
      <c r="T53" t="str">
        <f>'LIVE SOURCE'!F53</f>
        <v>B</v>
      </c>
      <c r="U53" s="4">
        <f t="shared" si="7"/>
        <v>72.888400000000004</v>
      </c>
      <c r="V53" s="4">
        <f t="shared" si="8"/>
        <v>81.888400000000004</v>
      </c>
      <c r="W53" s="4">
        <f t="shared" si="9"/>
        <v>90.888400000000004</v>
      </c>
      <c r="X53" t="str">
        <f>'LIVE SOURCE'!G53</f>
        <v>RATE-ADJUSTED VETERAN</v>
      </c>
      <c r="Y53" t="str">
        <f>IF(INDEX('Draft Board'!$J$3:$J$232,Q53)="","Available",INDEX('Draft Board'!$J$3:$J$232,Q53))</f>
        <v>Available</v>
      </c>
      <c r="Z53">
        <f t="shared" si="10"/>
        <v>46</v>
      </c>
    </row>
    <row r="54" spans="1:26" x14ac:dyDescent="0.25">
      <c r="A54" t="str">
        <f>'LIVE SOURCE'!A54</f>
        <v>RB</v>
      </c>
      <c r="B54" t="str">
        <f>'LIVE SOURCE'!B54</f>
        <v>D'Andre Swift</v>
      </c>
      <c r="C54" s="4">
        <f>'LIVE SOURCE'!D54</f>
        <v>79.985600000000005</v>
      </c>
      <c r="D54" s="4">
        <f>'Manual Adjustments'!G54</f>
        <v>0</v>
      </c>
      <c r="E54" s="4">
        <f t="shared" si="0"/>
        <v>79.985600000000005</v>
      </c>
      <c r="F54">
        <f>COUNTIFS($A$3:$A$232,A54,$E$3:$E$232,"&gt;"&amp;E54)+COUNTIFS($A$3:A54,A54,$E$3:E54,E54)</f>
        <v>20</v>
      </c>
      <c r="G54" s="4">
        <f>ROUND(INDEX('League Config'!$K$4:$K$9,MATCH(A54,'League Config'!$E$4:$E$9,0))*E54+INDEX('League Config'!$L$4:$L$9,MATCH(A54,'League Config'!$E$4:$E$9,0)),1)</f>
        <v>265.89999999999998</v>
      </c>
      <c r="H54">
        <f>INDEX('League Config'!$H$4:$H$9,MATCH(A54,'League Config'!$E$4:$E$9,0))</f>
        <v>32</v>
      </c>
      <c r="I54" s="4">
        <f>INDEX('League Config'!$I$4:$I$9,MATCH(A54,'League Config'!$E$4:$E$9,0))</f>
        <v>239</v>
      </c>
      <c r="J54" s="4">
        <f t="shared" si="1"/>
        <v>26.9</v>
      </c>
      <c r="K54" s="4">
        <f t="shared" si="2"/>
        <v>66.14</v>
      </c>
      <c r="L54" s="4">
        <f>MIN(100,MAX(0,(1-(F54-1)/(H54*1.5))*100*INDEX('League Config'!$J$4:$J$9,MATCH(A54,'League Config'!$E$4:$E$9,0))))</f>
        <v>69.479166666666671</v>
      </c>
      <c r="M54">
        <f>IF(A54="K",'League Config'!$B$14,IF(A54="DST",'League Config'!$B$15,IF(A54="QB",'League Config'!$B$16,0)))</f>
        <v>0</v>
      </c>
      <c r="N54" s="4">
        <f t="shared" si="3"/>
        <v>74.255955</v>
      </c>
      <c r="O54" s="9">
        <f t="shared" si="4"/>
        <v>74.255955</v>
      </c>
      <c r="P54" s="6">
        <f>IF(O54="","",COUNTIF($O$3:$O$232,"&gt;"&amp;O54)+COUNTIF($O$3:O54,O54))</f>
        <v>53</v>
      </c>
      <c r="Q54">
        <f t="shared" si="5"/>
        <v>53</v>
      </c>
      <c r="R54" s="4">
        <f>'LIVE SOURCE'!E54</f>
        <v>43.9</v>
      </c>
      <c r="S54" s="4">
        <f t="shared" si="6"/>
        <v>-9.1000000000000014</v>
      </c>
      <c r="T54" t="str">
        <f>'LIVE SOURCE'!F54</f>
        <v>A</v>
      </c>
      <c r="U54" s="4">
        <f t="shared" si="7"/>
        <v>73.985600000000005</v>
      </c>
      <c r="V54" s="4">
        <f t="shared" si="8"/>
        <v>79.985600000000005</v>
      </c>
      <c r="W54" s="4">
        <f t="shared" si="9"/>
        <v>85.985600000000005</v>
      </c>
      <c r="X54" t="str">
        <f>'LIVE SOURCE'!G54</f>
        <v>RATE-ADJUSTED VETERAN</v>
      </c>
      <c r="Y54" t="str">
        <f>IF(INDEX('Draft Board'!$J$3:$J$232,Q54)="","Available",INDEX('Draft Board'!$J$3:$J$232,Q54))</f>
        <v>Available</v>
      </c>
      <c r="Z54">
        <f t="shared" si="10"/>
        <v>53</v>
      </c>
    </row>
    <row r="55" spans="1:26" x14ac:dyDescent="0.25">
      <c r="A55" t="str">
        <f>'LIVE SOURCE'!A55</f>
        <v>RB</v>
      </c>
      <c r="B55" t="str">
        <f>'LIVE SOURCE'!B55</f>
        <v>Bucky Irving</v>
      </c>
      <c r="C55" s="4">
        <f>'LIVE SOURCE'!D55</f>
        <v>79.935500000000005</v>
      </c>
      <c r="D55" s="4">
        <f>'Manual Adjustments'!G55</f>
        <v>0</v>
      </c>
      <c r="E55" s="4">
        <f t="shared" si="0"/>
        <v>79.935500000000005</v>
      </c>
      <c r="F55">
        <f>COUNTIFS($A$3:$A$232,A55,$E$3:$E$232,"&gt;"&amp;E55)+COUNTIFS($A$3:A55,A55,$E$3:E55,E55)</f>
        <v>21</v>
      </c>
      <c r="G55" s="4">
        <f>ROUND(INDEX('League Config'!$K$4:$K$9,MATCH(A55,'League Config'!$E$4:$E$9,0))*E55+INDEX('League Config'!$L$4:$L$9,MATCH(A55,'League Config'!$E$4:$E$9,0)),1)</f>
        <v>265.7</v>
      </c>
      <c r="H55">
        <f>INDEX('League Config'!$H$4:$H$9,MATCH(A55,'League Config'!$E$4:$E$9,0))</f>
        <v>32</v>
      </c>
      <c r="I55" s="4">
        <f>INDEX('League Config'!$I$4:$I$9,MATCH(A55,'League Config'!$E$4:$E$9,0))</f>
        <v>239</v>
      </c>
      <c r="J55" s="4">
        <f t="shared" si="1"/>
        <v>26.7</v>
      </c>
      <c r="K55" s="4">
        <f t="shared" si="2"/>
        <v>66.02</v>
      </c>
      <c r="L55" s="4">
        <f>MIN(100,MAX(0,(1-(F55-1)/(H55*1.5))*100*INDEX('League Config'!$J$4:$J$9,MATCH(A55,'League Config'!$E$4:$E$9,0))))</f>
        <v>67.083333333333329</v>
      </c>
      <c r="M55">
        <f>IF(A55="K",'League Config'!$B$14,IF(A55="DST",'League Config'!$B$15,IF(A55="QB",'League Config'!$B$16,0)))</f>
        <v>0</v>
      </c>
      <c r="N55" s="4">
        <f t="shared" si="3"/>
        <v>73.833025000000006</v>
      </c>
      <c r="O55" s="9">
        <f t="shared" si="4"/>
        <v>73.833025000000006</v>
      </c>
      <c r="P55" s="6">
        <f>IF(O55="","",COUNTIF($O$3:$O$232,"&gt;"&amp;O55)+COUNTIF($O$3:O55,O55))</f>
        <v>54</v>
      </c>
      <c r="Q55">
        <f t="shared" si="5"/>
        <v>54</v>
      </c>
      <c r="R55" s="4">
        <f>'LIVE SOURCE'!E55</f>
        <v>43</v>
      </c>
      <c r="S55" s="4">
        <f t="shared" si="6"/>
        <v>-11</v>
      </c>
      <c r="T55" t="str">
        <f>'LIVE SOURCE'!F55</f>
        <v>B</v>
      </c>
      <c r="U55" s="4">
        <f t="shared" si="7"/>
        <v>70.935500000000005</v>
      </c>
      <c r="V55" s="4">
        <f t="shared" si="8"/>
        <v>79.935500000000005</v>
      </c>
      <c r="W55" s="4">
        <f t="shared" si="9"/>
        <v>88.935500000000005</v>
      </c>
      <c r="X55" t="str">
        <f>'LIVE SOURCE'!G55</f>
        <v>RATE-ADJUSTED VETERAN</v>
      </c>
      <c r="Y55" t="str">
        <f>IF(INDEX('Draft Board'!$J$3:$J$232,Q55)="","Available",INDEX('Draft Board'!$J$3:$J$232,Q55))</f>
        <v>Available</v>
      </c>
      <c r="Z55">
        <f t="shared" si="10"/>
        <v>54</v>
      </c>
    </row>
    <row r="56" spans="1:26" x14ac:dyDescent="0.25">
      <c r="A56" t="str">
        <f>'LIVE SOURCE'!A56</f>
        <v>RB</v>
      </c>
      <c r="B56" t="str">
        <f>'LIVE SOURCE'!B56</f>
        <v>Quinshon Judkins</v>
      </c>
      <c r="C56" s="4">
        <f>'LIVE SOURCE'!D56</f>
        <v>79.930300000000003</v>
      </c>
      <c r="D56" s="4">
        <f>'Manual Adjustments'!G56</f>
        <v>0</v>
      </c>
      <c r="E56" s="4">
        <f t="shared" si="0"/>
        <v>79.930300000000003</v>
      </c>
      <c r="F56">
        <f>COUNTIFS($A$3:$A$232,A56,$E$3:$E$232,"&gt;"&amp;E56)+COUNTIFS($A$3:A56,A56,$E$3:E56,E56)</f>
        <v>22</v>
      </c>
      <c r="G56" s="4">
        <f>ROUND(INDEX('League Config'!$K$4:$K$9,MATCH(A56,'League Config'!$E$4:$E$9,0))*E56+INDEX('League Config'!$L$4:$L$9,MATCH(A56,'League Config'!$E$4:$E$9,0)),1)</f>
        <v>265.7</v>
      </c>
      <c r="H56">
        <f>INDEX('League Config'!$H$4:$H$9,MATCH(A56,'League Config'!$E$4:$E$9,0))</f>
        <v>32</v>
      </c>
      <c r="I56" s="4">
        <f>INDEX('League Config'!$I$4:$I$9,MATCH(A56,'League Config'!$E$4:$E$9,0))</f>
        <v>239</v>
      </c>
      <c r="J56" s="4">
        <f t="shared" si="1"/>
        <v>26.7</v>
      </c>
      <c r="K56" s="4">
        <f t="shared" si="2"/>
        <v>66.02</v>
      </c>
      <c r="L56" s="4">
        <f>MIN(100,MAX(0,(1-(F56-1)/(H56*1.5))*100*INDEX('League Config'!$J$4:$J$9,MATCH(A56,'League Config'!$E$4:$E$9,0))))</f>
        <v>64.6875</v>
      </c>
      <c r="M56">
        <f>IF(A56="K",'League Config'!$B$14,IF(A56="DST",'League Config'!$B$15,IF(A56="QB",'League Config'!$B$16,0)))</f>
        <v>0</v>
      </c>
      <c r="N56" s="4">
        <f t="shared" si="3"/>
        <v>73.470789999999994</v>
      </c>
      <c r="O56" s="9">
        <f t="shared" si="4"/>
        <v>73.470789999999994</v>
      </c>
      <c r="P56" s="6">
        <f>IF(O56="","",COUNTIF($O$3:$O$232,"&gt;"&amp;O56)+COUNTIF($O$3:O56,O56))</f>
        <v>56</v>
      </c>
      <c r="Q56">
        <f t="shared" si="5"/>
        <v>56</v>
      </c>
      <c r="R56" s="4">
        <f>'LIVE SOURCE'!E56</f>
        <v>49.9</v>
      </c>
      <c r="S56" s="4">
        <f t="shared" si="6"/>
        <v>-6.1000000000000014</v>
      </c>
      <c r="T56" t="str">
        <f>'LIVE SOURCE'!F56</f>
        <v>A</v>
      </c>
      <c r="U56" s="4">
        <f t="shared" si="7"/>
        <v>73.930300000000003</v>
      </c>
      <c r="V56" s="4">
        <f t="shared" si="8"/>
        <v>79.930300000000003</v>
      </c>
      <c r="W56" s="4">
        <f t="shared" si="9"/>
        <v>85.930300000000003</v>
      </c>
      <c r="X56" t="str">
        <f>'LIVE SOURCE'!G56</f>
        <v>RATE-ADJUSTED VETERAN</v>
      </c>
      <c r="Y56" t="str">
        <f>IF(INDEX('Draft Board'!$J$3:$J$232,Q56)="","Available",INDEX('Draft Board'!$J$3:$J$232,Q56))</f>
        <v>Available</v>
      </c>
      <c r="Z56">
        <f t="shared" si="10"/>
        <v>56</v>
      </c>
    </row>
    <row r="57" spans="1:26" x14ac:dyDescent="0.25">
      <c r="A57" t="str">
        <f>'LIVE SOURCE'!A57</f>
        <v>RB</v>
      </c>
      <c r="B57" t="str">
        <f>'LIVE SOURCE'!B57</f>
        <v>David Montgomery</v>
      </c>
      <c r="C57" s="4">
        <f>'LIVE SOURCE'!D57</f>
        <v>77.910200000000003</v>
      </c>
      <c r="D57" s="4">
        <f>'Manual Adjustments'!G57</f>
        <v>0</v>
      </c>
      <c r="E57" s="4">
        <f t="shared" si="0"/>
        <v>77.910200000000003</v>
      </c>
      <c r="F57">
        <f>COUNTIFS($A$3:$A$232,A57,$E$3:$E$232,"&gt;"&amp;E57)+COUNTIFS($A$3:A57,A57,$E$3:E57,E57)</f>
        <v>23</v>
      </c>
      <c r="G57" s="4">
        <f>ROUND(INDEX('League Config'!$K$4:$K$9,MATCH(A57,'League Config'!$E$4:$E$9,0))*E57+INDEX('League Config'!$L$4:$L$9,MATCH(A57,'League Config'!$E$4:$E$9,0)),1)</f>
        <v>257.2</v>
      </c>
      <c r="H57">
        <f>INDEX('League Config'!$H$4:$H$9,MATCH(A57,'League Config'!$E$4:$E$9,0))</f>
        <v>32</v>
      </c>
      <c r="I57" s="4">
        <f>INDEX('League Config'!$I$4:$I$9,MATCH(A57,'League Config'!$E$4:$E$9,0))</f>
        <v>239</v>
      </c>
      <c r="J57" s="4">
        <f t="shared" si="1"/>
        <v>18.2</v>
      </c>
      <c r="K57" s="4">
        <f t="shared" si="2"/>
        <v>60.92</v>
      </c>
      <c r="L57" s="4">
        <f>MIN(100,MAX(0,(1-(F57-1)/(H57*1.5))*100*INDEX('League Config'!$J$4:$J$9,MATCH(A57,'League Config'!$E$4:$E$9,0))))</f>
        <v>62.291666666666664</v>
      </c>
      <c r="M57">
        <f>IF(A57="K",'League Config'!$B$14,IF(A57="DST",'League Config'!$B$15,IF(A57="QB",'League Config'!$B$16,0)))</f>
        <v>0</v>
      </c>
      <c r="N57" s="4">
        <f t="shared" si="3"/>
        <v>70.470359999999999</v>
      </c>
      <c r="O57" s="9">
        <f t="shared" si="4"/>
        <v>70.470359999999999</v>
      </c>
      <c r="P57" s="6">
        <f>IF(O57="","",COUNTIF($O$3:$O$232,"&gt;"&amp;O57)+COUNTIF($O$3:O57,O57))</f>
        <v>63</v>
      </c>
      <c r="Q57">
        <f t="shared" si="5"/>
        <v>63</v>
      </c>
      <c r="R57" s="4">
        <f>'LIVE SOURCE'!E57</f>
        <v>66.400000000000006</v>
      </c>
      <c r="S57" s="4">
        <f t="shared" si="6"/>
        <v>3.4000000000000057</v>
      </c>
      <c r="T57" t="str">
        <f>'LIVE SOURCE'!F57</f>
        <v>A</v>
      </c>
      <c r="U57" s="4">
        <f t="shared" si="7"/>
        <v>71.910200000000003</v>
      </c>
      <c r="V57" s="4">
        <f t="shared" si="8"/>
        <v>77.910200000000003</v>
      </c>
      <c r="W57" s="4">
        <f t="shared" si="9"/>
        <v>83.910200000000003</v>
      </c>
      <c r="X57" t="str">
        <f>'LIVE SOURCE'!G57</f>
        <v>RATE-ADJUSTED VETERAN</v>
      </c>
      <c r="Y57" t="str">
        <f>IF(INDEX('Draft Board'!$J$3:$J$232,Q57)="","Available",INDEX('Draft Board'!$J$3:$J$232,Q57))</f>
        <v>Available</v>
      </c>
      <c r="Z57">
        <f t="shared" si="10"/>
        <v>63</v>
      </c>
    </row>
    <row r="58" spans="1:26" x14ac:dyDescent="0.25">
      <c r="A58" t="str">
        <f>'LIVE SOURCE'!A58</f>
        <v>RB</v>
      </c>
      <c r="B58" t="str">
        <f>'LIVE SOURCE'!B58</f>
        <v>TreVeyon Henderson</v>
      </c>
      <c r="C58" s="4">
        <f>'LIVE SOURCE'!D58</f>
        <v>77.832499999999996</v>
      </c>
      <c r="D58" s="4">
        <f>'Manual Adjustments'!G58</f>
        <v>0</v>
      </c>
      <c r="E58" s="4">
        <f t="shared" si="0"/>
        <v>77.832499999999996</v>
      </c>
      <c r="F58">
        <f>COUNTIFS($A$3:$A$232,A58,$E$3:$E$232,"&gt;"&amp;E58)+COUNTIFS($A$3:A58,A58,$E$3:E58,E58)</f>
        <v>24</v>
      </c>
      <c r="G58" s="4">
        <f>ROUND(INDEX('League Config'!$K$4:$K$9,MATCH(A58,'League Config'!$E$4:$E$9,0))*E58+INDEX('League Config'!$L$4:$L$9,MATCH(A58,'League Config'!$E$4:$E$9,0)),1)</f>
        <v>256.89999999999998</v>
      </c>
      <c r="H58">
        <f>INDEX('League Config'!$H$4:$H$9,MATCH(A58,'League Config'!$E$4:$E$9,0))</f>
        <v>32</v>
      </c>
      <c r="I58" s="4">
        <f>INDEX('League Config'!$I$4:$I$9,MATCH(A58,'League Config'!$E$4:$E$9,0))</f>
        <v>239</v>
      </c>
      <c r="J58" s="4">
        <f t="shared" si="1"/>
        <v>17.899999999999999</v>
      </c>
      <c r="K58" s="4">
        <f t="shared" si="2"/>
        <v>60.739999999999995</v>
      </c>
      <c r="L58" s="4">
        <f>MIN(100,MAX(0,(1-(F58-1)/(H58*1.5))*100*INDEX('League Config'!$J$4:$J$9,MATCH(A58,'League Config'!$E$4:$E$9,0))))</f>
        <v>59.895833333333321</v>
      </c>
      <c r="M58">
        <f>IF(A58="K",'League Config'!$B$14,IF(A58="DST",'League Config'!$B$15,IF(A58="QB",'League Config'!$B$16,0)))</f>
        <v>0</v>
      </c>
      <c r="N58" s="4">
        <f t="shared" si="3"/>
        <v>70.014250000000004</v>
      </c>
      <c r="O58" s="9">
        <f t="shared" si="4"/>
        <v>70.014250000000004</v>
      </c>
      <c r="P58" s="6">
        <f>IF(O58="","",COUNTIF($O$3:$O$232,"&gt;"&amp;O58)+COUNTIF($O$3:O58,O58))</f>
        <v>65</v>
      </c>
      <c r="Q58">
        <f t="shared" si="5"/>
        <v>65</v>
      </c>
      <c r="R58" s="4">
        <f>'LIVE SOURCE'!E58</f>
        <v>55.4</v>
      </c>
      <c r="S58" s="4">
        <f t="shared" si="6"/>
        <v>-9.6000000000000014</v>
      </c>
      <c r="T58" t="str">
        <f>'LIVE SOURCE'!F58</f>
        <v>A</v>
      </c>
      <c r="U58" s="4">
        <f t="shared" si="7"/>
        <v>71.832499999999996</v>
      </c>
      <c r="V58" s="4">
        <f t="shared" si="8"/>
        <v>77.832499999999996</v>
      </c>
      <c r="W58" s="4">
        <f t="shared" si="9"/>
        <v>83.832499999999996</v>
      </c>
      <c r="X58" t="str">
        <f>'LIVE SOURCE'!G58</f>
        <v>RATE-ADJUSTED VETERAN</v>
      </c>
      <c r="Y58" t="str">
        <f>IF(INDEX('Draft Board'!$J$3:$J$232,Q58)="","Available",INDEX('Draft Board'!$J$3:$J$232,Q58))</f>
        <v>Available</v>
      </c>
      <c r="Z58">
        <f t="shared" si="10"/>
        <v>65</v>
      </c>
    </row>
    <row r="59" spans="1:26" x14ac:dyDescent="0.25">
      <c r="A59" t="str">
        <f>'LIVE SOURCE'!A59</f>
        <v>RB</v>
      </c>
      <c r="B59" t="str">
        <f>'LIVE SOURCE'!B59</f>
        <v>Jadarian Price</v>
      </c>
      <c r="C59" s="4">
        <f>'LIVE SOURCE'!D59</f>
        <v>76.662199999999999</v>
      </c>
      <c r="D59" s="4">
        <f>'Manual Adjustments'!G59</f>
        <v>0</v>
      </c>
      <c r="E59" s="4">
        <f t="shared" si="0"/>
        <v>76.662199999999999</v>
      </c>
      <c r="F59">
        <f>COUNTIFS($A$3:$A$232,A59,$E$3:$E$232,"&gt;"&amp;E59)+COUNTIFS($A$3:A59,A59,$E$3:E59,E59)</f>
        <v>25</v>
      </c>
      <c r="G59" s="4">
        <f>ROUND(INDEX('League Config'!$K$4:$K$9,MATCH(A59,'League Config'!$E$4:$E$9,0))*E59+INDEX('League Config'!$L$4:$L$9,MATCH(A59,'League Config'!$E$4:$E$9,0)),1)</f>
        <v>252</v>
      </c>
      <c r="H59">
        <f>INDEX('League Config'!$H$4:$H$9,MATCH(A59,'League Config'!$E$4:$E$9,0))</f>
        <v>32</v>
      </c>
      <c r="I59" s="4">
        <f>INDEX('League Config'!$I$4:$I$9,MATCH(A59,'League Config'!$E$4:$E$9,0))</f>
        <v>239</v>
      </c>
      <c r="J59" s="4">
        <f t="shared" si="1"/>
        <v>13</v>
      </c>
      <c r="K59" s="4">
        <f t="shared" si="2"/>
        <v>57.8</v>
      </c>
      <c r="L59" s="4">
        <f>MIN(100,MAX(0,(1-(F59-1)/(H59*1.5))*100*INDEX('League Config'!$J$4:$J$9,MATCH(A59,'League Config'!$E$4:$E$9,0))))</f>
        <v>57.499999999999993</v>
      </c>
      <c r="M59">
        <f>IF(A59="K",'League Config'!$B$14,IF(A59="DST",'League Config'!$B$15,IF(A59="QB",'League Config'!$B$16,0)))</f>
        <v>0</v>
      </c>
      <c r="N59" s="4">
        <f t="shared" si="3"/>
        <v>68.12921</v>
      </c>
      <c r="O59" s="9">
        <f t="shared" si="4"/>
        <v>68.12921</v>
      </c>
      <c r="P59" s="6">
        <f>IF(O59="","",COUNTIF($O$3:$O$232,"&gt;"&amp;O59)+COUNTIF($O$3:O59,O59))</f>
        <v>68</v>
      </c>
      <c r="Q59">
        <f t="shared" si="5"/>
        <v>68</v>
      </c>
      <c r="R59" s="4">
        <f>'LIVE SOURCE'!E59</f>
        <v>63</v>
      </c>
      <c r="S59" s="4">
        <f t="shared" si="6"/>
        <v>-5</v>
      </c>
      <c r="T59" t="str">
        <f>'LIVE SOURCE'!F59</f>
        <v>B</v>
      </c>
      <c r="U59" s="4">
        <f t="shared" si="7"/>
        <v>67.662199999999999</v>
      </c>
      <c r="V59" s="4">
        <f t="shared" si="8"/>
        <v>76.662199999999999</v>
      </c>
      <c r="W59" s="4">
        <f t="shared" si="9"/>
        <v>85.662199999999999</v>
      </c>
      <c r="X59" t="str">
        <f>'LIVE SOURCE'!G59</f>
        <v>ROOKIE ENGINE</v>
      </c>
      <c r="Y59" t="str">
        <f>IF(INDEX('Draft Board'!$J$3:$J$232,Q59)="","Available",INDEX('Draft Board'!$J$3:$J$232,Q59))</f>
        <v>Available</v>
      </c>
      <c r="Z59">
        <f t="shared" si="10"/>
        <v>68</v>
      </c>
    </row>
    <row r="60" spans="1:26" x14ac:dyDescent="0.25">
      <c r="A60" t="str">
        <f>'LIVE SOURCE'!A60</f>
        <v>RB</v>
      </c>
      <c r="B60" t="str">
        <f>'LIVE SOURCE'!B60</f>
        <v>Jaylen Warren</v>
      </c>
      <c r="C60" s="4">
        <f>'LIVE SOURCE'!D60</f>
        <v>76.091800000000006</v>
      </c>
      <c r="D60" s="4">
        <f>'Manual Adjustments'!G60</f>
        <v>0</v>
      </c>
      <c r="E60" s="4">
        <f t="shared" si="0"/>
        <v>76.091800000000006</v>
      </c>
      <c r="F60">
        <f>COUNTIFS($A$3:$A$232,A60,$E$3:$E$232,"&gt;"&amp;E60)+COUNTIFS($A$3:A60,A60,$E$3:E60,E60)</f>
        <v>26</v>
      </c>
      <c r="G60" s="4">
        <f>ROUND(INDEX('League Config'!$K$4:$K$9,MATCH(A60,'League Config'!$E$4:$E$9,0))*E60+INDEX('League Config'!$L$4:$L$9,MATCH(A60,'League Config'!$E$4:$E$9,0)),1)</f>
        <v>249.6</v>
      </c>
      <c r="H60">
        <f>INDEX('League Config'!$H$4:$H$9,MATCH(A60,'League Config'!$E$4:$E$9,0))</f>
        <v>32</v>
      </c>
      <c r="I60" s="4">
        <f>INDEX('League Config'!$I$4:$I$9,MATCH(A60,'League Config'!$E$4:$E$9,0))</f>
        <v>239</v>
      </c>
      <c r="J60" s="4">
        <f t="shared" si="1"/>
        <v>10.6</v>
      </c>
      <c r="K60" s="4">
        <f t="shared" si="2"/>
        <v>56.36</v>
      </c>
      <c r="L60" s="4">
        <f>MIN(100,MAX(0,(1-(F60-1)/(H60*1.5))*100*INDEX('League Config'!$J$4:$J$9,MATCH(A60,'League Config'!$E$4:$E$9,0))))</f>
        <v>55.104166666666657</v>
      </c>
      <c r="M60">
        <f>IF(A60="K",'League Config'!$B$14,IF(A60="DST",'League Config'!$B$15,IF(A60="QB",'League Config'!$B$16,0)))</f>
        <v>0</v>
      </c>
      <c r="N60" s="4">
        <f t="shared" si="3"/>
        <v>67.024115000000009</v>
      </c>
      <c r="O60" s="9">
        <f t="shared" si="4"/>
        <v>67.024115000000009</v>
      </c>
      <c r="P60" s="6">
        <f>IF(O60="","",COUNTIF($O$3:$O$232,"&gt;"&amp;O60)+COUNTIF($O$3:O60,O60))</f>
        <v>73</v>
      </c>
      <c r="Q60">
        <f t="shared" si="5"/>
        <v>73</v>
      </c>
      <c r="R60" s="4">
        <f>'LIVE SOURCE'!E60</f>
        <v>68.8</v>
      </c>
      <c r="S60" s="4">
        <f t="shared" si="6"/>
        <v>-4.2000000000000028</v>
      </c>
      <c r="T60" t="str">
        <f>'LIVE SOURCE'!F60</f>
        <v>A</v>
      </c>
      <c r="U60" s="4">
        <f t="shared" si="7"/>
        <v>70.091800000000006</v>
      </c>
      <c r="V60" s="4">
        <f t="shared" si="8"/>
        <v>76.091800000000006</v>
      </c>
      <c r="W60" s="4">
        <f t="shared" si="9"/>
        <v>82.091800000000006</v>
      </c>
      <c r="X60" t="str">
        <f>'LIVE SOURCE'!G60</f>
        <v>RATE-ADJUSTED VETERAN</v>
      </c>
      <c r="Y60" t="str">
        <f>IF(INDEX('Draft Board'!$J$3:$J$232,Q60)="","Available",INDEX('Draft Board'!$J$3:$J$232,Q60))</f>
        <v>Available</v>
      </c>
      <c r="Z60">
        <f t="shared" si="10"/>
        <v>73</v>
      </c>
    </row>
    <row r="61" spans="1:26" x14ac:dyDescent="0.25">
      <c r="A61" t="str">
        <f>'LIVE SOURCE'!A61</f>
        <v>RB</v>
      </c>
      <c r="B61" t="str">
        <f>'LIVE SOURCE'!B61</f>
        <v>Rico Dowdle</v>
      </c>
      <c r="C61" s="4">
        <f>'LIVE SOURCE'!D61</f>
        <v>75.785799999999995</v>
      </c>
      <c r="D61" s="4">
        <f>'Manual Adjustments'!G61</f>
        <v>0</v>
      </c>
      <c r="E61" s="4">
        <f t="shared" si="0"/>
        <v>75.785799999999995</v>
      </c>
      <c r="F61">
        <f>COUNTIFS($A$3:$A$232,A61,$E$3:$E$232,"&gt;"&amp;E61)+COUNTIFS($A$3:A61,A61,$E$3:E61,E61)</f>
        <v>27</v>
      </c>
      <c r="G61" s="4">
        <f>ROUND(INDEX('League Config'!$K$4:$K$9,MATCH(A61,'League Config'!$E$4:$E$9,0))*E61+INDEX('League Config'!$L$4:$L$9,MATCH(A61,'League Config'!$E$4:$E$9,0)),1)</f>
        <v>248.3</v>
      </c>
      <c r="H61">
        <f>INDEX('League Config'!$H$4:$H$9,MATCH(A61,'League Config'!$E$4:$E$9,0))</f>
        <v>32</v>
      </c>
      <c r="I61" s="4">
        <f>INDEX('League Config'!$I$4:$I$9,MATCH(A61,'League Config'!$E$4:$E$9,0))</f>
        <v>239</v>
      </c>
      <c r="J61" s="4">
        <f t="shared" si="1"/>
        <v>9.3000000000000007</v>
      </c>
      <c r="K61" s="4">
        <f t="shared" si="2"/>
        <v>55.58</v>
      </c>
      <c r="L61" s="4">
        <f>MIN(100,MAX(0,(1-(F61-1)/(H61*1.5))*100*INDEX('League Config'!$J$4:$J$9,MATCH(A61,'League Config'!$E$4:$E$9,0))))</f>
        <v>52.708333333333329</v>
      </c>
      <c r="M61">
        <f>IF(A61="K",'League Config'!$B$14,IF(A61="DST",'League Config'!$B$15,IF(A61="QB",'League Config'!$B$16,0)))</f>
        <v>0</v>
      </c>
      <c r="N61" s="4">
        <f t="shared" si="3"/>
        <v>66.262439999999998</v>
      </c>
      <c r="O61" s="9">
        <f t="shared" si="4"/>
        <v>66.262439999999998</v>
      </c>
      <c r="P61" s="6">
        <f>IF(O61="","",COUNTIF($O$3:$O$232,"&gt;"&amp;O61)+COUNTIF($O$3:O61,O61))</f>
        <v>77</v>
      </c>
      <c r="Q61">
        <f t="shared" si="5"/>
        <v>77</v>
      </c>
      <c r="R61" s="4">
        <f>'LIVE SOURCE'!E61</f>
        <v>64.8</v>
      </c>
      <c r="S61" s="4">
        <f t="shared" si="6"/>
        <v>-12.200000000000003</v>
      </c>
      <c r="T61" t="str">
        <f>'LIVE SOURCE'!F61</f>
        <v>A</v>
      </c>
      <c r="U61" s="4">
        <f t="shared" si="7"/>
        <v>69.785799999999995</v>
      </c>
      <c r="V61" s="4">
        <f t="shared" si="8"/>
        <v>75.785799999999995</v>
      </c>
      <c r="W61" s="4">
        <f t="shared" si="9"/>
        <v>81.785799999999995</v>
      </c>
      <c r="X61" t="str">
        <f>'LIVE SOURCE'!G61</f>
        <v>RATE-ADJUSTED VETERAN</v>
      </c>
      <c r="Y61" t="str">
        <f>IF(INDEX('Draft Board'!$J$3:$J$232,Q61)="","Available",INDEX('Draft Board'!$J$3:$J$232,Q61))</f>
        <v>Available</v>
      </c>
      <c r="Z61">
        <f t="shared" si="10"/>
        <v>77</v>
      </c>
    </row>
    <row r="62" spans="1:26" x14ac:dyDescent="0.25">
      <c r="A62" t="str">
        <f>'LIVE SOURCE'!A62</f>
        <v>RB</v>
      </c>
      <c r="B62" t="str">
        <f>'LIVE SOURCE'!B62</f>
        <v>Tony Pollard</v>
      </c>
      <c r="C62" s="4">
        <f>'LIVE SOURCE'!D62</f>
        <v>75.098600000000005</v>
      </c>
      <c r="D62" s="4">
        <f>'Manual Adjustments'!G62</f>
        <v>0</v>
      </c>
      <c r="E62" s="4">
        <f t="shared" si="0"/>
        <v>75.098600000000005</v>
      </c>
      <c r="F62">
        <f>COUNTIFS($A$3:$A$232,A62,$E$3:$E$232,"&gt;"&amp;E62)+COUNTIFS($A$3:A62,A62,$E$3:E62,E62)</f>
        <v>28</v>
      </c>
      <c r="G62" s="4">
        <f>ROUND(INDEX('League Config'!$K$4:$K$9,MATCH(A62,'League Config'!$E$4:$E$9,0))*E62+INDEX('League Config'!$L$4:$L$9,MATCH(A62,'League Config'!$E$4:$E$9,0)),1)</f>
        <v>245.4</v>
      </c>
      <c r="H62">
        <f>INDEX('League Config'!$H$4:$H$9,MATCH(A62,'League Config'!$E$4:$E$9,0))</f>
        <v>32</v>
      </c>
      <c r="I62" s="4">
        <f>INDEX('League Config'!$I$4:$I$9,MATCH(A62,'League Config'!$E$4:$E$9,0))</f>
        <v>239</v>
      </c>
      <c r="J62" s="4">
        <f t="shared" si="1"/>
        <v>6.4</v>
      </c>
      <c r="K62" s="4">
        <f t="shared" si="2"/>
        <v>53.84</v>
      </c>
      <c r="L62" s="4">
        <f>MIN(100,MAX(0,(1-(F62-1)/(H62*1.5))*100*INDEX('League Config'!$J$4:$J$9,MATCH(A62,'League Config'!$E$4:$E$9,0))))</f>
        <v>50.312499999999993</v>
      </c>
      <c r="M62">
        <f>IF(A62="K",'League Config'!$B$14,IF(A62="DST",'League Config'!$B$15,IF(A62="QB",'League Config'!$B$16,0)))</f>
        <v>0</v>
      </c>
      <c r="N62" s="4">
        <f t="shared" si="3"/>
        <v>65.003105000000005</v>
      </c>
      <c r="O62" s="9">
        <f t="shared" si="4"/>
        <v>65.003105000000005</v>
      </c>
      <c r="P62" s="6">
        <f>IF(O62="","",COUNTIF($O$3:$O$232,"&gt;"&amp;O62)+COUNTIF($O$3:O62,O62))</f>
        <v>81</v>
      </c>
      <c r="Q62">
        <f t="shared" si="5"/>
        <v>81</v>
      </c>
      <c r="R62" s="4">
        <f>'LIVE SOURCE'!E62</f>
        <v>65.5</v>
      </c>
      <c r="S62" s="4">
        <f t="shared" si="6"/>
        <v>-15.5</v>
      </c>
      <c r="T62" t="str">
        <f>'LIVE SOURCE'!F62</f>
        <v>A</v>
      </c>
      <c r="U62" s="4">
        <f t="shared" si="7"/>
        <v>69.098600000000005</v>
      </c>
      <c r="V62" s="4">
        <f t="shared" si="8"/>
        <v>75.098600000000005</v>
      </c>
      <c r="W62" s="4">
        <f t="shared" si="9"/>
        <v>81.098600000000005</v>
      </c>
      <c r="X62" t="str">
        <f>'LIVE SOURCE'!G62</f>
        <v>RATE-ADJUSTED VETERAN</v>
      </c>
      <c r="Y62" t="str">
        <f>IF(INDEX('Draft Board'!$J$3:$J$232,Q62)="","Available",INDEX('Draft Board'!$J$3:$J$232,Q62))</f>
        <v>Available</v>
      </c>
      <c r="Z62">
        <f t="shared" si="10"/>
        <v>81</v>
      </c>
    </row>
    <row r="63" spans="1:26" x14ac:dyDescent="0.25">
      <c r="A63" t="str">
        <f>'LIVE SOURCE'!A63</f>
        <v>RB</v>
      </c>
      <c r="B63" t="str">
        <f>'LIVE SOURCE'!B63</f>
        <v>Rhamondre Stevenson</v>
      </c>
      <c r="C63" s="4">
        <f>'LIVE SOURCE'!D63</f>
        <v>74.588099999999997</v>
      </c>
      <c r="D63" s="4">
        <f>'Manual Adjustments'!G63</f>
        <v>0</v>
      </c>
      <c r="E63" s="4">
        <f t="shared" si="0"/>
        <v>74.588099999999997</v>
      </c>
      <c r="F63">
        <f>COUNTIFS($A$3:$A$232,A63,$E$3:$E$232,"&gt;"&amp;E63)+COUNTIFS($A$3:A63,A63,$E$3:E63,E63)</f>
        <v>29</v>
      </c>
      <c r="G63" s="4">
        <f>ROUND(INDEX('League Config'!$K$4:$K$9,MATCH(A63,'League Config'!$E$4:$E$9,0))*E63+INDEX('League Config'!$L$4:$L$9,MATCH(A63,'League Config'!$E$4:$E$9,0)),1)</f>
        <v>243.3</v>
      </c>
      <c r="H63">
        <f>INDEX('League Config'!$H$4:$H$9,MATCH(A63,'League Config'!$E$4:$E$9,0))</f>
        <v>32</v>
      </c>
      <c r="I63" s="4">
        <f>INDEX('League Config'!$I$4:$I$9,MATCH(A63,'League Config'!$E$4:$E$9,0))</f>
        <v>239</v>
      </c>
      <c r="J63" s="4">
        <f t="shared" si="1"/>
        <v>4.3</v>
      </c>
      <c r="K63" s="4">
        <f t="shared" si="2"/>
        <v>52.58</v>
      </c>
      <c r="L63" s="4">
        <f>MIN(100,MAX(0,(1-(F63-1)/(H63*1.5))*100*INDEX('League Config'!$J$4:$J$9,MATCH(A63,'League Config'!$E$4:$E$9,0))))</f>
        <v>47.916666666666657</v>
      </c>
      <c r="M63">
        <f>IF(A63="K",'League Config'!$B$14,IF(A63="DST",'League Config'!$B$15,IF(A63="QB",'League Config'!$B$16,0)))</f>
        <v>0</v>
      </c>
      <c r="N63" s="4">
        <f t="shared" si="3"/>
        <v>63.984954999999999</v>
      </c>
      <c r="O63" s="9">
        <f t="shared" si="4"/>
        <v>63.984954999999999</v>
      </c>
      <c r="P63" s="6">
        <f>IF(O63="","",COUNTIF($O$3:$O$232,"&gt;"&amp;O63)+COUNTIF($O$3:O63,O63))</f>
        <v>84</v>
      </c>
      <c r="Q63">
        <f t="shared" si="5"/>
        <v>84</v>
      </c>
      <c r="R63" s="4">
        <f>'LIVE SOURCE'!E63</f>
        <v>72.3</v>
      </c>
      <c r="S63" s="4">
        <f t="shared" si="6"/>
        <v>-11.700000000000003</v>
      </c>
      <c r="T63" t="str">
        <f>'LIVE SOURCE'!F63</f>
        <v>A</v>
      </c>
      <c r="U63" s="4">
        <f t="shared" si="7"/>
        <v>68.588099999999997</v>
      </c>
      <c r="V63" s="4">
        <f t="shared" si="8"/>
        <v>74.588099999999997</v>
      </c>
      <c r="W63" s="4">
        <f t="shared" si="9"/>
        <v>80.588099999999997</v>
      </c>
      <c r="X63" t="str">
        <f>'LIVE SOURCE'!G63</f>
        <v>RATE-ADJUSTED VETERAN</v>
      </c>
      <c r="Y63" t="str">
        <f>IF(INDEX('Draft Board'!$J$3:$J$232,Q63)="","Available",INDEX('Draft Board'!$J$3:$J$232,Q63))</f>
        <v>Available</v>
      </c>
      <c r="Z63">
        <f t="shared" si="10"/>
        <v>84</v>
      </c>
    </row>
    <row r="64" spans="1:26" x14ac:dyDescent="0.25">
      <c r="A64" t="str">
        <f>'LIVE SOURCE'!A64</f>
        <v>RB</v>
      </c>
      <c r="B64" t="str">
        <f>'LIVE SOURCE'!B64</f>
        <v>Kenneth Gainwell</v>
      </c>
      <c r="C64" s="4">
        <f>'LIVE SOURCE'!D64</f>
        <v>74.504900000000006</v>
      </c>
      <c r="D64" s="4">
        <f>'Manual Adjustments'!G64</f>
        <v>0</v>
      </c>
      <c r="E64" s="4">
        <f t="shared" si="0"/>
        <v>74.504900000000006</v>
      </c>
      <c r="F64">
        <f>COUNTIFS($A$3:$A$232,A64,$E$3:$E$232,"&gt;"&amp;E64)+COUNTIFS($A$3:A64,A64,$E$3:E64,E64)</f>
        <v>30</v>
      </c>
      <c r="G64" s="4">
        <f>ROUND(INDEX('League Config'!$K$4:$K$9,MATCH(A64,'League Config'!$E$4:$E$9,0))*E64+INDEX('League Config'!$L$4:$L$9,MATCH(A64,'League Config'!$E$4:$E$9,0)),1)</f>
        <v>242.9</v>
      </c>
      <c r="H64">
        <f>INDEX('League Config'!$H$4:$H$9,MATCH(A64,'League Config'!$E$4:$E$9,0))</f>
        <v>32</v>
      </c>
      <c r="I64" s="4">
        <f>INDEX('League Config'!$I$4:$I$9,MATCH(A64,'League Config'!$E$4:$E$9,0))</f>
        <v>239</v>
      </c>
      <c r="J64" s="4">
        <f t="shared" si="1"/>
        <v>3.9</v>
      </c>
      <c r="K64" s="4">
        <f t="shared" si="2"/>
        <v>52.34</v>
      </c>
      <c r="L64" s="4">
        <f>MIN(100,MAX(0,(1-(F64-1)/(H64*1.5))*100*INDEX('League Config'!$J$4:$J$9,MATCH(A64,'League Config'!$E$4:$E$9,0))))</f>
        <v>45.520833333333336</v>
      </c>
      <c r="M64">
        <f>IF(A64="K",'League Config'!$B$14,IF(A64="DST",'League Config'!$B$15,IF(A64="QB",'League Config'!$B$16,0)))</f>
        <v>0</v>
      </c>
      <c r="N64" s="4">
        <f t="shared" si="3"/>
        <v>63.507820000000002</v>
      </c>
      <c r="O64" s="9">
        <f t="shared" si="4"/>
        <v>63.507820000000002</v>
      </c>
      <c r="P64" s="6">
        <f>IF(O64="","",COUNTIF($O$3:$O$232,"&gt;"&amp;O64)+COUNTIF($O$3:O64,O64))</f>
        <v>86</v>
      </c>
      <c r="Q64">
        <f t="shared" si="5"/>
        <v>86</v>
      </c>
      <c r="R64" s="4">
        <f>'LIVE SOURCE'!E64</f>
        <v>123.8</v>
      </c>
      <c r="S64" s="4">
        <f t="shared" si="6"/>
        <v>37.799999999999997</v>
      </c>
      <c r="T64" t="str">
        <f>'LIVE SOURCE'!F64</f>
        <v>A</v>
      </c>
      <c r="U64" s="4">
        <f t="shared" si="7"/>
        <v>68.504900000000006</v>
      </c>
      <c r="V64" s="4">
        <f t="shared" si="8"/>
        <v>74.504900000000006</v>
      </c>
      <c r="W64" s="4">
        <f t="shared" si="9"/>
        <v>80.504900000000006</v>
      </c>
      <c r="X64" t="str">
        <f>'LIVE SOURCE'!G64</f>
        <v>RATE-ADJUSTED VETERAN</v>
      </c>
      <c r="Y64" t="str">
        <f>IF(INDEX('Draft Board'!$J$3:$J$232,Q64)="","Available",INDEX('Draft Board'!$J$3:$J$232,Q64))</f>
        <v>Available</v>
      </c>
      <c r="Z64">
        <f t="shared" si="10"/>
        <v>86</v>
      </c>
    </row>
    <row r="65" spans="1:26" x14ac:dyDescent="0.25">
      <c r="A65" t="str">
        <f>'LIVE SOURCE'!A65</f>
        <v>RB</v>
      </c>
      <c r="B65" t="str">
        <f>'LIVE SOURCE'!B65</f>
        <v>Bhayshul Tuten</v>
      </c>
      <c r="C65" s="4">
        <f>'LIVE SOURCE'!D65</f>
        <v>74.467699999999994</v>
      </c>
      <c r="D65" s="4">
        <f>'Manual Adjustments'!G65</f>
        <v>0</v>
      </c>
      <c r="E65" s="4">
        <f t="shared" si="0"/>
        <v>74.467699999999994</v>
      </c>
      <c r="F65">
        <f>COUNTIFS($A$3:$A$232,A65,$E$3:$E$232,"&gt;"&amp;E65)+COUNTIFS($A$3:A65,A65,$E$3:E65,E65)</f>
        <v>31</v>
      </c>
      <c r="G65" s="4">
        <f>ROUND(INDEX('League Config'!$K$4:$K$9,MATCH(A65,'League Config'!$E$4:$E$9,0))*E65+INDEX('League Config'!$L$4:$L$9,MATCH(A65,'League Config'!$E$4:$E$9,0)),1)</f>
        <v>242.8</v>
      </c>
      <c r="H65">
        <f>INDEX('League Config'!$H$4:$H$9,MATCH(A65,'League Config'!$E$4:$E$9,0))</f>
        <v>32</v>
      </c>
      <c r="I65" s="4">
        <f>INDEX('League Config'!$I$4:$I$9,MATCH(A65,'League Config'!$E$4:$E$9,0))</f>
        <v>239</v>
      </c>
      <c r="J65" s="4">
        <f t="shared" si="1"/>
        <v>3.8</v>
      </c>
      <c r="K65" s="4">
        <f t="shared" si="2"/>
        <v>52.28</v>
      </c>
      <c r="L65" s="4">
        <f>MIN(100,MAX(0,(1-(F65-1)/(H65*1.5))*100*INDEX('League Config'!$J$4:$J$9,MATCH(A65,'League Config'!$E$4:$E$9,0))))</f>
        <v>43.125</v>
      </c>
      <c r="M65">
        <f>IF(A65="K",'League Config'!$B$14,IF(A65="DST",'League Config'!$B$15,IF(A65="QB",'League Config'!$B$16,0)))</f>
        <v>0</v>
      </c>
      <c r="N65" s="4">
        <f t="shared" si="3"/>
        <v>63.109984999999995</v>
      </c>
      <c r="O65" s="9">
        <f t="shared" si="4"/>
        <v>63.109984999999995</v>
      </c>
      <c r="P65" s="6">
        <f>IF(O65="","",COUNTIF($O$3:$O$232,"&gt;"&amp;O65)+COUNTIF($O$3:O65,O65))</f>
        <v>87</v>
      </c>
      <c r="Q65">
        <f t="shared" si="5"/>
        <v>87</v>
      </c>
      <c r="R65" s="4">
        <f>'LIVE SOURCE'!E65</f>
        <v>52.3</v>
      </c>
      <c r="S65" s="4">
        <f t="shared" si="6"/>
        <v>-34.700000000000003</v>
      </c>
      <c r="T65" t="str">
        <f>'LIVE SOURCE'!F65</f>
        <v>A</v>
      </c>
      <c r="U65" s="4">
        <f t="shared" si="7"/>
        <v>68.467699999999994</v>
      </c>
      <c r="V65" s="4">
        <f t="shared" si="8"/>
        <v>74.467699999999994</v>
      </c>
      <c r="W65" s="4">
        <f t="shared" si="9"/>
        <v>80.467699999999994</v>
      </c>
      <c r="X65" t="str">
        <f>'LIVE SOURCE'!G65</f>
        <v>RATE-ADJUSTED VETERAN</v>
      </c>
      <c r="Y65" t="str">
        <f>IF(INDEX('Draft Board'!$J$3:$J$232,Q65)="","Available",INDEX('Draft Board'!$J$3:$J$232,Q65))</f>
        <v>Available</v>
      </c>
      <c r="Z65">
        <f t="shared" si="10"/>
        <v>87</v>
      </c>
    </row>
    <row r="66" spans="1:26" x14ac:dyDescent="0.25">
      <c r="A66" t="str">
        <f>'LIVE SOURCE'!A66</f>
        <v>RB</v>
      </c>
      <c r="B66" t="str">
        <f>'LIVE SOURCE'!B66</f>
        <v>RJ Harvey</v>
      </c>
      <c r="C66" s="4">
        <f>'LIVE SOURCE'!D66</f>
        <v>73.567800000000005</v>
      </c>
      <c r="D66" s="4">
        <f>'Manual Adjustments'!G66</f>
        <v>0</v>
      </c>
      <c r="E66" s="4">
        <f t="shared" si="0"/>
        <v>73.567800000000005</v>
      </c>
      <c r="F66">
        <f>COUNTIFS($A$3:$A$232,A66,$E$3:$E$232,"&gt;"&amp;E66)+COUNTIFS($A$3:A66,A66,$E$3:E66,E66)</f>
        <v>32</v>
      </c>
      <c r="G66" s="4">
        <f>ROUND(INDEX('League Config'!$K$4:$K$9,MATCH(A66,'League Config'!$E$4:$E$9,0))*E66+INDEX('League Config'!$L$4:$L$9,MATCH(A66,'League Config'!$E$4:$E$9,0)),1)</f>
        <v>239</v>
      </c>
      <c r="H66">
        <f>INDEX('League Config'!$H$4:$H$9,MATCH(A66,'League Config'!$E$4:$E$9,0))</f>
        <v>32</v>
      </c>
      <c r="I66" s="4">
        <f>INDEX('League Config'!$I$4:$I$9,MATCH(A66,'League Config'!$E$4:$E$9,0))</f>
        <v>239</v>
      </c>
      <c r="J66" s="4">
        <f t="shared" si="1"/>
        <v>0</v>
      </c>
      <c r="K66" s="4">
        <f t="shared" si="2"/>
        <v>50</v>
      </c>
      <c r="L66" s="4">
        <f>MIN(100,MAX(0,(1-(F66-1)/(H66*1.5))*100*INDEX('League Config'!$J$4:$J$9,MATCH(A66,'League Config'!$E$4:$E$9,0))))</f>
        <v>40.729166666666664</v>
      </c>
      <c r="M66">
        <f>IF(A66="K",'League Config'!$B$14,IF(A66="DST",'League Config'!$B$15,IF(A66="QB",'League Config'!$B$16,0)))</f>
        <v>0</v>
      </c>
      <c r="N66" s="4">
        <f t="shared" si="3"/>
        <v>61.571665000000003</v>
      </c>
      <c r="O66" s="9">
        <f t="shared" si="4"/>
        <v>61.571665000000003</v>
      </c>
      <c r="P66" s="6">
        <f>IF(O66="","",COUNTIF($O$3:$O$232,"&gt;"&amp;O66)+COUNTIF($O$3:O66,O66))</f>
        <v>92</v>
      </c>
      <c r="Q66">
        <f t="shared" si="5"/>
        <v>92</v>
      </c>
      <c r="R66" s="4">
        <f>'LIVE SOURCE'!E66</f>
        <v>82.6</v>
      </c>
      <c r="S66" s="4">
        <f t="shared" si="6"/>
        <v>-9.4000000000000057</v>
      </c>
      <c r="T66" t="str">
        <f>'LIVE SOURCE'!F66</f>
        <v>A</v>
      </c>
      <c r="U66" s="4">
        <f t="shared" si="7"/>
        <v>67.567800000000005</v>
      </c>
      <c r="V66" s="4">
        <f t="shared" si="8"/>
        <v>73.567800000000005</v>
      </c>
      <c r="W66" s="4">
        <f t="shared" si="9"/>
        <v>79.567800000000005</v>
      </c>
      <c r="X66" t="str">
        <f>'LIVE SOURCE'!G66</f>
        <v>RATE-ADJUSTED VETERAN</v>
      </c>
      <c r="Y66" t="str">
        <f>IF(INDEX('Draft Board'!$J$3:$J$232,Q66)="","Available",INDEX('Draft Board'!$J$3:$J$232,Q66))</f>
        <v>Available</v>
      </c>
      <c r="Z66">
        <f t="shared" si="10"/>
        <v>92</v>
      </c>
    </row>
    <row r="67" spans="1:26" x14ac:dyDescent="0.25">
      <c r="A67" t="str">
        <f>'LIVE SOURCE'!A67</f>
        <v>RB</v>
      </c>
      <c r="B67" t="str">
        <f>'LIVE SOURCE'!B67</f>
        <v>Kyle Monangai</v>
      </c>
      <c r="C67" s="4">
        <f>'LIVE SOURCE'!D67</f>
        <v>72.610200000000006</v>
      </c>
      <c r="D67" s="4">
        <f>'Manual Adjustments'!G67</f>
        <v>0</v>
      </c>
      <c r="E67" s="4">
        <f t="shared" ref="E67:E130" si="11">MAX(40,MIN(100,C67+D67))</f>
        <v>72.610200000000006</v>
      </c>
      <c r="F67">
        <f>COUNTIFS($A$3:$A$232,A67,$E$3:$E$232,"&gt;"&amp;E67)+COUNTIFS($A$3:A67,A67,$E$3:E67,E67)</f>
        <v>33</v>
      </c>
      <c r="G67" s="4">
        <f>ROUND(INDEX('League Config'!$K$4:$K$9,MATCH(A67,'League Config'!$E$4:$E$9,0))*E67+INDEX('League Config'!$L$4:$L$9,MATCH(A67,'League Config'!$E$4:$E$9,0)),1)</f>
        <v>235</v>
      </c>
      <c r="H67">
        <f>INDEX('League Config'!$H$4:$H$9,MATCH(A67,'League Config'!$E$4:$E$9,0))</f>
        <v>32</v>
      </c>
      <c r="I67" s="4">
        <f>INDEX('League Config'!$I$4:$I$9,MATCH(A67,'League Config'!$E$4:$E$9,0))</f>
        <v>239</v>
      </c>
      <c r="J67" s="4">
        <f t="shared" ref="J67:J130" si="12">ROUND(G67-I67,1)</f>
        <v>-4</v>
      </c>
      <c r="K67" s="4">
        <f t="shared" ref="K67:K130" si="13">MAX(0,MIN(100,50+J67*0.6))</f>
        <v>47.6</v>
      </c>
      <c r="L67" s="4">
        <f>MIN(100,MAX(0,(1-(F67-1)/(H67*1.5))*100*INDEX('League Config'!$J$4:$J$9,MATCH(A67,'League Config'!$E$4:$E$9,0))))</f>
        <v>38.333333333333336</v>
      </c>
      <c r="M67">
        <f>IF(A67="K",'League Config'!$B$14,IF(A67="DST",'League Config'!$B$15,IF(A67="QB",'League Config'!$B$16,0)))</f>
        <v>0</v>
      </c>
      <c r="N67" s="4">
        <f t="shared" ref="N67:N130" si="14">MIN(100,MAX(0,0.55*E67+0.3*K67+0.15*L67-M67))</f>
        <v>59.965610000000005</v>
      </c>
      <c r="O67" s="9">
        <f t="shared" ref="O67:O130" si="15">IF(OR(A67="K",A67="DST"),"",N67)</f>
        <v>59.965610000000005</v>
      </c>
      <c r="P67" s="6">
        <f>IF(O67="","",COUNTIF($O$3:$O$232,"&gt;"&amp;O67)+COUNTIF($O$3:O67,O67))</f>
        <v>98</v>
      </c>
      <c r="Q67">
        <f t="shared" ref="Q67:Q130" si="16">IF(A67="DST",IF(F67&lt;=GateSize,DstStart-1+F67,NSkill+2*GateSize+F67-GateSize),IF(A67="K",IF(F67&lt;=GateSize,KStart-1+F67,NSkill+GateSize+NDst+F67-GateSize),IF(P67&lt;=DstStart-1,P67,P67+2*GateSize)))</f>
        <v>98</v>
      </c>
      <c r="R67" s="4">
        <f>'LIVE SOURCE'!E67</f>
        <v>100.3</v>
      </c>
      <c r="S67" s="4">
        <f t="shared" ref="S67:S130" si="17">R67-Q67</f>
        <v>2.2999999999999972</v>
      </c>
      <c r="T67" t="str">
        <f>'LIVE SOURCE'!F67</f>
        <v>A</v>
      </c>
      <c r="U67" s="4">
        <f t="shared" ref="U67:U130" si="18">MAX(40,E67-IF(T67="A",6,IF(T67="B",9,12)))</f>
        <v>66.610200000000006</v>
      </c>
      <c r="V67" s="4">
        <f t="shared" ref="V67:V130" si="19">E67</f>
        <v>72.610200000000006</v>
      </c>
      <c r="W67" s="4">
        <f t="shared" ref="W67:W130" si="20">MIN(100,E67+IF(T67="A",6,IF(T67="B",9,12)))</f>
        <v>78.610200000000006</v>
      </c>
      <c r="X67" t="str">
        <f>'LIVE SOURCE'!G67</f>
        <v>RATE-ADJUSTED VETERAN</v>
      </c>
      <c r="Y67" t="str">
        <f>IF(INDEX('Draft Board'!$J$3:$J$232,Q67)="","Available",INDEX('Draft Board'!$J$3:$J$232,Q67))</f>
        <v>Available</v>
      </c>
      <c r="Z67">
        <f t="shared" ref="Z67:Z130" si="21">IF(Y67&lt;&gt;"Available","",1+COUNTIFS($Y$3:$Y$232,"Available",$Q$3:$Q$232,"&lt;"&amp;Q67))</f>
        <v>98</v>
      </c>
    </row>
    <row r="68" spans="1:26" x14ac:dyDescent="0.25">
      <c r="A68" t="str">
        <f>'LIVE SOURCE'!A68</f>
        <v>RB</v>
      </c>
      <c r="B68" t="str">
        <f>'LIVE SOURCE'!B68</f>
        <v>Chuba Hubbard</v>
      </c>
      <c r="C68" s="4">
        <f>'LIVE SOURCE'!D68</f>
        <v>71.866699999999994</v>
      </c>
      <c r="D68" s="4">
        <f>'Manual Adjustments'!G68</f>
        <v>0</v>
      </c>
      <c r="E68" s="4">
        <f t="shared" si="11"/>
        <v>71.866699999999994</v>
      </c>
      <c r="F68">
        <f>COUNTIFS($A$3:$A$232,A68,$E$3:$E$232,"&gt;"&amp;E68)+COUNTIFS($A$3:A68,A68,$E$3:E68,E68)</f>
        <v>34</v>
      </c>
      <c r="G68" s="4">
        <f>ROUND(INDEX('League Config'!$K$4:$K$9,MATCH(A68,'League Config'!$E$4:$E$9,0))*E68+INDEX('League Config'!$L$4:$L$9,MATCH(A68,'League Config'!$E$4:$E$9,0)),1)</f>
        <v>231.8</v>
      </c>
      <c r="H68">
        <f>INDEX('League Config'!$H$4:$H$9,MATCH(A68,'League Config'!$E$4:$E$9,0))</f>
        <v>32</v>
      </c>
      <c r="I68" s="4">
        <f>INDEX('League Config'!$I$4:$I$9,MATCH(A68,'League Config'!$E$4:$E$9,0))</f>
        <v>239</v>
      </c>
      <c r="J68" s="4">
        <f t="shared" si="12"/>
        <v>-7.2</v>
      </c>
      <c r="K68" s="4">
        <f t="shared" si="13"/>
        <v>45.68</v>
      </c>
      <c r="L68" s="4">
        <f>MIN(100,MAX(0,(1-(F68-1)/(H68*1.5))*100*INDEX('League Config'!$J$4:$J$9,MATCH(A68,'League Config'!$E$4:$E$9,0))))</f>
        <v>35.9375</v>
      </c>
      <c r="M68">
        <f>IF(A68="K",'League Config'!$B$14,IF(A68="DST",'League Config'!$B$15,IF(A68="QB",'League Config'!$B$16,0)))</f>
        <v>0</v>
      </c>
      <c r="N68" s="4">
        <f t="shared" si="14"/>
        <v>58.621310000000001</v>
      </c>
      <c r="O68" s="9">
        <f t="shared" si="15"/>
        <v>58.621310000000001</v>
      </c>
      <c r="P68" s="6">
        <f>IF(O68="","",COUNTIF($O$3:$O$232,"&gt;"&amp;O68)+COUNTIF($O$3:O68,O68))</f>
        <v>100</v>
      </c>
      <c r="Q68">
        <f t="shared" si="16"/>
        <v>100</v>
      </c>
      <c r="R68" s="4">
        <f>'LIVE SOURCE'!E68</f>
        <v>75.900000000000006</v>
      </c>
      <c r="S68" s="4">
        <f t="shared" si="17"/>
        <v>-24.099999999999994</v>
      </c>
      <c r="T68" t="str">
        <f>'LIVE SOURCE'!F68</f>
        <v>A</v>
      </c>
      <c r="U68" s="4">
        <f t="shared" si="18"/>
        <v>65.866699999999994</v>
      </c>
      <c r="V68" s="4">
        <f t="shared" si="19"/>
        <v>71.866699999999994</v>
      </c>
      <c r="W68" s="4">
        <f t="shared" si="20"/>
        <v>77.866699999999994</v>
      </c>
      <c r="X68" t="str">
        <f>'LIVE SOURCE'!G68</f>
        <v>RATE-ADJUSTED VETERAN</v>
      </c>
      <c r="Y68" t="str">
        <f>IF(INDEX('Draft Board'!$J$3:$J$232,Q68)="","Available",INDEX('Draft Board'!$J$3:$J$232,Q68))</f>
        <v>Available</v>
      </c>
      <c r="Z68">
        <f t="shared" si="21"/>
        <v>100</v>
      </c>
    </row>
    <row r="69" spans="1:26" x14ac:dyDescent="0.25">
      <c r="A69" t="str">
        <f>'LIVE SOURCE'!A69</f>
        <v>RB</v>
      </c>
      <c r="B69" t="str">
        <f>'LIVE SOURCE'!B69</f>
        <v>Aaron Jones Sr.</v>
      </c>
      <c r="C69" s="4">
        <f>'LIVE SOURCE'!D69</f>
        <v>71.697699999999998</v>
      </c>
      <c r="D69" s="4">
        <f>'Manual Adjustments'!G69</f>
        <v>0</v>
      </c>
      <c r="E69" s="4">
        <f t="shared" si="11"/>
        <v>71.697699999999998</v>
      </c>
      <c r="F69">
        <f>COUNTIFS($A$3:$A$232,A69,$E$3:$E$232,"&gt;"&amp;E69)+COUNTIFS($A$3:A69,A69,$E$3:E69,E69)</f>
        <v>35</v>
      </c>
      <c r="G69" s="4">
        <f>ROUND(INDEX('League Config'!$K$4:$K$9,MATCH(A69,'League Config'!$E$4:$E$9,0))*E69+INDEX('League Config'!$L$4:$L$9,MATCH(A69,'League Config'!$E$4:$E$9,0)),1)</f>
        <v>231.1</v>
      </c>
      <c r="H69">
        <f>INDEX('League Config'!$H$4:$H$9,MATCH(A69,'League Config'!$E$4:$E$9,0))</f>
        <v>32</v>
      </c>
      <c r="I69" s="4">
        <f>INDEX('League Config'!$I$4:$I$9,MATCH(A69,'League Config'!$E$4:$E$9,0))</f>
        <v>239</v>
      </c>
      <c r="J69" s="4">
        <f t="shared" si="12"/>
        <v>-7.9</v>
      </c>
      <c r="K69" s="4">
        <f t="shared" si="13"/>
        <v>45.26</v>
      </c>
      <c r="L69" s="4">
        <f>MIN(100,MAX(0,(1-(F69-1)/(H69*1.5))*100*INDEX('League Config'!$J$4:$J$9,MATCH(A69,'League Config'!$E$4:$E$9,0))))</f>
        <v>33.541666666666664</v>
      </c>
      <c r="M69">
        <f>IF(A69="K",'League Config'!$B$14,IF(A69="DST",'League Config'!$B$15,IF(A69="QB",'League Config'!$B$16,0)))</f>
        <v>0</v>
      </c>
      <c r="N69" s="4">
        <f t="shared" si="14"/>
        <v>58.042985000000002</v>
      </c>
      <c r="O69" s="9">
        <f t="shared" si="15"/>
        <v>58.042985000000002</v>
      </c>
      <c r="P69" s="6">
        <f>IF(O69="","",COUNTIF($O$3:$O$232,"&gt;"&amp;O69)+COUNTIF($O$3:O69,O69))</f>
        <v>102</v>
      </c>
      <c r="Q69">
        <f t="shared" si="16"/>
        <v>102</v>
      </c>
      <c r="R69" s="4">
        <f>'LIVE SOURCE'!E69</f>
        <v>90.7</v>
      </c>
      <c r="S69" s="4">
        <f t="shared" si="17"/>
        <v>-11.299999999999997</v>
      </c>
      <c r="T69" t="str">
        <f>'LIVE SOURCE'!F69</f>
        <v>A</v>
      </c>
      <c r="U69" s="4">
        <f t="shared" si="18"/>
        <v>65.697699999999998</v>
      </c>
      <c r="V69" s="4">
        <f t="shared" si="19"/>
        <v>71.697699999999998</v>
      </c>
      <c r="W69" s="4">
        <f t="shared" si="20"/>
        <v>77.697699999999998</v>
      </c>
      <c r="X69" t="str">
        <f>'LIVE SOURCE'!G69</f>
        <v>RATE-ADJUSTED VETERAN</v>
      </c>
      <c r="Y69" t="str">
        <f>IF(INDEX('Draft Board'!$J$3:$J$232,Q69)="","Available",INDEX('Draft Board'!$J$3:$J$232,Q69))</f>
        <v>Available</v>
      </c>
      <c r="Z69">
        <f t="shared" si="21"/>
        <v>102</v>
      </c>
    </row>
    <row r="70" spans="1:26" x14ac:dyDescent="0.25">
      <c r="A70" t="str">
        <f>'LIVE SOURCE'!A70</f>
        <v>RB</v>
      </c>
      <c r="B70" t="str">
        <f>'LIVE SOURCE'!B70</f>
        <v>J.K. Dobbins</v>
      </c>
      <c r="C70" s="4">
        <f>'LIVE SOURCE'!D70</f>
        <v>71.166600000000003</v>
      </c>
      <c r="D70" s="4">
        <f>'Manual Adjustments'!G70</f>
        <v>0</v>
      </c>
      <c r="E70" s="4">
        <f t="shared" si="11"/>
        <v>71.166600000000003</v>
      </c>
      <c r="F70">
        <f>COUNTIFS($A$3:$A$232,A70,$E$3:$E$232,"&gt;"&amp;E70)+COUNTIFS($A$3:A70,A70,$E$3:E70,E70)</f>
        <v>36</v>
      </c>
      <c r="G70" s="4">
        <f>ROUND(INDEX('League Config'!$K$4:$K$9,MATCH(A70,'League Config'!$E$4:$E$9,0))*E70+INDEX('League Config'!$L$4:$L$9,MATCH(A70,'League Config'!$E$4:$E$9,0)),1)</f>
        <v>228.9</v>
      </c>
      <c r="H70">
        <f>INDEX('League Config'!$H$4:$H$9,MATCH(A70,'League Config'!$E$4:$E$9,0))</f>
        <v>32</v>
      </c>
      <c r="I70" s="4">
        <f>INDEX('League Config'!$I$4:$I$9,MATCH(A70,'League Config'!$E$4:$E$9,0))</f>
        <v>239</v>
      </c>
      <c r="J70" s="4">
        <f t="shared" si="12"/>
        <v>-10.1</v>
      </c>
      <c r="K70" s="4">
        <f t="shared" si="13"/>
        <v>43.94</v>
      </c>
      <c r="L70" s="4">
        <f>MIN(100,MAX(0,(1-(F70-1)/(H70*1.5))*100*INDEX('League Config'!$J$4:$J$9,MATCH(A70,'League Config'!$E$4:$E$9,0))))</f>
        <v>31.145833333333332</v>
      </c>
      <c r="M70">
        <f>IF(A70="K",'League Config'!$B$14,IF(A70="DST",'League Config'!$B$15,IF(A70="QB",'League Config'!$B$16,0)))</f>
        <v>0</v>
      </c>
      <c r="N70" s="4">
        <f t="shared" si="14"/>
        <v>56.995505000000009</v>
      </c>
      <c r="O70" s="9">
        <f t="shared" si="15"/>
        <v>56.995505000000009</v>
      </c>
      <c r="P70" s="6">
        <f>IF(O70="","",COUNTIF($O$3:$O$232,"&gt;"&amp;O70)+COUNTIF($O$3:O70,O70))</f>
        <v>106</v>
      </c>
      <c r="Q70">
        <f t="shared" si="16"/>
        <v>106</v>
      </c>
      <c r="R70" s="4">
        <f>'LIVE SOURCE'!E70</f>
        <v>91.9</v>
      </c>
      <c r="S70" s="4">
        <f t="shared" si="17"/>
        <v>-14.099999999999994</v>
      </c>
      <c r="T70" t="str">
        <f>'LIVE SOURCE'!F70</f>
        <v>B</v>
      </c>
      <c r="U70" s="4">
        <f t="shared" si="18"/>
        <v>62.166600000000003</v>
      </c>
      <c r="V70" s="4">
        <f t="shared" si="19"/>
        <v>71.166600000000003</v>
      </c>
      <c r="W70" s="4">
        <f t="shared" si="20"/>
        <v>80.166600000000003</v>
      </c>
      <c r="X70" t="str">
        <f>'LIVE SOURCE'!G70</f>
        <v>RATE-ADJUSTED VETERAN</v>
      </c>
      <c r="Y70" t="str">
        <f>IF(INDEX('Draft Board'!$J$3:$J$232,Q70)="","Available",INDEX('Draft Board'!$J$3:$J$232,Q70))</f>
        <v>Available</v>
      </c>
      <c r="Z70">
        <f t="shared" si="21"/>
        <v>106</v>
      </c>
    </row>
    <row r="71" spans="1:26" x14ac:dyDescent="0.25">
      <c r="A71" t="str">
        <f>'LIVE SOURCE'!A71</f>
        <v>RB</v>
      </c>
      <c r="B71" t="str">
        <f>'LIVE SOURCE'!B71</f>
        <v>Blake Corum</v>
      </c>
      <c r="C71" s="4">
        <f>'LIVE SOURCE'!D71</f>
        <v>69.519599999999997</v>
      </c>
      <c r="D71" s="4">
        <f>'Manual Adjustments'!G71</f>
        <v>0</v>
      </c>
      <c r="E71" s="4">
        <f t="shared" si="11"/>
        <v>69.519599999999997</v>
      </c>
      <c r="F71">
        <f>COUNTIFS($A$3:$A$232,A71,$E$3:$E$232,"&gt;"&amp;E71)+COUNTIFS($A$3:A71,A71,$E$3:E71,E71)</f>
        <v>37</v>
      </c>
      <c r="G71" s="4">
        <f>ROUND(INDEX('League Config'!$K$4:$K$9,MATCH(A71,'League Config'!$E$4:$E$9,0))*E71+INDEX('League Config'!$L$4:$L$9,MATCH(A71,'League Config'!$E$4:$E$9,0)),1)</f>
        <v>222</v>
      </c>
      <c r="H71">
        <f>INDEX('League Config'!$H$4:$H$9,MATCH(A71,'League Config'!$E$4:$E$9,0))</f>
        <v>32</v>
      </c>
      <c r="I71" s="4">
        <f>INDEX('League Config'!$I$4:$I$9,MATCH(A71,'League Config'!$E$4:$E$9,0))</f>
        <v>239</v>
      </c>
      <c r="J71" s="4">
        <f t="shared" si="12"/>
        <v>-17</v>
      </c>
      <c r="K71" s="4">
        <f t="shared" si="13"/>
        <v>39.799999999999997</v>
      </c>
      <c r="L71" s="4">
        <f>MIN(100,MAX(0,(1-(F71-1)/(H71*1.5))*100*INDEX('League Config'!$J$4:$J$9,MATCH(A71,'League Config'!$E$4:$E$9,0))))</f>
        <v>28.749999999999996</v>
      </c>
      <c r="M71">
        <f>IF(A71="K",'League Config'!$B$14,IF(A71="DST",'League Config'!$B$15,IF(A71="QB",'League Config'!$B$16,0)))</f>
        <v>0</v>
      </c>
      <c r="N71" s="4">
        <f t="shared" si="14"/>
        <v>54.488279999999996</v>
      </c>
      <c r="O71" s="9">
        <f t="shared" si="15"/>
        <v>54.488279999999996</v>
      </c>
      <c r="P71" s="6">
        <f>IF(O71="","",COUNTIF($O$3:$O$232,"&gt;"&amp;O71)+COUNTIF($O$3:O71,O71))</f>
        <v>113</v>
      </c>
      <c r="Q71">
        <f t="shared" si="16"/>
        <v>113</v>
      </c>
      <c r="R71" s="4">
        <f>'LIVE SOURCE'!E71</f>
        <v>122.4</v>
      </c>
      <c r="S71" s="4">
        <f t="shared" si="17"/>
        <v>9.4000000000000057</v>
      </c>
      <c r="T71" t="str">
        <f>'LIVE SOURCE'!F71</f>
        <v>A</v>
      </c>
      <c r="U71" s="4">
        <f t="shared" si="18"/>
        <v>63.519599999999997</v>
      </c>
      <c r="V71" s="4">
        <f t="shared" si="19"/>
        <v>69.519599999999997</v>
      </c>
      <c r="W71" s="4">
        <f t="shared" si="20"/>
        <v>75.519599999999997</v>
      </c>
      <c r="X71" t="str">
        <f>'LIVE SOURCE'!G71</f>
        <v>RATE-ADJUSTED VETERAN</v>
      </c>
      <c r="Y71" t="str">
        <f>IF(INDEX('Draft Board'!$J$3:$J$232,Q71)="","Available",INDEX('Draft Board'!$J$3:$J$232,Q71))</f>
        <v>Available</v>
      </c>
      <c r="Z71">
        <f t="shared" si="21"/>
        <v>113</v>
      </c>
    </row>
    <row r="72" spans="1:26" x14ac:dyDescent="0.25">
      <c r="A72" t="str">
        <f>'LIVE SOURCE'!A72</f>
        <v>RB</v>
      </c>
      <c r="B72" t="str">
        <f>'LIVE SOURCE'!B72</f>
        <v>Rachaad White</v>
      </c>
      <c r="C72" s="4">
        <f>'LIVE SOURCE'!D72</f>
        <v>69.203699999999998</v>
      </c>
      <c r="D72" s="4">
        <f>'Manual Adjustments'!G72</f>
        <v>0</v>
      </c>
      <c r="E72" s="4">
        <f t="shared" si="11"/>
        <v>69.203699999999998</v>
      </c>
      <c r="F72">
        <f>COUNTIFS($A$3:$A$232,A72,$E$3:$E$232,"&gt;"&amp;E72)+COUNTIFS($A$3:A72,A72,$E$3:E72,E72)</f>
        <v>38</v>
      </c>
      <c r="G72" s="4">
        <f>ROUND(INDEX('League Config'!$K$4:$K$9,MATCH(A72,'League Config'!$E$4:$E$9,0))*E72+INDEX('League Config'!$L$4:$L$9,MATCH(A72,'League Config'!$E$4:$E$9,0)),1)</f>
        <v>220.7</v>
      </c>
      <c r="H72">
        <f>INDEX('League Config'!$H$4:$H$9,MATCH(A72,'League Config'!$E$4:$E$9,0))</f>
        <v>32</v>
      </c>
      <c r="I72" s="4">
        <f>INDEX('League Config'!$I$4:$I$9,MATCH(A72,'League Config'!$E$4:$E$9,0))</f>
        <v>239</v>
      </c>
      <c r="J72" s="4">
        <f t="shared" si="12"/>
        <v>-18.3</v>
      </c>
      <c r="K72" s="4">
        <f t="shared" si="13"/>
        <v>39.019999999999996</v>
      </c>
      <c r="L72" s="4">
        <f>MIN(100,MAX(0,(1-(F72-1)/(H72*1.5))*100*INDEX('League Config'!$J$4:$J$9,MATCH(A72,'League Config'!$E$4:$E$9,0))))</f>
        <v>26.354166666666661</v>
      </c>
      <c r="M72">
        <f>IF(A72="K",'League Config'!$B$14,IF(A72="DST",'League Config'!$B$15,IF(A72="QB",'League Config'!$B$16,0)))</f>
        <v>0</v>
      </c>
      <c r="N72" s="4">
        <f t="shared" si="14"/>
        <v>53.721159999999998</v>
      </c>
      <c r="O72" s="9">
        <f t="shared" si="15"/>
        <v>53.721159999999998</v>
      </c>
      <c r="P72" s="6">
        <f>IF(O72="","",COUNTIF($O$3:$O$232,"&gt;"&amp;O72)+COUNTIF($O$3:O72,O72))</f>
        <v>116</v>
      </c>
      <c r="Q72">
        <f t="shared" si="16"/>
        <v>116</v>
      </c>
      <c r="R72" s="4">
        <f>'LIVE SOURCE'!E72</f>
        <v>99.9</v>
      </c>
      <c r="S72" s="4">
        <f t="shared" si="17"/>
        <v>-16.099999999999994</v>
      </c>
      <c r="T72" t="str">
        <f>'LIVE SOURCE'!F72</f>
        <v>A</v>
      </c>
      <c r="U72" s="4">
        <f t="shared" si="18"/>
        <v>63.203699999999998</v>
      </c>
      <c r="V72" s="4">
        <f t="shared" si="19"/>
        <v>69.203699999999998</v>
      </c>
      <c r="W72" s="4">
        <f t="shared" si="20"/>
        <v>75.203699999999998</v>
      </c>
      <c r="X72" t="str">
        <f>'LIVE SOURCE'!G72</f>
        <v>RATE-ADJUSTED VETERAN</v>
      </c>
      <c r="Y72" t="str">
        <f>IF(INDEX('Draft Board'!$J$3:$J$232,Q72)="","Available",INDEX('Draft Board'!$J$3:$J$232,Q72))</f>
        <v>Available</v>
      </c>
      <c r="Z72">
        <f t="shared" si="21"/>
        <v>116</v>
      </c>
    </row>
    <row r="73" spans="1:26" x14ac:dyDescent="0.25">
      <c r="A73" t="str">
        <f>'LIVE SOURCE'!A73</f>
        <v>RB</v>
      </c>
      <c r="B73" t="str">
        <f>'LIVE SOURCE'!B73</f>
        <v>Jacory Croskey-Merritt</v>
      </c>
      <c r="C73" s="4">
        <f>'LIVE SOURCE'!D73</f>
        <v>68.992199999999997</v>
      </c>
      <c r="D73" s="4">
        <f>'Manual Adjustments'!G73</f>
        <v>0</v>
      </c>
      <c r="E73" s="4">
        <f t="shared" si="11"/>
        <v>68.992199999999997</v>
      </c>
      <c r="F73">
        <f>COUNTIFS($A$3:$A$232,A73,$E$3:$E$232,"&gt;"&amp;E73)+COUNTIFS($A$3:A73,A73,$E$3:E73,E73)</f>
        <v>39</v>
      </c>
      <c r="G73" s="4">
        <f>ROUND(INDEX('League Config'!$K$4:$K$9,MATCH(A73,'League Config'!$E$4:$E$9,0))*E73+INDEX('League Config'!$L$4:$L$9,MATCH(A73,'League Config'!$E$4:$E$9,0)),1)</f>
        <v>219.8</v>
      </c>
      <c r="H73">
        <f>INDEX('League Config'!$H$4:$H$9,MATCH(A73,'League Config'!$E$4:$E$9,0))</f>
        <v>32</v>
      </c>
      <c r="I73" s="4">
        <f>INDEX('League Config'!$I$4:$I$9,MATCH(A73,'League Config'!$E$4:$E$9,0))</f>
        <v>239</v>
      </c>
      <c r="J73" s="4">
        <f t="shared" si="12"/>
        <v>-19.2</v>
      </c>
      <c r="K73" s="4">
        <f t="shared" si="13"/>
        <v>38.480000000000004</v>
      </c>
      <c r="L73" s="4">
        <f>MIN(100,MAX(0,(1-(F73-1)/(H73*1.5))*100*INDEX('League Config'!$J$4:$J$9,MATCH(A73,'League Config'!$E$4:$E$9,0))))</f>
        <v>23.958333333333336</v>
      </c>
      <c r="M73">
        <f>IF(A73="K",'League Config'!$B$14,IF(A73="DST",'League Config'!$B$15,IF(A73="QB",'League Config'!$B$16,0)))</f>
        <v>0</v>
      </c>
      <c r="N73" s="4">
        <f t="shared" si="14"/>
        <v>53.083460000000002</v>
      </c>
      <c r="O73" s="9">
        <f t="shared" si="15"/>
        <v>53.083460000000002</v>
      </c>
      <c r="P73" s="6">
        <f>IF(O73="","",COUNTIF($O$3:$O$232,"&gt;"&amp;O73)+COUNTIF($O$3:O73,O73))</f>
        <v>119</v>
      </c>
      <c r="Q73">
        <f t="shared" si="16"/>
        <v>119</v>
      </c>
      <c r="R73" s="4">
        <f>'LIVE SOURCE'!E73</f>
        <v>111.3</v>
      </c>
      <c r="S73" s="4">
        <f t="shared" si="17"/>
        <v>-7.7000000000000028</v>
      </c>
      <c r="T73" t="str">
        <f>'LIVE SOURCE'!F73</f>
        <v>A</v>
      </c>
      <c r="U73" s="4">
        <f t="shared" si="18"/>
        <v>62.992199999999997</v>
      </c>
      <c r="V73" s="4">
        <f t="shared" si="19"/>
        <v>68.992199999999997</v>
      </c>
      <c r="W73" s="4">
        <f t="shared" si="20"/>
        <v>74.992199999999997</v>
      </c>
      <c r="X73" t="str">
        <f>'LIVE SOURCE'!G73</f>
        <v>RATE-ADJUSTED VETERAN</v>
      </c>
      <c r="Y73" t="str">
        <f>IF(INDEX('Draft Board'!$J$3:$J$232,Q73)="","Available",INDEX('Draft Board'!$J$3:$J$232,Q73))</f>
        <v>Available</v>
      </c>
      <c r="Z73">
        <f t="shared" si="21"/>
        <v>119</v>
      </c>
    </row>
    <row r="74" spans="1:26" x14ac:dyDescent="0.25">
      <c r="A74" t="str">
        <f>'LIVE SOURCE'!A74</f>
        <v>RB</v>
      </c>
      <c r="B74" t="str">
        <f>'LIVE SOURCE'!B74</f>
        <v>Jordan Mason</v>
      </c>
      <c r="C74" s="4">
        <f>'LIVE SOURCE'!D74</f>
        <v>67.657399999999996</v>
      </c>
      <c r="D74" s="4">
        <f>'Manual Adjustments'!G74</f>
        <v>0</v>
      </c>
      <c r="E74" s="4">
        <f t="shared" si="11"/>
        <v>67.657399999999996</v>
      </c>
      <c r="F74">
        <f>COUNTIFS($A$3:$A$232,A74,$E$3:$E$232,"&gt;"&amp;E74)+COUNTIFS($A$3:A74,A74,$E$3:E74,E74)</f>
        <v>40</v>
      </c>
      <c r="G74" s="4">
        <f>ROUND(INDEX('League Config'!$K$4:$K$9,MATCH(A74,'League Config'!$E$4:$E$9,0))*E74+INDEX('League Config'!$L$4:$L$9,MATCH(A74,'League Config'!$E$4:$E$9,0)),1)</f>
        <v>214.2</v>
      </c>
      <c r="H74">
        <f>INDEX('League Config'!$H$4:$H$9,MATCH(A74,'League Config'!$E$4:$E$9,0))</f>
        <v>32</v>
      </c>
      <c r="I74" s="4">
        <f>INDEX('League Config'!$I$4:$I$9,MATCH(A74,'League Config'!$E$4:$E$9,0))</f>
        <v>239</v>
      </c>
      <c r="J74" s="4">
        <f t="shared" si="12"/>
        <v>-24.8</v>
      </c>
      <c r="K74" s="4">
        <f t="shared" si="13"/>
        <v>35.120000000000005</v>
      </c>
      <c r="L74" s="4">
        <f>MIN(100,MAX(0,(1-(F74-1)/(H74*1.5))*100*INDEX('League Config'!$J$4:$J$9,MATCH(A74,'League Config'!$E$4:$E$9,0))))</f>
        <v>21.5625</v>
      </c>
      <c r="M74">
        <f>IF(A74="K",'League Config'!$B$14,IF(A74="DST",'League Config'!$B$15,IF(A74="QB",'League Config'!$B$16,0)))</f>
        <v>0</v>
      </c>
      <c r="N74" s="4">
        <f t="shared" si="14"/>
        <v>50.981945000000003</v>
      </c>
      <c r="O74" s="9">
        <f t="shared" si="15"/>
        <v>50.981945000000003</v>
      </c>
      <c r="P74" s="6">
        <f>IF(O74="","",COUNTIF($O$3:$O$232,"&gt;"&amp;O74)+COUNTIF($O$3:O74,O74))</f>
        <v>125</v>
      </c>
      <c r="Q74">
        <f t="shared" si="16"/>
        <v>125</v>
      </c>
      <c r="R74" s="4">
        <f>'LIVE SOURCE'!E74</f>
        <v>122.8</v>
      </c>
      <c r="S74" s="4">
        <f t="shared" si="17"/>
        <v>-2.2000000000000028</v>
      </c>
      <c r="T74" t="str">
        <f>'LIVE SOURCE'!F74</f>
        <v>A</v>
      </c>
      <c r="U74" s="4">
        <f t="shared" si="18"/>
        <v>61.657399999999996</v>
      </c>
      <c r="V74" s="4">
        <f t="shared" si="19"/>
        <v>67.657399999999996</v>
      </c>
      <c r="W74" s="4">
        <f t="shared" si="20"/>
        <v>73.657399999999996</v>
      </c>
      <c r="X74" t="str">
        <f>'LIVE SOURCE'!G74</f>
        <v>RATE-ADJUSTED VETERAN</v>
      </c>
      <c r="Y74" t="str">
        <f>IF(INDEX('Draft Board'!$J$3:$J$232,Q74)="","Available",INDEX('Draft Board'!$J$3:$J$232,Q74))</f>
        <v>Available</v>
      </c>
      <c r="Z74">
        <f t="shared" si="21"/>
        <v>125</v>
      </c>
    </row>
    <row r="75" spans="1:26" x14ac:dyDescent="0.25">
      <c r="A75" t="str">
        <f>'LIVE SOURCE'!A75</f>
        <v>RB</v>
      </c>
      <c r="B75" t="str">
        <f>'LIVE SOURCE'!B75</f>
        <v>Woody Marks</v>
      </c>
      <c r="C75" s="4">
        <f>'LIVE SOURCE'!D75</f>
        <v>66.866200000000006</v>
      </c>
      <c r="D75" s="4">
        <f>'Manual Adjustments'!G75</f>
        <v>0</v>
      </c>
      <c r="E75" s="4">
        <f t="shared" si="11"/>
        <v>66.866200000000006</v>
      </c>
      <c r="F75">
        <f>COUNTIFS($A$3:$A$232,A75,$E$3:$E$232,"&gt;"&amp;E75)+COUNTIFS($A$3:A75,A75,$E$3:E75,E75)</f>
        <v>41</v>
      </c>
      <c r="G75" s="4">
        <f>ROUND(INDEX('League Config'!$K$4:$K$9,MATCH(A75,'League Config'!$E$4:$E$9,0))*E75+INDEX('League Config'!$L$4:$L$9,MATCH(A75,'League Config'!$E$4:$E$9,0)),1)</f>
        <v>210.8</v>
      </c>
      <c r="H75">
        <f>INDEX('League Config'!$H$4:$H$9,MATCH(A75,'League Config'!$E$4:$E$9,0))</f>
        <v>32</v>
      </c>
      <c r="I75" s="4">
        <f>INDEX('League Config'!$I$4:$I$9,MATCH(A75,'League Config'!$E$4:$E$9,0))</f>
        <v>239</v>
      </c>
      <c r="J75" s="4">
        <f t="shared" si="12"/>
        <v>-28.2</v>
      </c>
      <c r="K75" s="4">
        <f t="shared" si="13"/>
        <v>33.08</v>
      </c>
      <c r="L75" s="4">
        <f>MIN(100,MAX(0,(1-(F75-1)/(H75*1.5))*100*INDEX('League Config'!$J$4:$J$9,MATCH(A75,'League Config'!$E$4:$E$9,0))))</f>
        <v>19.166666666666661</v>
      </c>
      <c r="M75">
        <f>IF(A75="K",'League Config'!$B$14,IF(A75="DST",'League Config'!$B$15,IF(A75="QB",'League Config'!$B$16,0)))</f>
        <v>0</v>
      </c>
      <c r="N75" s="4">
        <f t="shared" si="14"/>
        <v>49.575410000000005</v>
      </c>
      <c r="O75" s="9">
        <f t="shared" si="15"/>
        <v>49.575410000000005</v>
      </c>
      <c r="P75" s="6">
        <f>IF(O75="","",COUNTIF($O$3:$O$232,"&gt;"&amp;O75)+COUNTIF($O$3:O75,O75))</f>
        <v>129</v>
      </c>
      <c r="Q75">
        <f t="shared" si="16"/>
        <v>129</v>
      </c>
      <c r="R75" s="4">
        <f>'LIVE SOURCE'!E75</f>
        <v>149.19999999999999</v>
      </c>
      <c r="S75" s="4">
        <f t="shared" si="17"/>
        <v>20.199999999999989</v>
      </c>
      <c r="T75" t="str">
        <f>'LIVE SOURCE'!F75</f>
        <v>A</v>
      </c>
      <c r="U75" s="4">
        <f t="shared" si="18"/>
        <v>60.866200000000006</v>
      </c>
      <c r="V75" s="4">
        <f t="shared" si="19"/>
        <v>66.866200000000006</v>
      </c>
      <c r="W75" s="4">
        <f t="shared" si="20"/>
        <v>72.866200000000006</v>
      </c>
      <c r="X75" t="str">
        <f>'LIVE SOURCE'!G75</f>
        <v>RATE-ADJUSTED VETERAN</v>
      </c>
      <c r="Y75" t="str">
        <f>IF(INDEX('Draft Board'!$J$3:$J$232,Q75)="","Available",INDEX('Draft Board'!$J$3:$J$232,Q75))</f>
        <v>Available</v>
      </c>
      <c r="Z75">
        <f t="shared" si="21"/>
        <v>129</v>
      </c>
    </row>
    <row r="76" spans="1:26" x14ac:dyDescent="0.25">
      <c r="A76" t="str">
        <f>'LIVE SOURCE'!A76</f>
        <v>RB</v>
      </c>
      <c r="B76" t="str">
        <f>'LIVE SOURCE'!B76</f>
        <v>Chris Rodriguez Jr.</v>
      </c>
      <c r="C76" s="4">
        <f>'LIVE SOURCE'!D76</f>
        <v>66.537000000000006</v>
      </c>
      <c r="D76" s="4">
        <f>'Manual Adjustments'!G76</f>
        <v>0</v>
      </c>
      <c r="E76" s="4">
        <f t="shared" si="11"/>
        <v>66.537000000000006</v>
      </c>
      <c r="F76">
        <f>COUNTIFS($A$3:$A$232,A76,$E$3:$E$232,"&gt;"&amp;E76)+COUNTIFS($A$3:A76,A76,$E$3:E76,E76)</f>
        <v>42</v>
      </c>
      <c r="G76" s="4">
        <f>ROUND(INDEX('League Config'!$K$4:$K$9,MATCH(A76,'League Config'!$E$4:$E$9,0))*E76+INDEX('League Config'!$L$4:$L$9,MATCH(A76,'League Config'!$E$4:$E$9,0)),1)</f>
        <v>209.5</v>
      </c>
      <c r="H76">
        <f>INDEX('League Config'!$H$4:$H$9,MATCH(A76,'League Config'!$E$4:$E$9,0))</f>
        <v>32</v>
      </c>
      <c r="I76" s="4">
        <f>INDEX('League Config'!$I$4:$I$9,MATCH(A76,'League Config'!$E$4:$E$9,0))</f>
        <v>239</v>
      </c>
      <c r="J76" s="4">
        <f t="shared" si="12"/>
        <v>-29.5</v>
      </c>
      <c r="K76" s="4">
        <f t="shared" si="13"/>
        <v>32.299999999999997</v>
      </c>
      <c r="L76" s="4">
        <f>MIN(100,MAX(0,(1-(F76-1)/(H76*1.5))*100*INDEX('League Config'!$J$4:$J$9,MATCH(A76,'League Config'!$E$4:$E$9,0))))</f>
        <v>16.770833333333336</v>
      </c>
      <c r="M76">
        <f>IF(A76="K",'League Config'!$B$14,IF(A76="DST",'League Config'!$B$15,IF(A76="QB",'League Config'!$B$16,0)))</f>
        <v>0</v>
      </c>
      <c r="N76" s="4">
        <f t="shared" si="14"/>
        <v>48.800975000000001</v>
      </c>
      <c r="O76" s="9">
        <f t="shared" si="15"/>
        <v>48.800975000000001</v>
      </c>
      <c r="P76" s="6">
        <f>IF(O76="","",COUNTIF($O$3:$O$232,"&gt;"&amp;O76)+COUNTIF($O$3:O76,O76))</f>
        <v>131</v>
      </c>
      <c r="Q76">
        <f t="shared" si="16"/>
        <v>151</v>
      </c>
      <c r="R76" s="4">
        <f>'LIVE SOURCE'!E76</f>
        <v>163.6</v>
      </c>
      <c r="S76" s="4">
        <f t="shared" si="17"/>
        <v>12.599999999999994</v>
      </c>
      <c r="T76" t="str">
        <f>'LIVE SOURCE'!F76</f>
        <v>A</v>
      </c>
      <c r="U76" s="4">
        <f t="shared" si="18"/>
        <v>60.537000000000006</v>
      </c>
      <c r="V76" s="4">
        <f t="shared" si="19"/>
        <v>66.537000000000006</v>
      </c>
      <c r="W76" s="4">
        <f t="shared" si="20"/>
        <v>72.537000000000006</v>
      </c>
      <c r="X76" t="str">
        <f>'LIVE SOURCE'!G76</f>
        <v>RATE-ADJUSTED VETERAN</v>
      </c>
      <c r="Y76" t="str">
        <f>IF(INDEX('Draft Board'!$J$3:$J$232,Q76)="","Available",INDEX('Draft Board'!$J$3:$J$232,Q76))</f>
        <v>Available</v>
      </c>
      <c r="Z76">
        <f t="shared" si="21"/>
        <v>151</v>
      </c>
    </row>
    <row r="77" spans="1:26" x14ac:dyDescent="0.25">
      <c r="A77" t="str">
        <f>'LIVE SOURCE'!A77</f>
        <v>RB</v>
      </c>
      <c r="B77" t="str">
        <f>'LIVE SOURCE'!B77</f>
        <v>Tyrone Tracy Jr.</v>
      </c>
      <c r="C77" s="4">
        <f>'LIVE SOURCE'!D77</f>
        <v>66.531000000000006</v>
      </c>
      <c r="D77" s="4">
        <f>'Manual Adjustments'!G77</f>
        <v>0</v>
      </c>
      <c r="E77" s="4">
        <f t="shared" si="11"/>
        <v>66.531000000000006</v>
      </c>
      <c r="F77">
        <f>COUNTIFS($A$3:$A$232,A77,$E$3:$E$232,"&gt;"&amp;E77)+COUNTIFS($A$3:A77,A77,$E$3:E77,E77)</f>
        <v>43</v>
      </c>
      <c r="G77" s="4">
        <f>ROUND(INDEX('League Config'!$K$4:$K$9,MATCH(A77,'League Config'!$E$4:$E$9,0))*E77+INDEX('League Config'!$L$4:$L$9,MATCH(A77,'League Config'!$E$4:$E$9,0)),1)</f>
        <v>209.4</v>
      </c>
      <c r="H77">
        <f>INDEX('League Config'!$H$4:$H$9,MATCH(A77,'League Config'!$E$4:$E$9,0))</f>
        <v>32</v>
      </c>
      <c r="I77" s="4">
        <f>INDEX('League Config'!$I$4:$I$9,MATCH(A77,'League Config'!$E$4:$E$9,0))</f>
        <v>239</v>
      </c>
      <c r="J77" s="4">
        <f t="shared" si="12"/>
        <v>-29.6</v>
      </c>
      <c r="K77" s="4">
        <f t="shared" si="13"/>
        <v>32.239999999999995</v>
      </c>
      <c r="L77" s="4">
        <f>MIN(100,MAX(0,(1-(F77-1)/(H77*1.5))*100*INDEX('League Config'!$J$4:$J$9,MATCH(A77,'League Config'!$E$4:$E$9,0))))</f>
        <v>14.374999999999998</v>
      </c>
      <c r="M77">
        <f>IF(A77="K",'League Config'!$B$14,IF(A77="DST",'League Config'!$B$15,IF(A77="QB",'League Config'!$B$16,0)))</f>
        <v>0</v>
      </c>
      <c r="N77" s="4">
        <f t="shared" si="14"/>
        <v>48.420300000000005</v>
      </c>
      <c r="O77" s="9">
        <f t="shared" si="15"/>
        <v>48.420300000000005</v>
      </c>
      <c r="P77" s="6">
        <f>IF(O77="","",COUNTIF($O$3:$O$232,"&gt;"&amp;O77)+COUNTIF($O$3:O77,O77))</f>
        <v>133</v>
      </c>
      <c r="Q77">
        <f t="shared" si="16"/>
        <v>153</v>
      </c>
      <c r="R77" s="4">
        <f>'LIVE SOURCE'!E77</f>
        <v>155.80000000000001</v>
      </c>
      <c r="S77" s="4">
        <f t="shared" si="17"/>
        <v>2.8000000000000114</v>
      </c>
      <c r="T77" t="str">
        <f>'LIVE SOURCE'!F77</f>
        <v>A</v>
      </c>
      <c r="U77" s="4">
        <f t="shared" si="18"/>
        <v>60.531000000000006</v>
      </c>
      <c r="V77" s="4">
        <f t="shared" si="19"/>
        <v>66.531000000000006</v>
      </c>
      <c r="W77" s="4">
        <f t="shared" si="20"/>
        <v>72.531000000000006</v>
      </c>
      <c r="X77" t="str">
        <f>'LIVE SOURCE'!G77</f>
        <v>RATE-ADJUSTED VETERAN</v>
      </c>
      <c r="Y77" t="str">
        <f>IF(INDEX('Draft Board'!$J$3:$J$232,Q77)="","Available",INDEX('Draft Board'!$J$3:$J$232,Q77))</f>
        <v>Available</v>
      </c>
      <c r="Z77">
        <f t="shared" si="21"/>
        <v>153</v>
      </c>
    </row>
    <row r="78" spans="1:26" x14ac:dyDescent="0.25">
      <c r="A78" t="str">
        <f>'LIVE SOURCE'!A78</f>
        <v>RB</v>
      </c>
      <c r="B78" t="str">
        <f>'LIVE SOURCE'!B78</f>
        <v>Tyler Allgeier</v>
      </c>
      <c r="C78" s="4">
        <f>'LIVE SOURCE'!D78</f>
        <v>63.032200000000003</v>
      </c>
      <c r="D78" s="4">
        <f>'Manual Adjustments'!G78</f>
        <v>0</v>
      </c>
      <c r="E78" s="4">
        <f t="shared" si="11"/>
        <v>63.032200000000003</v>
      </c>
      <c r="F78">
        <f>COUNTIFS($A$3:$A$232,A78,$E$3:$E$232,"&gt;"&amp;E78)+COUNTIFS($A$3:A78,A78,$E$3:E78,E78)</f>
        <v>45</v>
      </c>
      <c r="G78" s="4">
        <f>ROUND(INDEX('League Config'!$K$4:$K$9,MATCH(A78,'League Config'!$E$4:$E$9,0))*E78+INDEX('League Config'!$L$4:$L$9,MATCH(A78,'League Config'!$E$4:$E$9,0)),1)</f>
        <v>194.7</v>
      </c>
      <c r="H78">
        <f>INDEX('League Config'!$H$4:$H$9,MATCH(A78,'League Config'!$E$4:$E$9,0))</f>
        <v>32</v>
      </c>
      <c r="I78" s="4">
        <f>INDEX('League Config'!$I$4:$I$9,MATCH(A78,'League Config'!$E$4:$E$9,0))</f>
        <v>239</v>
      </c>
      <c r="J78" s="4">
        <f t="shared" si="12"/>
        <v>-44.3</v>
      </c>
      <c r="K78" s="4">
        <f t="shared" si="13"/>
        <v>23.42</v>
      </c>
      <c r="L78" s="4">
        <f>MIN(100,MAX(0,(1-(F78-1)/(H78*1.5))*100*INDEX('League Config'!$J$4:$J$9,MATCH(A78,'League Config'!$E$4:$E$9,0))))</f>
        <v>9.5833333333333375</v>
      </c>
      <c r="M78">
        <f>IF(A78="K",'League Config'!$B$14,IF(A78="DST",'League Config'!$B$15,IF(A78="QB",'League Config'!$B$16,0)))</f>
        <v>0</v>
      </c>
      <c r="N78" s="4">
        <f t="shared" si="14"/>
        <v>43.13121000000001</v>
      </c>
      <c r="O78" s="9">
        <f t="shared" si="15"/>
        <v>43.13121000000001</v>
      </c>
      <c r="P78" s="6">
        <f>IF(O78="","",COUNTIF($O$3:$O$232,"&gt;"&amp;O78)+COUNTIF($O$3:O78,O78))</f>
        <v>148</v>
      </c>
      <c r="Q78">
        <f t="shared" si="16"/>
        <v>168</v>
      </c>
      <c r="R78" s="4">
        <f>'LIVE SOURCE'!E78</f>
        <v>164.3</v>
      </c>
      <c r="S78" s="4">
        <f t="shared" si="17"/>
        <v>-3.6999999999999886</v>
      </c>
      <c r="T78" t="str">
        <f>'LIVE SOURCE'!F78</f>
        <v>A</v>
      </c>
      <c r="U78" s="4">
        <f t="shared" si="18"/>
        <v>57.032200000000003</v>
      </c>
      <c r="V78" s="4">
        <f t="shared" si="19"/>
        <v>63.032200000000003</v>
      </c>
      <c r="W78" s="4">
        <f t="shared" si="20"/>
        <v>69.032200000000003</v>
      </c>
      <c r="X78" t="str">
        <f>'LIVE SOURCE'!G78</f>
        <v>RATE-ADJUSTED VETERAN</v>
      </c>
      <c r="Y78" t="str">
        <f>IF(INDEX('Draft Board'!$J$3:$J$232,Q78)="","Available",INDEX('Draft Board'!$J$3:$J$232,Q78))</f>
        <v>Available</v>
      </c>
      <c r="Z78">
        <f t="shared" si="21"/>
        <v>168</v>
      </c>
    </row>
    <row r="79" spans="1:26" x14ac:dyDescent="0.25">
      <c r="A79" t="str">
        <f>'LIVE SOURCE'!A79</f>
        <v>RB</v>
      </c>
      <c r="B79" t="str">
        <f>'LIVE SOURCE'!B79</f>
        <v>Zach Charbonnet</v>
      </c>
      <c r="C79" s="4">
        <f>'LIVE SOURCE'!D79</f>
        <v>62.549799999999998</v>
      </c>
      <c r="D79" s="4">
        <f>'Manual Adjustments'!G79</f>
        <v>-25</v>
      </c>
      <c r="E79" s="4">
        <f t="shared" si="11"/>
        <v>40</v>
      </c>
      <c r="F79">
        <f>COUNTIFS($A$3:$A$232,A79,$E$3:$E$232,"&gt;"&amp;E79)+COUNTIFS($A$3:A79,A79,$E$3:E79,E79)</f>
        <v>52</v>
      </c>
      <c r="G79" s="4">
        <f>ROUND(INDEX('League Config'!$K$4:$K$9,MATCH(A79,'League Config'!$E$4:$E$9,0))*E79+INDEX('League Config'!$L$4:$L$9,MATCH(A79,'League Config'!$E$4:$E$9,0)),1)</f>
        <v>98</v>
      </c>
      <c r="H79">
        <f>INDEX('League Config'!$H$4:$H$9,MATCH(A79,'League Config'!$E$4:$E$9,0))</f>
        <v>32</v>
      </c>
      <c r="I79" s="4">
        <f>INDEX('League Config'!$I$4:$I$9,MATCH(A79,'League Config'!$E$4:$E$9,0))</f>
        <v>239</v>
      </c>
      <c r="J79" s="4">
        <f t="shared" si="12"/>
        <v>-141</v>
      </c>
      <c r="K79" s="4">
        <f t="shared" si="13"/>
        <v>0</v>
      </c>
      <c r="L79" s="4">
        <f>MIN(100,MAX(0,(1-(F79-1)/(H79*1.5))*100*INDEX('League Config'!$J$4:$J$9,MATCH(A79,'League Config'!$E$4:$E$9,0))))</f>
        <v>0</v>
      </c>
      <c r="M79">
        <f>IF(A79="K",'League Config'!$B$14,IF(A79="DST",'League Config'!$B$15,IF(A79="QB",'League Config'!$B$16,0)))</f>
        <v>0</v>
      </c>
      <c r="N79" s="4">
        <f t="shared" si="14"/>
        <v>22</v>
      </c>
      <c r="O79" s="9">
        <f t="shared" si="15"/>
        <v>22</v>
      </c>
      <c r="P79" s="6">
        <f>IF(O79="","",COUNTIF($O$3:$O$232,"&gt;"&amp;O79)+COUNTIF($O$3:O79,O79))</f>
        <v>185</v>
      </c>
      <c r="Q79">
        <f t="shared" si="16"/>
        <v>205</v>
      </c>
      <c r="R79" s="4">
        <f>'LIVE SOURCE'!E79</f>
        <v>139.80000000000001</v>
      </c>
      <c r="S79" s="4">
        <f t="shared" si="17"/>
        <v>-65.199999999999989</v>
      </c>
      <c r="T79" t="str">
        <f>'LIVE SOURCE'!F79</f>
        <v>A</v>
      </c>
      <c r="U79" s="4">
        <f t="shared" si="18"/>
        <v>40</v>
      </c>
      <c r="V79" s="4">
        <f t="shared" si="19"/>
        <v>40</v>
      </c>
      <c r="W79" s="4">
        <f t="shared" si="20"/>
        <v>46</v>
      </c>
      <c r="X79" t="str">
        <f>'LIVE SOURCE'!G79</f>
        <v>RATE-ADJUSTED VETERAN</v>
      </c>
      <c r="Y79" t="str">
        <f>IF(INDEX('Draft Board'!$J$3:$J$232,Q79)="","Available",INDEX('Draft Board'!$J$3:$J$232,Q79))</f>
        <v>Available</v>
      </c>
      <c r="Z79">
        <f t="shared" si="21"/>
        <v>205</v>
      </c>
    </row>
    <row r="80" spans="1:26" x14ac:dyDescent="0.25">
      <c r="A80" t="str">
        <f>'LIVE SOURCE'!A80</f>
        <v>RB</v>
      </c>
      <c r="B80" t="str">
        <f>'LIVE SOURCE'!B80</f>
        <v>Jonathon Brooks</v>
      </c>
      <c r="C80" s="4">
        <f>'LIVE SOURCE'!D80</f>
        <v>62.2</v>
      </c>
      <c r="D80" s="4">
        <f>'Manual Adjustments'!G80</f>
        <v>0</v>
      </c>
      <c r="E80" s="4">
        <f t="shared" si="11"/>
        <v>62.2</v>
      </c>
      <c r="F80">
        <f>COUNTIFS($A$3:$A$232,A80,$E$3:$E$232,"&gt;"&amp;E80)+COUNTIFS($A$3:A80,A80,$E$3:E80,E80)</f>
        <v>46</v>
      </c>
      <c r="G80" s="4">
        <f>ROUND(INDEX('League Config'!$K$4:$K$9,MATCH(A80,'League Config'!$E$4:$E$9,0))*E80+INDEX('League Config'!$L$4:$L$9,MATCH(A80,'League Config'!$E$4:$E$9,0)),1)</f>
        <v>191.2</v>
      </c>
      <c r="H80">
        <f>INDEX('League Config'!$H$4:$H$9,MATCH(A80,'League Config'!$E$4:$E$9,0))</f>
        <v>32</v>
      </c>
      <c r="I80" s="4">
        <f>INDEX('League Config'!$I$4:$I$9,MATCH(A80,'League Config'!$E$4:$E$9,0))</f>
        <v>239</v>
      </c>
      <c r="J80" s="4">
        <f t="shared" si="12"/>
        <v>-47.8</v>
      </c>
      <c r="K80" s="4">
        <f t="shared" si="13"/>
        <v>21.320000000000004</v>
      </c>
      <c r="L80" s="4">
        <f>MIN(100,MAX(0,(1-(F80-1)/(H80*1.5))*100*INDEX('League Config'!$J$4:$J$9,MATCH(A80,'League Config'!$E$4:$E$9,0))))</f>
        <v>7.1874999999999991</v>
      </c>
      <c r="M80">
        <f>IF(A80="K",'League Config'!$B$14,IF(A80="DST",'League Config'!$B$15,IF(A80="QB",'League Config'!$B$16,0)))</f>
        <v>0</v>
      </c>
      <c r="N80" s="4">
        <f t="shared" si="14"/>
        <v>41.684125000000002</v>
      </c>
      <c r="O80" s="9">
        <f t="shared" si="15"/>
        <v>41.684125000000002</v>
      </c>
      <c r="P80" s="6">
        <f>IF(O80="","",COUNTIF($O$3:$O$232,"&gt;"&amp;O80)+COUNTIF($O$3:O80,O80))</f>
        <v>154</v>
      </c>
      <c r="Q80">
        <f t="shared" si="16"/>
        <v>174</v>
      </c>
      <c r="R80" s="4">
        <f>'LIVE SOURCE'!E80</f>
        <v>109.4</v>
      </c>
      <c r="S80" s="4">
        <f t="shared" si="17"/>
        <v>-64.599999999999994</v>
      </c>
      <c r="T80" t="str">
        <f>'LIVE SOURCE'!F80</f>
        <v>C</v>
      </c>
      <c r="U80" s="4">
        <f t="shared" si="18"/>
        <v>50.2</v>
      </c>
      <c r="V80" s="4">
        <f t="shared" si="19"/>
        <v>62.2</v>
      </c>
      <c r="W80" s="4">
        <f t="shared" si="20"/>
        <v>74.2</v>
      </c>
      <c r="X80" t="str">
        <f>'LIVE SOURCE'!G80</f>
        <v>HISTORY FALLBACK</v>
      </c>
      <c r="Y80" t="str">
        <f>IF(INDEX('Draft Board'!$J$3:$J$232,Q80)="","Available",INDEX('Draft Board'!$J$3:$J$232,Q80))</f>
        <v>Available</v>
      </c>
      <c r="Z80">
        <f t="shared" si="21"/>
        <v>174</v>
      </c>
    </row>
    <row r="81" spans="1:26" x14ac:dyDescent="0.25">
      <c r="A81" t="str">
        <f>'LIVE SOURCE'!A81</f>
        <v>RB</v>
      </c>
      <c r="B81" t="str">
        <f>'LIVE SOURCE'!B81</f>
        <v>Emanuel Wilson</v>
      </c>
      <c r="C81" s="4">
        <f>'LIVE SOURCE'!D81</f>
        <v>61.982100000000003</v>
      </c>
      <c r="D81" s="4">
        <f>'Manual Adjustments'!G81</f>
        <v>0</v>
      </c>
      <c r="E81" s="4">
        <f t="shared" si="11"/>
        <v>61.982100000000003</v>
      </c>
      <c r="F81">
        <f>COUNTIFS($A$3:$A$232,A81,$E$3:$E$232,"&gt;"&amp;E81)+COUNTIFS($A$3:A81,A81,$E$3:E81,E81)</f>
        <v>47</v>
      </c>
      <c r="G81" s="4">
        <f>ROUND(INDEX('League Config'!$K$4:$K$9,MATCH(A81,'League Config'!$E$4:$E$9,0))*E81+INDEX('League Config'!$L$4:$L$9,MATCH(A81,'League Config'!$E$4:$E$9,0)),1)</f>
        <v>190.3</v>
      </c>
      <c r="H81">
        <f>INDEX('League Config'!$H$4:$H$9,MATCH(A81,'League Config'!$E$4:$E$9,0))</f>
        <v>32</v>
      </c>
      <c r="I81" s="4">
        <f>INDEX('League Config'!$I$4:$I$9,MATCH(A81,'League Config'!$E$4:$E$9,0))</f>
        <v>239</v>
      </c>
      <c r="J81" s="4">
        <f t="shared" si="12"/>
        <v>-48.7</v>
      </c>
      <c r="K81" s="4">
        <f t="shared" si="13"/>
        <v>20.78</v>
      </c>
      <c r="L81" s="4">
        <f>MIN(100,MAX(0,(1-(F81-1)/(H81*1.5))*100*INDEX('League Config'!$J$4:$J$9,MATCH(A81,'League Config'!$E$4:$E$9,0))))</f>
        <v>4.7916666666666616</v>
      </c>
      <c r="M81">
        <f>IF(A81="K",'League Config'!$B$14,IF(A81="DST",'League Config'!$B$15,IF(A81="QB",'League Config'!$B$16,0)))</f>
        <v>0</v>
      </c>
      <c r="N81" s="4">
        <f t="shared" si="14"/>
        <v>41.042905000000005</v>
      </c>
      <c r="O81" s="9">
        <f t="shared" si="15"/>
        <v>41.042905000000005</v>
      </c>
      <c r="P81" s="6">
        <f>IF(O81="","",COUNTIF($O$3:$O$232,"&gt;"&amp;O81)+COUNTIF($O$3:O81,O81))</f>
        <v>156</v>
      </c>
      <c r="Q81">
        <f t="shared" si="16"/>
        <v>176</v>
      </c>
      <c r="R81" s="4">
        <f>'LIVE SOURCE'!E81</f>
        <v>195.2</v>
      </c>
      <c r="S81" s="4">
        <f t="shared" si="17"/>
        <v>19.199999999999989</v>
      </c>
      <c r="T81" t="str">
        <f>'LIVE SOURCE'!F81</f>
        <v>A</v>
      </c>
      <c r="U81" s="4">
        <f t="shared" si="18"/>
        <v>55.982100000000003</v>
      </c>
      <c r="V81" s="4">
        <f t="shared" si="19"/>
        <v>61.982100000000003</v>
      </c>
      <c r="W81" s="4">
        <f t="shared" si="20"/>
        <v>67.982100000000003</v>
      </c>
      <c r="X81" t="str">
        <f>'LIVE SOURCE'!G81</f>
        <v>RATE-ADJUSTED VETERAN</v>
      </c>
      <c r="Y81" t="str">
        <f>IF(INDEX('Draft Board'!$J$3:$J$232,Q81)="","Available",INDEX('Draft Board'!$J$3:$J$232,Q81))</f>
        <v>Available</v>
      </c>
      <c r="Z81">
        <f t="shared" si="21"/>
        <v>176</v>
      </c>
    </row>
    <row r="82" spans="1:26" x14ac:dyDescent="0.25">
      <c r="A82" t="str">
        <f>'LIVE SOURCE'!A82</f>
        <v>RB</v>
      </c>
      <c r="B82" t="str">
        <f>'LIVE SOURCE'!B82</f>
        <v>Isiah Pacheco</v>
      </c>
      <c r="C82" s="4">
        <f>'LIVE SOURCE'!D82</f>
        <v>60.0092</v>
      </c>
      <c r="D82" s="4">
        <f>'Manual Adjustments'!G82</f>
        <v>0</v>
      </c>
      <c r="E82" s="4">
        <f t="shared" si="11"/>
        <v>60.0092</v>
      </c>
      <c r="F82">
        <f>COUNTIFS($A$3:$A$232,A82,$E$3:$E$232,"&gt;"&amp;E82)+COUNTIFS($A$3:A82,A82,$E$3:E82,E82)</f>
        <v>48</v>
      </c>
      <c r="G82" s="4">
        <f>ROUND(INDEX('League Config'!$K$4:$K$9,MATCH(A82,'League Config'!$E$4:$E$9,0))*E82+INDEX('League Config'!$L$4:$L$9,MATCH(A82,'League Config'!$E$4:$E$9,0)),1)</f>
        <v>182</v>
      </c>
      <c r="H82">
        <f>INDEX('League Config'!$H$4:$H$9,MATCH(A82,'League Config'!$E$4:$E$9,0))</f>
        <v>32</v>
      </c>
      <c r="I82" s="4">
        <f>INDEX('League Config'!$I$4:$I$9,MATCH(A82,'League Config'!$E$4:$E$9,0))</f>
        <v>239</v>
      </c>
      <c r="J82" s="4">
        <f t="shared" si="12"/>
        <v>-57</v>
      </c>
      <c r="K82" s="4">
        <f t="shared" si="13"/>
        <v>15.800000000000004</v>
      </c>
      <c r="L82" s="4">
        <f>MIN(100,MAX(0,(1-(F82-1)/(H82*1.5))*100*INDEX('League Config'!$J$4:$J$9,MATCH(A82,'League Config'!$E$4:$E$9,0))))</f>
        <v>2.3958333333333375</v>
      </c>
      <c r="M82">
        <f>IF(A82="K",'League Config'!$B$14,IF(A82="DST",'League Config'!$B$15,IF(A82="QB",'League Config'!$B$16,0)))</f>
        <v>0</v>
      </c>
      <c r="N82" s="4">
        <f t="shared" si="14"/>
        <v>38.104435000000002</v>
      </c>
      <c r="O82" s="9">
        <f t="shared" si="15"/>
        <v>38.104435000000002</v>
      </c>
      <c r="P82" s="6">
        <f>IF(O82="","",COUNTIF($O$3:$O$232,"&gt;"&amp;O82)+COUNTIF($O$3:O82,O82))</f>
        <v>165</v>
      </c>
      <c r="Q82">
        <f t="shared" si="16"/>
        <v>185</v>
      </c>
      <c r="R82" s="4">
        <f>'LIVE SOURCE'!E82</f>
        <v>147.69999999999999</v>
      </c>
      <c r="S82" s="4">
        <f t="shared" si="17"/>
        <v>-37.300000000000011</v>
      </c>
      <c r="T82" t="str">
        <f>'LIVE SOURCE'!F82</f>
        <v>B</v>
      </c>
      <c r="U82" s="4">
        <f t="shared" si="18"/>
        <v>51.0092</v>
      </c>
      <c r="V82" s="4">
        <f t="shared" si="19"/>
        <v>60.0092</v>
      </c>
      <c r="W82" s="4">
        <f t="shared" si="20"/>
        <v>69.009199999999993</v>
      </c>
      <c r="X82" t="str">
        <f>'LIVE SOURCE'!G82</f>
        <v>HISTORY FALLBACK</v>
      </c>
      <c r="Y82" t="str">
        <f>IF(INDEX('Draft Board'!$J$3:$J$232,Q82)="","Available",INDEX('Draft Board'!$J$3:$J$232,Q82))</f>
        <v>Available</v>
      </c>
      <c r="Z82">
        <f t="shared" si="21"/>
        <v>185</v>
      </c>
    </row>
    <row r="83" spans="1:26" x14ac:dyDescent="0.25">
      <c r="A83" t="str">
        <f>'LIVE SOURCE'!A83</f>
        <v>RB</v>
      </c>
      <c r="B83" t="str">
        <f>'LIVE SOURCE'!B83</f>
        <v>Alvin Kamara</v>
      </c>
      <c r="C83" s="4">
        <f>'LIVE SOURCE'!D83</f>
        <v>59.15</v>
      </c>
      <c r="D83" s="4">
        <f>'Manual Adjustments'!G83</f>
        <v>0</v>
      </c>
      <c r="E83" s="4">
        <f t="shared" si="11"/>
        <v>59.15</v>
      </c>
      <c r="F83">
        <f>COUNTIFS($A$3:$A$232,A83,$E$3:$E$232,"&gt;"&amp;E83)+COUNTIFS($A$3:A83,A83,$E$3:E83,E83)</f>
        <v>49</v>
      </c>
      <c r="G83" s="4">
        <f>ROUND(INDEX('League Config'!$K$4:$K$9,MATCH(A83,'League Config'!$E$4:$E$9,0))*E83+INDEX('League Config'!$L$4:$L$9,MATCH(A83,'League Config'!$E$4:$E$9,0)),1)</f>
        <v>178.4</v>
      </c>
      <c r="H83">
        <f>INDEX('League Config'!$H$4:$H$9,MATCH(A83,'League Config'!$E$4:$E$9,0))</f>
        <v>32</v>
      </c>
      <c r="I83" s="4">
        <f>INDEX('League Config'!$I$4:$I$9,MATCH(A83,'League Config'!$E$4:$E$9,0))</f>
        <v>239</v>
      </c>
      <c r="J83" s="4">
        <f t="shared" si="12"/>
        <v>-60.6</v>
      </c>
      <c r="K83" s="4">
        <f t="shared" si="13"/>
        <v>13.64</v>
      </c>
      <c r="L83" s="4">
        <f>MIN(100,MAX(0,(1-(F83-1)/(H83*1.5))*100*INDEX('League Config'!$J$4:$J$9,MATCH(A83,'League Config'!$E$4:$E$9,0))))</f>
        <v>0</v>
      </c>
      <c r="M83">
        <f>IF(A83="K",'League Config'!$B$14,IF(A83="DST",'League Config'!$B$15,IF(A83="QB",'League Config'!$B$16,0)))</f>
        <v>0</v>
      </c>
      <c r="N83" s="4">
        <f t="shared" si="14"/>
        <v>36.624499999999998</v>
      </c>
      <c r="O83" s="9">
        <f t="shared" si="15"/>
        <v>36.624499999999998</v>
      </c>
      <c r="P83" s="6">
        <f>IF(O83="","",COUNTIF($O$3:$O$232,"&gt;"&amp;O83)+COUNTIF($O$3:O83,O83))</f>
        <v>169</v>
      </c>
      <c r="Q83">
        <f t="shared" si="16"/>
        <v>189</v>
      </c>
      <c r="R83" s="4">
        <f>'LIVE SOURCE'!E83</f>
        <v>134.1</v>
      </c>
      <c r="S83" s="4">
        <f t="shared" si="17"/>
        <v>-54.900000000000006</v>
      </c>
      <c r="T83" t="str">
        <f>'LIVE SOURCE'!F83</f>
        <v>B</v>
      </c>
      <c r="U83" s="4">
        <f t="shared" si="18"/>
        <v>50.15</v>
      </c>
      <c r="V83" s="4">
        <f t="shared" si="19"/>
        <v>59.15</v>
      </c>
      <c r="W83" s="4">
        <f t="shared" si="20"/>
        <v>68.150000000000006</v>
      </c>
      <c r="X83" t="str">
        <f>'LIVE SOURCE'!G83</f>
        <v>HISTORY FALLBACK</v>
      </c>
      <c r="Y83" t="str">
        <f>IF(INDEX('Draft Board'!$J$3:$J$232,Q83)="","Available",INDEX('Draft Board'!$J$3:$J$232,Q83))</f>
        <v>Available</v>
      </c>
      <c r="Z83">
        <f t="shared" si="21"/>
        <v>189</v>
      </c>
    </row>
    <row r="84" spans="1:26" x14ac:dyDescent="0.25">
      <c r="A84" t="str">
        <f>'LIVE SOURCE'!A84</f>
        <v>RB</v>
      </c>
      <c r="B84" t="str">
        <f>'LIVE SOURCE'!B84</f>
        <v>Justice Hill</v>
      </c>
      <c r="C84" s="4">
        <f>'LIVE SOURCE'!D84</f>
        <v>54.88</v>
      </c>
      <c r="D84" s="4">
        <f>'Manual Adjustments'!G84</f>
        <v>0</v>
      </c>
      <c r="E84" s="4">
        <f t="shared" si="11"/>
        <v>54.88</v>
      </c>
      <c r="F84">
        <f>COUNTIFS($A$3:$A$232,A84,$E$3:$E$232,"&gt;"&amp;E84)+COUNTIFS($A$3:A84,A84,$E$3:E84,E84)</f>
        <v>51</v>
      </c>
      <c r="G84" s="4">
        <f>ROUND(INDEX('League Config'!$K$4:$K$9,MATCH(A84,'League Config'!$E$4:$E$9,0))*E84+INDEX('League Config'!$L$4:$L$9,MATCH(A84,'League Config'!$E$4:$E$9,0)),1)</f>
        <v>160.5</v>
      </c>
      <c r="H84">
        <f>INDEX('League Config'!$H$4:$H$9,MATCH(A84,'League Config'!$E$4:$E$9,0))</f>
        <v>32</v>
      </c>
      <c r="I84" s="4">
        <f>INDEX('League Config'!$I$4:$I$9,MATCH(A84,'League Config'!$E$4:$E$9,0))</f>
        <v>239</v>
      </c>
      <c r="J84" s="4">
        <f t="shared" si="12"/>
        <v>-78.5</v>
      </c>
      <c r="K84" s="4">
        <f t="shared" si="13"/>
        <v>2.8999999999999986</v>
      </c>
      <c r="L84" s="4">
        <f>MIN(100,MAX(0,(1-(F84-1)/(H84*1.5))*100*INDEX('League Config'!$J$4:$J$9,MATCH(A84,'League Config'!$E$4:$E$9,0))))</f>
        <v>0</v>
      </c>
      <c r="M84">
        <f>IF(A84="K",'League Config'!$B$14,IF(A84="DST",'League Config'!$B$15,IF(A84="QB",'League Config'!$B$16,0)))</f>
        <v>0</v>
      </c>
      <c r="N84" s="4">
        <f t="shared" si="14"/>
        <v>31.054000000000006</v>
      </c>
      <c r="O84" s="9">
        <f t="shared" si="15"/>
        <v>31.054000000000006</v>
      </c>
      <c r="P84" s="6">
        <f>IF(O84="","",COUNTIF($O$3:$O$232,"&gt;"&amp;O84)+COUNTIF($O$3:O84,O84))</f>
        <v>179</v>
      </c>
      <c r="Q84">
        <f t="shared" si="16"/>
        <v>199</v>
      </c>
      <c r="R84" s="4">
        <f>'LIVE SOURCE'!E84</f>
        <v>165.6</v>
      </c>
      <c r="S84" s="4">
        <f t="shared" si="17"/>
        <v>-33.400000000000006</v>
      </c>
      <c r="T84" t="str">
        <f>'LIVE SOURCE'!F84</f>
        <v>B</v>
      </c>
      <c r="U84" s="4">
        <f t="shared" si="18"/>
        <v>45.88</v>
      </c>
      <c r="V84" s="4">
        <f t="shared" si="19"/>
        <v>54.88</v>
      </c>
      <c r="W84" s="4">
        <f t="shared" si="20"/>
        <v>63.88</v>
      </c>
      <c r="X84" t="str">
        <f>'LIVE SOURCE'!G84</f>
        <v>HISTORY FALLBACK</v>
      </c>
      <c r="Y84" t="str">
        <f>IF(INDEX('Draft Board'!$J$3:$J$232,Q84)="","Available",INDEX('Draft Board'!$J$3:$J$232,Q84))</f>
        <v>Available</v>
      </c>
      <c r="Z84">
        <f t="shared" si="21"/>
        <v>199</v>
      </c>
    </row>
    <row r="85" spans="1:26" x14ac:dyDescent="0.25">
      <c r="A85" t="str">
        <f>'LIVE SOURCE'!A85</f>
        <v>RB</v>
      </c>
      <c r="B85" t="str">
        <f>'LIVE SOURCE'!B85</f>
        <v>Tyjae Spears</v>
      </c>
      <c r="C85" s="4">
        <f>'LIVE SOURCE'!D85</f>
        <v>63.4</v>
      </c>
      <c r="D85" s="4">
        <f>'Manual Adjustments'!G85</f>
        <v>0</v>
      </c>
      <c r="E85" s="4">
        <f t="shared" si="11"/>
        <v>63.4</v>
      </c>
      <c r="F85">
        <f>COUNTIFS($A$3:$A$232,A85,$E$3:$E$232,"&gt;"&amp;E85)+COUNTIFS($A$3:A85,A85,$E$3:E85,E85)</f>
        <v>44</v>
      </c>
      <c r="G85" s="4">
        <f>ROUND(INDEX('League Config'!$K$4:$K$9,MATCH(A85,'League Config'!$E$4:$E$9,0))*E85+INDEX('League Config'!$L$4:$L$9,MATCH(A85,'League Config'!$E$4:$E$9,0)),1)</f>
        <v>196.3</v>
      </c>
      <c r="H85">
        <f>INDEX('League Config'!$H$4:$H$9,MATCH(A85,'League Config'!$E$4:$E$9,0))</f>
        <v>32</v>
      </c>
      <c r="I85" s="4">
        <f>INDEX('League Config'!$I$4:$I$9,MATCH(A85,'League Config'!$E$4:$E$9,0))</f>
        <v>239</v>
      </c>
      <c r="J85" s="4">
        <f t="shared" si="12"/>
        <v>-42.7</v>
      </c>
      <c r="K85" s="4">
        <f t="shared" si="13"/>
        <v>24.38</v>
      </c>
      <c r="L85" s="4">
        <f>MIN(100,MAX(0,(1-(F85-1)/(H85*1.5))*100*INDEX('League Config'!$J$4:$J$9,MATCH(A85,'League Config'!$E$4:$E$9,0))))</f>
        <v>11.979166666666661</v>
      </c>
      <c r="M85">
        <f>IF(A85="K",'League Config'!$B$14,IF(A85="DST",'League Config'!$B$15,IF(A85="QB",'League Config'!$B$16,0)))</f>
        <v>0</v>
      </c>
      <c r="N85" s="4">
        <f t="shared" si="14"/>
        <v>43.980875000000005</v>
      </c>
      <c r="O85" s="9">
        <f t="shared" si="15"/>
        <v>43.980875000000005</v>
      </c>
      <c r="P85" s="6">
        <f>IF(O85="","",COUNTIF($O$3:$O$232,"&gt;"&amp;O85)+COUNTIF($O$3:O85,O85))</f>
        <v>145</v>
      </c>
      <c r="Q85">
        <f t="shared" si="16"/>
        <v>165</v>
      </c>
      <c r="R85" s="4">
        <f>'LIVE SOURCE'!E85</f>
        <v>129.6</v>
      </c>
      <c r="S85" s="4">
        <f t="shared" si="17"/>
        <v>-35.400000000000006</v>
      </c>
      <c r="T85" t="str">
        <f>'LIVE SOURCE'!F85</f>
        <v>C</v>
      </c>
      <c r="U85" s="4">
        <f t="shared" si="18"/>
        <v>51.4</v>
      </c>
      <c r="V85" s="4">
        <f t="shared" si="19"/>
        <v>63.4</v>
      </c>
      <c r="W85" s="4">
        <f t="shared" si="20"/>
        <v>75.400000000000006</v>
      </c>
      <c r="X85" t="str">
        <f>'LIVE SOURCE'!G85</f>
        <v>ESPN SLOT-IN</v>
      </c>
      <c r="Y85" t="str">
        <f>IF(INDEX('Draft Board'!$J$3:$J$232,Q85)="","Available",INDEX('Draft Board'!$J$3:$J$232,Q85))</f>
        <v>Available</v>
      </c>
      <c r="Z85">
        <f t="shared" si="21"/>
        <v>165</v>
      </c>
    </row>
    <row r="86" spans="1:26" x14ac:dyDescent="0.25">
      <c r="A86" t="str">
        <f>'LIVE SOURCE'!A86</f>
        <v>RB</v>
      </c>
      <c r="B86" t="str">
        <f>'LIVE SOURCE'!B86</f>
        <v>Keaton Mitchell</v>
      </c>
      <c r="C86" s="4">
        <f>'LIVE SOURCE'!D86</f>
        <v>59</v>
      </c>
      <c r="D86" s="4">
        <f>'Manual Adjustments'!G86</f>
        <v>0</v>
      </c>
      <c r="E86" s="4">
        <f t="shared" si="11"/>
        <v>59</v>
      </c>
      <c r="F86">
        <f>COUNTIFS($A$3:$A$232,A86,$E$3:$E$232,"&gt;"&amp;E86)+COUNTIFS($A$3:A86,A86,$E$3:E86,E86)</f>
        <v>50</v>
      </c>
      <c r="G86" s="4">
        <f>ROUND(INDEX('League Config'!$K$4:$K$9,MATCH(A86,'League Config'!$E$4:$E$9,0))*E86+INDEX('League Config'!$L$4:$L$9,MATCH(A86,'League Config'!$E$4:$E$9,0)),1)</f>
        <v>177.8</v>
      </c>
      <c r="H86">
        <f>INDEX('League Config'!$H$4:$H$9,MATCH(A86,'League Config'!$E$4:$E$9,0))</f>
        <v>32</v>
      </c>
      <c r="I86" s="4">
        <f>INDEX('League Config'!$I$4:$I$9,MATCH(A86,'League Config'!$E$4:$E$9,0))</f>
        <v>239</v>
      </c>
      <c r="J86" s="4">
        <f t="shared" si="12"/>
        <v>-61.2</v>
      </c>
      <c r="K86" s="4">
        <f t="shared" si="13"/>
        <v>13.280000000000001</v>
      </c>
      <c r="L86" s="4">
        <f>MIN(100,MAX(0,(1-(F86-1)/(H86*1.5))*100*INDEX('League Config'!$J$4:$J$9,MATCH(A86,'League Config'!$E$4:$E$9,0))))</f>
        <v>0</v>
      </c>
      <c r="M86">
        <f>IF(A86="K",'League Config'!$B$14,IF(A86="DST",'League Config'!$B$15,IF(A86="QB",'League Config'!$B$16,0)))</f>
        <v>0</v>
      </c>
      <c r="N86" s="4">
        <f t="shared" si="14"/>
        <v>36.434000000000005</v>
      </c>
      <c r="O86" s="9">
        <f t="shared" si="15"/>
        <v>36.434000000000005</v>
      </c>
      <c r="P86" s="6">
        <f>IF(O86="","",COUNTIF($O$3:$O$232,"&gt;"&amp;O86)+COUNTIF($O$3:O86,O86))</f>
        <v>170</v>
      </c>
      <c r="Q86">
        <f t="shared" si="16"/>
        <v>190</v>
      </c>
      <c r="R86" s="4">
        <f>'LIVE SOURCE'!E86</f>
        <v>160.19999999999999</v>
      </c>
      <c r="S86" s="4">
        <f t="shared" si="17"/>
        <v>-29.800000000000011</v>
      </c>
      <c r="T86" t="str">
        <f>'LIVE SOURCE'!F86</f>
        <v>C</v>
      </c>
      <c r="U86" s="4">
        <f t="shared" si="18"/>
        <v>47</v>
      </c>
      <c r="V86" s="4">
        <f t="shared" si="19"/>
        <v>59</v>
      </c>
      <c r="W86" s="4">
        <f t="shared" si="20"/>
        <v>71</v>
      </c>
      <c r="X86" t="str">
        <f>'LIVE SOURCE'!G86</f>
        <v>ESPN SLOT-IN</v>
      </c>
      <c r="Y86" t="str">
        <f>IF(INDEX('Draft Board'!$J$3:$J$232,Q86)="","Available",INDEX('Draft Board'!$J$3:$J$232,Q86))</f>
        <v>Available</v>
      </c>
      <c r="Z86">
        <f t="shared" si="21"/>
        <v>190</v>
      </c>
    </row>
    <row r="87" spans="1:26" x14ac:dyDescent="0.25">
      <c r="A87" t="str">
        <f>'LIVE SOURCE'!A87</f>
        <v>WR</v>
      </c>
      <c r="B87" t="str">
        <f>'LIVE SOURCE'!B87</f>
        <v>Ja'Marr Chase</v>
      </c>
      <c r="C87" s="4">
        <f>'LIVE SOURCE'!D87</f>
        <v>96.732299999999995</v>
      </c>
      <c r="D87" s="4">
        <f>'Manual Adjustments'!G87</f>
        <v>0</v>
      </c>
      <c r="E87" s="4">
        <f t="shared" si="11"/>
        <v>96.732299999999995</v>
      </c>
      <c r="F87">
        <f>COUNTIFS($A$3:$A$232,A87,$E$3:$E$232,"&gt;"&amp;E87)+COUNTIFS($A$3:A87,A87,$E$3:E87,E87)</f>
        <v>2</v>
      </c>
      <c r="G87" s="4">
        <f>ROUND(INDEX('League Config'!$K$4:$K$9,MATCH(A87,'League Config'!$E$4:$E$9,0))*E87+INDEX('League Config'!$L$4:$L$9,MATCH(A87,'League Config'!$E$4:$E$9,0)),1)</f>
        <v>336.3</v>
      </c>
      <c r="H87">
        <f>INDEX('League Config'!$H$4:$H$9,MATCH(A87,'League Config'!$E$4:$E$9,0))</f>
        <v>33</v>
      </c>
      <c r="I87" s="4">
        <f>INDEX('League Config'!$I$4:$I$9,MATCH(A87,'League Config'!$E$4:$E$9,0))</f>
        <v>239.3</v>
      </c>
      <c r="J87" s="4">
        <f t="shared" si="12"/>
        <v>97</v>
      </c>
      <c r="K87" s="4">
        <f t="shared" si="13"/>
        <v>100</v>
      </c>
      <c r="L87" s="4">
        <f>MIN(100,MAX(0,(1-(F87-1)/(H87*1.5))*100*INDEX('League Config'!$J$4:$J$9,MATCH(A87,'League Config'!$E$4:$E$9,0))))</f>
        <v>100</v>
      </c>
      <c r="M87">
        <f>IF(A87="K",'League Config'!$B$14,IF(A87="DST",'League Config'!$B$15,IF(A87="QB",'League Config'!$B$16,0)))</f>
        <v>0</v>
      </c>
      <c r="N87" s="4">
        <f t="shared" si="14"/>
        <v>98.202764999999999</v>
      </c>
      <c r="O87" s="9">
        <f t="shared" si="15"/>
        <v>98.202764999999999</v>
      </c>
      <c r="P87" s="6">
        <f>IF(O87="","",COUNTIF($O$3:$O$232,"&gt;"&amp;O87)+COUNTIF($O$3:O87,O87))</f>
        <v>3</v>
      </c>
      <c r="Q87">
        <f t="shared" si="16"/>
        <v>3</v>
      </c>
      <c r="R87" s="4">
        <f>'LIVE SOURCE'!E87</f>
        <v>3.9</v>
      </c>
      <c r="S87" s="4">
        <f t="shared" si="17"/>
        <v>0.89999999999999991</v>
      </c>
      <c r="T87" t="str">
        <f>'LIVE SOURCE'!F87</f>
        <v>A</v>
      </c>
      <c r="U87" s="4">
        <f t="shared" si="18"/>
        <v>90.732299999999995</v>
      </c>
      <c r="V87" s="4">
        <f t="shared" si="19"/>
        <v>96.732299999999995</v>
      </c>
      <c r="W87" s="4">
        <f t="shared" si="20"/>
        <v>100</v>
      </c>
      <c r="X87" t="str">
        <f>'LIVE SOURCE'!G87</f>
        <v>HISTORY FALLBACK</v>
      </c>
      <c r="Y87" t="str">
        <f>IF(INDEX('Draft Board'!$J$3:$J$232,Q87)="","Available",INDEX('Draft Board'!$J$3:$J$232,Q87))</f>
        <v>Available</v>
      </c>
      <c r="Z87">
        <f t="shared" si="21"/>
        <v>3</v>
      </c>
    </row>
    <row r="88" spans="1:26" x14ac:dyDescent="0.25">
      <c r="A88" t="str">
        <f>'LIVE SOURCE'!A88</f>
        <v>WR</v>
      </c>
      <c r="B88" t="str">
        <f>'LIVE SOURCE'!B88</f>
        <v>Puka Nacua</v>
      </c>
      <c r="C88" s="4">
        <f>'LIVE SOURCE'!D88</f>
        <v>98.485900000000001</v>
      </c>
      <c r="D88" s="4">
        <f>'Manual Adjustments'!G88</f>
        <v>0</v>
      </c>
      <c r="E88" s="4">
        <f t="shared" si="11"/>
        <v>98.485900000000001</v>
      </c>
      <c r="F88">
        <f>COUNTIFS($A$3:$A$232,A88,$E$3:$E$232,"&gt;"&amp;E88)+COUNTIFS($A$3:A88,A88,$E$3:E88,E88)</f>
        <v>1</v>
      </c>
      <c r="G88" s="4">
        <f>ROUND(INDEX('League Config'!$K$4:$K$9,MATCH(A88,'League Config'!$E$4:$E$9,0))*E88+INDEX('League Config'!$L$4:$L$9,MATCH(A88,'League Config'!$E$4:$E$9,0)),1)</f>
        <v>343.6</v>
      </c>
      <c r="H88">
        <f>INDEX('League Config'!$H$4:$H$9,MATCH(A88,'League Config'!$E$4:$E$9,0))</f>
        <v>33</v>
      </c>
      <c r="I88" s="4">
        <f>INDEX('League Config'!$I$4:$I$9,MATCH(A88,'League Config'!$E$4:$E$9,0))</f>
        <v>239.3</v>
      </c>
      <c r="J88" s="4">
        <f t="shared" si="12"/>
        <v>104.3</v>
      </c>
      <c r="K88" s="4">
        <f t="shared" si="13"/>
        <v>100</v>
      </c>
      <c r="L88" s="4">
        <f>MIN(100,MAX(0,(1-(F88-1)/(H88*1.5))*100*INDEX('League Config'!$J$4:$J$9,MATCH(A88,'League Config'!$E$4:$E$9,0))))</f>
        <v>100</v>
      </c>
      <c r="M88">
        <f>IF(A88="K",'League Config'!$B$14,IF(A88="DST",'League Config'!$B$15,IF(A88="QB",'League Config'!$B$16,0)))</f>
        <v>0</v>
      </c>
      <c r="N88" s="4">
        <f t="shared" si="14"/>
        <v>99.167245000000008</v>
      </c>
      <c r="O88" s="9">
        <f t="shared" si="15"/>
        <v>99.167245000000008</v>
      </c>
      <c r="P88" s="6">
        <f>IF(O88="","",COUNTIF($O$3:$O$232,"&gt;"&amp;O88)+COUNTIF($O$3:O88,O88))</f>
        <v>1</v>
      </c>
      <c r="Q88">
        <f t="shared" si="16"/>
        <v>1</v>
      </c>
      <c r="R88" s="4">
        <f>'LIVE SOURCE'!E88</f>
        <v>2.9</v>
      </c>
      <c r="S88" s="4">
        <f t="shared" si="17"/>
        <v>1.9</v>
      </c>
      <c r="T88" t="str">
        <f>'LIVE SOURCE'!F88</f>
        <v>A</v>
      </c>
      <c r="U88" s="4">
        <f t="shared" si="18"/>
        <v>92.485900000000001</v>
      </c>
      <c r="V88" s="4">
        <f t="shared" si="19"/>
        <v>98.485900000000001</v>
      </c>
      <c r="W88" s="4">
        <f t="shared" si="20"/>
        <v>100</v>
      </c>
      <c r="X88" t="str">
        <f>'LIVE SOURCE'!G88</f>
        <v>HISTORY FALLBACK</v>
      </c>
      <c r="Y88" t="str">
        <f>IF(INDEX('Draft Board'!$J$3:$J$232,Q88)="","Available",INDEX('Draft Board'!$J$3:$J$232,Q88))</f>
        <v>Available</v>
      </c>
      <c r="Z88">
        <f t="shared" si="21"/>
        <v>1</v>
      </c>
    </row>
    <row r="89" spans="1:26" x14ac:dyDescent="0.25">
      <c r="A89" t="str">
        <f>'LIVE SOURCE'!A89</f>
        <v>WR</v>
      </c>
      <c r="B89" t="str">
        <f>'LIVE SOURCE'!B89</f>
        <v>Jaxon Smith-Njigba</v>
      </c>
      <c r="C89" s="4">
        <f>'LIVE SOURCE'!D89</f>
        <v>94.079899999999995</v>
      </c>
      <c r="D89" s="4">
        <f>'Manual Adjustments'!G89</f>
        <v>0</v>
      </c>
      <c r="E89" s="4">
        <f t="shared" si="11"/>
        <v>94.079899999999995</v>
      </c>
      <c r="F89">
        <f>COUNTIFS($A$3:$A$232,A89,$E$3:$E$232,"&gt;"&amp;E89)+COUNTIFS($A$3:A89,A89,$E$3:E89,E89)</f>
        <v>3</v>
      </c>
      <c r="G89" s="4">
        <f>ROUND(INDEX('League Config'!$K$4:$K$9,MATCH(A89,'League Config'!$E$4:$E$9,0))*E89+INDEX('League Config'!$L$4:$L$9,MATCH(A89,'League Config'!$E$4:$E$9,0)),1)</f>
        <v>325.10000000000002</v>
      </c>
      <c r="H89">
        <f>INDEX('League Config'!$H$4:$H$9,MATCH(A89,'League Config'!$E$4:$E$9,0))</f>
        <v>33</v>
      </c>
      <c r="I89" s="4">
        <f>INDEX('League Config'!$I$4:$I$9,MATCH(A89,'League Config'!$E$4:$E$9,0))</f>
        <v>239.3</v>
      </c>
      <c r="J89" s="4">
        <f t="shared" si="12"/>
        <v>85.8</v>
      </c>
      <c r="K89" s="4">
        <f t="shared" si="13"/>
        <v>100</v>
      </c>
      <c r="L89" s="4">
        <f>MIN(100,MAX(0,(1-(F89-1)/(H89*1.5))*100*INDEX('League Config'!$J$4:$J$9,MATCH(A89,'League Config'!$E$4:$E$9,0))))</f>
        <v>100</v>
      </c>
      <c r="M89">
        <f>IF(A89="K",'League Config'!$B$14,IF(A89="DST",'League Config'!$B$15,IF(A89="QB",'League Config'!$B$16,0)))</f>
        <v>0</v>
      </c>
      <c r="N89" s="4">
        <f t="shared" si="14"/>
        <v>96.743944999999997</v>
      </c>
      <c r="O89" s="9">
        <f t="shared" si="15"/>
        <v>96.743944999999997</v>
      </c>
      <c r="P89" s="6">
        <f>IF(O89="","",COUNTIF($O$3:$O$232,"&gt;"&amp;O89)+COUNTIF($O$3:O89,O89))</f>
        <v>6</v>
      </c>
      <c r="Q89">
        <f t="shared" si="16"/>
        <v>6</v>
      </c>
      <c r="R89" s="4">
        <f>'LIVE SOURCE'!E89</f>
        <v>5.7</v>
      </c>
      <c r="S89" s="4">
        <f t="shared" si="17"/>
        <v>-0.29999999999999982</v>
      </c>
      <c r="T89" t="str">
        <f>'LIVE SOURCE'!F89</f>
        <v>A</v>
      </c>
      <c r="U89" s="4">
        <f t="shared" si="18"/>
        <v>88.079899999999995</v>
      </c>
      <c r="V89" s="4">
        <f t="shared" si="19"/>
        <v>94.079899999999995</v>
      </c>
      <c r="W89" s="4">
        <f t="shared" si="20"/>
        <v>100</v>
      </c>
      <c r="X89" t="str">
        <f>'LIVE SOURCE'!G89</f>
        <v>HISTORY FALLBACK</v>
      </c>
      <c r="Y89" t="str">
        <f>IF(INDEX('Draft Board'!$J$3:$J$232,Q89)="","Available",INDEX('Draft Board'!$J$3:$J$232,Q89))</f>
        <v>Available</v>
      </c>
      <c r="Z89">
        <f t="shared" si="21"/>
        <v>6</v>
      </c>
    </row>
    <row r="90" spans="1:26" x14ac:dyDescent="0.25">
      <c r="A90" t="str">
        <f>'LIVE SOURCE'!A90</f>
        <v>WR</v>
      </c>
      <c r="B90" t="str">
        <f>'LIVE SOURCE'!B90</f>
        <v>Amon-Ra St. Brown</v>
      </c>
      <c r="C90" s="4">
        <f>'LIVE SOURCE'!D90</f>
        <v>93.263900000000007</v>
      </c>
      <c r="D90" s="4">
        <f>'Manual Adjustments'!G90</f>
        <v>0</v>
      </c>
      <c r="E90" s="4">
        <f t="shared" si="11"/>
        <v>93.263900000000007</v>
      </c>
      <c r="F90">
        <f>COUNTIFS($A$3:$A$232,A90,$E$3:$E$232,"&gt;"&amp;E90)+COUNTIFS($A$3:A90,A90,$E$3:E90,E90)</f>
        <v>4</v>
      </c>
      <c r="G90" s="4">
        <f>ROUND(INDEX('League Config'!$K$4:$K$9,MATCH(A90,'League Config'!$E$4:$E$9,0))*E90+INDEX('League Config'!$L$4:$L$9,MATCH(A90,'League Config'!$E$4:$E$9,0)),1)</f>
        <v>321.7</v>
      </c>
      <c r="H90">
        <f>INDEX('League Config'!$H$4:$H$9,MATCH(A90,'League Config'!$E$4:$E$9,0))</f>
        <v>33</v>
      </c>
      <c r="I90" s="4">
        <f>INDEX('League Config'!$I$4:$I$9,MATCH(A90,'League Config'!$E$4:$E$9,0))</f>
        <v>239.3</v>
      </c>
      <c r="J90" s="4">
        <f t="shared" si="12"/>
        <v>82.4</v>
      </c>
      <c r="K90" s="4">
        <f t="shared" si="13"/>
        <v>99.44</v>
      </c>
      <c r="L90" s="4">
        <f>MIN(100,MAX(0,(1-(F90-1)/(H90*1.5))*100*INDEX('League Config'!$J$4:$J$9,MATCH(A90,'League Config'!$E$4:$E$9,0))))</f>
        <v>100</v>
      </c>
      <c r="M90">
        <f>IF(A90="K",'League Config'!$B$14,IF(A90="DST",'League Config'!$B$15,IF(A90="QB",'League Config'!$B$16,0)))</f>
        <v>0</v>
      </c>
      <c r="N90" s="4">
        <f t="shared" si="14"/>
        <v>96.127144999999999</v>
      </c>
      <c r="O90" s="9">
        <f t="shared" si="15"/>
        <v>96.127144999999999</v>
      </c>
      <c r="P90" s="6">
        <f>IF(O90="","",COUNTIF($O$3:$O$232,"&gt;"&amp;O90)+COUNTIF($O$3:O90,O90))</f>
        <v>7</v>
      </c>
      <c r="Q90">
        <f t="shared" si="16"/>
        <v>7</v>
      </c>
      <c r="R90" s="4">
        <f>'LIVE SOURCE'!E90</f>
        <v>7</v>
      </c>
      <c r="S90" s="4">
        <f t="shared" si="17"/>
        <v>0</v>
      </c>
      <c r="T90" t="str">
        <f>'LIVE SOURCE'!F90</f>
        <v>A</v>
      </c>
      <c r="U90" s="4">
        <f t="shared" si="18"/>
        <v>87.263900000000007</v>
      </c>
      <c r="V90" s="4">
        <f t="shared" si="19"/>
        <v>93.263900000000007</v>
      </c>
      <c r="W90" s="4">
        <f t="shared" si="20"/>
        <v>99.263900000000007</v>
      </c>
      <c r="X90" t="str">
        <f>'LIVE SOURCE'!G90</f>
        <v>HISTORY FALLBACK</v>
      </c>
      <c r="Y90" t="str">
        <f>IF(INDEX('Draft Board'!$J$3:$J$232,Q90)="","Available",INDEX('Draft Board'!$J$3:$J$232,Q90))</f>
        <v>Available</v>
      </c>
      <c r="Z90">
        <f t="shared" si="21"/>
        <v>7</v>
      </c>
    </row>
    <row r="91" spans="1:26" x14ac:dyDescent="0.25">
      <c r="A91" t="str">
        <f>'LIVE SOURCE'!A91</f>
        <v>WR</v>
      </c>
      <c r="B91" t="str">
        <f>'LIVE SOURCE'!B91</f>
        <v>A.J. Brown</v>
      </c>
      <c r="C91" s="4">
        <f>'LIVE SOURCE'!D91</f>
        <v>83.235699999999994</v>
      </c>
      <c r="D91" s="4">
        <f>'Manual Adjustments'!G91</f>
        <v>0</v>
      </c>
      <c r="E91" s="4">
        <f t="shared" si="11"/>
        <v>83.235699999999994</v>
      </c>
      <c r="F91">
        <f>COUNTIFS($A$3:$A$232,A91,$E$3:$E$232,"&gt;"&amp;E91)+COUNTIFS($A$3:A91,A91,$E$3:E91,E91)</f>
        <v>16</v>
      </c>
      <c r="G91" s="4">
        <f>ROUND(INDEX('League Config'!$K$4:$K$9,MATCH(A91,'League Config'!$E$4:$E$9,0))*E91+INDEX('League Config'!$L$4:$L$9,MATCH(A91,'League Config'!$E$4:$E$9,0)),1)</f>
        <v>279.60000000000002</v>
      </c>
      <c r="H91">
        <f>INDEX('League Config'!$H$4:$H$9,MATCH(A91,'League Config'!$E$4:$E$9,0))</f>
        <v>33</v>
      </c>
      <c r="I91" s="4">
        <f>INDEX('League Config'!$I$4:$I$9,MATCH(A91,'League Config'!$E$4:$E$9,0))</f>
        <v>239.3</v>
      </c>
      <c r="J91" s="4">
        <f t="shared" si="12"/>
        <v>40.299999999999997</v>
      </c>
      <c r="K91" s="4">
        <f t="shared" si="13"/>
        <v>74.179999999999993</v>
      </c>
      <c r="L91" s="4">
        <f>MIN(100,MAX(0,(1-(F91-1)/(H91*1.5))*100*INDEX('League Config'!$J$4:$J$9,MATCH(A91,'League Config'!$E$4:$E$9,0))))</f>
        <v>76.666666666666686</v>
      </c>
      <c r="M91">
        <f>IF(A91="K",'League Config'!$B$14,IF(A91="DST",'League Config'!$B$15,IF(A91="QB",'League Config'!$B$16,0)))</f>
        <v>0</v>
      </c>
      <c r="N91" s="4">
        <f t="shared" si="14"/>
        <v>79.533635000000004</v>
      </c>
      <c r="O91" s="9">
        <f t="shared" si="15"/>
        <v>79.533635000000004</v>
      </c>
      <c r="P91" s="6">
        <f>IF(O91="","",COUNTIF($O$3:$O$232,"&gt;"&amp;O91)+COUNTIF($O$3:O91,O91))</f>
        <v>39</v>
      </c>
      <c r="Q91">
        <f t="shared" si="16"/>
        <v>39</v>
      </c>
      <c r="R91" s="4">
        <f>'LIVE SOURCE'!E91</f>
        <v>17.8</v>
      </c>
      <c r="S91" s="4">
        <f t="shared" si="17"/>
        <v>-21.2</v>
      </c>
      <c r="T91" t="str">
        <f>'LIVE SOURCE'!F91</f>
        <v>A</v>
      </c>
      <c r="U91" s="4">
        <f t="shared" si="18"/>
        <v>77.235699999999994</v>
      </c>
      <c r="V91" s="4">
        <f t="shared" si="19"/>
        <v>83.235699999999994</v>
      </c>
      <c r="W91" s="4">
        <f t="shared" si="20"/>
        <v>89.235699999999994</v>
      </c>
      <c r="X91" t="str">
        <f>'LIVE SOURCE'!G91</f>
        <v>HISTORY FALLBACK</v>
      </c>
      <c r="Y91" t="str">
        <f>IF(INDEX('Draft Board'!$J$3:$J$232,Q91)="","Available",INDEX('Draft Board'!$J$3:$J$232,Q91))</f>
        <v>Available</v>
      </c>
      <c r="Z91">
        <f t="shared" si="21"/>
        <v>39</v>
      </c>
    </row>
    <row r="92" spans="1:26" x14ac:dyDescent="0.25">
      <c r="A92" t="str">
        <f>'LIVE SOURCE'!A92</f>
        <v>WR</v>
      </c>
      <c r="B92" t="str">
        <f>'LIVE SOURCE'!B92</f>
        <v>CeeDee Lamb</v>
      </c>
      <c r="C92" s="4">
        <f>'LIVE SOURCE'!D92</f>
        <v>85.742599999999996</v>
      </c>
      <c r="D92" s="4">
        <f>'Manual Adjustments'!G92</f>
        <v>0</v>
      </c>
      <c r="E92" s="4">
        <f t="shared" si="11"/>
        <v>85.742599999999996</v>
      </c>
      <c r="F92">
        <f>COUNTIFS($A$3:$A$232,A92,$E$3:$E$232,"&gt;"&amp;E92)+COUNTIFS($A$3:A92,A92,$E$3:E92,E92)</f>
        <v>11</v>
      </c>
      <c r="G92" s="4">
        <f>ROUND(INDEX('League Config'!$K$4:$K$9,MATCH(A92,'League Config'!$E$4:$E$9,0))*E92+INDEX('League Config'!$L$4:$L$9,MATCH(A92,'League Config'!$E$4:$E$9,0)),1)</f>
        <v>290.10000000000002</v>
      </c>
      <c r="H92">
        <f>INDEX('League Config'!$H$4:$H$9,MATCH(A92,'League Config'!$E$4:$E$9,0))</f>
        <v>33</v>
      </c>
      <c r="I92" s="4">
        <f>INDEX('League Config'!$I$4:$I$9,MATCH(A92,'League Config'!$E$4:$E$9,0))</f>
        <v>239.3</v>
      </c>
      <c r="J92" s="4">
        <f t="shared" si="12"/>
        <v>50.8</v>
      </c>
      <c r="K92" s="4">
        <f t="shared" si="13"/>
        <v>80.47999999999999</v>
      </c>
      <c r="L92" s="4">
        <f>MIN(100,MAX(0,(1-(F92-1)/(H92*1.5))*100*INDEX('League Config'!$J$4:$J$9,MATCH(A92,'League Config'!$E$4:$E$9,0))))</f>
        <v>87.7777777777778</v>
      </c>
      <c r="M92">
        <f>IF(A92="K",'League Config'!$B$14,IF(A92="DST",'League Config'!$B$15,IF(A92="QB",'League Config'!$B$16,0)))</f>
        <v>0</v>
      </c>
      <c r="N92" s="4">
        <f t="shared" si="14"/>
        <v>84.469096666666672</v>
      </c>
      <c r="O92" s="9">
        <f t="shared" si="15"/>
        <v>84.469096666666672</v>
      </c>
      <c r="P92" s="6">
        <f>IF(O92="","",COUNTIF($O$3:$O$232,"&gt;"&amp;O92)+COUNTIF($O$3:O92,O92))</f>
        <v>26</v>
      </c>
      <c r="Q92">
        <f t="shared" si="16"/>
        <v>26</v>
      </c>
      <c r="R92" s="4">
        <f>'LIVE SOURCE'!E92</f>
        <v>11.2</v>
      </c>
      <c r="S92" s="4">
        <f t="shared" si="17"/>
        <v>-14.8</v>
      </c>
      <c r="T92" t="str">
        <f>'LIVE SOURCE'!F92</f>
        <v>A</v>
      </c>
      <c r="U92" s="4">
        <f t="shared" si="18"/>
        <v>79.742599999999996</v>
      </c>
      <c r="V92" s="4">
        <f t="shared" si="19"/>
        <v>85.742599999999996</v>
      </c>
      <c r="W92" s="4">
        <f t="shared" si="20"/>
        <v>91.742599999999996</v>
      </c>
      <c r="X92" t="str">
        <f>'LIVE SOURCE'!G92</f>
        <v>HISTORY FALLBACK</v>
      </c>
      <c r="Y92" t="str">
        <f>IF(INDEX('Draft Board'!$J$3:$J$232,Q92)="","Available",INDEX('Draft Board'!$J$3:$J$232,Q92))</f>
        <v>Available</v>
      </c>
      <c r="Z92">
        <f t="shared" si="21"/>
        <v>26</v>
      </c>
    </row>
    <row r="93" spans="1:26" x14ac:dyDescent="0.25">
      <c r="A93" t="str">
        <f>'LIVE SOURCE'!A93</f>
        <v>WR</v>
      </c>
      <c r="B93" t="str">
        <f>'LIVE SOURCE'!B93</f>
        <v>Justin Jefferson</v>
      </c>
      <c r="C93" s="4">
        <f>'LIVE SOURCE'!D93</f>
        <v>84.793599999999998</v>
      </c>
      <c r="D93" s="4">
        <f>'Manual Adjustments'!G93</f>
        <v>0</v>
      </c>
      <c r="E93" s="4">
        <f t="shared" si="11"/>
        <v>84.793599999999998</v>
      </c>
      <c r="F93">
        <f>COUNTIFS($A$3:$A$232,A93,$E$3:$E$232,"&gt;"&amp;E93)+COUNTIFS($A$3:A93,A93,$E$3:E93,E93)</f>
        <v>14</v>
      </c>
      <c r="G93" s="4">
        <f>ROUND(INDEX('League Config'!$K$4:$K$9,MATCH(A93,'League Config'!$E$4:$E$9,0))*E93+INDEX('League Config'!$L$4:$L$9,MATCH(A93,'League Config'!$E$4:$E$9,0)),1)</f>
        <v>286.10000000000002</v>
      </c>
      <c r="H93">
        <f>INDEX('League Config'!$H$4:$H$9,MATCH(A93,'League Config'!$E$4:$E$9,0))</f>
        <v>33</v>
      </c>
      <c r="I93" s="4">
        <f>INDEX('League Config'!$I$4:$I$9,MATCH(A93,'League Config'!$E$4:$E$9,0))</f>
        <v>239.3</v>
      </c>
      <c r="J93" s="4">
        <f t="shared" si="12"/>
        <v>46.8</v>
      </c>
      <c r="K93" s="4">
        <f t="shared" si="13"/>
        <v>78.08</v>
      </c>
      <c r="L93" s="4">
        <f>MIN(100,MAX(0,(1-(F93-1)/(H93*1.5))*100*INDEX('League Config'!$J$4:$J$9,MATCH(A93,'League Config'!$E$4:$E$9,0))))</f>
        <v>81.111111111111114</v>
      </c>
      <c r="M93">
        <f>IF(A93="K",'League Config'!$B$14,IF(A93="DST",'League Config'!$B$15,IF(A93="QB",'League Config'!$B$16,0)))</f>
        <v>0</v>
      </c>
      <c r="N93" s="4">
        <f t="shared" si="14"/>
        <v>82.227146666666684</v>
      </c>
      <c r="O93" s="9">
        <f t="shared" si="15"/>
        <v>82.227146666666684</v>
      </c>
      <c r="P93" s="6">
        <f>IF(O93="","",COUNTIF($O$3:$O$232,"&gt;"&amp;O93)+COUNTIF($O$3:O93,O93))</f>
        <v>32</v>
      </c>
      <c r="Q93">
        <f t="shared" si="16"/>
        <v>32</v>
      </c>
      <c r="R93" s="4">
        <f>'LIVE SOURCE'!E93</f>
        <v>14.6</v>
      </c>
      <c r="S93" s="4">
        <f t="shared" si="17"/>
        <v>-17.399999999999999</v>
      </c>
      <c r="T93" t="str">
        <f>'LIVE SOURCE'!F93</f>
        <v>A</v>
      </c>
      <c r="U93" s="4">
        <f t="shared" si="18"/>
        <v>78.793599999999998</v>
      </c>
      <c r="V93" s="4">
        <f t="shared" si="19"/>
        <v>84.793599999999998</v>
      </c>
      <c r="W93" s="4">
        <f t="shared" si="20"/>
        <v>90.793599999999998</v>
      </c>
      <c r="X93" t="str">
        <f>'LIVE SOURCE'!G93</f>
        <v>HISTORY FALLBACK</v>
      </c>
      <c r="Y93" t="str">
        <f>IF(INDEX('Draft Board'!$J$3:$J$232,Q93)="","Available",INDEX('Draft Board'!$J$3:$J$232,Q93))</f>
        <v>Available</v>
      </c>
      <c r="Z93">
        <f t="shared" si="21"/>
        <v>32</v>
      </c>
    </row>
    <row r="94" spans="1:26" x14ac:dyDescent="0.25">
      <c r="A94" t="str">
        <f>'LIVE SOURCE'!A94</f>
        <v>WR</v>
      </c>
      <c r="B94" t="str">
        <f>'LIVE SOURCE'!B94</f>
        <v>George Pickens</v>
      </c>
      <c r="C94" s="4">
        <f>'LIVE SOURCE'!D94</f>
        <v>81.836600000000004</v>
      </c>
      <c r="D94" s="4">
        <f>'Manual Adjustments'!G94</f>
        <v>0</v>
      </c>
      <c r="E94" s="4">
        <f t="shared" si="11"/>
        <v>81.836600000000004</v>
      </c>
      <c r="F94">
        <f>COUNTIFS($A$3:$A$232,A94,$E$3:$E$232,"&gt;"&amp;E94)+COUNTIFS($A$3:A94,A94,$E$3:E94,E94)</f>
        <v>19</v>
      </c>
      <c r="G94" s="4">
        <f>ROUND(INDEX('League Config'!$K$4:$K$9,MATCH(A94,'League Config'!$E$4:$E$9,0))*E94+INDEX('League Config'!$L$4:$L$9,MATCH(A94,'League Config'!$E$4:$E$9,0)),1)</f>
        <v>273.7</v>
      </c>
      <c r="H94">
        <f>INDEX('League Config'!$H$4:$H$9,MATCH(A94,'League Config'!$E$4:$E$9,0))</f>
        <v>33</v>
      </c>
      <c r="I94" s="4">
        <f>INDEX('League Config'!$I$4:$I$9,MATCH(A94,'League Config'!$E$4:$E$9,0))</f>
        <v>239.3</v>
      </c>
      <c r="J94" s="4">
        <f t="shared" si="12"/>
        <v>34.4</v>
      </c>
      <c r="K94" s="4">
        <f t="shared" si="13"/>
        <v>70.64</v>
      </c>
      <c r="L94" s="4">
        <f>MIN(100,MAX(0,(1-(F94-1)/(H94*1.5))*100*INDEX('League Config'!$J$4:$J$9,MATCH(A94,'League Config'!$E$4:$E$9,0))))</f>
        <v>70</v>
      </c>
      <c r="M94">
        <f>IF(A94="K",'League Config'!$B$14,IF(A94="DST",'League Config'!$B$15,IF(A94="QB",'League Config'!$B$16,0)))</f>
        <v>0</v>
      </c>
      <c r="N94" s="4">
        <f t="shared" si="14"/>
        <v>76.702130000000011</v>
      </c>
      <c r="O94" s="9">
        <f t="shared" si="15"/>
        <v>76.702130000000011</v>
      </c>
      <c r="P94" s="6">
        <f>IF(O94="","",COUNTIF($O$3:$O$232,"&gt;"&amp;O94)+COUNTIF($O$3:O94,O94))</f>
        <v>47</v>
      </c>
      <c r="Q94">
        <f t="shared" si="16"/>
        <v>47</v>
      </c>
      <c r="R94" s="4">
        <f>'LIVE SOURCE'!E94</f>
        <v>21.1</v>
      </c>
      <c r="S94" s="4">
        <f t="shared" si="17"/>
        <v>-25.9</v>
      </c>
      <c r="T94" t="str">
        <f>'LIVE SOURCE'!F94</f>
        <v>A</v>
      </c>
      <c r="U94" s="4">
        <f t="shared" si="18"/>
        <v>75.836600000000004</v>
      </c>
      <c r="V94" s="4">
        <f t="shared" si="19"/>
        <v>81.836600000000004</v>
      </c>
      <c r="W94" s="4">
        <f t="shared" si="20"/>
        <v>87.836600000000004</v>
      </c>
      <c r="X94" t="str">
        <f>'LIVE SOURCE'!G94</f>
        <v>HISTORY FALLBACK</v>
      </c>
      <c r="Y94" t="str">
        <f>IF(INDEX('Draft Board'!$J$3:$J$232,Q94)="","Available",INDEX('Draft Board'!$J$3:$J$232,Q94))</f>
        <v>Available</v>
      </c>
      <c r="Z94">
        <f t="shared" si="21"/>
        <v>47</v>
      </c>
    </row>
    <row r="95" spans="1:26" x14ac:dyDescent="0.25">
      <c r="A95" t="str">
        <f>'LIVE SOURCE'!A95</f>
        <v>WR</v>
      </c>
      <c r="B95" t="str">
        <f>'LIVE SOURCE'!B95</f>
        <v>Drake London</v>
      </c>
      <c r="C95" s="4">
        <f>'LIVE SOURCE'!D95</f>
        <v>87.510599999999997</v>
      </c>
      <c r="D95" s="4">
        <f>'Manual Adjustments'!G95</f>
        <v>0</v>
      </c>
      <c r="E95" s="4">
        <f t="shared" si="11"/>
        <v>87.510599999999997</v>
      </c>
      <c r="F95">
        <f>COUNTIFS($A$3:$A$232,A95,$E$3:$E$232,"&gt;"&amp;E95)+COUNTIFS($A$3:A95,A95,$E$3:E95,E95)</f>
        <v>7</v>
      </c>
      <c r="G95" s="4">
        <f>ROUND(INDEX('League Config'!$K$4:$K$9,MATCH(A95,'League Config'!$E$4:$E$9,0))*E95+INDEX('League Config'!$L$4:$L$9,MATCH(A95,'League Config'!$E$4:$E$9,0)),1)</f>
        <v>297.5</v>
      </c>
      <c r="H95">
        <f>INDEX('League Config'!$H$4:$H$9,MATCH(A95,'League Config'!$E$4:$E$9,0))</f>
        <v>33</v>
      </c>
      <c r="I95" s="4">
        <f>INDEX('League Config'!$I$4:$I$9,MATCH(A95,'League Config'!$E$4:$E$9,0))</f>
        <v>239.3</v>
      </c>
      <c r="J95" s="4">
        <f t="shared" si="12"/>
        <v>58.2</v>
      </c>
      <c r="K95" s="4">
        <f t="shared" si="13"/>
        <v>84.92</v>
      </c>
      <c r="L95" s="4">
        <f>MIN(100,MAX(0,(1-(F95-1)/(H95*1.5))*100*INDEX('League Config'!$J$4:$J$9,MATCH(A95,'League Config'!$E$4:$E$9,0))))</f>
        <v>96.666666666666671</v>
      </c>
      <c r="M95">
        <f>IF(A95="K",'League Config'!$B$14,IF(A95="DST",'League Config'!$B$15,IF(A95="QB",'League Config'!$B$16,0)))</f>
        <v>0</v>
      </c>
      <c r="N95" s="4">
        <f t="shared" si="14"/>
        <v>88.106830000000002</v>
      </c>
      <c r="O95" s="9">
        <f t="shared" si="15"/>
        <v>88.106830000000002</v>
      </c>
      <c r="P95" s="6">
        <f>IF(O95="","",COUNTIF($O$3:$O$232,"&gt;"&amp;O95)+COUNTIF($O$3:O95,O95))</f>
        <v>18</v>
      </c>
      <c r="Q95">
        <f t="shared" si="16"/>
        <v>18</v>
      </c>
      <c r="R95" s="4">
        <f>'LIVE SOURCE'!E95</f>
        <v>10.199999999999999</v>
      </c>
      <c r="S95" s="4">
        <f t="shared" si="17"/>
        <v>-7.8000000000000007</v>
      </c>
      <c r="T95" t="str">
        <f>'LIVE SOURCE'!F95</f>
        <v>A</v>
      </c>
      <c r="U95" s="4">
        <f t="shared" si="18"/>
        <v>81.510599999999997</v>
      </c>
      <c r="V95" s="4">
        <f t="shared" si="19"/>
        <v>87.510599999999997</v>
      </c>
      <c r="W95" s="4">
        <f t="shared" si="20"/>
        <v>93.510599999999997</v>
      </c>
      <c r="X95" t="str">
        <f>'LIVE SOURCE'!G95</f>
        <v>HISTORY FALLBACK</v>
      </c>
      <c r="Y95" t="str">
        <f>IF(INDEX('Draft Board'!$J$3:$J$232,Q95)="","Available",INDEX('Draft Board'!$J$3:$J$232,Q95))</f>
        <v>Available</v>
      </c>
      <c r="Z95">
        <f t="shared" si="21"/>
        <v>18</v>
      </c>
    </row>
    <row r="96" spans="1:26" x14ac:dyDescent="0.25">
      <c r="A96" t="str">
        <f>'LIVE SOURCE'!A96</f>
        <v>WR</v>
      </c>
      <c r="B96" t="str">
        <f>'LIVE SOURCE'!B96</f>
        <v>Nico Collins</v>
      </c>
      <c r="C96" s="4">
        <f>'LIVE SOURCE'!D96</f>
        <v>91.492500000000007</v>
      </c>
      <c r="D96" s="4">
        <f>'Manual Adjustments'!G96</f>
        <v>0</v>
      </c>
      <c r="E96" s="4">
        <f t="shared" si="11"/>
        <v>91.492500000000007</v>
      </c>
      <c r="F96">
        <f>COUNTIFS($A$3:$A$232,A96,$E$3:$E$232,"&gt;"&amp;E96)+COUNTIFS($A$3:A96,A96,$E$3:E96,E96)</f>
        <v>5</v>
      </c>
      <c r="G96" s="4">
        <f>ROUND(INDEX('League Config'!$K$4:$K$9,MATCH(A96,'League Config'!$E$4:$E$9,0))*E96+INDEX('League Config'!$L$4:$L$9,MATCH(A96,'League Config'!$E$4:$E$9,0)),1)</f>
        <v>314.3</v>
      </c>
      <c r="H96">
        <f>INDEX('League Config'!$H$4:$H$9,MATCH(A96,'League Config'!$E$4:$E$9,0))</f>
        <v>33</v>
      </c>
      <c r="I96" s="4">
        <f>INDEX('League Config'!$I$4:$I$9,MATCH(A96,'League Config'!$E$4:$E$9,0))</f>
        <v>239.3</v>
      </c>
      <c r="J96" s="4">
        <f t="shared" si="12"/>
        <v>75</v>
      </c>
      <c r="K96" s="4">
        <f t="shared" si="13"/>
        <v>95</v>
      </c>
      <c r="L96" s="4">
        <f>MIN(100,MAX(0,(1-(F96-1)/(H96*1.5))*100*INDEX('League Config'!$J$4:$J$9,MATCH(A96,'League Config'!$E$4:$E$9,0))))</f>
        <v>100</v>
      </c>
      <c r="M96">
        <f>IF(A96="K",'League Config'!$B$14,IF(A96="DST",'League Config'!$B$15,IF(A96="QB",'League Config'!$B$16,0)))</f>
        <v>0</v>
      </c>
      <c r="N96" s="4">
        <f t="shared" si="14"/>
        <v>93.820875000000001</v>
      </c>
      <c r="O96" s="9">
        <f t="shared" si="15"/>
        <v>93.820875000000001</v>
      </c>
      <c r="P96" s="6">
        <f>IF(O96="","",COUNTIF($O$3:$O$232,"&gt;"&amp;O96)+COUNTIF($O$3:O96,O96))</f>
        <v>9</v>
      </c>
      <c r="Q96">
        <f t="shared" si="16"/>
        <v>9</v>
      </c>
      <c r="R96" s="4">
        <f>'LIVE SOURCE'!E96</f>
        <v>23.8</v>
      </c>
      <c r="S96" s="4">
        <f t="shared" si="17"/>
        <v>14.8</v>
      </c>
      <c r="T96" t="str">
        <f>'LIVE SOURCE'!F96</f>
        <v>B</v>
      </c>
      <c r="U96" s="4">
        <f t="shared" si="18"/>
        <v>82.492500000000007</v>
      </c>
      <c r="V96" s="4">
        <f t="shared" si="19"/>
        <v>91.492500000000007</v>
      </c>
      <c r="W96" s="4">
        <f t="shared" si="20"/>
        <v>100</v>
      </c>
      <c r="X96" t="str">
        <f>'LIVE SOURCE'!G96</f>
        <v>HISTORY FALLBACK</v>
      </c>
      <c r="Y96" t="str">
        <f>IF(INDEX('Draft Board'!$J$3:$J$232,Q96)="","Available",INDEX('Draft Board'!$J$3:$J$232,Q96))</f>
        <v>Available</v>
      </c>
      <c r="Z96">
        <f t="shared" si="21"/>
        <v>9</v>
      </c>
    </row>
    <row r="97" spans="1:26" x14ac:dyDescent="0.25">
      <c r="A97" t="str">
        <f>'LIVE SOURCE'!A97</f>
        <v>WR</v>
      </c>
      <c r="B97" t="str">
        <f>'LIVE SOURCE'!B97</f>
        <v>Rashee Rice</v>
      </c>
      <c r="C97" s="4">
        <f>'LIVE SOURCE'!D97</f>
        <v>84.094700000000003</v>
      </c>
      <c r="D97" s="4">
        <f>'Manual Adjustments'!G97</f>
        <v>0</v>
      </c>
      <c r="E97" s="4">
        <f t="shared" si="11"/>
        <v>84.094700000000003</v>
      </c>
      <c r="F97">
        <f>COUNTIFS($A$3:$A$232,A97,$E$3:$E$232,"&gt;"&amp;E97)+COUNTIFS($A$3:A97,A97,$E$3:E97,E97)</f>
        <v>15</v>
      </c>
      <c r="G97" s="4">
        <f>ROUND(INDEX('League Config'!$K$4:$K$9,MATCH(A97,'League Config'!$E$4:$E$9,0))*E97+INDEX('League Config'!$L$4:$L$9,MATCH(A97,'League Config'!$E$4:$E$9,0)),1)</f>
        <v>283.2</v>
      </c>
      <c r="H97">
        <f>INDEX('League Config'!$H$4:$H$9,MATCH(A97,'League Config'!$E$4:$E$9,0))</f>
        <v>33</v>
      </c>
      <c r="I97" s="4">
        <f>INDEX('League Config'!$I$4:$I$9,MATCH(A97,'League Config'!$E$4:$E$9,0))</f>
        <v>239.3</v>
      </c>
      <c r="J97" s="4">
        <f t="shared" si="12"/>
        <v>43.9</v>
      </c>
      <c r="K97" s="4">
        <f t="shared" si="13"/>
        <v>76.34</v>
      </c>
      <c r="L97" s="4">
        <f>MIN(100,MAX(0,(1-(F97-1)/(H97*1.5))*100*INDEX('League Config'!$J$4:$J$9,MATCH(A97,'League Config'!$E$4:$E$9,0))))</f>
        <v>78.888888888888886</v>
      </c>
      <c r="M97">
        <f>IF(A97="K",'League Config'!$B$14,IF(A97="DST",'League Config'!$B$15,IF(A97="QB",'League Config'!$B$16,0)))</f>
        <v>0</v>
      </c>
      <c r="N97" s="4">
        <f t="shared" si="14"/>
        <v>80.987418333333338</v>
      </c>
      <c r="O97" s="9">
        <f t="shared" si="15"/>
        <v>80.987418333333338</v>
      </c>
      <c r="P97" s="6">
        <f>IF(O97="","",COUNTIF($O$3:$O$232,"&gt;"&amp;O97)+COUNTIF($O$3:O97,O97))</f>
        <v>35</v>
      </c>
      <c r="Q97">
        <f t="shared" si="16"/>
        <v>35</v>
      </c>
      <c r="R97" s="4">
        <f>'LIVE SOURCE'!E97</f>
        <v>11.5</v>
      </c>
      <c r="S97" s="4">
        <f t="shared" si="17"/>
        <v>-23.5</v>
      </c>
      <c r="T97" t="str">
        <f>'LIVE SOURCE'!F97</f>
        <v>A</v>
      </c>
      <c r="U97" s="4">
        <f t="shared" si="18"/>
        <v>78.094700000000003</v>
      </c>
      <c r="V97" s="4">
        <f t="shared" si="19"/>
        <v>84.094700000000003</v>
      </c>
      <c r="W97" s="4">
        <f t="shared" si="20"/>
        <v>90.094700000000003</v>
      </c>
      <c r="X97" t="str">
        <f>'LIVE SOURCE'!G97</f>
        <v>HISTORY FALLBACK</v>
      </c>
      <c r="Y97" t="str">
        <f>IF(INDEX('Draft Board'!$J$3:$J$232,Q97)="","Available",INDEX('Draft Board'!$J$3:$J$232,Q97))</f>
        <v>Available</v>
      </c>
      <c r="Z97">
        <f t="shared" si="21"/>
        <v>35</v>
      </c>
    </row>
    <row r="98" spans="1:26" x14ac:dyDescent="0.25">
      <c r="A98" t="str">
        <f>'LIVE SOURCE'!A98</f>
        <v>WR</v>
      </c>
      <c r="B98" t="str">
        <f>'LIVE SOURCE'!B98</f>
        <v>Chris Olave</v>
      </c>
      <c r="C98" s="4">
        <f>'LIVE SOURCE'!D98</f>
        <v>88.907499999999999</v>
      </c>
      <c r="D98" s="4">
        <f>'Manual Adjustments'!G98</f>
        <v>0</v>
      </c>
      <c r="E98" s="4">
        <f t="shared" si="11"/>
        <v>88.907499999999999</v>
      </c>
      <c r="F98">
        <f>COUNTIFS($A$3:$A$232,A98,$E$3:$E$232,"&gt;"&amp;E98)+COUNTIFS($A$3:A98,A98,$E$3:E98,E98)</f>
        <v>6</v>
      </c>
      <c r="G98" s="4">
        <f>ROUND(INDEX('League Config'!$K$4:$K$9,MATCH(A98,'League Config'!$E$4:$E$9,0))*E98+INDEX('League Config'!$L$4:$L$9,MATCH(A98,'League Config'!$E$4:$E$9,0)),1)</f>
        <v>303.39999999999998</v>
      </c>
      <c r="H98">
        <f>INDEX('League Config'!$H$4:$H$9,MATCH(A98,'League Config'!$E$4:$E$9,0))</f>
        <v>33</v>
      </c>
      <c r="I98" s="4">
        <f>INDEX('League Config'!$I$4:$I$9,MATCH(A98,'League Config'!$E$4:$E$9,0))</f>
        <v>239.3</v>
      </c>
      <c r="J98" s="4">
        <f t="shared" si="12"/>
        <v>64.099999999999994</v>
      </c>
      <c r="K98" s="4">
        <f t="shared" si="13"/>
        <v>88.46</v>
      </c>
      <c r="L98" s="4">
        <f>MIN(100,MAX(0,(1-(F98-1)/(H98*1.5))*100*INDEX('League Config'!$J$4:$J$9,MATCH(A98,'League Config'!$E$4:$E$9,0))))</f>
        <v>98.8888888888889</v>
      </c>
      <c r="M98">
        <f>IF(A98="K",'League Config'!$B$14,IF(A98="DST",'League Config'!$B$15,IF(A98="QB",'League Config'!$B$16,0)))</f>
        <v>0</v>
      </c>
      <c r="N98" s="4">
        <f t="shared" si="14"/>
        <v>90.270458333333337</v>
      </c>
      <c r="O98" s="9">
        <f t="shared" si="15"/>
        <v>90.270458333333337</v>
      </c>
      <c r="P98" s="6">
        <f>IF(O98="","",COUNTIF($O$3:$O$232,"&gt;"&amp;O98)+COUNTIF($O$3:O98,O98))</f>
        <v>13</v>
      </c>
      <c r="Q98">
        <f t="shared" si="16"/>
        <v>13</v>
      </c>
      <c r="R98" s="4">
        <f>'LIVE SOURCE'!E98</f>
        <v>20.399999999999999</v>
      </c>
      <c r="S98" s="4">
        <f t="shared" si="17"/>
        <v>7.3999999999999986</v>
      </c>
      <c r="T98" t="str">
        <f>'LIVE SOURCE'!F98</f>
        <v>B</v>
      </c>
      <c r="U98" s="4">
        <f t="shared" si="18"/>
        <v>79.907499999999999</v>
      </c>
      <c r="V98" s="4">
        <f t="shared" si="19"/>
        <v>88.907499999999999</v>
      </c>
      <c r="W98" s="4">
        <f t="shared" si="20"/>
        <v>97.907499999999999</v>
      </c>
      <c r="X98" t="str">
        <f>'LIVE SOURCE'!G98</f>
        <v>HISTORY FALLBACK</v>
      </c>
      <c r="Y98" t="str">
        <f>IF(INDEX('Draft Board'!$J$3:$J$232,Q98)="","Available",INDEX('Draft Board'!$J$3:$J$232,Q98))</f>
        <v>Available</v>
      </c>
      <c r="Z98">
        <f t="shared" si="21"/>
        <v>13</v>
      </c>
    </row>
    <row r="99" spans="1:26" x14ac:dyDescent="0.25">
      <c r="A99" t="str">
        <f>'LIVE SOURCE'!A99</f>
        <v>WR</v>
      </c>
      <c r="B99" t="str">
        <f>'LIVE SOURCE'!B99</f>
        <v>Tetairoa McMillan</v>
      </c>
      <c r="C99" s="4">
        <f>'LIVE SOURCE'!D99</f>
        <v>85.74</v>
      </c>
      <c r="D99" s="4">
        <f>'Manual Adjustments'!G99</f>
        <v>0</v>
      </c>
      <c r="E99" s="4">
        <f t="shared" si="11"/>
        <v>85.74</v>
      </c>
      <c r="F99">
        <f>COUNTIFS($A$3:$A$232,A99,$E$3:$E$232,"&gt;"&amp;E99)+COUNTIFS($A$3:A99,A99,$E$3:E99,E99)</f>
        <v>12</v>
      </c>
      <c r="G99" s="4">
        <f>ROUND(INDEX('League Config'!$K$4:$K$9,MATCH(A99,'League Config'!$E$4:$E$9,0))*E99+INDEX('League Config'!$L$4:$L$9,MATCH(A99,'League Config'!$E$4:$E$9,0)),1)</f>
        <v>290.10000000000002</v>
      </c>
      <c r="H99">
        <f>INDEX('League Config'!$H$4:$H$9,MATCH(A99,'League Config'!$E$4:$E$9,0))</f>
        <v>33</v>
      </c>
      <c r="I99" s="4">
        <f>INDEX('League Config'!$I$4:$I$9,MATCH(A99,'League Config'!$E$4:$E$9,0))</f>
        <v>239.3</v>
      </c>
      <c r="J99" s="4">
        <f t="shared" si="12"/>
        <v>50.8</v>
      </c>
      <c r="K99" s="4">
        <f t="shared" si="13"/>
        <v>80.47999999999999</v>
      </c>
      <c r="L99" s="4">
        <f>MIN(100,MAX(0,(1-(F99-1)/(H99*1.5))*100*INDEX('League Config'!$J$4:$J$9,MATCH(A99,'League Config'!$E$4:$E$9,0))))</f>
        <v>85.555555555555571</v>
      </c>
      <c r="M99">
        <f>IF(A99="K",'League Config'!$B$14,IF(A99="DST",'League Config'!$B$15,IF(A99="QB",'League Config'!$B$16,0)))</f>
        <v>0</v>
      </c>
      <c r="N99" s="4">
        <f t="shared" si="14"/>
        <v>84.134333333333331</v>
      </c>
      <c r="O99" s="9">
        <f t="shared" si="15"/>
        <v>84.134333333333331</v>
      </c>
      <c r="P99" s="6">
        <f>IF(O99="","",COUNTIF($O$3:$O$232,"&gt;"&amp;O99)+COUNTIF($O$3:O99,O99))</f>
        <v>28</v>
      </c>
      <c r="Q99">
        <f t="shared" si="16"/>
        <v>28</v>
      </c>
      <c r="R99" s="4">
        <f>'LIVE SOURCE'!E99</f>
        <v>34.4</v>
      </c>
      <c r="S99" s="4">
        <f t="shared" si="17"/>
        <v>6.3999999999999986</v>
      </c>
      <c r="T99" t="str">
        <f>'LIVE SOURCE'!F99</f>
        <v>B</v>
      </c>
      <c r="U99" s="4">
        <f t="shared" si="18"/>
        <v>76.739999999999995</v>
      </c>
      <c r="V99" s="4">
        <f t="shared" si="19"/>
        <v>85.74</v>
      </c>
      <c r="W99" s="4">
        <f t="shared" si="20"/>
        <v>94.74</v>
      </c>
      <c r="X99" t="str">
        <f>'LIVE SOURCE'!G99</f>
        <v>HISTORY FALLBACK</v>
      </c>
      <c r="Y99" t="str">
        <f>IF(INDEX('Draft Board'!$J$3:$J$232,Q99)="","Available",INDEX('Draft Board'!$J$3:$J$232,Q99))</f>
        <v>Available</v>
      </c>
      <c r="Z99">
        <f t="shared" si="21"/>
        <v>28</v>
      </c>
    </row>
    <row r="100" spans="1:26" x14ac:dyDescent="0.25">
      <c r="A100" t="str">
        <f>'LIVE SOURCE'!A100</f>
        <v>WR</v>
      </c>
      <c r="B100" t="str">
        <f>'LIVE SOURCE'!B100</f>
        <v>Tee Higgins</v>
      </c>
      <c r="C100" s="4">
        <f>'LIVE SOURCE'!D100</f>
        <v>84.822500000000005</v>
      </c>
      <c r="D100" s="4">
        <f>'Manual Adjustments'!G100</f>
        <v>0</v>
      </c>
      <c r="E100" s="4">
        <f t="shared" si="11"/>
        <v>84.822500000000005</v>
      </c>
      <c r="F100">
        <f>COUNTIFS($A$3:$A$232,A100,$E$3:$E$232,"&gt;"&amp;E100)+COUNTIFS($A$3:A100,A100,$E$3:E100,E100)</f>
        <v>13</v>
      </c>
      <c r="G100" s="4">
        <f>ROUND(INDEX('League Config'!$K$4:$K$9,MATCH(A100,'League Config'!$E$4:$E$9,0))*E100+INDEX('League Config'!$L$4:$L$9,MATCH(A100,'League Config'!$E$4:$E$9,0)),1)</f>
        <v>286.3</v>
      </c>
      <c r="H100">
        <f>INDEX('League Config'!$H$4:$H$9,MATCH(A100,'League Config'!$E$4:$E$9,0))</f>
        <v>33</v>
      </c>
      <c r="I100" s="4">
        <f>INDEX('League Config'!$I$4:$I$9,MATCH(A100,'League Config'!$E$4:$E$9,0))</f>
        <v>239.3</v>
      </c>
      <c r="J100" s="4">
        <f t="shared" si="12"/>
        <v>47</v>
      </c>
      <c r="K100" s="4">
        <f t="shared" si="13"/>
        <v>78.2</v>
      </c>
      <c r="L100" s="4">
        <f>MIN(100,MAX(0,(1-(F100-1)/(H100*1.5))*100*INDEX('League Config'!$J$4:$J$9,MATCH(A100,'League Config'!$E$4:$E$9,0))))</f>
        <v>83.333333333333329</v>
      </c>
      <c r="M100">
        <f>IF(A100="K",'League Config'!$B$14,IF(A100="DST",'League Config'!$B$15,IF(A100="QB",'League Config'!$B$16,0)))</f>
        <v>0</v>
      </c>
      <c r="N100" s="4">
        <f t="shared" si="14"/>
        <v>82.612375000000014</v>
      </c>
      <c r="O100" s="9">
        <f t="shared" si="15"/>
        <v>82.612375000000014</v>
      </c>
      <c r="P100" s="6">
        <f>IF(O100="","",COUNTIF($O$3:$O$232,"&gt;"&amp;O100)+COUNTIF($O$3:O100,O100))</f>
        <v>31</v>
      </c>
      <c r="Q100">
        <f t="shared" si="16"/>
        <v>31</v>
      </c>
      <c r="R100" s="4">
        <f>'LIVE SOURCE'!E100</f>
        <v>38.6</v>
      </c>
      <c r="S100" s="4">
        <f t="shared" si="17"/>
        <v>7.6000000000000014</v>
      </c>
      <c r="T100" t="str">
        <f>'LIVE SOURCE'!F100</f>
        <v>B</v>
      </c>
      <c r="U100" s="4">
        <f t="shared" si="18"/>
        <v>75.822500000000005</v>
      </c>
      <c r="V100" s="4">
        <f t="shared" si="19"/>
        <v>84.822500000000005</v>
      </c>
      <c r="W100" s="4">
        <f t="shared" si="20"/>
        <v>93.822500000000005</v>
      </c>
      <c r="X100" t="str">
        <f>'LIVE SOURCE'!G100</f>
        <v>HISTORY FALLBACK</v>
      </c>
      <c r="Y100" t="str">
        <f>IF(INDEX('Draft Board'!$J$3:$J$232,Q100)="","Available",INDEX('Draft Board'!$J$3:$J$232,Q100))</f>
        <v>Available</v>
      </c>
      <c r="Z100">
        <f t="shared" si="21"/>
        <v>31</v>
      </c>
    </row>
    <row r="101" spans="1:26" x14ac:dyDescent="0.25">
      <c r="A101" t="str">
        <f>'LIVE SOURCE'!A101</f>
        <v>WR</v>
      </c>
      <c r="B101" t="str">
        <f>'LIVE SOURCE'!B101</f>
        <v>Garrett Wilson</v>
      </c>
      <c r="C101" s="4">
        <f>'LIVE SOURCE'!D101</f>
        <v>86.155000000000001</v>
      </c>
      <c r="D101" s="4">
        <f>'Manual Adjustments'!G101</f>
        <v>0</v>
      </c>
      <c r="E101" s="4">
        <f t="shared" si="11"/>
        <v>86.155000000000001</v>
      </c>
      <c r="F101">
        <f>COUNTIFS($A$3:$A$232,A101,$E$3:$E$232,"&gt;"&amp;E101)+COUNTIFS($A$3:A101,A101,$E$3:E101,E101)</f>
        <v>10</v>
      </c>
      <c r="G101" s="4">
        <f>ROUND(INDEX('League Config'!$K$4:$K$9,MATCH(A101,'League Config'!$E$4:$E$9,0))*E101+INDEX('League Config'!$L$4:$L$9,MATCH(A101,'League Config'!$E$4:$E$9,0)),1)</f>
        <v>291.89999999999998</v>
      </c>
      <c r="H101">
        <f>INDEX('League Config'!$H$4:$H$9,MATCH(A101,'League Config'!$E$4:$E$9,0))</f>
        <v>33</v>
      </c>
      <c r="I101" s="4">
        <f>INDEX('League Config'!$I$4:$I$9,MATCH(A101,'League Config'!$E$4:$E$9,0))</f>
        <v>239.3</v>
      </c>
      <c r="J101" s="4">
        <f t="shared" si="12"/>
        <v>52.6</v>
      </c>
      <c r="K101" s="4">
        <f t="shared" si="13"/>
        <v>81.56</v>
      </c>
      <c r="L101" s="4">
        <f>MIN(100,MAX(0,(1-(F101-1)/(H101*1.5))*100*INDEX('League Config'!$J$4:$J$9,MATCH(A101,'League Config'!$E$4:$E$9,0))))</f>
        <v>90</v>
      </c>
      <c r="M101">
        <f>IF(A101="K",'League Config'!$B$14,IF(A101="DST",'League Config'!$B$15,IF(A101="QB",'League Config'!$B$16,0)))</f>
        <v>0</v>
      </c>
      <c r="N101" s="4">
        <f t="shared" si="14"/>
        <v>85.353250000000003</v>
      </c>
      <c r="O101" s="9">
        <f t="shared" si="15"/>
        <v>85.353250000000003</v>
      </c>
      <c r="P101" s="6">
        <f>IF(O101="","",COUNTIF($O$3:$O$232,"&gt;"&amp;O101)+COUNTIF($O$3:O101,O101))</f>
        <v>23</v>
      </c>
      <c r="Q101">
        <f t="shared" si="16"/>
        <v>23</v>
      </c>
      <c r="R101" s="4">
        <f>'LIVE SOURCE'!E101</f>
        <v>29</v>
      </c>
      <c r="S101" s="4">
        <f t="shared" si="17"/>
        <v>6</v>
      </c>
      <c r="T101" t="str">
        <f>'LIVE SOURCE'!F101</f>
        <v>B</v>
      </c>
      <c r="U101" s="4">
        <f t="shared" si="18"/>
        <v>77.155000000000001</v>
      </c>
      <c r="V101" s="4">
        <f t="shared" si="19"/>
        <v>86.155000000000001</v>
      </c>
      <c r="W101" s="4">
        <f t="shared" si="20"/>
        <v>95.155000000000001</v>
      </c>
      <c r="X101" t="str">
        <f>'LIVE SOURCE'!G101</f>
        <v>HISTORY FALLBACK</v>
      </c>
      <c r="Y101" t="str">
        <f>IF(INDEX('Draft Board'!$J$3:$J$232,Q101)="","Available",INDEX('Draft Board'!$J$3:$J$232,Q101))</f>
        <v>Available</v>
      </c>
      <c r="Z101">
        <f t="shared" si="21"/>
        <v>23</v>
      </c>
    </row>
    <row r="102" spans="1:26" x14ac:dyDescent="0.25">
      <c r="A102" t="str">
        <f>'LIVE SOURCE'!A102</f>
        <v>WR</v>
      </c>
      <c r="B102" t="str">
        <f>'LIVE SOURCE'!B102</f>
        <v>DeVonta Smith</v>
      </c>
      <c r="C102" s="4">
        <f>'LIVE SOURCE'!D102</f>
        <v>87.487499999999997</v>
      </c>
      <c r="D102" s="4">
        <f>'Manual Adjustments'!G102</f>
        <v>0</v>
      </c>
      <c r="E102" s="4">
        <f t="shared" si="11"/>
        <v>87.487499999999997</v>
      </c>
      <c r="F102">
        <f>COUNTIFS($A$3:$A$232,A102,$E$3:$E$232,"&gt;"&amp;E102)+COUNTIFS($A$3:A102,A102,$E$3:E102,E102)</f>
        <v>8</v>
      </c>
      <c r="G102" s="4">
        <f>ROUND(INDEX('League Config'!$K$4:$K$9,MATCH(A102,'League Config'!$E$4:$E$9,0))*E102+INDEX('League Config'!$L$4:$L$9,MATCH(A102,'League Config'!$E$4:$E$9,0)),1)</f>
        <v>297.39999999999998</v>
      </c>
      <c r="H102">
        <f>INDEX('League Config'!$H$4:$H$9,MATCH(A102,'League Config'!$E$4:$E$9,0))</f>
        <v>33</v>
      </c>
      <c r="I102" s="4">
        <f>INDEX('League Config'!$I$4:$I$9,MATCH(A102,'League Config'!$E$4:$E$9,0))</f>
        <v>239.3</v>
      </c>
      <c r="J102" s="4">
        <f t="shared" si="12"/>
        <v>58.1</v>
      </c>
      <c r="K102" s="4">
        <f t="shared" si="13"/>
        <v>84.86</v>
      </c>
      <c r="L102" s="4">
        <f>MIN(100,MAX(0,(1-(F102-1)/(H102*1.5))*100*INDEX('League Config'!$J$4:$J$9,MATCH(A102,'League Config'!$E$4:$E$9,0))))</f>
        <v>94.444444444444443</v>
      </c>
      <c r="M102">
        <f>IF(A102="K",'League Config'!$B$14,IF(A102="DST",'League Config'!$B$15,IF(A102="QB",'League Config'!$B$16,0)))</f>
        <v>0</v>
      </c>
      <c r="N102" s="4">
        <f t="shared" si="14"/>
        <v>87.742791666666662</v>
      </c>
      <c r="O102" s="9">
        <f t="shared" si="15"/>
        <v>87.742791666666662</v>
      </c>
      <c r="P102" s="6">
        <f>IF(O102="","",COUNTIF($O$3:$O$232,"&gt;"&amp;O102)+COUNTIF($O$3:O102,O102))</f>
        <v>19</v>
      </c>
      <c r="Q102">
        <f t="shared" si="16"/>
        <v>19</v>
      </c>
      <c r="R102" s="4">
        <f>'LIVE SOURCE'!E102</f>
        <v>29.5</v>
      </c>
      <c r="S102" s="4">
        <f t="shared" si="17"/>
        <v>10.5</v>
      </c>
      <c r="T102" t="str">
        <f>'LIVE SOURCE'!F102</f>
        <v>B</v>
      </c>
      <c r="U102" s="4">
        <f t="shared" si="18"/>
        <v>78.487499999999997</v>
      </c>
      <c r="V102" s="4">
        <f t="shared" si="19"/>
        <v>87.487499999999997</v>
      </c>
      <c r="W102" s="4">
        <f t="shared" si="20"/>
        <v>96.487499999999997</v>
      </c>
      <c r="X102" t="str">
        <f>'LIVE SOURCE'!G102</f>
        <v>HISTORY FALLBACK</v>
      </c>
      <c r="Y102" t="str">
        <f>IF(INDEX('Draft Board'!$J$3:$J$232,Q102)="","Available",INDEX('Draft Board'!$J$3:$J$232,Q102))</f>
        <v>Available</v>
      </c>
      <c r="Z102">
        <f t="shared" si="21"/>
        <v>19</v>
      </c>
    </row>
    <row r="103" spans="1:26" x14ac:dyDescent="0.25">
      <c r="A103" t="str">
        <f>'LIVE SOURCE'!A103</f>
        <v>WR</v>
      </c>
      <c r="B103" t="str">
        <f>'LIVE SOURCE'!B103</f>
        <v>Zay Flowers</v>
      </c>
      <c r="C103" s="4">
        <f>'LIVE SOURCE'!D103</f>
        <v>86.57</v>
      </c>
      <c r="D103" s="4">
        <f>'Manual Adjustments'!G103</f>
        <v>0</v>
      </c>
      <c r="E103" s="4">
        <f t="shared" si="11"/>
        <v>86.57</v>
      </c>
      <c r="F103">
        <f>COUNTIFS($A$3:$A$232,A103,$E$3:$E$232,"&gt;"&amp;E103)+COUNTIFS($A$3:A103,A103,$E$3:E103,E103)</f>
        <v>9</v>
      </c>
      <c r="G103" s="4">
        <f>ROUND(INDEX('League Config'!$K$4:$K$9,MATCH(A103,'League Config'!$E$4:$E$9,0))*E103+INDEX('League Config'!$L$4:$L$9,MATCH(A103,'League Config'!$E$4:$E$9,0)),1)</f>
        <v>293.60000000000002</v>
      </c>
      <c r="H103">
        <f>INDEX('League Config'!$H$4:$H$9,MATCH(A103,'League Config'!$E$4:$E$9,0))</f>
        <v>33</v>
      </c>
      <c r="I103" s="4">
        <f>INDEX('League Config'!$I$4:$I$9,MATCH(A103,'League Config'!$E$4:$E$9,0))</f>
        <v>239.3</v>
      </c>
      <c r="J103" s="4">
        <f t="shared" si="12"/>
        <v>54.3</v>
      </c>
      <c r="K103" s="4">
        <f t="shared" si="13"/>
        <v>82.58</v>
      </c>
      <c r="L103" s="4">
        <f>MIN(100,MAX(0,(1-(F103-1)/(H103*1.5))*100*INDEX('League Config'!$J$4:$J$9,MATCH(A103,'League Config'!$E$4:$E$9,0))))</f>
        <v>92.222222222222229</v>
      </c>
      <c r="M103">
        <f>IF(A103="K",'League Config'!$B$14,IF(A103="DST",'League Config'!$B$15,IF(A103="QB",'League Config'!$B$16,0)))</f>
        <v>0</v>
      </c>
      <c r="N103" s="4">
        <f t="shared" si="14"/>
        <v>86.220833333333331</v>
      </c>
      <c r="O103" s="9">
        <f t="shared" si="15"/>
        <v>86.220833333333331</v>
      </c>
      <c r="P103" s="6">
        <f>IF(O103="","",COUNTIF($O$3:$O$232,"&gt;"&amp;O103)+COUNTIF($O$3:O103,O103))</f>
        <v>21</v>
      </c>
      <c r="Q103">
        <f t="shared" si="16"/>
        <v>21</v>
      </c>
      <c r="R103" s="4">
        <f>'LIVE SOURCE'!E103</f>
        <v>26.4</v>
      </c>
      <c r="S103" s="4">
        <f t="shared" si="17"/>
        <v>5.3999999999999986</v>
      </c>
      <c r="T103" t="str">
        <f>'LIVE SOURCE'!F103</f>
        <v>B</v>
      </c>
      <c r="U103" s="4">
        <f t="shared" si="18"/>
        <v>77.569999999999993</v>
      </c>
      <c r="V103" s="4">
        <f t="shared" si="19"/>
        <v>86.57</v>
      </c>
      <c r="W103" s="4">
        <f t="shared" si="20"/>
        <v>95.57</v>
      </c>
      <c r="X103" t="str">
        <f>'LIVE SOURCE'!G103</f>
        <v>HISTORY FALLBACK</v>
      </c>
      <c r="Y103" t="str">
        <f>IF(INDEX('Draft Board'!$J$3:$J$232,Q103)="","Available",INDEX('Draft Board'!$J$3:$J$232,Q103))</f>
        <v>Available</v>
      </c>
      <c r="Z103">
        <f t="shared" si="21"/>
        <v>21</v>
      </c>
    </row>
    <row r="104" spans="1:26" x14ac:dyDescent="0.25">
      <c r="A104" t="str">
        <f>'LIVE SOURCE'!A104</f>
        <v>WR</v>
      </c>
      <c r="B104" t="str">
        <f>'LIVE SOURCE'!B104</f>
        <v>Malik Nabers</v>
      </c>
      <c r="C104" s="4">
        <f>'LIVE SOURCE'!D104</f>
        <v>81.152500000000003</v>
      </c>
      <c r="D104" s="4">
        <f>'Manual Adjustments'!G104</f>
        <v>0</v>
      </c>
      <c r="E104" s="4">
        <f t="shared" si="11"/>
        <v>81.152500000000003</v>
      </c>
      <c r="F104">
        <f>COUNTIFS($A$3:$A$232,A104,$E$3:$E$232,"&gt;"&amp;E104)+COUNTIFS($A$3:A104,A104,$E$3:E104,E104)</f>
        <v>21</v>
      </c>
      <c r="G104" s="4">
        <f>ROUND(INDEX('League Config'!$K$4:$K$9,MATCH(A104,'League Config'!$E$4:$E$9,0))*E104+INDEX('League Config'!$L$4:$L$9,MATCH(A104,'League Config'!$E$4:$E$9,0)),1)</f>
        <v>270.8</v>
      </c>
      <c r="H104">
        <f>INDEX('League Config'!$H$4:$H$9,MATCH(A104,'League Config'!$E$4:$E$9,0))</f>
        <v>33</v>
      </c>
      <c r="I104" s="4">
        <f>INDEX('League Config'!$I$4:$I$9,MATCH(A104,'League Config'!$E$4:$E$9,0))</f>
        <v>239.3</v>
      </c>
      <c r="J104" s="4">
        <f t="shared" si="12"/>
        <v>31.5</v>
      </c>
      <c r="K104" s="4">
        <f t="shared" si="13"/>
        <v>68.900000000000006</v>
      </c>
      <c r="L104" s="4">
        <f>MIN(100,MAX(0,(1-(F104-1)/(H104*1.5))*100*INDEX('League Config'!$J$4:$J$9,MATCH(A104,'League Config'!$E$4:$E$9,0))))</f>
        <v>65.555555555555557</v>
      </c>
      <c r="M104">
        <f>IF(A104="K",'League Config'!$B$14,IF(A104="DST",'League Config'!$B$15,IF(A104="QB",'League Config'!$B$16,0)))</f>
        <v>0</v>
      </c>
      <c r="N104" s="4">
        <f t="shared" si="14"/>
        <v>75.137208333333334</v>
      </c>
      <c r="O104" s="9">
        <f t="shared" si="15"/>
        <v>75.137208333333334</v>
      </c>
      <c r="P104" s="6">
        <f>IF(O104="","",COUNTIF($O$3:$O$232,"&gt;"&amp;O104)+COUNTIF($O$3:O104,O104))</f>
        <v>51</v>
      </c>
      <c r="Q104">
        <f t="shared" si="16"/>
        <v>51</v>
      </c>
      <c r="R104" s="4">
        <f>'LIVE SOURCE'!E104</f>
        <v>31.9</v>
      </c>
      <c r="S104" s="4">
        <f t="shared" si="17"/>
        <v>-19.100000000000001</v>
      </c>
      <c r="T104" t="str">
        <f>'LIVE SOURCE'!F104</f>
        <v>C</v>
      </c>
      <c r="U104" s="4">
        <f t="shared" si="18"/>
        <v>69.152500000000003</v>
      </c>
      <c r="V104" s="4">
        <f t="shared" si="19"/>
        <v>81.152500000000003</v>
      </c>
      <c r="W104" s="4">
        <f t="shared" si="20"/>
        <v>93.152500000000003</v>
      </c>
      <c r="X104" t="str">
        <f>'LIVE SOURCE'!G104</f>
        <v>HISTORY FALLBACK</v>
      </c>
      <c r="Y104" t="str">
        <f>IF(INDEX('Draft Board'!$J$3:$J$232,Q104)="","Available",INDEX('Draft Board'!$J$3:$J$232,Q104))</f>
        <v>Available</v>
      </c>
      <c r="Z104">
        <f t="shared" si="21"/>
        <v>51</v>
      </c>
    </row>
    <row r="105" spans="1:26" x14ac:dyDescent="0.25">
      <c r="A105" t="str">
        <f>'LIVE SOURCE'!A105</f>
        <v>WR</v>
      </c>
      <c r="B105" t="str">
        <f>'LIVE SOURCE'!B105</f>
        <v>Emeka Egbuka</v>
      </c>
      <c r="C105" s="4">
        <f>'LIVE SOURCE'!D105</f>
        <v>81.734999999999999</v>
      </c>
      <c r="D105" s="4">
        <f>'Manual Adjustments'!G105</f>
        <v>0</v>
      </c>
      <c r="E105" s="4">
        <f t="shared" si="11"/>
        <v>81.734999999999999</v>
      </c>
      <c r="F105">
        <f>COUNTIFS($A$3:$A$232,A105,$E$3:$E$232,"&gt;"&amp;E105)+COUNTIFS($A$3:A105,A105,$E$3:E105,E105)</f>
        <v>20</v>
      </c>
      <c r="G105" s="4">
        <f>ROUND(INDEX('League Config'!$K$4:$K$9,MATCH(A105,'League Config'!$E$4:$E$9,0))*E105+INDEX('League Config'!$L$4:$L$9,MATCH(A105,'League Config'!$E$4:$E$9,0)),1)</f>
        <v>273.3</v>
      </c>
      <c r="H105">
        <f>INDEX('League Config'!$H$4:$H$9,MATCH(A105,'League Config'!$E$4:$E$9,0))</f>
        <v>33</v>
      </c>
      <c r="I105" s="4">
        <f>INDEX('League Config'!$I$4:$I$9,MATCH(A105,'League Config'!$E$4:$E$9,0))</f>
        <v>239.3</v>
      </c>
      <c r="J105" s="4">
        <f t="shared" si="12"/>
        <v>34</v>
      </c>
      <c r="K105" s="4">
        <f t="shared" si="13"/>
        <v>70.400000000000006</v>
      </c>
      <c r="L105" s="4">
        <f>MIN(100,MAX(0,(1-(F105-1)/(H105*1.5))*100*INDEX('League Config'!$J$4:$J$9,MATCH(A105,'League Config'!$E$4:$E$9,0))))</f>
        <v>67.777777777777786</v>
      </c>
      <c r="M105">
        <f>IF(A105="K",'League Config'!$B$14,IF(A105="DST",'League Config'!$B$15,IF(A105="QB",'League Config'!$B$16,0)))</f>
        <v>0</v>
      </c>
      <c r="N105" s="4">
        <f t="shared" si="14"/>
        <v>76.240916666666678</v>
      </c>
      <c r="O105" s="9">
        <f t="shared" si="15"/>
        <v>76.240916666666678</v>
      </c>
      <c r="P105" s="6">
        <f>IF(O105="","",COUNTIF($O$3:$O$232,"&gt;"&amp;O105)+COUNTIF($O$3:O105,O105))</f>
        <v>48</v>
      </c>
      <c r="Q105">
        <f t="shared" si="16"/>
        <v>48</v>
      </c>
      <c r="R105" s="4">
        <f>'LIVE SOURCE'!E105</f>
        <v>34.4</v>
      </c>
      <c r="S105" s="4">
        <f t="shared" si="17"/>
        <v>-13.600000000000001</v>
      </c>
      <c r="T105" t="str">
        <f>'LIVE SOURCE'!F105</f>
        <v>C</v>
      </c>
      <c r="U105" s="4">
        <f t="shared" si="18"/>
        <v>69.734999999999999</v>
      </c>
      <c r="V105" s="4">
        <f t="shared" si="19"/>
        <v>81.734999999999999</v>
      </c>
      <c r="W105" s="4">
        <f t="shared" si="20"/>
        <v>93.734999999999999</v>
      </c>
      <c r="X105" t="str">
        <f>'LIVE SOURCE'!G105</f>
        <v>HISTORY FALLBACK</v>
      </c>
      <c r="Y105" t="str">
        <f>IF(INDEX('Draft Board'!$J$3:$J$232,Q105)="","Available",INDEX('Draft Board'!$J$3:$J$232,Q105))</f>
        <v>Available</v>
      </c>
      <c r="Z105">
        <f t="shared" si="21"/>
        <v>48</v>
      </c>
    </row>
    <row r="106" spans="1:26" x14ac:dyDescent="0.25">
      <c r="A106" t="str">
        <f>'LIVE SOURCE'!A106</f>
        <v>WR</v>
      </c>
      <c r="B106" t="str">
        <f>'LIVE SOURCE'!B106</f>
        <v>Jaylen Waddle</v>
      </c>
      <c r="C106" s="4">
        <f>'LIVE SOURCE'!D106</f>
        <v>82.317499999999995</v>
      </c>
      <c r="D106" s="4">
        <f>'Manual Adjustments'!G106</f>
        <v>0</v>
      </c>
      <c r="E106" s="4">
        <f t="shared" si="11"/>
        <v>82.317499999999995</v>
      </c>
      <c r="F106">
        <f>COUNTIFS($A$3:$A$232,A106,$E$3:$E$232,"&gt;"&amp;E106)+COUNTIFS($A$3:A106,A106,$E$3:E106,E106)</f>
        <v>18</v>
      </c>
      <c r="G106" s="4">
        <f>ROUND(INDEX('League Config'!$K$4:$K$9,MATCH(A106,'League Config'!$E$4:$E$9,0))*E106+INDEX('League Config'!$L$4:$L$9,MATCH(A106,'League Config'!$E$4:$E$9,0)),1)</f>
        <v>275.7</v>
      </c>
      <c r="H106">
        <f>INDEX('League Config'!$H$4:$H$9,MATCH(A106,'League Config'!$E$4:$E$9,0))</f>
        <v>33</v>
      </c>
      <c r="I106" s="4">
        <f>INDEX('League Config'!$I$4:$I$9,MATCH(A106,'League Config'!$E$4:$E$9,0))</f>
        <v>239.3</v>
      </c>
      <c r="J106" s="4">
        <f t="shared" si="12"/>
        <v>36.4</v>
      </c>
      <c r="K106" s="4">
        <f t="shared" si="13"/>
        <v>71.84</v>
      </c>
      <c r="L106" s="4">
        <f>MIN(100,MAX(0,(1-(F106-1)/(H106*1.5))*100*INDEX('League Config'!$J$4:$J$9,MATCH(A106,'League Config'!$E$4:$E$9,0))))</f>
        <v>72.222222222222229</v>
      </c>
      <c r="M106">
        <f>IF(A106="K",'League Config'!$B$14,IF(A106="DST",'League Config'!$B$15,IF(A106="QB",'League Config'!$B$16,0)))</f>
        <v>0</v>
      </c>
      <c r="N106" s="4">
        <f t="shared" si="14"/>
        <v>77.659958333333336</v>
      </c>
      <c r="O106" s="9">
        <f t="shared" si="15"/>
        <v>77.659958333333336</v>
      </c>
      <c r="P106" s="6">
        <f>IF(O106="","",COUNTIF($O$3:$O$232,"&gt;"&amp;O106)+COUNTIF($O$3:O106,O106))</f>
        <v>44</v>
      </c>
      <c r="Q106">
        <f t="shared" si="16"/>
        <v>44</v>
      </c>
      <c r="R106" s="4">
        <f>'LIVE SOURCE'!E106</f>
        <v>48.9</v>
      </c>
      <c r="S106" s="4">
        <f t="shared" si="17"/>
        <v>4.8999999999999986</v>
      </c>
      <c r="T106" t="str">
        <f>'LIVE SOURCE'!F106</f>
        <v>C</v>
      </c>
      <c r="U106" s="4">
        <f t="shared" si="18"/>
        <v>70.317499999999995</v>
      </c>
      <c r="V106" s="4">
        <f t="shared" si="19"/>
        <v>82.317499999999995</v>
      </c>
      <c r="W106" s="4">
        <f t="shared" si="20"/>
        <v>94.317499999999995</v>
      </c>
      <c r="X106" t="str">
        <f>'LIVE SOURCE'!G106</f>
        <v>HISTORY FALLBACK</v>
      </c>
      <c r="Y106" t="str">
        <f>IF(INDEX('Draft Board'!$J$3:$J$232,Q106)="","Available",INDEX('Draft Board'!$J$3:$J$232,Q106))</f>
        <v>Available</v>
      </c>
      <c r="Z106">
        <f t="shared" si="21"/>
        <v>44</v>
      </c>
    </row>
    <row r="107" spans="1:26" x14ac:dyDescent="0.25">
      <c r="A107" t="str">
        <f>'LIVE SOURCE'!A107</f>
        <v>WR</v>
      </c>
      <c r="B107" t="str">
        <f>'LIVE SOURCE'!B107</f>
        <v>Terry McLaurin</v>
      </c>
      <c r="C107" s="4">
        <f>'LIVE SOURCE'!D107</f>
        <v>79.900000000000006</v>
      </c>
      <c r="D107" s="4">
        <f>'Manual Adjustments'!G107</f>
        <v>0</v>
      </c>
      <c r="E107" s="4">
        <f t="shared" si="11"/>
        <v>79.900000000000006</v>
      </c>
      <c r="F107">
        <f>COUNTIFS($A$3:$A$232,A107,$E$3:$E$232,"&gt;"&amp;E107)+COUNTIFS($A$3:A107,A107,$E$3:E107,E107)</f>
        <v>22</v>
      </c>
      <c r="G107" s="4">
        <f>ROUND(INDEX('League Config'!$K$4:$K$9,MATCH(A107,'League Config'!$E$4:$E$9,0))*E107+INDEX('League Config'!$L$4:$L$9,MATCH(A107,'League Config'!$E$4:$E$9,0)),1)</f>
        <v>265.60000000000002</v>
      </c>
      <c r="H107">
        <f>INDEX('League Config'!$H$4:$H$9,MATCH(A107,'League Config'!$E$4:$E$9,0))</f>
        <v>33</v>
      </c>
      <c r="I107" s="4">
        <f>INDEX('League Config'!$I$4:$I$9,MATCH(A107,'League Config'!$E$4:$E$9,0))</f>
        <v>239.3</v>
      </c>
      <c r="J107" s="4">
        <f t="shared" si="12"/>
        <v>26.3</v>
      </c>
      <c r="K107" s="4">
        <f t="shared" si="13"/>
        <v>65.78</v>
      </c>
      <c r="L107" s="4">
        <f>MIN(100,MAX(0,(1-(F107-1)/(H107*1.5))*100*INDEX('League Config'!$J$4:$J$9,MATCH(A107,'League Config'!$E$4:$E$9,0))))</f>
        <v>63.333333333333336</v>
      </c>
      <c r="M107">
        <f>IF(A107="K",'League Config'!$B$14,IF(A107="DST",'League Config'!$B$15,IF(A107="QB",'League Config'!$B$16,0)))</f>
        <v>0</v>
      </c>
      <c r="N107" s="4">
        <f t="shared" si="14"/>
        <v>73.179000000000002</v>
      </c>
      <c r="O107" s="9">
        <f t="shared" si="15"/>
        <v>73.179000000000002</v>
      </c>
      <c r="P107" s="6">
        <f>IF(O107="","",COUNTIF($O$3:$O$232,"&gt;"&amp;O107)+COUNTIF($O$3:O107,O107))</f>
        <v>57</v>
      </c>
      <c r="Q107">
        <f t="shared" si="16"/>
        <v>57</v>
      </c>
      <c r="R107" s="4">
        <f>'LIVE SOURCE'!E107</f>
        <v>43</v>
      </c>
      <c r="S107" s="4">
        <f t="shared" si="17"/>
        <v>-14</v>
      </c>
      <c r="T107" t="str">
        <f>'LIVE SOURCE'!F107</f>
        <v>C</v>
      </c>
      <c r="U107" s="4">
        <f t="shared" si="18"/>
        <v>67.900000000000006</v>
      </c>
      <c r="V107" s="4">
        <f t="shared" si="19"/>
        <v>79.900000000000006</v>
      </c>
      <c r="W107" s="4">
        <f t="shared" si="20"/>
        <v>91.9</v>
      </c>
      <c r="X107" t="str">
        <f>'LIVE SOURCE'!G107</f>
        <v>HISTORY FALLBACK</v>
      </c>
      <c r="Y107" t="str">
        <f>IF(INDEX('Draft Board'!$J$3:$J$232,Q107)="","Available",INDEX('Draft Board'!$J$3:$J$232,Q107))</f>
        <v>Available</v>
      </c>
      <c r="Z107">
        <f t="shared" si="21"/>
        <v>57</v>
      </c>
    </row>
    <row r="108" spans="1:26" x14ac:dyDescent="0.25">
      <c r="A108" t="str">
        <f>'LIVE SOURCE'!A108</f>
        <v>WR</v>
      </c>
      <c r="B108" t="str">
        <f>'LIVE SOURCE'!B108</f>
        <v>Ladd McConkey</v>
      </c>
      <c r="C108" s="4">
        <f>'LIVE SOURCE'!D108</f>
        <v>82.732500000000002</v>
      </c>
      <c r="D108" s="4">
        <f>'Manual Adjustments'!G108</f>
        <v>0</v>
      </c>
      <c r="E108" s="4">
        <f t="shared" si="11"/>
        <v>82.732500000000002</v>
      </c>
      <c r="F108">
        <f>COUNTIFS($A$3:$A$232,A108,$E$3:$E$232,"&gt;"&amp;E108)+COUNTIFS($A$3:A108,A108,$E$3:E108,E108)</f>
        <v>17</v>
      </c>
      <c r="G108" s="4">
        <f>ROUND(INDEX('League Config'!$K$4:$K$9,MATCH(A108,'League Config'!$E$4:$E$9,0))*E108+INDEX('League Config'!$L$4:$L$9,MATCH(A108,'League Config'!$E$4:$E$9,0)),1)</f>
        <v>277.5</v>
      </c>
      <c r="H108">
        <f>INDEX('League Config'!$H$4:$H$9,MATCH(A108,'League Config'!$E$4:$E$9,0))</f>
        <v>33</v>
      </c>
      <c r="I108" s="4">
        <f>INDEX('League Config'!$I$4:$I$9,MATCH(A108,'League Config'!$E$4:$E$9,0))</f>
        <v>239.3</v>
      </c>
      <c r="J108" s="4">
        <f t="shared" si="12"/>
        <v>38.200000000000003</v>
      </c>
      <c r="K108" s="4">
        <f t="shared" si="13"/>
        <v>72.92</v>
      </c>
      <c r="L108" s="4">
        <f>MIN(100,MAX(0,(1-(F108-1)/(H108*1.5))*100*INDEX('League Config'!$J$4:$J$9,MATCH(A108,'League Config'!$E$4:$E$9,0))))</f>
        <v>74.444444444444443</v>
      </c>
      <c r="M108">
        <f>IF(A108="K",'League Config'!$B$14,IF(A108="DST",'League Config'!$B$15,IF(A108="QB",'League Config'!$B$16,0)))</f>
        <v>0</v>
      </c>
      <c r="N108" s="4">
        <f t="shared" si="14"/>
        <v>78.545541666666679</v>
      </c>
      <c r="O108" s="9">
        <f t="shared" si="15"/>
        <v>78.545541666666679</v>
      </c>
      <c r="P108" s="6">
        <f>IF(O108="","",COUNTIF($O$3:$O$232,"&gt;"&amp;O108)+COUNTIF($O$3:O108,O108))</f>
        <v>43</v>
      </c>
      <c r="Q108">
        <f t="shared" si="16"/>
        <v>43</v>
      </c>
      <c r="R108" s="4">
        <f>'LIVE SOURCE'!E108</f>
        <v>44.3</v>
      </c>
      <c r="S108" s="4">
        <f t="shared" si="17"/>
        <v>1.2999999999999972</v>
      </c>
      <c r="T108" t="str">
        <f>'LIVE SOURCE'!F108</f>
        <v>B</v>
      </c>
      <c r="U108" s="4">
        <f t="shared" si="18"/>
        <v>73.732500000000002</v>
      </c>
      <c r="V108" s="4">
        <f t="shared" si="19"/>
        <v>82.732500000000002</v>
      </c>
      <c r="W108" s="4">
        <f t="shared" si="20"/>
        <v>91.732500000000002</v>
      </c>
      <c r="X108" t="str">
        <f>'LIVE SOURCE'!G108</f>
        <v>HISTORY FALLBACK</v>
      </c>
      <c r="Y108" t="str">
        <f>IF(INDEX('Draft Board'!$J$3:$J$232,Q108)="","Available",INDEX('Draft Board'!$J$3:$J$232,Q108))</f>
        <v>Available</v>
      </c>
      <c r="Z108">
        <f t="shared" si="21"/>
        <v>43</v>
      </c>
    </row>
    <row r="109" spans="1:26" x14ac:dyDescent="0.25">
      <c r="A109" t="str">
        <f>'LIVE SOURCE'!A109</f>
        <v>WR</v>
      </c>
      <c r="B109" t="str">
        <f>'LIVE SOURCE'!B109</f>
        <v>Davante Adams</v>
      </c>
      <c r="C109" s="4">
        <f>'LIVE SOURCE'!D109</f>
        <v>78.064999999999998</v>
      </c>
      <c r="D109" s="4">
        <f>'Manual Adjustments'!G109</f>
        <v>0</v>
      </c>
      <c r="E109" s="4">
        <f t="shared" si="11"/>
        <v>78.064999999999998</v>
      </c>
      <c r="F109">
        <f>COUNTIFS($A$3:$A$232,A109,$E$3:$E$232,"&gt;"&amp;E109)+COUNTIFS($A$3:A109,A109,$E$3:E109,E109)</f>
        <v>24</v>
      </c>
      <c r="G109" s="4">
        <f>ROUND(INDEX('League Config'!$K$4:$K$9,MATCH(A109,'League Config'!$E$4:$E$9,0))*E109+INDEX('League Config'!$L$4:$L$9,MATCH(A109,'League Config'!$E$4:$E$9,0)),1)</f>
        <v>257.89999999999998</v>
      </c>
      <c r="H109">
        <f>INDEX('League Config'!$H$4:$H$9,MATCH(A109,'League Config'!$E$4:$E$9,0))</f>
        <v>33</v>
      </c>
      <c r="I109" s="4">
        <f>INDEX('League Config'!$I$4:$I$9,MATCH(A109,'League Config'!$E$4:$E$9,0))</f>
        <v>239.3</v>
      </c>
      <c r="J109" s="4">
        <f t="shared" si="12"/>
        <v>18.600000000000001</v>
      </c>
      <c r="K109" s="4">
        <f t="shared" si="13"/>
        <v>61.16</v>
      </c>
      <c r="L109" s="4">
        <f>MIN(100,MAX(0,(1-(F109-1)/(H109*1.5))*100*INDEX('League Config'!$J$4:$J$9,MATCH(A109,'League Config'!$E$4:$E$9,0))))</f>
        <v>58.888888888888893</v>
      </c>
      <c r="M109">
        <f>IF(A109="K",'League Config'!$B$14,IF(A109="DST",'League Config'!$B$15,IF(A109="QB",'League Config'!$B$16,0)))</f>
        <v>0</v>
      </c>
      <c r="N109" s="4">
        <f t="shared" si="14"/>
        <v>70.117083333333326</v>
      </c>
      <c r="O109" s="9">
        <f t="shared" si="15"/>
        <v>70.117083333333326</v>
      </c>
      <c r="P109" s="6">
        <f>IF(O109="","",COUNTIF($O$3:$O$232,"&gt;"&amp;O109)+COUNTIF($O$3:O109,O109))</f>
        <v>64</v>
      </c>
      <c r="Q109">
        <f t="shared" si="16"/>
        <v>64</v>
      </c>
      <c r="R109" s="4">
        <f>'LIVE SOURCE'!E109</f>
        <v>41.5</v>
      </c>
      <c r="S109" s="4">
        <f t="shared" si="17"/>
        <v>-22.5</v>
      </c>
      <c r="T109" t="str">
        <f>'LIVE SOURCE'!F109</f>
        <v>C</v>
      </c>
      <c r="U109" s="4">
        <f t="shared" si="18"/>
        <v>66.064999999999998</v>
      </c>
      <c r="V109" s="4">
        <f t="shared" si="19"/>
        <v>78.064999999999998</v>
      </c>
      <c r="W109" s="4">
        <f t="shared" si="20"/>
        <v>90.064999999999998</v>
      </c>
      <c r="X109" t="str">
        <f>'LIVE SOURCE'!G109</f>
        <v>HISTORY FALLBACK</v>
      </c>
      <c r="Y109" t="str">
        <f>IF(INDEX('Draft Board'!$J$3:$J$232,Q109)="","Available",INDEX('Draft Board'!$J$3:$J$232,Q109))</f>
        <v>Available</v>
      </c>
      <c r="Z109">
        <f t="shared" si="21"/>
        <v>64</v>
      </c>
    </row>
    <row r="110" spans="1:26" x14ac:dyDescent="0.25">
      <c r="A110" t="str">
        <f>'LIVE SOURCE'!A110</f>
        <v>WR</v>
      </c>
      <c r="B110" t="str">
        <f>'LIVE SOURCE'!B110</f>
        <v>Luther Burden III</v>
      </c>
      <c r="C110" s="4">
        <f>'LIVE SOURCE'!D110</f>
        <v>78.647499999999994</v>
      </c>
      <c r="D110" s="4">
        <f>'Manual Adjustments'!G110</f>
        <v>0</v>
      </c>
      <c r="E110" s="4">
        <f t="shared" si="11"/>
        <v>78.647499999999994</v>
      </c>
      <c r="F110">
        <f>COUNTIFS($A$3:$A$232,A110,$E$3:$E$232,"&gt;"&amp;E110)+COUNTIFS($A$3:A110,A110,$E$3:E110,E110)</f>
        <v>23</v>
      </c>
      <c r="G110" s="4">
        <f>ROUND(INDEX('League Config'!$K$4:$K$9,MATCH(A110,'League Config'!$E$4:$E$9,0))*E110+INDEX('League Config'!$L$4:$L$9,MATCH(A110,'League Config'!$E$4:$E$9,0)),1)</f>
        <v>260.3</v>
      </c>
      <c r="H110">
        <f>INDEX('League Config'!$H$4:$H$9,MATCH(A110,'League Config'!$E$4:$E$9,0))</f>
        <v>33</v>
      </c>
      <c r="I110" s="4">
        <f>INDEX('League Config'!$I$4:$I$9,MATCH(A110,'League Config'!$E$4:$E$9,0))</f>
        <v>239.3</v>
      </c>
      <c r="J110" s="4">
        <f t="shared" si="12"/>
        <v>21</v>
      </c>
      <c r="K110" s="4">
        <f t="shared" si="13"/>
        <v>62.6</v>
      </c>
      <c r="L110" s="4">
        <f>MIN(100,MAX(0,(1-(F110-1)/(H110*1.5))*100*INDEX('League Config'!$J$4:$J$9,MATCH(A110,'League Config'!$E$4:$E$9,0))))</f>
        <v>61.111111111111114</v>
      </c>
      <c r="M110">
        <f>IF(A110="K",'League Config'!$B$14,IF(A110="DST",'League Config'!$B$15,IF(A110="QB",'League Config'!$B$16,0)))</f>
        <v>0</v>
      </c>
      <c r="N110" s="4">
        <f t="shared" si="14"/>
        <v>71.20279166666667</v>
      </c>
      <c r="O110" s="9">
        <f t="shared" si="15"/>
        <v>71.20279166666667</v>
      </c>
      <c r="P110" s="6">
        <f>IF(O110="","",COUNTIF($O$3:$O$232,"&gt;"&amp;O110)+COUNTIF($O$3:O110,O110))</f>
        <v>61</v>
      </c>
      <c r="Q110">
        <f t="shared" si="16"/>
        <v>61</v>
      </c>
      <c r="R110" s="4">
        <f>'LIVE SOURCE'!E110</f>
        <v>53.1</v>
      </c>
      <c r="S110" s="4">
        <f t="shared" si="17"/>
        <v>-7.8999999999999986</v>
      </c>
      <c r="T110" t="str">
        <f>'LIVE SOURCE'!F110</f>
        <v>C</v>
      </c>
      <c r="U110" s="4">
        <f t="shared" si="18"/>
        <v>66.647499999999994</v>
      </c>
      <c r="V110" s="4">
        <f t="shared" si="19"/>
        <v>78.647499999999994</v>
      </c>
      <c r="W110" s="4">
        <f t="shared" si="20"/>
        <v>90.647499999999994</v>
      </c>
      <c r="X110" t="str">
        <f>'LIVE SOURCE'!G110</f>
        <v>HISTORY FALLBACK</v>
      </c>
      <c r="Y110" t="str">
        <f>IF(INDEX('Draft Board'!$J$3:$J$232,Q110)="","Available",INDEX('Draft Board'!$J$3:$J$232,Q110))</f>
        <v>Available</v>
      </c>
      <c r="Z110">
        <f t="shared" si="21"/>
        <v>61</v>
      </c>
    </row>
    <row r="111" spans="1:26" x14ac:dyDescent="0.25">
      <c r="A111" t="str">
        <f>'LIVE SOURCE'!A111</f>
        <v>WR</v>
      </c>
      <c r="B111" t="str">
        <f>'LIVE SOURCE'!B111</f>
        <v>DJ Moore</v>
      </c>
      <c r="C111" s="4">
        <f>'LIVE SOURCE'!D111</f>
        <v>75.48</v>
      </c>
      <c r="D111" s="4">
        <f>'Manual Adjustments'!G111</f>
        <v>0</v>
      </c>
      <c r="E111" s="4">
        <f t="shared" si="11"/>
        <v>75.48</v>
      </c>
      <c r="F111">
        <f>COUNTIFS($A$3:$A$232,A111,$E$3:$E$232,"&gt;"&amp;E111)+COUNTIFS($A$3:A111,A111,$E$3:E111,E111)</f>
        <v>29</v>
      </c>
      <c r="G111" s="4">
        <f>ROUND(INDEX('League Config'!$K$4:$K$9,MATCH(A111,'League Config'!$E$4:$E$9,0))*E111+INDEX('League Config'!$L$4:$L$9,MATCH(A111,'League Config'!$E$4:$E$9,0)),1)</f>
        <v>247</v>
      </c>
      <c r="H111">
        <f>INDEX('League Config'!$H$4:$H$9,MATCH(A111,'League Config'!$E$4:$E$9,0))</f>
        <v>33</v>
      </c>
      <c r="I111" s="4">
        <f>INDEX('League Config'!$I$4:$I$9,MATCH(A111,'League Config'!$E$4:$E$9,0))</f>
        <v>239.3</v>
      </c>
      <c r="J111" s="4">
        <f t="shared" si="12"/>
        <v>7.7</v>
      </c>
      <c r="K111" s="4">
        <f t="shared" si="13"/>
        <v>54.62</v>
      </c>
      <c r="L111" s="4">
        <f>MIN(100,MAX(0,(1-(F111-1)/(H111*1.5))*100*INDEX('League Config'!$J$4:$J$9,MATCH(A111,'League Config'!$E$4:$E$9,0))))</f>
        <v>47.777777777777786</v>
      </c>
      <c r="M111">
        <f>IF(A111="K",'League Config'!$B$14,IF(A111="DST",'League Config'!$B$15,IF(A111="QB",'League Config'!$B$16,0)))</f>
        <v>0</v>
      </c>
      <c r="N111" s="4">
        <f t="shared" si="14"/>
        <v>65.066666666666677</v>
      </c>
      <c r="O111" s="9">
        <f t="shared" si="15"/>
        <v>65.066666666666677</v>
      </c>
      <c r="P111" s="6">
        <f>IF(O111="","",COUNTIF($O$3:$O$232,"&gt;"&amp;O111)+COUNTIF($O$3:O111,O111))</f>
        <v>80</v>
      </c>
      <c r="Q111">
        <f t="shared" si="16"/>
        <v>80</v>
      </c>
      <c r="R111" s="4">
        <f>'LIVE SOURCE'!E111</f>
        <v>52.9</v>
      </c>
      <c r="S111" s="4">
        <f t="shared" si="17"/>
        <v>-27.1</v>
      </c>
      <c r="T111" t="str">
        <f>'LIVE SOURCE'!F111</f>
        <v>C</v>
      </c>
      <c r="U111" s="4">
        <f t="shared" si="18"/>
        <v>63.480000000000004</v>
      </c>
      <c r="V111" s="4">
        <f t="shared" si="19"/>
        <v>75.48</v>
      </c>
      <c r="W111" s="4">
        <f t="shared" si="20"/>
        <v>87.48</v>
      </c>
      <c r="X111" t="str">
        <f>'LIVE SOURCE'!G111</f>
        <v>HISTORY FALLBACK</v>
      </c>
      <c r="Y111" t="str">
        <f>IF(INDEX('Draft Board'!$J$3:$J$232,Q111)="","Available",INDEX('Draft Board'!$J$3:$J$232,Q111))</f>
        <v>Available</v>
      </c>
      <c r="Z111">
        <f t="shared" si="21"/>
        <v>80</v>
      </c>
    </row>
    <row r="112" spans="1:26" x14ac:dyDescent="0.25">
      <c r="A112" t="str">
        <f>'LIVE SOURCE'!A112</f>
        <v>WR</v>
      </c>
      <c r="B112" t="str">
        <f>'LIVE SOURCE'!B112</f>
        <v>Jameson Williams</v>
      </c>
      <c r="C112" s="4">
        <f>'LIVE SOURCE'!D112</f>
        <v>76.0625</v>
      </c>
      <c r="D112" s="4">
        <f>'Manual Adjustments'!G112</f>
        <v>0</v>
      </c>
      <c r="E112" s="4">
        <f t="shared" si="11"/>
        <v>76.0625</v>
      </c>
      <c r="F112">
        <f>COUNTIFS($A$3:$A$232,A112,$E$3:$E$232,"&gt;"&amp;E112)+COUNTIFS($A$3:A112,A112,$E$3:E112,E112)</f>
        <v>27</v>
      </c>
      <c r="G112" s="4">
        <f>ROUND(INDEX('League Config'!$K$4:$K$9,MATCH(A112,'League Config'!$E$4:$E$9,0))*E112+INDEX('League Config'!$L$4:$L$9,MATCH(A112,'League Config'!$E$4:$E$9,0)),1)</f>
        <v>249.5</v>
      </c>
      <c r="H112">
        <f>INDEX('League Config'!$H$4:$H$9,MATCH(A112,'League Config'!$E$4:$E$9,0))</f>
        <v>33</v>
      </c>
      <c r="I112" s="4">
        <f>INDEX('League Config'!$I$4:$I$9,MATCH(A112,'League Config'!$E$4:$E$9,0))</f>
        <v>239.3</v>
      </c>
      <c r="J112" s="4">
        <f t="shared" si="12"/>
        <v>10.199999999999999</v>
      </c>
      <c r="K112" s="4">
        <f t="shared" si="13"/>
        <v>56.12</v>
      </c>
      <c r="L112" s="4">
        <f>MIN(100,MAX(0,(1-(F112-1)/(H112*1.5))*100*INDEX('League Config'!$J$4:$J$9,MATCH(A112,'League Config'!$E$4:$E$9,0))))</f>
        <v>52.222222222222214</v>
      </c>
      <c r="M112">
        <f>IF(A112="K",'League Config'!$B$14,IF(A112="DST",'League Config'!$B$15,IF(A112="QB",'League Config'!$B$16,0)))</f>
        <v>0</v>
      </c>
      <c r="N112" s="4">
        <f t="shared" si="14"/>
        <v>66.503708333333336</v>
      </c>
      <c r="O112" s="9">
        <f t="shared" si="15"/>
        <v>66.503708333333336</v>
      </c>
      <c r="P112" s="6">
        <f>IF(O112="","",COUNTIF($O$3:$O$232,"&gt;"&amp;O112)+COUNTIF($O$3:O112,O112))</f>
        <v>76</v>
      </c>
      <c r="Q112">
        <f t="shared" si="16"/>
        <v>76</v>
      </c>
      <c r="R112" s="4">
        <f>'LIVE SOURCE'!E112</f>
        <v>45.8</v>
      </c>
      <c r="S112" s="4">
        <f t="shared" si="17"/>
        <v>-30.200000000000003</v>
      </c>
      <c r="T112" t="str">
        <f>'LIVE SOURCE'!F112</f>
        <v>C</v>
      </c>
      <c r="U112" s="4">
        <f t="shared" si="18"/>
        <v>64.0625</v>
      </c>
      <c r="V112" s="4">
        <f t="shared" si="19"/>
        <v>76.0625</v>
      </c>
      <c r="W112" s="4">
        <f t="shared" si="20"/>
        <v>88.0625</v>
      </c>
      <c r="X112" t="str">
        <f>'LIVE SOURCE'!G112</f>
        <v>HISTORY FALLBACK</v>
      </c>
      <c r="Y112" t="str">
        <f>IF(INDEX('Draft Board'!$J$3:$J$232,Q112)="","Available",INDEX('Draft Board'!$J$3:$J$232,Q112))</f>
        <v>Available</v>
      </c>
      <c r="Z112">
        <f t="shared" si="21"/>
        <v>76</v>
      </c>
    </row>
    <row r="113" spans="1:26" x14ac:dyDescent="0.25">
      <c r="A113" t="str">
        <f>'LIVE SOURCE'!A113</f>
        <v>WR</v>
      </c>
      <c r="B113" t="str">
        <f>'LIVE SOURCE'!B113</f>
        <v>Rome Odunze</v>
      </c>
      <c r="C113" s="4">
        <f>'LIVE SOURCE'!D113</f>
        <v>73.644999999999996</v>
      </c>
      <c r="D113" s="4">
        <f>'Manual Adjustments'!G113</f>
        <v>0</v>
      </c>
      <c r="E113" s="4">
        <f t="shared" si="11"/>
        <v>73.644999999999996</v>
      </c>
      <c r="F113">
        <f>COUNTIFS($A$3:$A$232,A113,$E$3:$E$232,"&gt;"&amp;E113)+COUNTIFS($A$3:A113,A113,$E$3:E113,E113)</f>
        <v>33</v>
      </c>
      <c r="G113" s="4">
        <f>ROUND(INDEX('League Config'!$K$4:$K$9,MATCH(A113,'League Config'!$E$4:$E$9,0))*E113+INDEX('League Config'!$L$4:$L$9,MATCH(A113,'League Config'!$E$4:$E$9,0)),1)</f>
        <v>239.3</v>
      </c>
      <c r="H113">
        <f>INDEX('League Config'!$H$4:$H$9,MATCH(A113,'League Config'!$E$4:$E$9,0))</f>
        <v>33</v>
      </c>
      <c r="I113" s="4">
        <f>INDEX('League Config'!$I$4:$I$9,MATCH(A113,'League Config'!$E$4:$E$9,0))</f>
        <v>239.3</v>
      </c>
      <c r="J113" s="4">
        <f t="shared" si="12"/>
        <v>0</v>
      </c>
      <c r="K113" s="4">
        <f t="shared" si="13"/>
        <v>50</v>
      </c>
      <c r="L113" s="4">
        <f>MIN(100,MAX(0,(1-(F113-1)/(H113*1.5))*100*INDEX('League Config'!$J$4:$J$9,MATCH(A113,'League Config'!$E$4:$E$9,0))))</f>
        <v>38.888888888888886</v>
      </c>
      <c r="M113">
        <f>IF(A113="K",'League Config'!$B$14,IF(A113="DST",'League Config'!$B$15,IF(A113="QB",'League Config'!$B$16,0)))</f>
        <v>0</v>
      </c>
      <c r="N113" s="4">
        <f t="shared" si="14"/>
        <v>61.338083333333337</v>
      </c>
      <c r="O113" s="9">
        <f t="shared" si="15"/>
        <v>61.338083333333337</v>
      </c>
      <c r="P113" s="6">
        <f>IF(O113="","",COUNTIF($O$3:$O$232,"&gt;"&amp;O113)+COUNTIF($O$3:O113,O113))</f>
        <v>93</v>
      </c>
      <c r="Q113">
        <f t="shared" si="16"/>
        <v>93</v>
      </c>
      <c r="R113" s="4">
        <f>'LIVE SOURCE'!E113</f>
        <v>49.3</v>
      </c>
      <c r="S113" s="4">
        <f t="shared" si="17"/>
        <v>-43.7</v>
      </c>
      <c r="T113" t="str">
        <f>'LIVE SOURCE'!F113</f>
        <v>C</v>
      </c>
      <c r="U113" s="4">
        <f t="shared" si="18"/>
        <v>61.644999999999996</v>
      </c>
      <c r="V113" s="4">
        <f t="shared" si="19"/>
        <v>73.644999999999996</v>
      </c>
      <c r="W113" s="4">
        <f t="shared" si="20"/>
        <v>85.644999999999996</v>
      </c>
      <c r="X113" t="str">
        <f>'LIVE SOURCE'!G113</f>
        <v>HISTORY FALLBACK</v>
      </c>
      <c r="Y113" t="str">
        <f>IF(INDEX('Draft Board'!$J$3:$J$232,Q113)="","Available",INDEX('Draft Board'!$J$3:$J$232,Q113))</f>
        <v>Available</v>
      </c>
      <c r="Z113">
        <f t="shared" si="21"/>
        <v>93</v>
      </c>
    </row>
    <row r="114" spans="1:26" x14ac:dyDescent="0.25">
      <c r="A114" t="str">
        <f>'LIVE SOURCE'!A114</f>
        <v>WR</v>
      </c>
      <c r="B114" t="str">
        <f>'LIVE SOURCE'!B114</f>
        <v>Mike Evans</v>
      </c>
      <c r="C114" s="4">
        <f>'LIVE SOURCE'!D114</f>
        <v>76.477500000000006</v>
      </c>
      <c r="D114" s="4">
        <f>'Manual Adjustments'!G114</f>
        <v>0</v>
      </c>
      <c r="E114" s="4">
        <f t="shared" si="11"/>
        <v>76.477500000000006</v>
      </c>
      <c r="F114">
        <f>COUNTIFS($A$3:$A$232,A114,$E$3:$E$232,"&gt;"&amp;E114)+COUNTIFS($A$3:A114,A114,$E$3:E114,E114)</f>
        <v>25</v>
      </c>
      <c r="G114" s="4">
        <f>ROUND(INDEX('League Config'!$K$4:$K$9,MATCH(A114,'League Config'!$E$4:$E$9,0))*E114+INDEX('League Config'!$L$4:$L$9,MATCH(A114,'League Config'!$E$4:$E$9,0)),1)</f>
        <v>251.2</v>
      </c>
      <c r="H114">
        <f>INDEX('League Config'!$H$4:$H$9,MATCH(A114,'League Config'!$E$4:$E$9,0))</f>
        <v>33</v>
      </c>
      <c r="I114" s="4">
        <f>INDEX('League Config'!$I$4:$I$9,MATCH(A114,'League Config'!$E$4:$E$9,0))</f>
        <v>239.3</v>
      </c>
      <c r="J114" s="4">
        <f t="shared" si="12"/>
        <v>11.9</v>
      </c>
      <c r="K114" s="4">
        <f t="shared" si="13"/>
        <v>57.14</v>
      </c>
      <c r="L114" s="4">
        <f>MIN(100,MAX(0,(1-(F114-1)/(H114*1.5))*100*INDEX('League Config'!$J$4:$J$9,MATCH(A114,'League Config'!$E$4:$E$9,0))))</f>
        <v>56.666666666666671</v>
      </c>
      <c r="M114">
        <f>IF(A114="K",'League Config'!$B$14,IF(A114="DST",'League Config'!$B$15,IF(A114="QB",'League Config'!$B$16,0)))</f>
        <v>0</v>
      </c>
      <c r="N114" s="4">
        <f t="shared" si="14"/>
        <v>67.704625000000007</v>
      </c>
      <c r="O114" s="9">
        <f t="shared" si="15"/>
        <v>67.704625000000007</v>
      </c>
      <c r="P114" s="6">
        <f>IF(O114="","",COUNTIF($O$3:$O$232,"&gt;"&amp;O114)+COUNTIF($O$3:O114,O114))</f>
        <v>70</v>
      </c>
      <c r="Q114">
        <f t="shared" si="16"/>
        <v>70</v>
      </c>
      <c r="R114" s="4">
        <f>'LIVE SOURCE'!E114</f>
        <v>59.4</v>
      </c>
      <c r="S114" s="4">
        <f t="shared" si="17"/>
        <v>-10.600000000000001</v>
      </c>
      <c r="T114" t="str">
        <f>'LIVE SOURCE'!F114</f>
        <v>C</v>
      </c>
      <c r="U114" s="4">
        <f t="shared" si="18"/>
        <v>64.477500000000006</v>
      </c>
      <c r="V114" s="4">
        <f t="shared" si="19"/>
        <v>76.477500000000006</v>
      </c>
      <c r="W114" s="4">
        <f t="shared" si="20"/>
        <v>88.477500000000006</v>
      </c>
      <c r="X114" t="str">
        <f>'LIVE SOURCE'!G114</f>
        <v>HISTORY FALLBACK</v>
      </c>
      <c r="Y114" t="str">
        <f>IF(INDEX('Draft Board'!$J$3:$J$232,Q114)="","Available",INDEX('Draft Board'!$J$3:$J$232,Q114))</f>
        <v>Available</v>
      </c>
      <c r="Z114">
        <f t="shared" si="21"/>
        <v>70</v>
      </c>
    </row>
    <row r="115" spans="1:26" x14ac:dyDescent="0.25">
      <c r="A115" t="str">
        <f>'LIVE SOURCE'!A115</f>
        <v>WR</v>
      </c>
      <c r="B115" t="str">
        <f>'LIVE SOURCE'!B115</f>
        <v>Marvin Harrison Jr.</v>
      </c>
      <c r="C115" s="4">
        <f>'LIVE SOURCE'!D115</f>
        <v>71.81</v>
      </c>
      <c r="D115" s="4">
        <f>'Manual Adjustments'!G115</f>
        <v>0</v>
      </c>
      <c r="E115" s="4">
        <f t="shared" si="11"/>
        <v>71.81</v>
      </c>
      <c r="F115">
        <f>COUNTIFS($A$3:$A$232,A115,$E$3:$E$232,"&gt;"&amp;E115)+COUNTIFS($A$3:A115,A115,$E$3:E115,E115)</f>
        <v>36</v>
      </c>
      <c r="G115" s="4">
        <f>ROUND(INDEX('League Config'!$K$4:$K$9,MATCH(A115,'League Config'!$E$4:$E$9,0))*E115+INDEX('League Config'!$L$4:$L$9,MATCH(A115,'League Config'!$E$4:$E$9,0)),1)</f>
        <v>231.6</v>
      </c>
      <c r="H115">
        <f>INDEX('League Config'!$H$4:$H$9,MATCH(A115,'League Config'!$E$4:$E$9,0))</f>
        <v>33</v>
      </c>
      <c r="I115" s="4">
        <f>INDEX('League Config'!$I$4:$I$9,MATCH(A115,'League Config'!$E$4:$E$9,0))</f>
        <v>239.3</v>
      </c>
      <c r="J115" s="4">
        <f t="shared" si="12"/>
        <v>-7.7</v>
      </c>
      <c r="K115" s="4">
        <f t="shared" si="13"/>
        <v>45.38</v>
      </c>
      <c r="L115" s="4">
        <f>MIN(100,MAX(0,(1-(F115-1)/(H115*1.5))*100*INDEX('League Config'!$J$4:$J$9,MATCH(A115,'League Config'!$E$4:$E$9,0))))</f>
        <v>32.222222222222229</v>
      </c>
      <c r="M115">
        <f>IF(A115="K",'League Config'!$B$14,IF(A115="DST",'League Config'!$B$15,IF(A115="QB",'League Config'!$B$16,0)))</f>
        <v>0</v>
      </c>
      <c r="N115" s="4">
        <f t="shared" si="14"/>
        <v>57.942833333333347</v>
      </c>
      <c r="O115" s="9">
        <f t="shared" si="15"/>
        <v>57.942833333333347</v>
      </c>
      <c r="P115" s="6">
        <f>IF(O115="","",COUNTIF($O$3:$O$232,"&gt;"&amp;O115)+COUNTIF($O$3:O115,O115))</f>
        <v>103</v>
      </c>
      <c r="Q115">
        <f t="shared" si="16"/>
        <v>103</v>
      </c>
      <c r="R115" s="4">
        <f>'LIVE SOURCE'!E115</f>
        <v>63.9</v>
      </c>
      <c r="S115" s="4">
        <f t="shared" si="17"/>
        <v>-39.1</v>
      </c>
      <c r="T115" t="str">
        <f>'LIVE SOURCE'!F115</f>
        <v>C</v>
      </c>
      <c r="U115" s="4">
        <f t="shared" si="18"/>
        <v>59.81</v>
      </c>
      <c r="V115" s="4">
        <f t="shared" si="19"/>
        <v>71.81</v>
      </c>
      <c r="W115" s="4">
        <f t="shared" si="20"/>
        <v>83.81</v>
      </c>
      <c r="X115" t="str">
        <f>'LIVE SOURCE'!G115</f>
        <v>HISTORY FALLBACK</v>
      </c>
      <c r="Y115" t="str">
        <f>IF(INDEX('Draft Board'!$J$3:$J$232,Q115)="","Available",INDEX('Draft Board'!$J$3:$J$232,Q115))</f>
        <v>Available</v>
      </c>
      <c r="Z115">
        <f t="shared" si="21"/>
        <v>103</v>
      </c>
    </row>
    <row r="116" spans="1:26" x14ac:dyDescent="0.25">
      <c r="A116" t="str">
        <f>'LIVE SOURCE'!A116</f>
        <v>WR</v>
      </c>
      <c r="B116" t="str">
        <f>'LIVE SOURCE'!B116</f>
        <v>Christian Watson</v>
      </c>
      <c r="C116" s="4">
        <f>'LIVE SOURCE'!D116</f>
        <v>73.892499999999998</v>
      </c>
      <c r="D116" s="4">
        <f>'Manual Adjustments'!G116</f>
        <v>0</v>
      </c>
      <c r="E116" s="4">
        <f t="shared" si="11"/>
        <v>73.892499999999998</v>
      </c>
      <c r="F116">
        <f>COUNTIFS($A$3:$A$232,A116,$E$3:$E$232,"&gt;"&amp;E116)+COUNTIFS($A$3:A116,A116,$E$3:E116,E116)</f>
        <v>32</v>
      </c>
      <c r="G116" s="4">
        <f>ROUND(INDEX('League Config'!$K$4:$K$9,MATCH(A116,'League Config'!$E$4:$E$9,0))*E116+INDEX('League Config'!$L$4:$L$9,MATCH(A116,'League Config'!$E$4:$E$9,0)),1)</f>
        <v>240.3</v>
      </c>
      <c r="H116">
        <f>INDEX('League Config'!$H$4:$H$9,MATCH(A116,'League Config'!$E$4:$E$9,0))</f>
        <v>33</v>
      </c>
      <c r="I116" s="4">
        <f>INDEX('League Config'!$I$4:$I$9,MATCH(A116,'League Config'!$E$4:$E$9,0))</f>
        <v>239.3</v>
      </c>
      <c r="J116" s="4">
        <f t="shared" si="12"/>
        <v>1</v>
      </c>
      <c r="K116" s="4">
        <f t="shared" si="13"/>
        <v>50.6</v>
      </c>
      <c r="L116" s="4">
        <f>MIN(100,MAX(0,(1-(F116-1)/(H116*1.5))*100*INDEX('League Config'!$J$4:$J$9,MATCH(A116,'League Config'!$E$4:$E$9,0))))</f>
        <v>41.111111111111107</v>
      </c>
      <c r="M116">
        <f>IF(A116="K",'League Config'!$B$14,IF(A116="DST",'League Config'!$B$15,IF(A116="QB",'League Config'!$B$16,0)))</f>
        <v>0</v>
      </c>
      <c r="N116" s="4">
        <f t="shared" si="14"/>
        <v>61.987541666666665</v>
      </c>
      <c r="O116" s="9">
        <f t="shared" si="15"/>
        <v>61.987541666666665</v>
      </c>
      <c r="P116" s="6">
        <f>IF(O116="","",COUNTIF($O$3:$O$232,"&gt;"&amp;O116)+COUNTIF($O$3:O116,O116))</f>
        <v>91</v>
      </c>
      <c r="Q116">
        <f t="shared" si="16"/>
        <v>91</v>
      </c>
      <c r="R116" s="4">
        <f>'LIVE SOURCE'!E116</f>
        <v>70.900000000000006</v>
      </c>
      <c r="S116" s="4">
        <f t="shared" si="17"/>
        <v>-20.099999999999994</v>
      </c>
      <c r="T116" t="str">
        <f>'LIVE SOURCE'!F116</f>
        <v>C</v>
      </c>
      <c r="U116" s="4">
        <f t="shared" si="18"/>
        <v>61.892499999999998</v>
      </c>
      <c r="V116" s="4">
        <f t="shared" si="19"/>
        <v>73.892499999999998</v>
      </c>
      <c r="W116" s="4">
        <f t="shared" si="20"/>
        <v>85.892499999999998</v>
      </c>
      <c r="X116" t="str">
        <f>'LIVE SOURCE'!G116</f>
        <v>HISTORY FALLBACK</v>
      </c>
      <c r="Y116" t="str">
        <f>IF(INDEX('Draft Board'!$J$3:$J$232,Q116)="","Available",INDEX('Draft Board'!$J$3:$J$232,Q116))</f>
        <v>Available</v>
      </c>
      <c r="Z116">
        <f t="shared" si="21"/>
        <v>91</v>
      </c>
    </row>
    <row r="117" spans="1:26" x14ac:dyDescent="0.25">
      <c r="A117" t="str">
        <f>'LIVE SOURCE'!A117</f>
        <v>WR</v>
      </c>
      <c r="B117" t="str">
        <f>'LIVE SOURCE'!B117</f>
        <v>Alec Pierce</v>
      </c>
      <c r="C117" s="4">
        <f>'LIVE SOURCE'!D117</f>
        <v>70.724999999999994</v>
      </c>
      <c r="D117" s="4">
        <f>'Manual Adjustments'!G117</f>
        <v>0</v>
      </c>
      <c r="E117" s="4">
        <f t="shared" si="11"/>
        <v>70.724999999999994</v>
      </c>
      <c r="F117">
        <f>COUNTIFS($A$3:$A$232,A117,$E$3:$E$232,"&gt;"&amp;E117)+COUNTIFS($A$3:A117,A117,$E$3:E117,E117)</f>
        <v>40</v>
      </c>
      <c r="G117" s="4">
        <f>ROUND(INDEX('League Config'!$K$4:$K$9,MATCH(A117,'League Config'!$E$4:$E$9,0))*E117+INDEX('League Config'!$L$4:$L$9,MATCH(A117,'League Config'!$E$4:$E$9,0)),1)</f>
        <v>227</v>
      </c>
      <c r="H117">
        <f>INDEX('League Config'!$H$4:$H$9,MATCH(A117,'League Config'!$E$4:$E$9,0))</f>
        <v>33</v>
      </c>
      <c r="I117" s="4">
        <f>INDEX('League Config'!$I$4:$I$9,MATCH(A117,'League Config'!$E$4:$E$9,0))</f>
        <v>239.3</v>
      </c>
      <c r="J117" s="4">
        <f t="shared" si="12"/>
        <v>-12.3</v>
      </c>
      <c r="K117" s="4">
        <f t="shared" si="13"/>
        <v>42.62</v>
      </c>
      <c r="L117" s="4">
        <f>MIN(100,MAX(0,(1-(F117-1)/(H117*1.5))*100*INDEX('League Config'!$J$4:$J$9,MATCH(A117,'League Config'!$E$4:$E$9,0))))</f>
        <v>23.333333333333339</v>
      </c>
      <c r="M117">
        <f>IF(A117="K",'League Config'!$B$14,IF(A117="DST",'League Config'!$B$15,IF(A117="QB",'League Config'!$B$16,0)))</f>
        <v>0</v>
      </c>
      <c r="N117" s="4">
        <f t="shared" si="14"/>
        <v>55.184750000000001</v>
      </c>
      <c r="O117" s="9">
        <f t="shared" si="15"/>
        <v>55.184750000000001</v>
      </c>
      <c r="P117" s="6">
        <f>IF(O117="","",COUNTIF($O$3:$O$232,"&gt;"&amp;O117)+COUNTIF($O$3:O117,O117))</f>
        <v>111</v>
      </c>
      <c r="Q117">
        <f t="shared" si="16"/>
        <v>111</v>
      </c>
      <c r="R117" s="4">
        <f>'LIVE SOURCE'!E117</f>
        <v>55.3</v>
      </c>
      <c r="S117" s="4">
        <f t="shared" si="17"/>
        <v>-55.7</v>
      </c>
      <c r="T117" t="str">
        <f>'LIVE SOURCE'!F117</f>
        <v>C</v>
      </c>
      <c r="U117" s="4">
        <f t="shared" si="18"/>
        <v>58.724999999999994</v>
      </c>
      <c r="V117" s="4">
        <f t="shared" si="19"/>
        <v>70.724999999999994</v>
      </c>
      <c r="W117" s="4">
        <f t="shared" si="20"/>
        <v>82.724999999999994</v>
      </c>
      <c r="X117" t="str">
        <f>'LIVE SOURCE'!G117</f>
        <v>HISTORY FALLBACK</v>
      </c>
      <c r="Y117" t="str">
        <f>IF(INDEX('Draft Board'!$J$3:$J$232,Q117)="","Available",INDEX('Draft Board'!$J$3:$J$232,Q117))</f>
        <v>Available</v>
      </c>
      <c r="Z117">
        <f t="shared" si="21"/>
        <v>111</v>
      </c>
    </row>
    <row r="118" spans="1:26" x14ac:dyDescent="0.25">
      <c r="A118" t="str">
        <f>'LIVE SOURCE'!A118</f>
        <v>WR</v>
      </c>
      <c r="B118" t="str">
        <f>'LIVE SOURCE'!B118</f>
        <v>DK Metcalf</v>
      </c>
      <c r="C118" s="4">
        <f>'LIVE SOURCE'!D118</f>
        <v>69.807500000000005</v>
      </c>
      <c r="D118" s="4">
        <f>'Manual Adjustments'!G118</f>
        <v>0</v>
      </c>
      <c r="E118" s="4">
        <f t="shared" si="11"/>
        <v>69.807500000000005</v>
      </c>
      <c r="F118">
        <f>COUNTIFS($A$3:$A$232,A118,$E$3:$E$232,"&gt;"&amp;E118)+COUNTIFS($A$3:A118,A118,$E$3:E118,E118)</f>
        <v>42</v>
      </c>
      <c r="G118" s="4">
        <f>ROUND(INDEX('League Config'!$K$4:$K$9,MATCH(A118,'League Config'!$E$4:$E$9,0))*E118+INDEX('League Config'!$L$4:$L$9,MATCH(A118,'League Config'!$E$4:$E$9,0)),1)</f>
        <v>223.2</v>
      </c>
      <c r="H118">
        <f>INDEX('League Config'!$H$4:$H$9,MATCH(A118,'League Config'!$E$4:$E$9,0))</f>
        <v>33</v>
      </c>
      <c r="I118" s="4">
        <f>INDEX('League Config'!$I$4:$I$9,MATCH(A118,'League Config'!$E$4:$E$9,0))</f>
        <v>239.3</v>
      </c>
      <c r="J118" s="4">
        <f t="shared" si="12"/>
        <v>-16.100000000000001</v>
      </c>
      <c r="K118" s="4">
        <f t="shared" si="13"/>
        <v>40.340000000000003</v>
      </c>
      <c r="L118" s="4">
        <f>MIN(100,MAX(0,(1-(F118-1)/(H118*1.5))*100*INDEX('League Config'!$J$4:$J$9,MATCH(A118,'League Config'!$E$4:$E$9,0))))</f>
        <v>18.888888888888889</v>
      </c>
      <c r="M118">
        <f>IF(A118="K",'League Config'!$B$14,IF(A118="DST",'League Config'!$B$15,IF(A118="QB",'League Config'!$B$16,0)))</f>
        <v>0</v>
      </c>
      <c r="N118" s="4">
        <f t="shared" si="14"/>
        <v>53.329458333333342</v>
      </c>
      <c r="O118" s="9">
        <f t="shared" si="15"/>
        <v>53.329458333333342</v>
      </c>
      <c r="P118" s="6">
        <f>IF(O118="","",COUNTIF($O$3:$O$232,"&gt;"&amp;O118)+COUNTIF($O$3:O118,O118))</f>
        <v>117</v>
      </c>
      <c r="Q118">
        <f t="shared" si="16"/>
        <v>117</v>
      </c>
      <c r="R118" s="4">
        <f>'LIVE SOURCE'!E118</f>
        <v>65.900000000000006</v>
      </c>
      <c r="S118" s="4">
        <f t="shared" si="17"/>
        <v>-51.099999999999994</v>
      </c>
      <c r="T118" t="str">
        <f>'LIVE SOURCE'!F118</f>
        <v>C</v>
      </c>
      <c r="U118" s="4">
        <f t="shared" si="18"/>
        <v>57.807500000000005</v>
      </c>
      <c r="V118" s="4">
        <f t="shared" si="19"/>
        <v>69.807500000000005</v>
      </c>
      <c r="W118" s="4">
        <f t="shared" si="20"/>
        <v>81.807500000000005</v>
      </c>
      <c r="X118" t="str">
        <f>'LIVE SOURCE'!G118</f>
        <v>HISTORY FALLBACK</v>
      </c>
      <c r="Y118" t="str">
        <f>IF(INDEX('Draft Board'!$J$3:$J$232,Q118)="","Available",INDEX('Draft Board'!$J$3:$J$232,Q118))</f>
        <v>Available</v>
      </c>
      <c r="Z118">
        <f t="shared" si="21"/>
        <v>117</v>
      </c>
    </row>
    <row r="119" spans="1:26" x14ac:dyDescent="0.25">
      <c r="A119" t="str">
        <f>'LIVE SOURCE'!A119</f>
        <v>WR</v>
      </c>
      <c r="B119" t="str">
        <f>'LIVE SOURCE'!B119</f>
        <v>Carnell Tate</v>
      </c>
      <c r="C119" s="4">
        <f>'LIVE SOURCE'!D119</f>
        <v>71.89</v>
      </c>
      <c r="D119" s="4">
        <f>'Manual Adjustments'!G119</f>
        <v>0</v>
      </c>
      <c r="E119" s="4">
        <f t="shared" si="11"/>
        <v>71.89</v>
      </c>
      <c r="F119">
        <f>COUNTIFS($A$3:$A$232,A119,$E$3:$E$232,"&gt;"&amp;E119)+COUNTIFS($A$3:A119,A119,$E$3:E119,E119)</f>
        <v>35</v>
      </c>
      <c r="G119" s="4">
        <f>ROUND(INDEX('League Config'!$K$4:$K$9,MATCH(A119,'League Config'!$E$4:$E$9,0))*E119+INDEX('League Config'!$L$4:$L$9,MATCH(A119,'League Config'!$E$4:$E$9,0)),1)</f>
        <v>231.9</v>
      </c>
      <c r="H119">
        <f>INDEX('League Config'!$H$4:$H$9,MATCH(A119,'League Config'!$E$4:$E$9,0))</f>
        <v>33</v>
      </c>
      <c r="I119" s="4">
        <f>INDEX('League Config'!$I$4:$I$9,MATCH(A119,'League Config'!$E$4:$E$9,0))</f>
        <v>239.3</v>
      </c>
      <c r="J119" s="4">
        <f t="shared" si="12"/>
        <v>-7.4</v>
      </c>
      <c r="K119" s="4">
        <f t="shared" si="13"/>
        <v>45.56</v>
      </c>
      <c r="L119" s="4">
        <f>MIN(100,MAX(0,(1-(F119-1)/(H119*1.5))*100*INDEX('League Config'!$J$4:$J$9,MATCH(A119,'League Config'!$E$4:$E$9,0))))</f>
        <v>34.44444444444445</v>
      </c>
      <c r="M119">
        <f>IF(A119="K",'League Config'!$B$14,IF(A119="DST",'League Config'!$B$15,IF(A119="QB",'League Config'!$B$16,0)))</f>
        <v>0</v>
      </c>
      <c r="N119" s="4">
        <f t="shared" si="14"/>
        <v>58.374166666666667</v>
      </c>
      <c r="O119" s="9">
        <f t="shared" si="15"/>
        <v>58.374166666666667</v>
      </c>
      <c r="P119" s="6">
        <f>IF(O119="","",COUNTIF($O$3:$O$232,"&gt;"&amp;O119)+COUNTIF($O$3:O119,O119))</f>
        <v>101</v>
      </c>
      <c r="Q119">
        <f t="shared" si="16"/>
        <v>101</v>
      </c>
      <c r="R119" s="4">
        <f>'LIVE SOURCE'!E119</f>
        <v>77.400000000000006</v>
      </c>
      <c r="S119" s="4">
        <f t="shared" si="17"/>
        <v>-23.599999999999994</v>
      </c>
      <c r="T119" t="str">
        <f>'LIVE SOURCE'!F119</f>
        <v>C</v>
      </c>
      <c r="U119" s="4">
        <f t="shared" si="18"/>
        <v>59.89</v>
      </c>
      <c r="V119" s="4">
        <f t="shared" si="19"/>
        <v>71.89</v>
      </c>
      <c r="W119" s="4">
        <f t="shared" si="20"/>
        <v>83.89</v>
      </c>
      <c r="X119" t="str">
        <f>'LIVE SOURCE'!G119</f>
        <v>HISTORY FALLBACK</v>
      </c>
      <c r="Y119" t="str">
        <f>IF(INDEX('Draft Board'!$J$3:$J$232,Q119)="","Available",INDEX('Draft Board'!$J$3:$J$232,Q119))</f>
        <v>Available</v>
      </c>
      <c r="Z119">
        <f t="shared" si="21"/>
        <v>101</v>
      </c>
    </row>
    <row r="120" spans="1:26" x14ac:dyDescent="0.25">
      <c r="A120" t="str">
        <f>'LIVE SOURCE'!A120</f>
        <v>WR</v>
      </c>
      <c r="B120" t="str">
        <f>'LIVE SOURCE'!B120</f>
        <v>Courtland Sutton</v>
      </c>
      <c r="C120" s="4">
        <f>'LIVE SOURCE'!D120</f>
        <v>68.722499999999997</v>
      </c>
      <c r="D120" s="4">
        <f>'Manual Adjustments'!G120</f>
        <v>0</v>
      </c>
      <c r="E120" s="4">
        <f t="shared" si="11"/>
        <v>68.722499999999997</v>
      </c>
      <c r="F120">
        <f>COUNTIFS($A$3:$A$232,A120,$E$3:$E$232,"&gt;"&amp;E120)+COUNTIFS($A$3:A120,A120,$E$3:E120,E120)</f>
        <v>45</v>
      </c>
      <c r="G120" s="4">
        <f>ROUND(INDEX('League Config'!$K$4:$K$9,MATCH(A120,'League Config'!$E$4:$E$9,0))*E120+INDEX('League Config'!$L$4:$L$9,MATCH(A120,'League Config'!$E$4:$E$9,0)),1)</f>
        <v>218.6</v>
      </c>
      <c r="H120">
        <f>INDEX('League Config'!$H$4:$H$9,MATCH(A120,'League Config'!$E$4:$E$9,0))</f>
        <v>33</v>
      </c>
      <c r="I120" s="4">
        <f>INDEX('League Config'!$I$4:$I$9,MATCH(A120,'League Config'!$E$4:$E$9,0))</f>
        <v>239.3</v>
      </c>
      <c r="J120" s="4">
        <f t="shared" si="12"/>
        <v>-20.7</v>
      </c>
      <c r="K120" s="4">
        <f t="shared" si="13"/>
        <v>37.58</v>
      </c>
      <c r="L120" s="4">
        <f>MIN(100,MAX(0,(1-(F120-1)/(H120*1.5))*100*INDEX('League Config'!$J$4:$J$9,MATCH(A120,'League Config'!$E$4:$E$9,0))))</f>
        <v>12.222222222222229</v>
      </c>
      <c r="M120">
        <f>IF(A120="K",'League Config'!$B$14,IF(A120="DST",'League Config'!$B$15,IF(A120="QB",'League Config'!$B$16,0)))</f>
        <v>0</v>
      </c>
      <c r="N120" s="4">
        <f t="shared" si="14"/>
        <v>50.904708333333339</v>
      </c>
      <c r="O120" s="9">
        <f t="shared" si="15"/>
        <v>50.904708333333339</v>
      </c>
      <c r="P120" s="6">
        <f>IF(O120="","",COUNTIF($O$3:$O$232,"&gt;"&amp;O120)+COUNTIF($O$3:O120,O120))</f>
        <v>126</v>
      </c>
      <c r="Q120">
        <f t="shared" si="16"/>
        <v>126</v>
      </c>
      <c r="R120" s="4">
        <f>'LIVE SOURCE'!E120</f>
        <v>59.6</v>
      </c>
      <c r="S120" s="4">
        <f t="shared" si="17"/>
        <v>-66.400000000000006</v>
      </c>
      <c r="T120" t="str">
        <f>'LIVE SOURCE'!F120</f>
        <v>C</v>
      </c>
      <c r="U120" s="4">
        <f t="shared" si="18"/>
        <v>56.722499999999997</v>
      </c>
      <c r="V120" s="4">
        <f t="shared" si="19"/>
        <v>68.722499999999997</v>
      </c>
      <c r="W120" s="4">
        <f t="shared" si="20"/>
        <v>80.722499999999997</v>
      </c>
      <c r="X120" t="str">
        <f>'LIVE SOURCE'!G120</f>
        <v>HISTORY FALLBACK</v>
      </c>
      <c r="Y120" t="str">
        <f>IF(INDEX('Draft Board'!$J$3:$J$232,Q120)="","Available",INDEX('Draft Board'!$J$3:$J$232,Q120))</f>
        <v>Available</v>
      </c>
      <c r="Z120">
        <f t="shared" si="21"/>
        <v>126</v>
      </c>
    </row>
    <row r="121" spans="1:26" x14ac:dyDescent="0.25">
      <c r="A121" t="str">
        <f>'LIVE SOURCE'!A121</f>
        <v>WR</v>
      </c>
      <c r="B121" t="str">
        <f>'LIVE SOURCE'!B121</f>
        <v>Jordyn Tyson</v>
      </c>
      <c r="C121" s="4">
        <f>'LIVE SOURCE'!D121</f>
        <v>76.22</v>
      </c>
      <c r="D121" s="4">
        <f>'Manual Adjustments'!G121</f>
        <v>0</v>
      </c>
      <c r="E121" s="4">
        <f t="shared" si="11"/>
        <v>76.22</v>
      </c>
      <c r="F121">
        <f>COUNTIFS($A$3:$A$232,A121,$E$3:$E$232,"&gt;"&amp;E121)+COUNTIFS($A$3:A121,A121,$E$3:E121,E121)</f>
        <v>26</v>
      </c>
      <c r="G121" s="4">
        <f>ROUND(INDEX('League Config'!$K$4:$K$9,MATCH(A121,'League Config'!$E$4:$E$9,0))*E121+INDEX('League Config'!$L$4:$L$9,MATCH(A121,'League Config'!$E$4:$E$9,0)),1)</f>
        <v>250.1</v>
      </c>
      <c r="H121">
        <f>INDEX('League Config'!$H$4:$H$9,MATCH(A121,'League Config'!$E$4:$E$9,0))</f>
        <v>33</v>
      </c>
      <c r="I121" s="4">
        <f>INDEX('League Config'!$I$4:$I$9,MATCH(A121,'League Config'!$E$4:$E$9,0))</f>
        <v>239.3</v>
      </c>
      <c r="J121" s="4">
        <f t="shared" si="12"/>
        <v>10.8</v>
      </c>
      <c r="K121" s="4">
        <f t="shared" si="13"/>
        <v>56.480000000000004</v>
      </c>
      <c r="L121" s="4">
        <f>MIN(100,MAX(0,(1-(F121-1)/(H121*1.5))*100*INDEX('League Config'!$J$4:$J$9,MATCH(A121,'League Config'!$E$4:$E$9,0))))</f>
        <v>54.44444444444445</v>
      </c>
      <c r="M121">
        <f>IF(A121="K",'League Config'!$B$14,IF(A121="DST",'League Config'!$B$15,IF(A121="QB",'League Config'!$B$16,0)))</f>
        <v>0</v>
      </c>
      <c r="N121" s="4">
        <f t="shared" si="14"/>
        <v>67.031666666666666</v>
      </c>
      <c r="O121" s="9">
        <f t="shared" si="15"/>
        <v>67.031666666666666</v>
      </c>
      <c r="P121" s="6">
        <f>IF(O121="","",COUNTIF($O$3:$O$232,"&gt;"&amp;O121)+COUNTIF($O$3:O121,O121))</f>
        <v>72</v>
      </c>
      <c r="Q121">
        <f t="shared" si="16"/>
        <v>72</v>
      </c>
      <c r="R121" s="4">
        <f>'LIVE SOURCE'!E121</f>
        <v>87.1</v>
      </c>
      <c r="S121" s="4">
        <f t="shared" si="17"/>
        <v>15.099999999999994</v>
      </c>
      <c r="T121" t="str">
        <f>'LIVE SOURCE'!F121</f>
        <v>C</v>
      </c>
      <c r="U121" s="4">
        <f t="shared" si="18"/>
        <v>64.22</v>
      </c>
      <c r="V121" s="4">
        <f t="shared" si="19"/>
        <v>76.22</v>
      </c>
      <c r="W121" s="4">
        <f t="shared" si="20"/>
        <v>88.22</v>
      </c>
      <c r="X121" t="str">
        <f>'LIVE SOURCE'!G121</f>
        <v>HISTORY FALLBACK</v>
      </c>
      <c r="Y121" t="str">
        <f>IF(INDEX('Draft Board'!$J$3:$J$232,Q121)="","Available",INDEX('Draft Board'!$J$3:$J$232,Q121))</f>
        <v>Available</v>
      </c>
      <c r="Z121">
        <f t="shared" si="21"/>
        <v>72</v>
      </c>
    </row>
    <row r="122" spans="1:26" x14ac:dyDescent="0.25">
      <c r="A122" t="str">
        <f>'LIVE SOURCE'!A122</f>
        <v>WR</v>
      </c>
      <c r="B122" t="str">
        <f>'LIVE SOURCE'!B122</f>
        <v>Michael Pittman Jr.</v>
      </c>
      <c r="C122" s="4">
        <f>'LIVE SOURCE'!D122</f>
        <v>75.55</v>
      </c>
      <c r="D122" s="4">
        <f>'Manual Adjustments'!G122</f>
        <v>0</v>
      </c>
      <c r="E122" s="4">
        <f t="shared" si="11"/>
        <v>75.55</v>
      </c>
      <c r="F122">
        <f>COUNTIFS($A$3:$A$232,A122,$E$3:$E$232,"&gt;"&amp;E122)+COUNTIFS($A$3:A122,A122,$E$3:E122,E122)</f>
        <v>28</v>
      </c>
      <c r="G122" s="4">
        <f>ROUND(INDEX('League Config'!$K$4:$K$9,MATCH(A122,'League Config'!$E$4:$E$9,0))*E122+INDEX('League Config'!$L$4:$L$9,MATCH(A122,'League Config'!$E$4:$E$9,0)),1)</f>
        <v>247.3</v>
      </c>
      <c r="H122">
        <f>INDEX('League Config'!$H$4:$H$9,MATCH(A122,'League Config'!$E$4:$E$9,0))</f>
        <v>33</v>
      </c>
      <c r="I122" s="4">
        <f>INDEX('League Config'!$I$4:$I$9,MATCH(A122,'League Config'!$E$4:$E$9,0))</f>
        <v>239.3</v>
      </c>
      <c r="J122" s="4">
        <f t="shared" si="12"/>
        <v>8</v>
      </c>
      <c r="K122" s="4">
        <f t="shared" si="13"/>
        <v>54.8</v>
      </c>
      <c r="L122" s="4">
        <f>MIN(100,MAX(0,(1-(F122-1)/(H122*1.5))*100*INDEX('League Config'!$J$4:$J$9,MATCH(A122,'League Config'!$E$4:$E$9,0))))</f>
        <v>50.000000000000007</v>
      </c>
      <c r="M122">
        <f>IF(A122="K",'League Config'!$B$14,IF(A122="DST",'League Config'!$B$15,IF(A122="QB",'League Config'!$B$16,0)))</f>
        <v>0</v>
      </c>
      <c r="N122" s="4">
        <f t="shared" si="14"/>
        <v>65.492500000000007</v>
      </c>
      <c r="O122" s="9">
        <f t="shared" si="15"/>
        <v>65.492500000000007</v>
      </c>
      <c r="P122" s="6">
        <f>IF(O122="","",COUNTIF($O$3:$O$232,"&gt;"&amp;O122)+COUNTIF($O$3:O122,O122))</f>
        <v>79</v>
      </c>
      <c r="Q122">
        <f t="shared" si="16"/>
        <v>79</v>
      </c>
      <c r="R122" s="4">
        <f>'LIVE SOURCE'!E122</f>
        <v>72.2</v>
      </c>
      <c r="S122" s="4">
        <f t="shared" si="17"/>
        <v>-6.7999999999999972</v>
      </c>
      <c r="T122" t="str">
        <f>'LIVE SOURCE'!F122</f>
        <v>C</v>
      </c>
      <c r="U122" s="4">
        <f t="shared" si="18"/>
        <v>63.55</v>
      </c>
      <c r="V122" s="4">
        <f t="shared" si="19"/>
        <v>75.55</v>
      </c>
      <c r="W122" s="4">
        <f t="shared" si="20"/>
        <v>87.55</v>
      </c>
      <c r="X122" t="str">
        <f>'LIVE SOURCE'!G122</f>
        <v>HISTORY FALLBACK</v>
      </c>
      <c r="Y122" t="str">
        <f>IF(INDEX('Draft Board'!$J$3:$J$232,Q122)="","Available",INDEX('Draft Board'!$J$3:$J$232,Q122))</f>
        <v>Available</v>
      </c>
      <c r="Z122">
        <f t="shared" si="21"/>
        <v>79</v>
      </c>
    </row>
    <row r="123" spans="1:26" x14ac:dyDescent="0.25">
      <c r="A123" t="str">
        <f>'LIVE SOURCE'!A123</f>
        <v>WR</v>
      </c>
      <c r="B123" t="str">
        <f>'LIVE SOURCE'!B123</f>
        <v>Jakobi Meyers</v>
      </c>
      <c r="C123" s="4">
        <f>'LIVE SOURCE'!D123</f>
        <v>74.88</v>
      </c>
      <c r="D123" s="4">
        <f>'Manual Adjustments'!G123</f>
        <v>0</v>
      </c>
      <c r="E123" s="4">
        <f t="shared" si="11"/>
        <v>74.88</v>
      </c>
      <c r="F123">
        <f>COUNTIFS($A$3:$A$232,A123,$E$3:$E$232,"&gt;"&amp;E123)+COUNTIFS($A$3:A123,A123,$E$3:E123,E123)</f>
        <v>30</v>
      </c>
      <c r="G123" s="4">
        <f>ROUND(INDEX('League Config'!$K$4:$K$9,MATCH(A123,'League Config'!$E$4:$E$9,0))*E123+INDEX('League Config'!$L$4:$L$9,MATCH(A123,'League Config'!$E$4:$E$9,0)),1)</f>
        <v>244.5</v>
      </c>
      <c r="H123">
        <f>INDEX('League Config'!$H$4:$H$9,MATCH(A123,'League Config'!$E$4:$E$9,0))</f>
        <v>33</v>
      </c>
      <c r="I123" s="4">
        <f>INDEX('League Config'!$I$4:$I$9,MATCH(A123,'League Config'!$E$4:$E$9,0))</f>
        <v>239.3</v>
      </c>
      <c r="J123" s="4">
        <f t="shared" si="12"/>
        <v>5.2</v>
      </c>
      <c r="K123" s="4">
        <f t="shared" si="13"/>
        <v>53.12</v>
      </c>
      <c r="L123" s="4">
        <f>MIN(100,MAX(0,(1-(F123-1)/(H123*1.5))*100*INDEX('League Config'!$J$4:$J$9,MATCH(A123,'League Config'!$E$4:$E$9,0))))</f>
        <v>45.555555555555557</v>
      </c>
      <c r="M123">
        <f>IF(A123="K",'League Config'!$B$14,IF(A123="DST",'League Config'!$B$15,IF(A123="QB",'League Config'!$B$16,0)))</f>
        <v>0</v>
      </c>
      <c r="N123" s="4">
        <f t="shared" si="14"/>
        <v>63.953333333333333</v>
      </c>
      <c r="O123" s="9">
        <f t="shared" si="15"/>
        <v>63.953333333333333</v>
      </c>
      <c r="P123" s="6">
        <f>IF(O123="","",COUNTIF($O$3:$O$232,"&gt;"&amp;O123)+COUNTIF($O$3:O123,O123))</f>
        <v>85</v>
      </c>
      <c r="Q123">
        <f t="shared" si="16"/>
        <v>85</v>
      </c>
      <c r="R123" s="4">
        <f>'LIVE SOURCE'!E123</f>
        <v>75.599999999999994</v>
      </c>
      <c r="S123" s="4">
        <f t="shared" si="17"/>
        <v>-9.4000000000000057</v>
      </c>
      <c r="T123" t="str">
        <f>'LIVE SOURCE'!F123</f>
        <v>C</v>
      </c>
      <c r="U123" s="4">
        <f t="shared" si="18"/>
        <v>62.879999999999995</v>
      </c>
      <c r="V123" s="4">
        <f t="shared" si="19"/>
        <v>74.88</v>
      </c>
      <c r="W123" s="4">
        <f t="shared" si="20"/>
        <v>86.88</v>
      </c>
      <c r="X123" t="str">
        <f>'LIVE SOURCE'!G123</f>
        <v>HISTORY FALLBACK</v>
      </c>
      <c r="Y123" t="str">
        <f>IF(INDEX('Draft Board'!$J$3:$J$232,Q123)="","Available",INDEX('Draft Board'!$J$3:$J$232,Q123))</f>
        <v>Available</v>
      </c>
      <c r="Z123">
        <f t="shared" si="21"/>
        <v>85</v>
      </c>
    </row>
    <row r="124" spans="1:26" x14ac:dyDescent="0.25">
      <c r="A124" t="str">
        <f>'LIVE SOURCE'!A124</f>
        <v>WR</v>
      </c>
      <c r="B124" t="str">
        <f>'LIVE SOURCE'!B124</f>
        <v>Jordan Addison</v>
      </c>
      <c r="C124" s="4">
        <f>'LIVE SOURCE'!D124</f>
        <v>74.209999999999994</v>
      </c>
      <c r="D124" s="4">
        <f>'Manual Adjustments'!G124</f>
        <v>0</v>
      </c>
      <c r="E124" s="4">
        <f t="shared" si="11"/>
        <v>74.209999999999994</v>
      </c>
      <c r="F124">
        <f>COUNTIFS($A$3:$A$232,A124,$E$3:$E$232,"&gt;"&amp;E124)+COUNTIFS($A$3:A124,A124,$E$3:E124,E124)</f>
        <v>31</v>
      </c>
      <c r="G124" s="4">
        <f>ROUND(INDEX('League Config'!$K$4:$K$9,MATCH(A124,'League Config'!$E$4:$E$9,0))*E124+INDEX('League Config'!$L$4:$L$9,MATCH(A124,'League Config'!$E$4:$E$9,0)),1)</f>
        <v>241.7</v>
      </c>
      <c r="H124">
        <f>INDEX('League Config'!$H$4:$H$9,MATCH(A124,'League Config'!$E$4:$E$9,0))</f>
        <v>33</v>
      </c>
      <c r="I124" s="4">
        <f>INDEX('League Config'!$I$4:$I$9,MATCH(A124,'League Config'!$E$4:$E$9,0))</f>
        <v>239.3</v>
      </c>
      <c r="J124" s="4">
        <f t="shared" si="12"/>
        <v>2.4</v>
      </c>
      <c r="K124" s="4">
        <f t="shared" si="13"/>
        <v>51.44</v>
      </c>
      <c r="L124" s="4">
        <f>MIN(100,MAX(0,(1-(F124-1)/(H124*1.5))*100*INDEX('League Config'!$J$4:$J$9,MATCH(A124,'League Config'!$E$4:$E$9,0))))</f>
        <v>43.333333333333336</v>
      </c>
      <c r="M124">
        <f>IF(A124="K",'League Config'!$B$14,IF(A124="DST",'League Config'!$B$15,IF(A124="QB",'League Config'!$B$16,0)))</f>
        <v>0</v>
      </c>
      <c r="N124" s="4">
        <f t="shared" si="14"/>
        <v>62.747500000000002</v>
      </c>
      <c r="O124" s="9">
        <f t="shared" si="15"/>
        <v>62.747500000000002</v>
      </c>
      <c r="P124" s="6">
        <f>IF(O124="","",COUNTIF($O$3:$O$232,"&gt;"&amp;O124)+COUNTIF($O$3:O124,O124))</f>
        <v>88</v>
      </c>
      <c r="Q124">
        <f t="shared" si="16"/>
        <v>88</v>
      </c>
      <c r="R124" s="4">
        <f>'LIVE SOURCE'!E124</f>
        <v>103.3</v>
      </c>
      <c r="S124" s="4">
        <f t="shared" si="17"/>
        <v>15.299999999999997</v>
      </c>
      <c r="T124" t="str">
        <f>'LIVE SOURCE'!F124</f>
        <v>C</v>
      </c>
      <c r="U124" s="4">
        <f t="shared" si="18"/>
        <v>62.209999999999994</v>
      </c>
      <c r="V124" s="4">
        <f t="shared" si="19"/>
        <v>74.209999999999994</v>
      </c>
      <c r="W124" s="4">
        <f t="shared" si="20"/>
        <v>86.21</v>
      </c>
      <c r="X124" t="str">
        <f>'LIVE SOURCE'!G124</f>
        <v>HISTORY FALLBACK</v>
      </c>
      <c r="Y124" t="str">
        <f>IF(INDEX('Draft Board'!$J$3:$J$232,Q124)="","Available",INDEX('Draft Board'!$J$3:$J$232,Q124))</f>
        <v>Available</v>
      </c>
      <c r="Z124">
        <f t="shared" si="21"/>
        <v>88</v>
      </c>
    </row>
    <row r="125" spans="1:26" x14ac:dyDescent="0.25">
      <c r="A125" t="str">
        <f>'LIVE SOURCE'!A125</f>
        <v>WR</v>
      </c>
      <c r="B125" t="str">
        <f>'LIVE SOURCE'!B125</f>
        <v>Wan'Dale Robinson</v>
      </c>
      <c r="C125" s="4">
        <f>'LIVE SOURCE'!D125</f>
        <v>73.540000000000006</v>
      </c>
      <c r="D125" s="4">
        <f>'Manual Adjustments'!G125</f>
        <v>0</v>
      </c>
      <c r="E125" s="4">
        <f t="shared" si="11"/>
        <v>73.540000000000006</v>
      </c>
      <c r="F125">
        <f>COUNTIFS($A$3:$A$232,A125,$E$3:$E$232,"&gt;"&amp;E125)+COUNTIFS($A$3:A125,A125,$E$3:E125,E125)</f>
        <v>34</v>
      </c>
      <c r="G125" s="4">
        <f>ROUND(INDEX('League Config'!$K$4:$K$9,MATCH(A125,'League Config'!$E$4:$E$9,0))*E125+INDEX('League Config'!$L$4:$L$9,MATCH(A125,'League Config'!$E$4:$E$9,0)),1)</f>
        <v>238.9</v>
      </c>
      <c r="H125">
        <f>INDEX('League Config'!$H$4:$H$9,MATCH(A125,'League Config'!$E$4:$E$9,0))</f>
        <v>33</v>
      </c>
      <c r="I125" s="4">
        <f>INDEX('League Config'!$I$4:$I$9,MATCH(A125,'League Config'!$E$4:$E$9,0))</f>
        <v>239.3</v>
      </c>
      <c r="J125" s="4">
        <f t="shared" si="12"/>
        <v>-0.4</v>
      </c>
      <c r="K125" s="4">
        <f t="shared" si="13"/>
        <v>49.76</v>
      </c>
      <c r="L125" s="4">
        <f>MIN(100,MAX(0,(1-(F125-1)/(H125*1.5))*100*INDEX('League Config'!$J$4:$J$9,MATCH(A125,'League Config'!$E$4:$E$9,0))))</f>
        <v>36.666666666666671</v>
      </c>
      <c r="M125">
        <f>IF(A125="K",'League Config'!$B$14,IF(A125="DST",'League Config'!$B$15,IF(A125="QB",'League Config'!$B$16,0)))</f>
        <v>0</v>
      </c>
      <c r="N125" s="4">
        <f t="shared" si="14"/>
        <v>60.875000000000007</v>
      </c>
      <c r="O125" s="9">
        <f t="shared" si="15"/>
        <v>60.875000000000007</v>
      </c>
      <c r="P125" s="6">
        <f>IF(O125="","",COUNTIF($O$3:$O$232,"&gt;"&amp;O125)+COUNTIF($O$3:O125,O125))</f>
        <v>95</v>
      </c>
      <c r="Q125">
        <f t="shared" si="16"/>
        <v>95</v>
      </c>
      <c r="R125" s="4">
        <f>'LIVE SOURCE'!E125</f>
        <v>71</v>
      </c>
      <c r="S125" s="4">
        <f t="shared" si="17"/>
        <v>-24</v>
      </c>
      <c r="T125" t="str">
        <f>'LIVE SOURCE'!F125</f>
        <v>C</v>
      </c>
      <c r="U125" s="4">
        <f t="shared" si="18"/>
        <v>61.540000000000006</v>
      </c>
      <c r="V125" s="4">
        <f t="shared" si="19"/>
        <v>73.540000000000006</v>
      </c>
      <c r="W125" s="4">
        <f t="shared" si="20"/>
        <v>85.54</v>
      </c>
      <c r="X125" t="str">
        <f>'LIVE SOURCE'!G125</f>
        <v>HISTORY FALLBACK</v>
      </c>
      <c r="Y125" t="str">
        <f>IF(INDEX('Draft Board'!$J$3:$J$232,Q125)="","Available",INDEX('Draft Board'!$J$3:$J$232,Q125))</f>
        <v>Available</v>
      </c>
      <c r="Z125">
        <f t="shared" si="21"/>
        <v>95</v>
      </c>
    </row>
    <row r="126" spans="1:26" x14ac:dyDescent="0.25">
      <c r="A126" t="str">
        <f>'LIVE SOURCE'!A126</f>
        <v>WR</v>
      </c>
      <c r="B126" t="str">
        <f>'LIVE SOURCE'!B126</f>
        <v>Brian Thomas Jr.</v>
      </c>
      <c r="C126" s="4">
        <f>'LIVE SOURCE'!D126</f>
        <v>66.967500000000001</v>
      </c>
      <c r="D126" s="4">
        <f>'Manual Adjustments'!G126</f>
        <v>0</v>
      </c>
      <c r="E126" s="4">
        <f t="shared" si="11"/>
        <v>66.967500000000001</v>
      </c>
      <c r="F126">
        <f>COUNTIFS($A$3:$A$232,A126,$E$3:$E$232,"&gt;"&amp;E126)+COUNTIFS($A$3:A126,A126,$E$3:E126,E126)</f>
        <v>48</v>
      </c>
      <c r="G126" s="4">
        <f>ROUND(INDEX('League Config'!$K$4:$K$9,MATCH(A126,'League Config'!$E$4:$E$9,0))*E126+INDEX('League Config'!$L$4:$L$9,MATCH(A126,'League Config'!$E$4:$E$9,0)),1)</f>
        <v>211.3</v>
      </c>
      <c r="H126">
        <f>INDEX('League Config'!$H$4:$H$9,MATCH(A126,'League Config'!$E$4:$E$9,0))</f>
        <v>33</v>
      </c>
      <c r="I126" s="4">
        <f>INDEX('League Config'!$I$4:$I$9,MATCH(A126,'League Config'!$E$4:$E$9,0))</f>
        <v>239.3</v>
      </c>
      <c r="J126" s="4">
        <f t="shared" si="12"/>
        <v>-28</v>
      </c>
      <c r="K126" s="4">
        <f t="shared" si="13"/>
        <v>33.200000000000003</v>
      </c>
      <c r="L126" s="4">
        <f>MIN(100,MAX(0,(1-(F126-1)/(H126*1.5))*100*INDEX('League Config'!$J$4:$J$9,MATCH(A126,'League Config'!$E$4:$E$9,0))))</f>
        <v>5.5555555555555554</v>
      </c>
      <c r="M126">
        <f>IF(A126="K",'League Config'!$B$14,IF(A126="DST",'League Config'!$B$15,IF(A126="QB",'League Config'!$B$16,0)))</f>
        <v>0</v>
      </c>
      <c r="N126" s="4">
        <f t="shared" si="14"/>
        <v>47.625458333333341</v>
      </c>
      <c r="O126" s="9">
        <f t="shared" si="15"/>
        <v>47.625458333333341</v>
      </c>
      <c r="P126" s="6">
        <f>IF(O126="","",COUNTIF($O$3:$O$232,"&gt;"&amp;O126)+COUNTIF($O$3:O126,O126))</f>
        <v>134</v>
      </c>
      <c r="Q126">
        <f t="shared" si="16"/>
        <v>154</v>
      </c>
      <c r="R126" s="4">
        <f>'LIVE SOURCE'!E126</f>
        <v>81.099999999999994</v>
      </c>
      <c r="S126" s="4">
        <f t="shared" si="17"/>
        <v>-72.900000000000006</v>
      </c>
      <c r="T126" t="str">
        <f>'LIVE SOURCE'!F126</f>
        <v>C</v>
      </c>
      <c r="U126" s="4">
        <f t="shared" si="18"/>
        <v>54.967500000000001</v>
      </c>
      <c r="V126" s="4">
        <f t="shared" si="19"/>
        <v>66.967500000000001</v>
      </c>
      <c r="W126" s="4">
        <f t="shared" si="20"/>
        <v>78.967500000000001</v>
      </c>
      <c r="X126" t="str">
        <f>'LIVE SOURCE'!G126</f>
        <v>HISTORY FALLBACK</v>
      </c>
      <c r="Y126" t="str">
        <f>IF(INDEX('Draft Board'!$J$3:$J$232,Q126)="","Available",INDEX('Draft Board'!$J$3:$J$232,Q126))</f>
        <v>Available</v>
      </c>
      <c r="Z126">
        <f t="shared" si="21"/>
        <v>154</v>
      </c>
    </row>
    <row r="127" spans="1:26" x14ac:dyDescent="0.25">
      <c r="A127" t="str">
        <f>'LIVE SOURCE'!A127</f>
        <v>WR</v>
      </c>
      <c r="B127" t="str">
        <f>'LIVE SOURCE'!B127</f>
        <v>Makai Lemon</v>
      </c>
      <c r="C127" s="4">
        <f>'LIVE SOURCE'!D127</f>
        <v>72.2</v>
      </c>
      <c r="D127" s="4">
        <f>'Manual Adjustments'!G127</f>
        <v>-3</v>
      </c>
      <c r="E127" s="4">
        <f t="shared" si="11"/>
        <v>69.2</v>
      </c>
      <c r="F127">
        <f>COUNTIFS($A$3:$A$232,A127,$E$3:$E$232,"&gt;"&amp;E127)+COUNTIFS($A$3:A127,A127,$E$3:E127,E127)</f>
        <v>43</v>
      </c>
      <c r="G127" s="4">
        <f>ROUND(INDEX('League Config'!$K$4:$K$9,MATCH(A127,'League Config'!$E$4:$E$9,0))*E127+INDEX('League Config'!$L$4:$L$9,MATCH(A127,'League Config'!$E$4:$E$9,0)),1)</f>
        <v>220.6</v>
      </c>
      <c r="H127">
        <f>INDEX('League Config'!$H$4:$H$9,MATCH(A127,'League Config'!$E$4:$E$9,0))</f>
        <v>33</v>
      </c>
      <c r="I127" s="4">
        <f>INDEX('League Config'!$I$4:$I$9,MATCH(A127,'League Config'!$E$4:$E$9,0))</f>
        <v>239.3</v>
      </c>
      <c r="J127" s="4">
        <f t="shared" si="12"/>
        <v>-18.7</v>
      </c>
      <c r="K127" s="4">
        <f t="shared" si="13"/>
        <v>38.78</v>
      </c>
      <c r="L127" s="4">
        <f>MIN(100,MAX(0,(1-(F127-1)/(H127*1.5))*100*INDEX('League Config'!$J$4:$J$9,MATCH(A127,'League Config'!$E$4:$E$9,0))))</f>
        <v>16.666666666666664</v>
      </c>
      <c r="M127">
        <f>IF(A127="K",'League Config'!$B$14,IF(A127="DST",'League Config'!$B$15,IF(A127="QB",'League Config'!$B$16,0)))</f>
        <v>0</v>
      </c>
      <c r="N127" s="4">
        <f t="shared" si="14"/>
        <v>52.194000000000003</v>
      </c>
      <c r="O127" s="9">
        <f t="shared" si="15"/>
        <v>52.194000000000003</v>
      </c>
      <c r="P127" s="6">
        <f>IF(O127="","",COUNTIF($O$3:$O$232,"&gt;"&amp;O127)+COUNTIF($O$3:O127,O127))</f>
        <v>121</v>
      </c>
      <c r="Q127">
        <f t="shared" si="16"/>
        <v>121</v>
      </c>
      <c r="R127" s="4">
        <f>'LIVE SOURCE'!E127</f>
        <v>108.5</v>
      </c>
      <c r="S127" s="4">
        <f t="shared" si="17"/>
        <v>-12.5</v>
      </c>
      <c r="T127" t="str">
        <f>'LIVE SOURCE'!F127</f>
        <v>C</v>
      </c>
      <c r="U127" s="4">
        <f t="shared" si="18"/>
        <v>57.2</v>
      </c>
      <c r="V127" s="4">
        <f t="shared" si="19"/>
        <v>69.2</v>
      </c>
      <c r="W127" s="4">
        <f t="shared" si="20"/>
        <v>81.2</v>
      </c>
      <c r="X127" t="str">
        <f>'LIVE SOURCE'!G127</f>
        <v>HISTORY FALLBACK</v>
      </c>
      <c r="Y127" t="str">
        <f>IF(INDEX('Draft Board'!$J$3:$J$232,Q127)="","Available",INDEX('Draft Board'!$J$3:$J$232,Q127))</f>
        <v>Available</v>
      </c>
      <c r="Z127">
        <f t="shared" si="21"/>
        <v>121</v>
      </c>
    </row>
    <row r="128" spans="1:26" x14ac:dyDescent="0.25">
      <c r="A128" t="str">
        <f>'LIVE SOURCE'!A128</f>
        <v>WR</v>
      </c>
      <c r="B128" t="str">
        <f>'LIVE SOURCE'!B128</f>
        <v>Parker Washington</v>
      </c>
      <c r="C128" s="4">
        <f>'LIVE SOURCE'!D128</f>
        <v>71.53</v>
      </c>
      <c r="D128" s="4">
        <f>'Manual Adjustments'!G128</f>
        <v>0</v>
      </c>
      <c r="E128" s="4">
        <f t="shared" si="11"/>
        <v>71.53</v>
      </c>
      <c r="F128">
        <f>COUNTIFS($A$3:$A$232,A128,$E$3:$E$232,"&gt;"&amp;E128)+COUNTIFS($A$3:A128,A128,$E$3:E128,E128)</f>
        <v>37</v>
      </c>
      <c r="G128" s="4">
        <f>ROUND(INDEX('League Config'!$K$4:$K$9,MATCH(A128,'League Config'!$E$4:$E$9,0))*E128+INDEX('League Config'!$L$4:$L$9,MATCH(A128,'League Config'!$E$4:$E$9,0)),1)</f>
        <v>230.4</v>
      </c>
      <c r="H128">
        <f>INDEX('League Config'!$H$4:$H$9,MATCH(A128,'League Config'!$E$4:$E$9,0))</f>
        <v>33</v>
      </c>
      <c r="I128" s="4">
        <f>INDEX('League Config'!$I$4:$I$9,MATCH(A128,'League Config'!$E$4:$E$9,0))</f>
        <v>239.3</v>
      </c>
      <c r="J128" s="4">
        <f t="shared" si="12"/>
        <v>-8.9</v>
      </c>
      <c r="K128" s="4">
        <f t="shared" si="13"/>
        <v>44.66</v>
      </c>
      <c r="L128" s="4">
        <f>MIN(100,MAX(0,(1-(F128-1)/(H128*1.5))*100*INDEX('League Config'!$J$4:$J$9,MATCH(A128,'League Config'!$E$4:$E$9,0))))</f>
        <v>30</v>
      </c>
      <c r="M128">
        <f>IF(A128="K",'League Config'!$B$14,IF(A128="DST",'League Config'!$B$15,IF(A128="QB",'League Config'!$B$16,0)))</f>
        <v>0</v>
      </c>
      <c r="N128" s="4">
        <f t="shared" si="14"/>
        <v>57.2395</v>
      </c>
      <c r="O128" s="9">
        <f t="shared" si="15"/>
        <v>57.2395</v>
      </c>
      <c r="P128" s="6">
        <f>IF(O128="","",COUNTIF($O$3:$O$232,"&gt;"&amp;O128)+COUNTIF($O$3:O128,O128))</f>
        <v>104</v>
      </c>
      <c r="Q128">
        <f t="shared" si="16"/>
        <v>104</v>
      </c>
      <c r="R128" s="4">
        <f>'LIVE SOURCE'!E128</f>
        <v>72.3</v>
      </c>
      <c r="S128" s="4">
        <f t="shared" si="17"/>
        <v>-31.700000000000003</v>
      </c>
      <c r="T128" t="str">
        <f>'LIVE SOURCE'!F128</f>
        <v>C</v>
      </c>
      <c r="U128" s="4">
        <f t="shared" si="18"/>
        <v>59.53</v>
      </c>
      <c r="V128" s="4">
        <f t="shared" si="19"/>
        <v>71.53</v>
      </c>
      <c r="W128" s="4">
        <f t="shared" si="20"/>
        <v>83.53</v>
      </c>
      <c r="X128" t="str">
        <f>'LIVE SOURCE'!G128</f>
        <v>HISTORY FALLBACK</v>
      </c>
      <c r="Y128" t="str">
        <f>IF(INDEX('Draft Board'!$J$3:$J$232,Q128)="","Available",INDEX('Draft Board'!$J$3:$J$232,Q128))</f>
        <v>Available</v>
      </c>
      <c r="Z128">
        <f t="shared" si="21"/>
        <v>104</v>
      </c>
    </row>
    <row r="129" spans="1:26" x14ac:dyDescent="0.25">
      <c r="A129" t="str">
        <f>'LIVE SOURCE'!A129</f>
        <v>WR</v>
      </c>
      <c r="B129" t="str">
        <f>'LIVE SOURCE'!B129</f>
        <v>Chris Godwin Jr.</v>
      </c>
      <c r="C129" s="4">
        <f>'LIVE SOURCE'!D129</f>
        <v>70.86</v>
      </c>
      <c r="D129" s="4">
        <f>'Manual Adjustments'!G129</f>
        <v>0</v>
      </c>
      <c r="E129" s="4">
        <f t="shared" si="11"/>
        <v>70.86</v>
      </c>
      <c r="F129">
        <f>COUNTIFS($A$3:$A$232,A129,$E$3:$E$232,"&gt;"&amp;E129)+COUNTIFS($A$3:A129,A129,$E$3:E129,E129)</f>
        <v>39</v>
      </c>
      <c r="G129" s="4">
        <f>ROUND(INDEX('League Config'!$K$4:$K$9,MATCH(A129,'League Config'!$E$4:$E$9,0))*E129+INDEX('League Config'!$L$4:$L$9,MATCH(A129,'League Config'!$E$4:$E$9,0)),1)</f>
        <v>227.6</v>
      </c>
      <c r="H129">
        <f>INDEX('League Config'!$H$4:$H$9,MATCH(A129,'League Config'!$E$4:$E$9,0))</f>
        <v>33</v>
      </c>
      <c r="I129" s="4">
        <f>INDEX('League Config'!$I$4:$I$9,MATCH(A129,'League Config'!$E$4:$E$9,0))</f>
        <v>239.3</v>
      </c>
      <c r="J129" s="4">
        <f t="shared" si="12"/>
        <v>-11.7</v>
      </c>
      <c r="K129" s="4">
        <f t="shared" si="13"/>
        <v>42.980000000000004</v>
      </c>
      <c r="L129" s="4">
        <f>MIN(100,MAX(0,(1-(F129-1)/(H129*1.5))*100*INDEX('League Config'!$J$4:$J$9,MATCH(A129,'League Config'!$E$4:$E$9,0))))</f>
        <v>25.555555555555564</v>
      </c>
      <c r="M129">
        <f>IF(A129="K",'League Config'!$B$14,IF(A129="DST",'League Config'!$B$15,IF(A129="QB",'League Config'!$B$16,0)))</f>
        <v>0</v>
      </c>
      <c r="N129" s="4">
        <f t="shared" si="14"/>
        <v>55.70033333333334</v>
      </c>
      <c r="O129" s="9">
        <f t="shared" si="15"/>
        <v>55.70033333333334</v>
      </c>
      <c r="P129" s="6">
        <f>IF(O129="","",COUNTIF($O$3:$O$232,"&gt;"&amp;O129)+COUNTIF($O$3:O129,O129))</f>
        <v>110</v>
      </c>
      <c r="Q129">
        <f t="shared" si="16"/>
        <v>110</v>
      </c>
      <c r="R129" s="4">
        <f>'LIVE SOURCE'!E129</f>
        <v>92.4</v>
      </c>
      <c r="S129" s="4">
        <f t="shared" si="17"/>
        <v>-17.599999999999994</v>
      </c>
      <c r="T129" t="str">
        <f>'LIVE SOURCE'!F129</f>
        <v>C</v>
      </c>
      <c r="U129" s="4">
        <f t="shared" si="18"/>
        <v>58.86</v>
      </c>
      <c r="V129" s="4">
        <f t="shared" si="19"/>
        <v>70.86</v>
      </c>
      <c r="W129" s="4">
        <f t="shared" si="20"/>
        <v>82.86</v>
      </c>
      <c r="X129" t="str">
        <f>'LIVE SOURCE'!G129</f>
        <v>HISTORY FALLBACK</v>
      </c>
      <c r="Y129" t="str">
        <f>IF(INDEX('Draft Board'!$J$3:$J$232,Q129)="","Available",INDEX('Draft Board'!$J$3:$J$232,Q129))</f>
        <v>Available</v>
      </c>
      <c r="Z129">
        <f t="shared" si="21"/>
        <v>110</v>
      </c>
    </row>
    <row r="130" spans="1:26" x14ac:dyDescent="0.25">
      <c r="A130" t="str">
        <f>'LIVE SOURCE'!A130</f>
        <v>WR</v>
      </c>
      <c r="B130" t="str">
        <f>'LIVE SOURCE'!B130</f>
        <v>Quentin Johnston</v>
      </c>
      <c r="C130" s="4">
        <f>'LIVE SOURCE'!D130</f>
        <v>70.19</v>
      </c>
      <c r="D130" s="4">
        <f>'Manual Adjustments'!G130</f>
        <v>0</v>
      </c>
      <c r="E130" s="4">
        <f t="shared" si="11"/>
        <v>70.19</v>
      </c>
      <c r="F130">
        <f>COUNTIFS($A$3:$A$232,A130,$E$3:$E$232,"&gt;"&amp;E130)+COUNTIFS($A$3:A130,A130,$E$3:E130,E130)</f>
        <v>41</v>
      </c>
      <c r="G130" s="4">
        <f>ROUND(INDEX('League Config'!$K$4:$K$9,MATCH(A130,'League Config'!$E$4:$E$9,0))*E130+INDEX('League Config'!$L$4:$L$9,MATCH(A130,'League Config'!$E$4:$E$9,0)),1)</f>
        <v>224.8</v>
      </c>
      <c r="H130">
        <f>INDEX('League Config'!$H$4:$H$9,MATCH(A130,'League Config'!$E$4:$E$9,0))</f>
        <v>33</v>
      </c>
      <c r="I130" s="4">
        <f>INDEX('League Config'!$I$4:$I$9,MATCH(A130,'League Config'!$E$4:$E$9,0))</f>
        <v>239.3</v>
      </c>
      <c r="J130" s="4">
        <f t="shared" si="12"/>
        <v>-14.5</v>
      </c>
      <c r="K130" s="4">
        <f t="shared" si="13"/>
        <v>41.3</v>
      </c>
      <c r="L130" s="4">
        <f>MIN(100,MAX(0,(1-(F130-1)/(H130*1.5))*100*INDEX('League Config'!$J$4:$J$9,MATCH(A130,'League Config'!$E$4:$E$9,0))))</f>
        <v>21.111111111111114</v>
      </c>
      <c r="M130">
        <f>IF(A130="K",'League Config'!$B$14,IF(A130="DST",'League Config'!$B$15,IF(A130="QB",'League Config'!$B$16,0)))</f>
        <v>0</v>
      </c>
      <c r="N130" s="4">
        <f t="shared" si="14"/>
        <v>54.161166666666666</v>
      </c>
      <c r="O130" s="9">
        <f t="shared" si="15"/>
        <v>54.161166666666666</v>
      </c>
      <c r="P130" s="6">
        <f>IF(O130="","",COUNTIF($O$3:$O$232,"&gt;"&amp;O130)+COUNTIF($O$3:O130,O130))</f>
        <v>115</v>
      </c>
      <c r="Q130">
        <f t="shared" si="16"/>
        <v>115</v>
      </c>
      <c r="R130" s="4">
        <f>'LIVE SOURCE'!E130</f>
        <v>95.6</v>
      </c>
      <c r="S130" s="4">
        <f t="shared" si="17"/>
        <v>-19.400000000000006</v>
      </c>
      <c r="T130" t="str">
        <f>'LIVE SOURCE'!F130</f>
        <v>C</v>
      </c>
      <c r="U130" s="4">
        <f t="shared" si="18"/>
        <v>58.19</v>
      </c>
      <c r="V130" s="4">
        <f t="shared" si="19"/>
        <v>70.19</v>
      </c>
      <c r="W130" s="4">
        <f t="shared" si="20"/>
        <v>82.19</v>
      </c>
      <c r="X130" t="str">
        <f>'LIVE SOURCE'!G130</f>
        <v>HISTORY FALLBACK</v>
      </c>
      <c r="Y130" t="str">
        <f>IF(INDEX('Draft Board'!$J$3:$J$232,Q130)="","Available",INDEX('Draft Board'!$J$3:$J$232,Q130))</f>
        <v>Available</v>
      </c>
      <c r="Z130">
        <f t="shared" si="21"/>
        <v>115</v>
      </c>
    </row>
    <row r="131" spans="1:26" x14ac:dyDescent="0.25">
      <c r="A131" t="str">
        <f>'LIVE SOURCE'!A131</f>
        <v>WR</v>
      </c>
      <c r="B131" t="str">
        <f>'LIVE SOURCE'!B131</f>
        <v>Ricky Pearsall</v>
      </c>
      <c r="C131" s="4">
        <f>'LIVE SOURCE'!D131</f>
        <v>69.52</v>
      </c>
      <c r="D131" s="4">
        <f>'Manual Adjustments'!G131</f>
        <v>-60</v>
      </c>
      <c r="E131" s="4">
        <f t="shared" ref="E131:E194" si="22">MAX(40,MIN(100,C131+D131))</f>
        <v>40</v>
      </c>
      <c r="F131">
        <f>COUNTIFS($A$3:$A$232,A131,$E$3:$E$232,"&gt;"&amp;E131)+COUNTIFS($A$3:A131,A131,$E$3:E131,E131)</f>
        <v>74</v>
      </c>
      <c r="G131" s="4">
        <f>ROUND(INDEX('League Config'!$K$4:$K$9,MATCH(A131,'League Config'!$E$4:$E$9,0))*E131+INDEX('League Config'!$L$4:$L$9,MATCH(A131,'League Config'!$E$4:$E$9,0)),1)</f>
        <v>98</v>
      </c>
      <c r="H131">
        <f>INDEX('League Config'!$H$4:$H$9,MATCH(A131,'League Config'!$E$4:$E$9,0))</f>
        <v>33</v>
      </c>
      <c r="I131" s="4">
        <f>INDEX('League Config'!$I$4:$I$9,MATCH(A131,'League Config'!$E$4:$E$9,0))</f>
        <v>239.3</v>
      </c>
      <c r="J131" s="4">
        <f t="shared" ref="J131:J194" si="23">ROUND(G131-I131,1)</f>
        <v>-141.30000000000001</v>
      </c>
      <c r="K131" s="4">
        <f t="shared" ref="K131:K194" si="24">MAX(0,MIN(100,50+J131*0.6))</f>
        <v>0</v>
      </c>
      <c r="L131" s="4">
        <f>MIN(100,MAX(0,(1-(F131-1)/(H131*1.5))*100*INDEX('League Config'!$J$4:$J$9,MATCH(A131,'League Config'!$E$4:$E$9,0))))</f>
        <v>0</v>
      </c>
      <c r="M131">
        <f>IF(A131="K",'League Config'!$B$14,IF(A131="DST",'League Config'!$B$15,IF(A131="QB",'League Config'!$B$16,0)))</f>
        <v>0</v>
      </c>
      <c r="N131" s="4">
        <f t="shared" ref="N131:N194" si="25">MIN(100,MAX(0,0.55*E131+0.3*K131+0.15*L131-M131))</f>
        <v>22</v>
      </c>
      <c r="O131" s="9">
        <f t="shared" ref="O131:O194" si="26">IF(OR(A131="K",A131="DST"),"",N131)</f>
        <v>22</v>
      </c>
      <c r="P131" s="6">
        <f>IF(O131="","",COUNTIF($O$3:$O$232,"&gt;"&amp;O131)+COUNTIF($O$3:O131,O131))</f>
        <v>186</v>
      </c>
      <c r="Q131">
        <f t="shared" ref="Q131:Q194" si="27">IF(A131="DST",IF(F131&lt;=GateSize,DstStart-1+F131,NSkill+2*GateSize+F131-GateSize),IF(A131="K",IF(F131&lt;=GateSize,KStart-1+F131,NSkill+GateSize+NDst+F131-GateSize),IF(P131&lt;=DstStart-1,P131,P131+2*GateSize)))</f>
        <v>206</v>
      </c>
      <c r="R131" s="4">
        <f>'LIVE SOURCE'!E131</f>
        <v>112.3</v>
      </c>
      <c r="S131" s="4">
        <f t="shared" ref="S131:S194" si="28">R131-Q131</f>
        <v>-93.7</v>
      </c>
      <c r="T131" t="str">
        <f>'LIVE SOURCE'!F131</f>
        <v>C</v>
      </c>
      <c r="U131" s="4">
        <f t="shared" ref="U131:U194" si="29">MAX(40,E131-IF(T131="A",6,IF(T131="B",9,12)))</f>
        <v>40</v>
      </c>
      <c r="V131" s="4">
        <f t="shared" ref="V131:V194" si="30">E131</f>
        <v>40</v>
      </c>
      <c r="W131" s="4">
        <f t="shared" ref="W131:W194" si="31">MIN(100,E131+IF(T131="A",6,IF(T131="B",9,12)))</f>
        <v>52</v>
      </c>
      <c r="X131" t="str">
        <f>'LIVE SOURCE'!G131</f>
        <v>HISTORY FALLBACK</v>
      </c>
      <c r="Y131" t="str">
        <f>IF(INDEX('Draft Board'!$J$3:$J$232,Q131)="","Available",INDEX('Draft Board'!$J$3:$J$232,Q131))</f>
        <v>Available</v>
      </c>
      <c r="Z131">
        <f t="shared" ref="Z131:Z194" si="32">IF(Y131&lt;&gt;"Available","",1+COUNTIFS($Y$3:$Y$232,"Available",$Q$3:$Q$232,"&lt;"&amp;Q131))</f>
        <v>206</v>
      </c>
    </row>
    <row r="132" spans="1:26" x14ac:dyDescent="0.25">
      <c r="A132" t="str">
        <f>'LIVE SOURCE'!A132</f>
        <v>WR</v>
      </c>
      <c r="B132" t="str">
        <f>'LIVE SOURCE'!B132</f>
        <v>Michael Wilson</v>
      </c>
      <c r="C132" s="4">
        <f>'LIVE SOURCE'!D132</f>
        <v>68.849999999999994</v>
      </c>
      <c r="D132" s="4">
        <f>'Manual Adjustments'!G132</f>
        <v>0</v>
      </c>
      <c r="E132" s="4">
        <f t="shared" si="22"/>
        <v>68.849999999999994</v>
      </c>
      <c r="F132">
        <f>COUNTIFS($A$3:$A$232,A132,$E$3:$E$232,"&gt;"&amp;E132)+COUNTIFS($A$3:A132,A132,$E$3:E132,E132)</f>
        <v>44</v>
      </c>
      <c r="G132" s="4">
        <f>ROUND(INDEX('League Config'!$K$4:$K$9,MATCH(A132,'League Config'!$E$4:$E$9,0))*E132+INDEX('League Config'!$L$4:$L$9,MATCH(A132,'League Config'!$E$4:$E$9,0)),1)</f>
        <v>219.2</v>
      </c>
      <c r="H132">
        <f>INDEX('League Config'!$H$4:$H$9,MATCH(A132,'League Config'!$E$4:$E$9,0))</f>
        <v>33</v>
      </c>
      <c r="I132" s="4">
        <f>INDEX('League Config'!$I$4:$I$9,MATCH(A132,'League Config'!$E$4:$E$9,0))</f>
        <v>239.3</v>
      </c>
      <c r="J132" s="4">
        <f t="shared" si="23"/>
        <v>-20.100000000000001</v>
      </c>
      <c r="K132" s="4">
        <f t="shared" si="24"/>
        <v>37.94</v>
      </c>
      <c r="L132" s="4">
        <f>MIN(100,MAX(0,(1-(F132-1)/(H132*1.5))*100*INDEX('League Config'!$J$4:$J$9,MATCH(A132,'League Config'!$E$4:$E$9,0))))</f>
        <v>14.444444444444441</v>
      </c>
      <c r="M132">
        <f>IF(A132="K",'League Config'!$B$14,IF(A132="DST",'League Config'!$B$15,IF(A132="QB",'League Config'!$B$16,0)))</f>
        <v>0</v>
      </c>
      <c r="N132" s="4">
        <f t="shared" si="25"/>
        <v>51.416166666666662</v>
      </c>
      <c r="O132" s="9">
        <f t="shared" si="26"/>
        <v>51.416166666666662</v>
      </c>
      <c r="P132" s="6">
        <f>IF(O132="","",COUNTIF($O$3:$O$232,"&gt;"&amp;O132)+COUNTIF($O$3:O132,O132))</f>
        <v>123</v>
      </c>
      <c r="Q132">
        <f t="shared" si="27"/>
        <v>123</v>
      </c>
      <c r="R132" s="4">
        <f>'LIVE SOURCE'!E132</f>
        <v>88.6</v>
      </c>
      <c r="S132" s="4">
        <f t="shared" si="28"/>
        <v>-34.400000000000006</v>
      </c>
      <c r="T132" t="str">
        <f>'LIVE SOURCE'!F132</f>
        <v>C</v>
      </c>
      <c r="U132" s="4">
        <f t="shared" si="29"/>
        <v>56.849999999999994</v>
      </c>
      <c r="V132" s="4">
        <f t="shared" si="30"/>
        <v>68.849999999999994</v>
      </c>
      <c r="W132" s="4">
        <f t="shared" si="31"/>
        <v>80.849999999999994</v>
      </c>
      <c r="X132" t="str">
        <f>'LIVE SOURCE'!G132</f>
        <v>HISTORY FALLBACK</v>
      </c>
      <c r="Y132" t="str">
        <f>IF(INDEX('Draft Board'!$J$3:$J$232,Q132)="","Available",INDEX('Draft Board'!$J$3:$J$232,Q132))</f>
        <v>Available</v>
      </c>
      <c r="Z132">
        <f t="shared" si="32"/>
        <v>123</v>
      </c>
    </row>
    <row r="133" spans="1:26" x14ac:dyDescent="0.25">
      <c r="A133" t="str">
        <f>'LIVE SOURCE'!A133</f>
        <v>WR</v>
      </c>
      <c r="B133" t="str">
        <f>'LIVE SOURCE'!B133</f>
        <v>Xavier Worthy</v>
      </c>
      <c r="C133" s="4">
        <f>'LIVE SOURCE'!D133</f>
        <v>68.180000000000007</v>
      </c>
      <c r="D133" s="4">
        <f>'Manual Adjustments'!G133</f>
        <v>0</v>
      </c>
      <c r="E133" s="4">
        <f t="shared" si="22"/>
        <v>68.180000000000007</v>
      </c>
      <c r="F133">
        <f>COUNTIFS($A$3:$A$232,A133,$E$3:$E$232,"&gt;"&amp;E133)+COUNTIFS($A$3:A133,A133,$E$3:E133,E133)</f>
        <v>46</v>
      </c>
      <c r="G133" s="4">
        <f>ROUND(INDEX('League Config'!$K$4:$K$9,MATCH(A133,'League Config'!$E$4:$E$9,0))*E133+INDEX('League Config'!$L$4:$L$9,MATCH(A133,'League Config'!$E$4:$E$9,0)),1)</f>
        <v>216.4</v>
      </c>
      <c r="H133">
        <f>INDEX('League Config'!$H$4:$H$9,MATCH(A133,'League Config'!$E$4:$E$9,0))</f>
        <v>33</v>
      </c>
      <c r="I133" s="4">
        <f>INDEX('League Config'!$I$4:$I$9,MATCH(A133,'League Config'!$E$4:$E$9,0))</f>
        <v>239.3</v>
      </c>
      <c r="J133" s="4">
        <f t="shared" si="23"/>
        <v>-22.9</v>
      </c>
      <c r="K133" s="4">
        <f t="shared" si="24"/>
        <v>36.260000000000005</v>
      </c>
      <c r="L133" s="4">
        <f>MIN(100,MAX(0,(1-(F133-1)/(H133*1.5))*100*INDEX('League Config'!$J$4:$J$9,MATCH(A133,'League Config'!$E$4:$E$9,0))))</f>
        <v>10.000000000000004</v>
      </c>
      <c r="M133">
        <f>IF(A133="K",'League Config'!$B$14,IF(A133="DST",'League Config'!$B$15,IF(A133="QB",'League Config'!$B$16,0)))</f>
        <v>0</v>
      </c>
      <c r="N133" s="4">
        <f t="shared" si="25"/>
        <v>49.87700000000001</v>
      </c>
      <c r="O133" s="9">
        <f t="shared" si="26"/>
        <v>49.87700000000001</v>
      </c>
      <c r="P133" s="6">
        <f>IF(O133="","",COUNTIF($O$3:$O$232,"&gt;"&amp;O133)+COUNTIF($O$3:O133,O133))</f>
        <v>128</v>
      </c>
      <c r="Q133">
        <f t="shared" si="27"/>
        <v>128</v>
      </c>
      <c r="R133" s="4">
        <f>'LIVE SOURCE'!E133</f>
        <v>105.9</v>
      </c>
      <c r="S133" s="4">
        <f t="shared" si="28"/>
        <v>-22.099999999999994</v>
      </c>
      <c r="T133" t="str">
        <f>'LIVE SOURCE'!F133</f>
        <v>C</v>
      </c>
      <c r="U133" s="4">
        <f t="shared" si="29"/>
        <v>56.180000000000007</v>
      </c>
      <c r="V133" s="4">
        <f t="shared" si="30"/>
        <v>68.180000000000007</v>
      </c>
      <c r="W133" s="4">
        <f t="shared" si="31"/>
        <v>80.180000000000007</v>
      </c>
      <c r="X133" t="str">
        <f>'LIVE SOURCE'!G133</f>
        <v>HISTORY FALLBACK</v>
      </c>
      <c r="Y133" t="str">
        <f>IF(INDEX('Draft Board'!$J$3:$J$232,Q133)="","Available",INDEX('Draft Board'!$J$3:$J$232,Q133))</f>
        <v>Available</v>
      </c>
      <c r="Z133">
        <f t="shared" si="32"/>
        <v>128</v>
      </c>
    </row>
    <row r="134" spans="1:26" x14ac:dyDescent="0.25">
      <c r="A134" t="str">
        <f>'LIVE SOURCE'!A134</f>
        <v>WR</v>
      </c>
      <c r="B134" t="str">
        <f>'LIVE SOURCE'!B134</f>
        <v>Matthew Golden</v>
      </c>
      <c r="C134" s="4">
        <f>'LIVE SOURCE'!D134</f>
        <v>67.510000000000005</v>
      </c>
      <c r="D134" s="4">
        <f>'Manual Adjustments'!G134</f>
        <v>0</v>
      </c>
      <c r="E134" s="4">
        <f t="shared" si="22"/>
        <v>67.510000000000005</v>
      </c>
      <c r="F134">
        <f>COUNTIFS($A$3:$A$232,A134,$E$3:$E$232,"&gt;"&amp;E134)+COUNTIFS($A$3:A134,A134,$E$3:E134,E134)</f>
        <v>47</v>
      </c>
      <c r="G134" s="4">
        <f>ROUND(INDEX('League Config'!$K$4:$K$9,MATCH(A134,'League Config'!$E$4:$E$9,0))*E134+INDEX('League Config'!$L$4:$L$9,MATCH(A134,'League Config'!$E$4:$E$9,0)),1)</f>
        <v>213.5</v>
      </c>
      <c r="H134">
        <f>INDEX('League Config'!$H$4:$H$9,MATCH(A134,'League Config'!$E$4:$E$9,0))</f>
        <v>33</v>
      </c>
      <c r="I134" s="4">
        <f>INDEX('League Config'!$I$4:$I$9,MATCH(A134,'League Config'!$E$4:$E$9,0))</f>
        <v>239.3</v>
      </c>
      <c r="J134" s="4">
        <f t="shared" si="23"/>
        <v>-25.8</v>
      </c>
      <c r="K134" s="4">
        <f t="shared" si="24"/>
        <v>34.519999999999996</v>
      </c>
      <c r="L134" s="4">
        <f>MIN(100,MAX(0,(1-(F134-1)/(H134*1.5))*100*INDEX('League Config'!$J$4:$J$9,MATCH(A134,'League Config'!$E$4:$E$9,0))))</f>
        <v>7.7777777777777795</v>
      </c>
      <c r="M134">
        <f>IF(A134="K",'League Config'!$B$14,IF(A134="DST",'League Config'!$B$15,IF(A134="QB",'League Config'!$B$16,0)))</f>
        <v>0</v>
      </c>
      <c r="N134" s="4">
        <f t="shared" si="25"/>
        <v>48.653166666666671</v>
      </c>
      <c r="O134" s="9">
        <f t="shared" si="26"/>
        <v>48.653166666666671</v>
      </c>
      <c r="P134" s="6">
        <f>IF(O134="","",COUNTIF($O$3:$O$232,"&gt;"&amp;O134)+COUNTIF($O$3:O134,O134))</f>
        <v>132</v>
      </c>
      <c r="Q134">
        <f t="shared" si="27"/>
        <v>152</v>
      </c>
      <c r="R134" s="4">
        <f>'LIVE SOURCE'!E134</f>
        <v>122.6</v>
      </c>
      <c r="S134" s="4">
        <f t="shared" si="28"/>
        <v>-29.400000000000006</v>
      </c>
      <c r="T134" t="str">
        <f>'LIVE SOURCE'!F134</f>
        <v>C</v>
      </c>
      <c r="U134" s="4">
        <f t="shared" si="29"/>
        <v>55.510000000000005</v>
      </c>
      <c r="V134" s="4">
        <f t="shared" si="30"/>
        <v>67.510000000000005</v>
      </c>
      <c r="W134" s="4">
        <f t="shared" si="31"/>
        <v>79.510000000000005</v>
      </c>
      <c r="X134" t="str">
        <f>'LIVE SOURCE'!G134</f>
        <v>HISTORY FALLBACK</v>
      </c>
      <c r="Y134" t="str">
        <f>IF(INDEX('Draft Board'!$J$3:$J$232,Q134)="","Available",INDEX('Draft Board'!$J$3:$J$232,Q134))</f>
        <v>Available</v>
      </c>
      <c r="Z134">
        <f t="shared" si="32"/>
        <v>152</v>
      </c>
    </row>
    <row r="135" spans="1:26" x14ac:dyDescent="0.25">
      <c r="A135" t="str">
        <f>'LIVE SOURCE'!A135</f>
        <v>WR</v>
      </c>
      <c r="B135" t="str">
        <f>'LIVE SOURCE'!B135</f>
        <v>Josh Downs</v>
      </c>
      <c r="C135" s="4">
        <f>'LIVE SOURCE'!D135</f>
        <v>66.84</v>
      </c>
      <c r="D135" s="4">
        <f>'Manual Adjustments'!G135</f>
        <v>0</v>
      </c>
      <c r="E135" s="4">
        <f t="shared" si="22"/>
        <v>66.84</v>
      </c>
      <c r="F135">
        <f>COUNTIFS($A$3:$A$232,A135,$E$3:$E$232,"&gt;"&amp;E135)+COUNTIFS($A$3:A135,A135,$E$3:E135,E135)</f>
        <v>49</v>
      </c>
      <c r="G135" s="4">
        <f>ROUND(INDEX('League Config'!$K$4:$K$9,MATCH(A135,'League Config'!$E$4:$E$9,0))*E135+INDEX('League Config'!$L$4:$L$9,MATCH(A135,'League Config'!$E$4:$E$9,0)),1)</f>
        <v>210.7</v>
      </c>
      <c r="H135">
        <f>INDEX('League Config'!$H$4:$H$9,MATCH(A135,'League Config'!$E$4:$E$9,0))</f>
        <v>33</v>
      </c>
      <c r="I135" s="4">
        <f>INDEX('League Config'!$I$4:$I$9,MATCH(A135,'League Config'!$E$4:$E$9,0))</f>
        <v>239.3</v>
      </c>
      <c r="J135" s="4">
        <f t="shared" si="23"/>
        <v>-28.6</v>
      </c>
      <c r="K135" s="4">
        <f t="shared" si="24"/>
        <v>32.840000000000003</v>
      </c>
      <c r="L135" s="4">
        <f>MIN(100,MAX(0,(1-(F135-1)/(H135*1.5))*100*INDEX('League Config'!$J$4:$J$9,MATCH(A135,'League Config'!$E$4:$E$9,0))))</f>
        <v>3.3333333333333308</v>
      </c>
      <c r="M135">
        <f>IF(A135="K",'League Config'!$B$14,IF(A135="DST",'League Config'!$B$15,IF(A135="QB",'League Config'!$B$16,0)))</f>
        <v>0</v>
      </c>
      <c r="N135" s="4">
        <f t="shared" si="25"/>
        <v>47.114000000000004</v>
      </c>
      <c r="O135" s="9">
        <f t="shared" si="26"/>
        <v>47.114000000000004</v>
      </c>
      <c r="P135" s="6">
        <f>IF(O135="","",COUNTIF($O$3:$O$232,"&gt;"&amp;O135)+COUNTIF($O$3:O135,O135))</f>
        <v>136</v>
      </c>
      <c r="Q135">
        <f t="shared" si="27"/>
        <v>156</v>
      </c>
      <c r="R135" s="4">
        <f>'LIVE SOURCE'!E135</f>
        <v>92.1</v>
      </c>
      <c r="S135" s="4">
        <f t="shared" si="28"/>
        <v>-63.900000000000006</v>
      </c>
      <c r="T135" t="str">
        <f>'LIVE SOURCE'!F135</f>
        <v>C</v>
      </c>
      <c r="U135" s="4">
        <f t="shared" si="29"/>
        <v>54.84</v>
      </c>
      <c r="V135" s="4">
        <f t="shared" si="30"/>
        <v>66.84</v>
      </c>
      <c r="W135" s="4">
        <f t="shared" si="31"/>
        <v>78.84</v>
      </c>
      <c r="X135" t="str">
        <f>'LIVE SOURCE'!G135</f>
        <v>HISTORY FALLBACK</v>
      </c>
      <c r="Y135" t="str">
        <f>IF(INDEX('Draft Board'!$J$3:$J$232,Q135)="","Available",INDEX('Draft Board'!$J$3:$J$232,Q135))</f>
        <v>Available</v>
      </c>
      <c r="Z135">
        <f t="shared" si="32"/>
        <v>156</v>
      </c>
    </row>
    <row r="136" spans="1:26" x14ac:dyDescent="0.25">
      <c r="A136" t="str">
        <f>'LIVE SOURCE'!A136</f>
        <v>WR</v>
      </c>
      <c r="B136" t="str">
        <f>'LIVE SOURCE'!B136</f>
        <v>Jayden Reed</v>
      </c>
      <c r="C136" s="4">
        <f>'LIVE SOURCE'!D136</f>
        <v>66.17</v>
      </c>
      <c r="D136" s="4">
        <f>'Manual Adjustments'!G136</f>
        <v>0</v>
      </c>
      <c r="E136" s="4">
        <f t="shared" si="22"/>
        <v>66.17</v>
      </c>
      <c r="F136">
        <f>COUNTIFS($A$3:$A$232,A136,$E$3:$E$232,"&gt;"&amp;E136)+COUNTIFS($A$3:A136,A136,$E$3:E136,E136)</f>
        <v>50</v>
      </c>
      <c r="G136" s="4">
        <f>ROUND(INDEX('League Config'!$K$4:$K$9,MATCH(A136,'League Config'!$E$4:$E$9,0))*E136+INDEX('League Config'!$L$4:$L$9,MATCH(A136,'League Config'!$E$4:$E$9,0)),1)</f>
        <v>207.9</v>
      </c>
      <c r="H136">
        <f>INDEX('League Config'!$H$4:$H$9,MATCH(A136,'League Config'!$E$4:$E$9,0))</f>
        <v>33</v>
      </c>
      <c r="I136" s="4">
        <f>INDEX('League Config'!$I$4:$I$9,MATCH(A136,'League Config'!$E$4:$E$9,0))</f>
        <v>239.3</v>
      </c>
      <c r="J136" s="4">
        <f t="shared" si="23"/>
        <v>-31.4</v>
      </c>
      <c r="K136" s="4">
        <f t="shared" si="24"/>
        <v>31.16</v>
      </c>
      <c r="L136" s="4">
        <f>MIN(100,MAX(0,(1-(F136-1)/(H136*1.5))*100*INDEX('League Config'!$J$4:$J$9,MATCH(A136,'League Config'!$E$4:$E$9,0))))</f>
        <v>1.1111111111111061</v>
      </c>
      <c r="M136">
        <f>IF(A136="K",'League Config'!$B$14,IF(A136="DST",'League Config'!$B$15,IF(A136="QB",'League Config'!$B$16,0)))</f>
        <v>0</v>
      </c>
      <c r="N136" s="4">
        <f t="shared" si="25"/>
        <v>45.908166666666666</v>
      </c>
      <c r="O136" s="9">
        <f t="shared" si="26"/>
        <v>45.908166666666666</v>
      </c>
      <c r="P136" s="6">
        <f>IF(O136="","",COUNTIF($O$3:$O$232,"&gt;"&amp;O136)+COUNTIF($O$3:O136,O136))</f>
        <v>140</v>
      </c>
      <c r="Q136">
        <f t="shared" si="27"/>
        <v>160</v>
      </c>
      <c r="R136" s="4">
        <f>'LIVE SOURCE'!E136</f>
        <v>97.2</v>
      </c>
      <c r="S136" s="4">
        <f t="shared" si="28"/>
        <v>-62.8</v>
      </c>
      <c r="T136" t="str">
        <f>'LIVE SOURCE'!F136</f>
        <v>C</v>
      </c>
      <c r="U136" s="4">
        <f t="shared" si="29"/>
        <v>54.17</v>
      </c>
      <c r="V136" s="4">
        <f t="shared" si="30"/>
        <v>66.17</v>
      </c>
      <c r="W136" s="4">
        <f t="shared" si="31"/>
        <v>78.17</v>
      </c>
      <c r="X136" t="str">
        <f>'LIVE SOURCE'!G136</f>
        <v>HISTORY FALLBACK</v>
      </c>
      <c r="Y136" t="str">
        <f>IF(INDEX('Draft Board'!$J$3:$J$232,Q136)="","Available",INDEX('Draft Board'!$J$3:$J$232,Q136))</f>
        <v>Available</v>
      </c>
      <c r="Z136">
        <f t="shared" si="32"/>
        <v>160</v>
      </c>
    </row>
    <row r="137" spans="1:26" x14ac:dyDescent="0.25">
      <c r="A137" t="str">
        <f>'LIVE SOURCE'!A137</f>
        <v>WR</v>
      </c>
      <c r="B137" t="str">
        <f>'LIVE SOURCE'!B137</f>
        <v>Khalil Shakir</v>
      </c>
      <c r="C137" s="4">
        <f>'LIVE SOURCE'!D137</f>
        <v>65.5</v>
      </c>
      <c r="D137" s="4">
        <f>'Manual Adjustments'!G137</f>
        <v>0</v>
      </c>
      <c r="E137" s="4">
        <f t="shared" si="22"/>
        <v>65.5</v>
      </c>
      <c r="F137">
        <f>COUNTIFS($A$3:$A$232,A137,$E$3:$E$232,"&gt;"&amp;E137)+COUNTIFS($A$3:A137,A137,$E$3:E137,E137)</f>
        <v>51</v>
      </c>
      <c r="G137" s="4">
        <f>ROUND(INDEX('League Config'!$K$4:$K$9,MATCH(A137,'League Config'!$E$4:$E$9,0))*E137+INDEX('League Config'!$L$4:$L$9,MATCH(A137,'League Config'!$E$4:$E$9,0)),1)</f>
        <v>205.1</v>
      </c>
      <c r="H137">
        <f>INDEX('League Config'!$H$4:$H$9,MATCH(A137,'League Config'!$E$4:$E$9,0))</f>
        <v>33</v>
      </c>
      <c r="I137" s="4">
        <f>INDEX('League Config'!$I$4:$I$9,MATCH(A137,'League Config'!$E$4:$E$9,0))</f>
        <v>239.3</v>
      </c>
      <c r="J137" s="4">
        <f t="shared" si="23"/>
        <v>-34.200000000000003</v>
      </c>
      <c r="K137" s="4">
        <f t="shared" si="24"/>
        <v>29.48</v>
      </c>
      <c r="L137" s="4">
        <f>MIN(100,MAX(0,(1-(F137-1)/(H137*1.5))*100*INDEX('League Config'!$J$4:$J$9,MATCH(A137,'League Config'!$E$4:$E$9,0))))</f>
        <v>0</v>
      </c>
      <c r="M137">
        <f>IF(A137="K",'League Config'!$B$14,IF(A137="DST",'League Config'!$B$15,IF(A137="QB",'League Config'!$B$16,0)))</f>
        <v>0</v>
      </c>
      <c r="N137" s="4">
        <f t="shared" si="25"/>
        <v>44.869000000000007</v>
      </c>
      <c r="O137" s="9">
        <f t="shared" si="26"/>
        <v>44.869000000000007</v>
      </c>
      <c r="P137" s="6">
        <f>IF(O137="","",COUNTIF($O$3:$O$232,"&gt;"&amp;O137)+COUNTIF($O$3:O137,O137))</f>
        <v>142</v>
      </c>
      <c r="Q137">
        <f t="shared" si="27"/>
        <v>162</v>
      </c>
      <c r="R137" s="4">
        <f>'LIVE SOURCE'!E137</f>
        <v>102</v>
      </c>
      <c r="S137" s="4">
        <f t="shared" si="28"/>
        <v>-60</v>
      </c>
      <c r="T137" t="str">
        <f>'LIVE SOURCE'!F137</f>
        <v>C</v>
      </c>
      <c r="U137" s="4">
        <f t="shared" si="29"/>
        <v>53.5</v>
      </c>
      <c r="V137" s="4">
        <f t="shared" si="30"/>
        <v>65.5</v>
      </c>
      <c r="W137" s="4">
        <f t="shared" si="31"/>
        <v>77.5</v>
      </c>
      <c r="X137" t="str">
        <f>'LIVE SOURCE'!G137</f>
        <v>HISTORY FALLBACK</v>
      </c>
      <c r="Y137" t="str">
        <f>IF(INDEX('Draft Board'!$J$3:$J$232,Q137)="","Available",INDEX('Draft Board'!$J$3:$J$232,Q137))</f>
        <v>Available</v>
      </c>
      <c r="Z137">
        <f t="shared" si="32"/>
        <v>162</v>
      </c>
    </row>
    <row r="138" spans="1:26" x14ac:dyDescent="0.25">
      <c r="A138" t="str">
        <f>'LIVE SOURCE'!A138</f>
        <v>WR</v>
      </c>
      <c r="B138" t="str">
        <f>'LIVE SOURCE'!B138</f>
        <v>Jalin Hyatt</v>
      </c>
      <c r="C138" s="4">
        <f>'LIVE SOURCE'!D138</f>
        <v>64.83</v>
      </c>
      <c r="D138" s="4">
        <f>'Manual Adjustments'!G138</f>
        <v>0</v>
      </c>
      <c r="E138" s="4">
        <f t="shared" si="22"/>
        <v>64.83</v>
      </c>
      <c r="F138">
        <f>COUNTIFS($A$3:$A$232,A138,$E$3:$E$232,"&gt;"&amp;E138)+COUNTIFS($A$3:A138,A138,$E$3:E138,E138)</f>
        <v>52</v>
      </c>
      <c r="G138" s="4">
        <f>ROUND(INDEX('League Config'!$K$4:$K$9,MATCH(A138,'League Config'!$E$4:$E$9,0))*E138+INDEX('League Config'!$L$4:$L$9,MATCH(A138,'League Config'!$E$4:$E$9,0)),1)</f>
        <v>202.3</v>
      </c>
      <c r="H138">
        <f>INDEX('League Config'!$H$4:$H$9,MATCH(A138,'League Config'!$E$4:$E$9,0))</f>
        <v>33</v>
      </c>
      <c r="I138" s="4">
        <f>INDEX('League Config'!$I$4:$I$9,MATCH(A138,'League Config'!$E$4:$E$9,0))</f>
        <v>239.3</v>
      </c>
      <c r="J138" s="4">
        <f t="shared" si="23"/>
        <v>-37</v>
      </c>
      <c r="K138" s="4">
        <f t="shared" si="24"/>
        <v>27.8</v>
      </c>
      <c r="L138" s="4">
        <f>MIN(100,MAX(0,(1-(F138-1)/(H138*1.5))*100*INDEX('League Config'!$J$4:$J$9,MATCH(A138,'League Config'!$E$4:$E$9,0))))</f>
        <v>0</v>
      </c>
      <c r="M138">
        <f>IF(A138="K",'League Config'!$B$14,IF(A138="DST",'League Config'!$B$15,IF(A138="QB",'League Config'!$B$16,0)))</f>
        <v>0</v>
      </c>
      <c r="N138" s="4">
        <f t="shared" si="25"/>
        <v>43.996499999999997</v>
      </c>
      <c r="O138" s="9">
        <f t="shared" si="26"/>
        <v>43.996499999999997</v>
      </c>
      <c r="P138" s="6">
        <f>IF(O138="","",COUNTIF($O$3:$O$232,"&gt;"&amp;O138)+COUNTIF($O$3:O138,O138))</f>
        <v>144</v>
      </c>
      <c r="Q138">
        <f t="shared" si="27"/>
        <v>164</v>
      </c>
      <c r="R138" s="4">
        <f>'LIVE SOURCE'!E138</f>
        <v>201.9</v>
      </c>
      <c r="S138" s="4">
        <f t="shared" si="28"/>
        <v>37.900000000000006</v>
      </c>
      <c r="T138" t="str">
        <f>'LIVE SOURCE'!F138</f>
        <v>C</v>
      </c>
      <c r="U138" s="4">
        <f t="shared" si="29"/>
        <v>52.83</v>
      </c>
      <c r="V138" s="4">
        <f t="shared" si="30"/>
        <v>64.83</v>
      </c>
      <c r="W138" s="4">
        <f t="shared" si="31"/>
        <v>76.83</v>
      </c>
      <c r="X138" t="str">
        <f>'LIVE SOURCE'!G138</f>
        <v>HISTORY FALLBACK</v>
      </c>
      <c r="Y138" t="str">
        <f>IF(INDEX('Draft Board'!$J$3:$J$232,Q138)="","Available",INDEX('Draft Board'!$J$3:$J$232,Q138))</f>
        <v>Available</v>
      </c>
      <c r="Z138">
        <f t="shared" si="32"/>
        <v>164</v>
      </c>
    </row>
    <row r="139" spans="1:26" x14ac:dyDescent="0.25">
      <c r="A139" t="str">
        <f>'LIVE SOURCE'!A139</f>
        <v>WR</v>
      </c>
      <c r="B139" t="str">
        <f>'LIVE SOURCE'!B139</f>
        <v>Romeo Doubs</v>
      </c>
      <c r="C139" s="4">
        <f>'LIVE SOURCE'!D139</f>
        <v>64.16</v>
      </c>
      <c r="D139" s="4">
        <f>'Manual Adjustments'!G139</f>
        <v>0</v>
      </c>
      <c r="E139" s="4">
        <f t="shared" si="22"/>
        <v>64.16</v>
      </c>
      <c r="F139">
        <f>COUNTIFS($A$3:$A$232,A139,$E$3:$E$232,"&gt;"&amp;E139)+COUNTIFS($A$3:A139,A139,$E$3:E139,E139)</f>
        <v>53</v>
      </c>
      <c r="G139" s="4">
        <f>ROUND(INDEX('League Config'!$K$4:$K$9,MATCH(A139,'League Config'!$E$4:$E$9,0))*E139+INDEX('League Config'!$L$4:$L$9,MATCH(A139,'League Config'!$E$4:$E$9,0)),1)</f>
        <v>199.5</v>
      </c>
      <c r="H139">
        <f>INDEX('League Config'!$H$4:$H$9,MATCH(A139,'League Config'!$E$4:$E$9,0))</f>
        <v>33</v>
      </c>
      <c r="I139" s="4">
        <f>INDEX('League Config'!$I$4:$I$9,MATCH(A139,'League Config'!$E$4:$E$9,0))</f>
        <v>239.3</v>
      </c>
      <c r="J139" s="4">
        <f t="shared" si="23"/>
        <v>-39.799999999999997</v>
      </c>
      <c r="K139" s="4">
        <f t="shared" si="24"/>
        <v>26.12</v>
      </c>
      <c r="L139" s="4">
        <f>MIN(100,MAX(0,(1-(F139-1)/(H139*1.5))*100*INDEX('League Config'!$J$4:$J$9,MATCH(A139,'League Config'!$E$4:$E$9,0))))</f>
        <v>0</v>
      </c>
      <c r="M139">
        <f>IF(A139="K",'League Config'!$B$14,IF(A139="DST",'League Config'!$B$15,IF(A139="QB",'League Config'!$B$16,0)))</f>
        <v>0</v>
      </c>
      <c r="N139" s="4">
        <f t="shared" si="25"/>
        <v>43.124000000000002</v>
      </c>
      <c r="O139" s="9">
        <f t="shared" si="26"/>
        <v>43.124000000000002</v>
      </c>
      <c r="P139" s="6">
        <f>IF(O139="","",COUNTIF($O$3:$O$232,"&gt;"&amp;O139)+COUNTIF($O$3:O139,O139))</f>
        <v>149</v>
      </c>
      <c r="Q139">
        <f t="shared" si="27"/>
        <v>169</v>
      </c>
      <c r="R139" s="4">
        <f>'LIVE SOURCE'!E139</f>
        <v>116</v>
      </c>
      <c r="S139" s="4">
        <f t="shared" si="28"/>
        <v>-53</v>
      </c>
      <c r="T139" t="str">
        <f>'LIVE SOURCE'!F139</f>
        <v>C</v>
      </c>
      <c r="U139" s="4">
        <f t="shared" si="29"/>
        <v>52.16</v>
      </c>
      <c r="V139" s="4">
        <f t="shared" si="30"/>
        <v>64.16</v>
      </c>
      <c r="W139" s="4">
        <f t="shared" si="31"/>
        <v>76.16</v>
      </c>
      <c r="X139" t="str">
        <f>'LIVE SOURCE'!G139</f>
        <v>HISTORY FALLBACK</v>
      </c>
      <c r="Y139" t="str">
        <f>IF(INDEX('Draft Board'!$J$3:$J$232,Q139)="","Available",INDEX('Draft Board'!$J$3:$J$232,Q139))</f>
        <v>Available</v>
      </c>
      <c r="Z139">
        <f t="shared" si="32"/>
        <v>169</v>
      </c>
    </row>
    <row r="140" spans="1:26" x14ac:dyDescent="0.25">
      <c r="A140" t="str">
        <f>'LIVE SOURCE'!A140</f>
        <v>WR</v>
      </c>
      <c r="B140" t="str">
        <f>'LIVE SOURCE'!B140</f>
        <v>Jalen Coker</v>
      </c>
      <c r="C140" s="4">
        <f>'LIVE SOURCE'!D140</f>
        <v>63.49</v>
      </c>
      <c r="D140" s="4">
        <f>'Manual Adjustments'!G140</f>
        <v>0</v>
      </c>
      <c r="E140" s="4">
        <f t="shared" si="22"/>
        <v>63.49</v>
      </c>
      <c r="F140">
        <f>COUNTIFS($A$3:$A$232,A140,$E$3:$E$232,"&gt;"&amp;E140)+COUNTIFS($A$3:A140,A140,$E$3:E140,E140)</f>
        <v>54</v>
      </c>
      <c r="G140" s="4">
        <f>ROUND(INDEX('League Config'!$K$4:$K$9,MATCH(A140,'League Config'!$E$4:$E$9,0))*E140+INDEX('League Config'!$L$4:$L$9,MATCH(A140,'League Config'!$E$4:$E$9,0)),1)</f>
        <v>196.7</v>
      </c>
      <c r="H140">
        <f>INDEX('League Config'!$H$4:$H$9,MATCH(A140,'League Config'!$E$4:$E$9,0))</f>
        <v>33</v>
      </c>
      <c r="I140" s="4">
        <f>INDEX('League Config'!$I$4:$I$9,MATCH(A140,'League Config'!$E$4:$E$9,0))</f>
        <v>239.3</v>
      </c>
      <c r="J140" s="4">
        <f t="shared" si="23"/>
        <v>-42.6</v>
      </c>
      <c r="K140" s="4">
        <f t="shared" si="24"/>
        <v>24.44</v>
      </c>
      <c r="L140" s="4">
        <f>MIN(100,MAX(0,(1-(F140-1)/(H140*1.5))*100*INDEX('League Config'!$J$4:$J$9,MATCH(A140,'League Config'!$E$4:$E$9,0))))</f>
        <v>0</v>
      </c>
      <c r="M140">
        <f>IF(A140="K",'League Config'!$B$14,IF(A140="DST",'League Config'!$B$15,IF(A140="QB",'League Config'!$B$16,0)))</f>
        <v>0</v>
      </c>
      <c r="N140" s="4">
        <f t="shared" si="25"/>
        <v>42.251500000000007</v>
      </c>
      <c r="O140" s="9">
        <f t="shared" si="26"/>
        <v>42.251500000000007</v>
      </c>
      <c r="P140" s="6">
        <f>IF(O140="","",COUNTIF($O$3:$O$232,"&gt;"&amp;O140)+COUNTIF($O$3:O140,O140))</f>
        <v>151</v>
      </c>
      <c r="Q140">
        <f t="shared" si="27"/>
        <v>171</v>
      </c>
      <c r="R140" s="4">
        <f>'LIVE SOURCE'!E140</f>
        <v>127.3</v>
      </c>
      <c r="S140" s="4">
        <f t="shared" si="28"/>
        <v>-43.7</v>
      </c>
      <c r="T140" t="str">
        <f>'LIVE SOURCE'!F140</f>
        <v>C</v>
      </c>
      <c r="U140" s="4">
        <f t="shared" si="29"/>
        <v>51.49</v>
      </c>
      <c r="V140" s="4">
        <f t="shared" si="30"/>
        <v>63.49</v>
      </c>
      <c r="W140" s="4">
        <f t="shared" si="31"/>
        <v>75.490000000000009</v>
      </c>
      <c r="X140" t="str">
        <f>'LIVE SOURCE'!G140</f>
        <v>HISTORY FALLBACK</v>
      </c>
      <c r="Y140" t="str">
        <f>IF(INDEX('Draft Board'!$J$3:$J$232,Q140)="","Available",INDEX('Draft Board'!$J$3:$J$232,Q140))</f>
        <v>Available</v>
      </c>
      <c r="Z140">
        <f t="shared" si="32"/>
        <v>171</v>
      </c>
    </row>
    <row r="141" spans="1:26" x14ac:dyDescent="0.25">
      <c r="A141" t="str">
        <f>'LIVE SOURCE'!A141</f>
        <v>WR</v>
      </c>
      <c r="B141" t="str">
        <f>'LIVE SOURCE'!B141</f>
        <v>KC Concepcion</v>
      </c>
      <c r="C141" s="4">
        <f>'LIVE SOURCE'!D141</f>
        <v>62.82</v>
      </c>
      <c r="D141" s="4">
        <f>'Manual Adjustments'!G141</f>
        <v>0</v>
      </c>
      <c r="E141" s="4">
        <f t="shared" si="22"/>
        <v>62.82</v>
      </c>
      <c r="F141">
        <f>COUNTIFS($A$3:$A$232,A141,$E$3:$E$232,"&gt;"&amp;E141)+COUNTIFS($A$3:A141,A141,$E$3:E141,E141)</f>
        <v>56</v>
      </c>
      <c r="G141" s="4">
        <f>ROUND(INDEX('League Config'!$K$4:$K$9,MATCH(A141,'League Config'!$E$4:$E$9,0))*E141+INDEX('League Config'!$L$4:$L$9,MATCH(A141,'League Config'!$E$4:$E$9,0)),1)</f>
        <v>193.8</v>
      </c>
      <c r="H141">
        <f>INDEX('League Config'!$H$4:$H$9,MATCH(A141,'League Config'!$E$4:$E$9,0))</f>
        <v>33</v>
      </c>
      <c r="I141" s="4">
        <f>INDEX('League Config'!$I$4:$I$9,MATCH(A141,'League Config'!$E$4:$E$9,0))</f>
        <v>239.3</v>
      </c>
      <c r="J141" s="4">
        <f t="shared" si="23"/>
        <v>-45.5</v>
      </c>
      <c r="K141" s="4">
        <f t="shared" si="24"/>
        <v>22.7</v>
      </c>
      <c r="L141" s="4">
        <f>MIN(100,MAX(0,(1-(F141-1)/(H141*1.5))*100*INDEX('League Config'!$J$4:$J$9,MATCH(A141,'League Config'!$E$4:$E$9,0))))</f>
        <v>0</v>
      </c>
      <c r="M141">
        <f>IF(A141="K",'League Config'!$B$14,IF(A141="DST",'League Config'!$B$15,IF(A141="QB",'League Config'!$B$16,0)))</f>
        <v>0</v>
      </c>
      <c r="N141" s="4">
        <f t="shared" si="25"/>
        <v>41.361000000000004</v>
      </c>
      <c r="O141" s="9">
        <f t="shared" si="26"/>
        <v>41.361000000000004</v>
      </c>
      <c r="P141" s="6">
        <f>IF(O141="","",COUNTIF($O$3:$O$232,"&gt;"&amp;O141)+COUNTIF($O$3:O141,O141))</f>
        <v>155</v>
      </c>
      <c r="Q141">
        <f t="shared" si="27"/>
        <v>175</v>
      </c>
      <c r="R141" s="4">
        <f>'LIVE SOURCE'!E141</f>
        <v>130.69999999999999</v>
      </c>
      <c r="S141" s="4">
        <f t="shared" si="28"/>
        <v>-44.300000000000011</v>
      </c>
      <c r="T141" t="str">
        <f>'LIVE SOURCE'!F141</f>
        <v>C</v>
      </c>
      <c r="U141" s="4">
        <f t="shared" si="29"/>
        <v>50.82</v>
      </c>
      <c r="V141" s="4">
        <f t="shared" si="30"/>
        <v>62.82</v>
      </c>
      <c r="W141" s="4">
        <f t="shared" si="31"/>
        <v>74.819999999999993</v>
      </c>
      <c r="X141" t="str">
        <f>'LIVE SOURCE'!G141</f>
        <v>HISTORY FALLBACK</v>
      </c>
      <c r="Y141" t="str">
        <f>IF(INDEX('Draft Board'!$J$3:$J$232,Q141)="","Available",INDEX('Draft Board'!$J$3:$J$232,Q141))</f>
        <v>Available</v>
      </c>
      <c r="Z141">
        <f t="shared" si="32"/>
        <v>175</v>
      </c>
    </row>
    <row r="142" spans="1:26" x14ac:dyDescent="0.25">
      <c r="A142" t="str">
        <f>'LIVE SOURCE'!A142</f>
        <v>WR</v>
      </c>
      <c r="B142" t="str">
        <f>'LIVE SOURCE'!B142</f>
        <v>Rashid Shaheed</v>
      </c>
      <c r="C142" s="4">
        <f>'LIVE SOURCE'!D142</f>
        <v>62.15</v>
      </c>
      <c r="D142" s="4">
        <f>'Manual Adjustments'!G142</f>
        <v>0</v>
      </c>
      <c r="E142" s="4">
        <f t="shared" si="22"/>
        <v>62.15</v>
      </c>
      <c r="F142">
        <f>COUNTIFS($A$3:$A$232,A142,$E$3:$E$232,"&gt;"&amp;E142)+COUNTIFS($A$3:A142,A142,$E$3:E142,E142)</f>
        <v>57</v>
      </c>
      <c r="G142" s="4">
        <f>ROUND(INDEX('League Config'!$K$4:$K$9,MATCH(A142,'League Config'!$E$4:$E$9,0))*E142+INDEX('League Config'!$L$4:$L$9,MATCH(A142,'League Config'!$E$4:$E$9,0)),1)</f>
        <v>191</v>
      </c>
      <c r="H142">
        <f>INDEX('League Config'!$H$4:$H$9,MATCH(A142,'League Config'!$E$4:$E$9,0))</f>
        <v>33</v>
      </c>
      <c r="I142" s="4">
        <f>INDEX('League Config'!$I$4:$I$9,MATCH(A142,'League Config'!$E$4:$E$9,0))</f>
        <v>239.3</v>
      </c>
      <c r="J142" s="4">
        <f t="shared" si="23"/>
        <v>-48.3</v>
      </c>
      <c r="K142" s="4">
        <f t="shared" si="24"/>
        <v>21.020000000000003</v>
      </c>
      <c r="L142" s="4">
        <f>MIN(100,MAX(0,(1-(F142-1)/(H142*1.5))*100*INDEX('League Config'!$J$4:$J$9,MATCH(A142,'League Config'!$E$4:$E$9,0))))</f>
        <v>0</v>
      </c>
      <c r="M142">
        <f>IF(A142="K",'League Config'!$B$14,IF(A142="DST",'League Config'!$B$15,IF(A142="QB",'League Config'!$B$16,0)))</f>
        <v>0</v>
      </c>
      <c r="N142" s="4">
        <f t="shared" si="25"/>
        <v>40.488500000000002</v>
      </c>
      <c r="O142" s="9">
        <f t="shared" si="26"/>
        <v>40.488500000000002</v>
      </c>
      <c r="P142" s="6">
        <f>IF(O142="","",COUNTIF($O$3:$O$232,"&gt;"&amp;O142)+COUNTIF($O$3:O142,O142))</f>
        <v>158</v>
      </c>
      <c r="Q142">
        <f t="shared" si="27"/>
        <v>178</v>
      </c>
      <c r="R142" s="4">
        <f>'LIVE SOURCE'!E142</f>
        <v>121.9</v>
      </c>
      <c r="S142" s="4">
        <f t="shared" si="28"/>
        <v>-56.099999999999994</v>
      </c>
      <c r="T142" t="str">
        <f>'LIVE SOURCE'!F142</f>
        <v>C</v>
      </c>
      <c r="U142" s="4">
        <f t="shared" si="29"/>
        <v>50.15</v>
      </c>
      <c r="V142" s="4">
        <f t="shared" si="30"/>
        <v>62.15</v>
      </c>
      <c r="W142" s="4">
        <f t="shared" si="31"/>
        <v>74.150000000000006</v>
      </c>
      <c r="X142" t="str">
        <f>'LIVE SOURCE'!G142</f>
        <v>HISTORY FALLBACK</v>
      </c>
      <c r="Y142" t="str">
        <f>IF(INDEX('Draft Board'!$J$3:$J$232,Q142)="","Available",INDEX('Draft Board'!$J$3:$J$232,Q142))</f>
        <v>Available</v>
      </c>
      <c r="Z142">
        <f t="shared" si="32"/>
        <v>178</v>
      </c>
    </row>
    <row r="143" spans="1:26" x14ac:dyDescent="0.25">
      <c r="A143" t="str">
        <f>'LIVE SOURCE'!A143</f>
        <v>WR</v>
      </c>
      <c r="B143" t="str">
        <f>'LIVE SOURCE'!B143</f>
        <v>Calvin Ridley</v>
      </c>
      <c r="C143" s="4">
        <f>'LIVE SOURCE'!D143</f>
        <v>61.48</v>
      </c>
      <c r="D143" s="4">
        <f>'Manual Adjustments'!G143</f>
        <v>0</v>
      </c>
      <c r="E143" s="4">
        <f t="shared" si="22"/>
        <v>61.48</v>
      </c>
      <c r="F143">
        <f>COUNTIFS($A$3:$A$232,A143,$E$3:$E$232,"&gt;"&amp;E143)+COUNTIFS($A$3:A143,A143,$E$3:E143,E143)</f>
        <v>59</v>
      </c>
      <c r="G143" s="4">
        <f>ROUND(INDEX('League Config'!$K$4:$K$9,MATCH(A143,'League Config'!$E$4:$E$9,0))*E143+INDEX('League Config'!$L$4:$L$9,MATCH(A143,'League Config'!$E$4:$E$9,0)),1)</f>
        <v>188.2</v>
      </c>
      <c r="H143">
        <f>INDEX('League Config'!$H$4:$H$9,MATCH(A143,'League Config'!$E$4:$E$9,0))</f>
        <v>33</v>
      </c>
      <c r="I143" s="4">
        <f>INDEX('League Config'!$I$4:$I$9,MATCH(A143,'League Config'!$E$4:$E$9,0))</f>
        <v>239.3</v>
      </c>
      <c r="J143" s="4">
        <f t="shared" si="23"/>
        <v>-51.1</v>
      </c>
      <c r="K143" s="4">
        <f t="shared" si="24"/>
        <v>19.34</v>
      </c>
      <c r="L143" s="4">
        <f>MIN(100,MAX(0,(1-(F143-1)/(H143*1.5))*100*INDEX('League Config'!$J$4:$J$9,MATCH(A143,'League Config'!$E$4:$E$9,0))))</f>
        <v>0</v>
      </c>
      <c r="M143">
        <f>IF(A143="K",'League Config'!$B$14,IF(A143="DST",'League Config'!$B$15,IF(A143="QB",'League Config'!$B$16,0)))</f>
        <v>0</v>
      </c>
      <c r="N143" s="4">
        <f t="shared" si="25"/>
        <v>39.616</v>
      </c>
      <c r="O143" s="9">
        <f t="shared" si="26"/>
        <v>39.616</v>
      </c>
      <c r="P143" s="6">
        <f>IF(O143="","",COUNTIF($O$3:$O$232,"&gt;"&amp;O143)+COUNTIF($O$3:O143,O143))</f>
        <v>163</v>
      </c>
      <c r="Q143">
        <f t="shared" si="27"/>
        <v>183</v>
      </c>
      <c r="R143" s="4">
        <f>'LIVE SOURCE'!E143</f>
        <v>132.80000000000001</v>
      </c>
      <c r="S143" s="4">
        <f t="shared" si="28"/>
        <v>-50.199999999999989</v>
      </c>
      <c r="T143" t="str">
        <f>'LIVE SOURCE'!F143</f>
        <v>C</v>
      </c>
      <c r="U143" s="4">
        <f t="shared" si="29"/>
        <v>49.48</v>
      </c>
      <c r="V143" s="4">
        <f t="shared" si="30"/>
        <v>61.48</v>
      </c>
      <c r="W143" s="4">
        <f t="shared" si="31"/>
        <v>73.47999999999999</v>
      </c>
      <c r="X143" t="str">
        <f>'LIVE SOURCE'!G143</f>
        <v>HISTORY FALLBACK</v>
      </c>
      <c r="Y143" t="str">
        <f>IF(INDEX('Draft Board'!$J$3:$J$232,Q143)="","Available",INDEX('Draft Board'!$J$3:$J$232,Q143))</f>
        <v>Available</v>
      </c>
      <c r="Z143">
        <f t="shared" si="32"/>
        <v>183</v>
      </c>
    </row>
    <row r="144" spans="1:26" x14ac:dyDescent="0.25">
      <c r="A144" t="str">
        <f>'LIVE SOURCE'!A144</f>
        <v>WR</v>
      </c>
      <c r="B144" t="str">
        <f>'LIVE SOURCE'!B144</f>
        <v>Omar Cooper Jr.</v>
      </c>
      <c r="C144" s="4">
        <f>'LIVE SOURCE'!D144</f>
        <v>60.81</v>
      </c>
      <c r="D144" s="4">
        <f>'Manual Adjustments'!G144</f>
        <v>0</v>
      </c>
      <c r="E144" s="4">
        <f t="shared" si="22"/>
        <v>60.81</v>
      </c>
      <c r="F144">
        <f>COUNTIFS($A$3:$A$232,A144,$E$3:$E$232,"&gt;"&amp;E144)+COUNTIFS($A$3:A144,A144,$E$3:E144,E144)</f>
        <v>60</v>
      </c>
      <c r="G144" s="4">
        <f>ROUND(INDEX('League Config'!$K$4:$K$9,MATCH(A144,'League Config'!$E$4:$E$9,0))*E144+INDEX('League Config'!$L$4:$L$9,MATCH(A144,'League Config'!$E$4:$E$9,0)),1)</f>
        <v>185.4</v>
      </c>
      <c r="H144">
        <f>INDEX('League Config'!$H$4:$H$9,MATCH(A144,'League Config'!$E$4:$E$9,0))</f>
        <v>33</v>
      </c>
      <c r="I144" s="4">
        <f>INDEX('League Config'!$I$4:$I$9,MATCH(A144,'League Config'!$E$4:$E$9,0))</f>
        <v>239.3</v>
      </c>
      <c r="J144" s="4">
        <f t="shared" si="23"/>
        <v>-53.9</v>
      </c>
      <c r="K144" s="4">
        <f t="shared" si="24"/>
        <v>17.660000000000004</v>
      </c>
      <c r="L144" s="4">
        <f>MIN(100,MAX(0,(1-(F144-1)/(H144*1.5))*100*INDEX('League Config'!$J$4:$J$9,MATCH(A144,'League Config'!$E$4:$E$9,0))))</f>
        <v>0</v>
      </c>
      <c r="M144">
        <f>IF(A144="K",'League Config'!$B$14,IF(A144="DST",'League Config'!$B$15,IF(A144="QB",'League Config'!$B$16,0)))</f>
        <v>0</v>
      </c>
      <c r="N144" s="4">
        <f t="shared" si="25"/>
        <v>38.743500000000004</v>
      </c>
      <c r="O144" s="9">
        <f t="shared" si="26"/>
        <v>38.743500000000004</v>
      </c>
      <c r="P144" s="6">
        <f>IF(O144="","",COUNTIF($O$3:$O$232,"&gt;"&amp;O144)+COUNTIF($O$3:O144,O144))</f>
        <v>164</v>
      </c>
      <c r="Q144">
        <f t="shared" si="27"/>
        <v>184</v>
      </c>
      <c r="R144" s="4">
        <f>'LIVE SOURCE'!E144</f>
        <v>165.4</v>
      </c>
      <c r="S144" s="4">
        <f t="shared" si="28"/>
        <v>-18.599999999999994</v>
      </c>
      <c r="T144" t="str">
        <f>'LIVE SOURCE'!F144</f>
        <v>C</v>
      </c>
      <c r="U144" s="4">
        <f t="shared" si="29"/>
        <v>48.81</v>
      </c>
      <c r="V144" s="4">
        <f t="shared" si="30"/>
        <v>60.81</v>
      </c>
      <c r="W144" s="4">
        <f t="shared" si="31"/>
        <v>72.81</v>
      </c>
      <c r="X144" t="str">
        <f>'LIVE SOURCE'!G144</f>
        <v>HISTORY FALLBACK</v>
      </c>
      <c r="Y144" t="str">
        <f>IF(INDEX('Draft Board'!$J$3:$J$232,Q144)="","Available",INDEX('Draft Board'!$J$3:$J$232,Q144))</f>
        <v>Available</v>
      </c>
      <c r="Z144">
        <f t="shared" si="32"/>
        <v>184</v>
      </c>
    </row>
    <row r="145" spans="1:26" x14ac:dyDescent="0.25">
      <c r="A145" t="str">
        <f>'LIVE SOURCE'!A145</f>
        <v>WR</v>
      </c>
      <c r="B145" t="str">
        <f>'LIVE SOURCE'!B145</f>
        <v>Jerry Jeudy</v>
      </c>
      <c r="C145" s="4">
        <f>'LIVE SOURCE'!D145</f>
        <v>60.14</v>
      </c>
      <c r="D145" s="4">
        <f>'Manual Adjustments'!G145</f>
        <v>0</v>
      </c>
      <c r="E145" s="4">
        <f t="shared" si="22"/>
        <v>60.14</v>
      </c>
      <c r="F145">
        <f>COUNTIFS($A$3:$A$232,A145,$E$3:$E$232,"&gt;"&amp;E145)+COUNTIFS($A$3:A145,A145,$E$3:E145,E145)</f>
        <v>61</v>
      </c>
      <c r="G145" s="4">
        <f>ROUND(INDEX('League Config'!$K$4:$K$9,MATCH(A145,'League Config'!$E$4:$E$9,0))*E145+INDEX('League Config'!$L$4:$L$9,MATCH(A145,'League Config'!$E$4:$E$9,0)),1)</f>
        <v>182.6</v>
      </c>
      <c r="H145">
        <f>INDEX('League Config'!$H$4:$H$9,MATCH(A145,'League Config'!$E$4:$E$9,0))</f>
        <v>33</v>
      </c>
      <c r="I145" s="4">
        <f>INDEX('League Config'!$I$4:$I$9,MATCH(A145,'League Config'!$E$4:$E$9,0))</f>
        <v>239.3</v>
      </c>
      <c r="J145" s="4">
        <f t="shared" si="23"/>
        <v>-56.7</v>
      </c>
      <c r="K145" s="4">
        <f t="shared" si="24"/>
        <v>15.979999999999997</v>
      </c>
      <c r="L145" s="4">
        <f>MIN(100,MAX(0,(1-(F145-1)/(H145*1.5))*100*INDEX('League Config'!$J$4:$J$9,MATCH(A145,'League Config'!$E$4:$E$9,0))))</f>
        <v>0</v>
      </c>
      <c r="M145">
        <f>IF(A145="K",'League Config'!$B$14,IF(A145="DST",'League Config'!$B$15,IF(A145="QB",'League Config'!$B$16,0)))</f>
        <v>0</v>
      </c>
      <c r="N145" s="4">
        <f t="shared" si="25"/>
        <v>37.871000000000002</v>
      </c>
      <c r="O145" s="9">
        <f t="shared" si="26"/>
        <v>37.871000000000002</v>
      </c>
      <c r="P145" s="6">
        <f>IF(O145="","",COUNTIF($O$3:$O$232,"&gt;"&amp;O145)+COUNTIF($O$3:O145,O145))</f>
        <v>166</v>
      </c>
      <c r="Q145">
        <f t="shared" si="27"/>
        <v>186</v>
      </c>
      <c r="R145" s="4">
        <f>'LIVE SOURCE'!E145</f>
        <v>134.69999999999999</v>
      </c>
      <c r="S145" s="4">
        <f t="shared" si="28"/>
        <v>-51.300000000000011</v>
      </c>
      <c r="T145" t="str">
        <f>'LIVE SOURCE'!F145</f>
        <v>C</v>
      </c>
      <c r="U145" s="4">
        <f t="shared" si="29"/>
        <v>48.14</v>
      </c>
      <c r="V145" s="4">
        <f t="shared" si="30"/>
        <v>60.14</v>
      </c>
      <c r="W145" s="4">
        <f t="shared" si="31"/>
        <v>72.14</v>
      </c>
      <c r="X145" t="str">
        <f>'LIVE SOURCE'!G145</f>
        <v>HISTORY FALLBACK</v>
      </c>
      <c r="Y145" t="str">
        <f>IF(INDEX('Draft Board'!$J$3:$J$232,Q145)="","Available",INDEX('Draft Board'!$J$3:$J$232,Q145))</f>
        <v>Available</v>
      </c>
      <c r="Z145">
        <f t="shared" si="32"/>
        <v>186</v>
      </c>
    </row>
    <row r="146" spans="1:26" x14ac:dyDescent="0.25">
      <c r="A146" t="str">
        <f>'LIVE SOURCE'!A146</f>
        <v>WR</v>
      </c>
      <c r="B146" t="str">
        <f>'LIVE SOURCE'!B146</f>
        <v>Jalen Nailor</v>
      </c>
      <c r="C146" s="4">
        <f>'LIVE SOURCE'!D146</f>
        <v>59.47</v>
      </c>
      <c r="D146" s="4">
        <f>'Manual Adjustments'!G146</f>
        <v>0</v>
      </c>
      <c r="E146" s="4">
        <f t="shared" si="22"/>
        <v>59.47</v>
      </c>
      <c r="F146">
        <f>COUNTIFS($A$3:$A$232,A146,$E$3:$E$232,"&gt;"&amp;E146)+COUNTIFS($A$3:A146,A146,$E$3:E146,E146)</f>
        <v>63</v>
      </c>
      <c r="G146" s="4">
        <f>ROUND(INDEX('League Config'!$K$4:$K$9,MATCH(A146,'League Config'!$E$4:$E$9,0))*E146+INDEX('League Config'!$L$4:$L$9,MATCH(A146,'League Config'!$E$4:$E$9,0)),1)</f>
        <v>179.8</v>
      </c>
      <c r="H146">
        <f>INDEX('League Config'!$H$4:$H$9,MATCH(A146,'League Config'!$E$4:$E$9,0))</f>
        <v>33</v>
      </c>
      <c r="I146" s="4">
        <f>INDEX('League Config'!$I$4:$I$9,MATCH(A146,'League Config'!$E$4:$E$9,0))</f>
        <v>239.3</v>
      </c>
      <c r="J146" s="4">
        <f t="shared" si="23"/>
        <v>-59.5</v>
      </c>
      <c r="K146" s="4">
        <f t="shared" si="24"/>
        <v>14.300000000000004</v>
      </c>
      <c r="L146" s="4">
        <f>MIN(100,MAX(0,(1-(F146-1)/(H146*1.5))*100*INDEX('League Config'!$J$4:$J$9,MATCH(A146,'League Config'!$E$4:$E$9,0))))</f>
        <v>0</v>
      </c>
      <c r="M146">
        <f>IF(A146="K",'League Config'!$B$14,IF(A146="DST",'League Config'!$B$15,IF(A146="QB",'League Config'!$B$16,0)))</f>
        <v>0</v>
      </c>
      <c r="N146" s="4">
        <f t="shared" si="25"/>
        <v>36.9985</v>
      </c>
      <c r="O146" s="9">
        <f t="shared" si="26"/>
        <v>36.9985</v>
      </c>
      <c r="P146" s="6">
        <f>IF(O146="","",COUNTIF($O$3:$O$232,"&gt;"&amp;O146)+COUNTIF($O$3:O146,O146))</f>
        <v>168</v>
      </c>
      <c r="Q146">
        <f t="shared" si="27"/>
        <v>188</v>
      </c>
      <c r="R146" s="4">
        <f>'LIVE SOURCE'!E146</f>
        <v>160.6</v>
      </c>
      <c r="S146" s="4">
        <f t="shared" si="28"/>
        <v>-27.400000000000006</v>
      </c>
      <c r="T146" t="str">
        <f>'LIVE SOURCE'!F146</f>
        <v>C</v>
      </c>
      <c r="U146" s="4">
        <f t="shared" si="29"/>
        <v>47.47</v>
      </c>
      <c r="V146" s="4">
        <f t="shared" si="30"/>
        <v>59.47</v>
      </c>
      <c r="W146" s="4">
        <f t="shared" si="31"/>
        <v>71.47</v>
      </c>
      <c r="X146" t="str">
        <f>'LIVE SOURCE'!G146</f>
        <v>HISTORY FALLBACK</v>
      </c>
      <c r="Y146" t="str">
        <f>IF(INDEX('Draft Board'!$J$3:$J$232,Q146)="","Available",INDEX('Draft Board'!$J$3:$J$232,Q146))</f>
        <v>Available</v>
      </c>
      <c r="Z146">
        <f t="shared" si="32"/>
        <v>188</v>
      </c>
    </row>
    <row r="147" spans="1:26" x14ac:dyDescent="0.25">
      <c r="A147" t="str">
        <f>'LIVE SOURCE'!A147</f>
        <v>WR</v>
      </c>
      <c r="B147" t="str">
        <f>'LIVE SOURCE'!B147</f>
        <v>Jalen McMillan</v>
      </c>
      <c r="C147" s="4">
        <f>'LIVE SOURCE'!D147</f>
        <v>58.8</v>
      </c>
      <c r="D147" s="4">
        <f>'Manual Adjustments'!G147</f>
        <v>0</v>
      </c>
      <c r="E147" s="4">
        <f t="shared" si="22"/>
        <v>58.8</v>
      </c>
      <c r="F147">
        <f>COUNTIFS($A$3:$A$232,A147,$E$3:$E$232,"&gt;"&amp;E147)+COUNTIFS($A$3:A147,A147,$E$3:E147,E147)</f>
        <v>64</v>
      </c>
      <c r="G147" s="4">
        <f>ROUND(INDEX('League Config'!$K$4:$K$9,MATCH(A147,'League Config'!$E$4:$E$9,0))*E147+INDEX('League Config'!$L$4:$L$9,MATCH(A147,'League Config'!$E$4:$E$9,0)),1)</f>
        <v>177</v>
      </c>
      <c r="H147">
        <f>INDEX('League Config'!$H$4:$H$9,MATCH(A147,'League Config'!$E$4:$E$9,0))</f>
        <v>33</v>
      </c>
      <c r="I147" s="4">
        <f>INDEX('League Config'!$I$4:$I$9,MATCH(A147,'League Config'!$E$4:$E$9,0))</f>
        <v>239.3</v>
      </c>
      <c r="J147" s="4">
        <f t="shared" si="23"/>
        <v>-62.3</v>
      </c>
      <c r="K147" s="4">
        <f t="shared" si="24"/>
        <v>12.620000000000005</v>
      </c>
      <c r="L147" s="4">
        <f>MIN(100,MAX(0,(1-(F147-1)/(H147*1.5))*100*INDEX('League Config'!$J$4:$J$9,MATCH(A147,'League Config'!$E$4:$E$9,0))))</f>
        <v>0</v>
      </c>
      <c r="M147">
        <f>IF(A147="K",'League Config'!$B$14,IF(A147="DST",'League Config'!$B$15,IF(A147="QB",'League Config'!$B$16,0)))</f>
        <v>0</v>
      </c>
      <c r="N147" s="4">
        <f t="shared" si="25"/>
        <v>36.126000000000005</v>
      </c>
      <c r="O147" s="9">
        <f t="shared" si="26"/>
        <v>36.126000000000005</v>
      </c>
      <c r="P147" s="6">
        <f>IF(O147="","",COUNTIF($O$3:$O$232,"&gt;"&amp;O147)+COUNTIF($O$3:O147,O147))</f>
        <v>171</v>
      </c>
      <c r="Q147">
        <f t="shared" si="27"/>
        <v>191</v>
      </c>
      <c r="R147" s="4">
        <f>'LIVE SOURCE'!E147</f>
        <v>152.80000000000001</v>
      </c>
      <c r="S147" s="4">
        <f t="shared" si="28"/>
        <v>-38.199999999999989</v>
      </c>
      <c r="T147" t="str">
        <f>'LIVE SOURCE'!F147</f>
        <v>C</v>
      </c>
      <c r="U147" s="4">
        <f t="shared" si="29"/>
        <v>46.8</v>
      </c>
      <c r="V147" s="4">
        <f t="shared" si="30"/>
        <v>58.8</v>
      </c>
      <c r="W147" s="4">
        <f t="shared" si="31"/>
        <v>70.8</v>
      </c>
      <c r="X147" t="str">
        <f>'LIVE SOURCE'!G147</f>
        <v>HISTORY FALLBACK</v>
      </c>
      <c r="Y147" t="str">
        <f>IF(INDEX('Draft Board'!$J$3:$J$232,Q147)="","Available",INDEX('Draft Board'!$J$3:$J$232,Q147))</f>
        <v>Available</v>
      </c>
      <c r="Z147">
        <f t="shared" si="32"/>
        <v>191</v>
      </c>
    </row>
    <row r="148" spans="1:26" x14ac:dyDescent="0.25">
      <c r="A148" t="str">
        <f>'LIVE SOURCE'!A148</f>
        <v>WR</v>
      </c>
      <c r="B148" t="str">
        <f>'LIVE SOURCE'!B148</f>
        <v>Adonai Mitchell</v>
      </c>
      <c r="C148" s="4">
        <f>'LIVE SOURCE'!D148</f>
        <v>58.13</v>
      </c>
      <c r="D148" s="4">
        <f>'Manual Adjustments'!G148</f>
        <v>0</v>
      </c>
      <c r="E148" s="4">
        <f t="shared" si="22"/>
        <v>58.13</v>
      </c>
      <c r="F148">
        <f>COUNTIFS($A$3:$A$232,A148,$E$3:$E$232,"&gt;"&amp;E148)+COUNTIFS($A$3:A148,A148,$E$3:E148,E148)</f>
        <v>65</v>
      </c>
      <c r="G148" s="4">
        <f>ROUND(INDEX('League Config'!$K$4:$K$9,MATCH(A148,'League Config'!$E$4:$E$9,0))*E148+INDEX('League Config'!$L$4:$L$9,MATCH(A148,'League Config'!$E$4:$E$9,0)),1)</f>
        <v>174.1</v>
      </c>
      <c r="H148">
        <f>INDEX('League Config'!$H$4:$H$9,MATCH(A148,'League Config'!$E$4:$E$9,0))</f>
        <v>33</v>
      </c>
      <c r="I148" s="4">
        <f>INDEX('League Config'!$I$4:$I$9,MATCH(A148,'League Config'!$E$4:$E$9,0))</f>
        <v>239.3</v>
      </c>
      <c r="J148" s="4">
        <f t="shared" si="23"/>
        <v>-65.2</v>
      </c>
      <c r="K148" s="4">
        <f t="shared" si="24"/>
        <v>10.880000000000003</v>
      </c>
      <c r="L148" s="4">
        <f>MIN(100,MAX(0,(1-(F148-1)/(H148*1.5))*100*INDEX('League Config'!$J$4:$J$9,MATCH(A148,'League Config'!$E$4:$E$9,0))))</f>
        <v>0</v>
      </c>
      <c r="M148">
        <f>IF(A148="K",'League Config'!$B$14,IF(A148="DST",'League Config'!$B$15,IF(A148="QB",'League Config'!$B$16,0)))</f>
        <v>0</v>
      </c>
      <c r="N148" s="4">
        <f t="shared" si="25"/>
        <v>35.235500000000002</v>
      </c>
      <c r="O148" s="9">
        <f t="shared" si="26"/>
        <v>35.235500000000002</v>
      </c>
      <c r="P148" s="6">
        <f>IF(O148="","",COUNTIF($O$3:$O$232,"&gt;"&amp;O148)+COUNTIF($O$3:O148,O148))</f>
        <v>173</v>
      </c>
      <c r="Q148">
        <f t="shared" si="27"/>
        <v>193</v>
      </c>
      <c r="R148" s="4">
        <f>'LIVE SOURCE'!E148</f>
        <v>163.1</v>
      </c>
      <c r="S148" s="4">
        <f t="shared" si="28"/>
        <v>-29.900000000000006</v>
      </c>
      <c r="T148" t="str">
        <f>'LIVE SOURCE'!F148</f>
        <v>C</v>
      </c>
      <c r="U148" s="4">
        <f t="shared" si="29"/>
        <v>46.13</v>
      </c>
      <c r="V148" s="4">
        <f t="shared" si="30"/>
        <v>58.13</v>
      </c>
      <c r="W148" s="4">
        <f t="shared" si="31"/>
        <v>70.13</v>
      </c>
      <c r="X148" t="str">
        <f>'LIVE SOURCE'!G148</f>
        <v>HISTORY FALLBACK</v>
      </c>
      <c r="Y148" t="str">
        <f>IF(INDEX('Draft Board'!$J$3:$J$232,Q148)="","Available",INDEX('Draft Board'!$J$3:$J$232,Q148))</f>
        <v>Available</v>
      </c>
      <c r="Z148">
        <f t="shared" si="32"/>
        <v>193</v>
      </c>
    </row>
    <row r="149" spans="1:26" x14ac:dyDescent="0.25">
      <c r="A149" t="str">
        <f>'LIVE SOURCE'!A149</f>
        <v>WR</v>
      </c>
      <c r="B149" t="str">
        <f>'LIVE SOURCE'!B149</f>
        <v>Isaac TeSlaa</v>
      </c>
      <c r="C149" s="4">
        <f>'LIVE SOURCE'!D149</f>
        <v>57.46</v>
      </c>
      <c r="D149" s="4">
        <f>'Manual Adjustments'!G149</f>
        <v>0</v>
      </c>
      <c r="E149" s="4">
        <f t="shared" si="22"/>
        <v>57.46</v>
      </c>
      <c r="F149">
        <f>COUNTIFS($A$3:$A$232,A149,$E$3:$E$232,"&gt;"&amp;E149)+COUNTIFS($A$3:A149,A149,$E$3:E149,E149)</f>
        <v>66</v>
      </c>
      <c r="G149" s="4">
        <f>ROUND(INDEX('League Config'!$K$4:$K$9,MATCH(A149,'League Config'!$E$4:$E$9,0))*E149+INDEX('League Config'!$L$4:$L$9,MATCH(A149,'League Config'!$E$4:$E$9,0)),1)</f>
        <v>171.3</v>
      </c>
      <c r="H149">
        <f>INDEX('League Config'!$H$4:$H$9,MATCH(A149,'League Config'!$E$4:$E$9,0))</f>
        <v>33</v>
      </c>
      <c r="I149" s="4">
        <f>INDEX('League Config'!$I$4:$I$9,MATCH(A149,'League Config'!$E$4:$E$9,0))</f>
        <v>239.3</v>
      </c>
      <c r="J149" s="4">
        <f t="shared" si="23"/>
        <v>-68</v>
      </c>
      <c r="K149" s="4">
        <f t="shared" si="24"/>
        <v>9.2000000000000028</v>
      </c>
      <c r="L149" s="4">
        <f>MIN(100,MAX(0,(1-(F149-1)/(H149*1.5))*100*INDEX('League Config'!$J$4:$J$9,MATCH(A149,'League Config'!$E$4:$E$9,0))))</f>
        <v>0</v>
      </c>
      <c r="M149">
        <f>IF(A149="K",'League Config'!$B$14,IF(A149="DST",'League Config'!$B$15,IF(A149="QB",'League Config'!$B$16,0)))</f>
        <v>0</v>
      </c>
      <c r="N149" s="4">
        <f t="shared" si="25"/>
        <v>34.363</v>
      </c>
      <c r="O149" s="9">
        <f t="shared" si="26"/>
        <v>34.363</v>
      </c>
      <c r="P149" s="6">
        <f>IF(O149="","",COUNTIF($O$3:$O$232,"&gt;"&amp;O149)+COUNTIF($O$3:O149,O149))</f>
        <v>174</v>
      </c>
      <c r="Q149">
        <f t="shared" si="27"/>
        <v>194</v>
      </c>
      <c r="R149" s="4">
        <f>'LIVE SOURCE'!E149</f>
        <v>176.3</v>
      </c>
      <c r="S149" s="4">
        <f t="shared" si="28"/>
        <v>-17.699999999999989</v>
      </c>
      <c r="T149" t="str">
        <f>'LIVE SOURCE'!F149</f>
        <v>C</v>
      </c>
      <c r="U149" s="4">
        <f t="shared" si="29"/>
        <v>45.46</v>
      </c>
      <c r="V149" s="4">
        <f t="shared" si="30"/>
        <v>57.46</v>
      </c>
      <c r="W149" s="4">
        <f t="shared" si="31"/>
        <v>69.460000000000008</v>
      </c>
      <c r="X149" t="str">
        <f>'LIVE SOURCE'!G149</f>
        <v>HISTORY FALLBACK</v>
      </c>
      <c r="Y149" t="str">
        <f>IF(INDEX('Draft Board'!$J$3:$J$232,Q149)="","Available",INDEX('Draft Board'!$J$3:$J$232,Q149))</f>
        <v>Available</v>
      </c>
      <c r="Z149">
        <f t="shared" si="32"/>
        <v>194</v>
      </c>
    </row>
    <row r="150" spans="1:26" x14ac:dyDescent="0.25">
      <c r="A150" t="str">
        <f>'LIVE SOURCE'!A150</f>
        <v>WR</v>
      </c>
      <c r="B150" t="str">
        <f>'LIVE SOURCE'!B150</f>
        <v>Denzel Boston</v>
      </c>
      <c r="C150" s="4">
        <f>'LIVE SOURCE'!D150</f>
        <v>56.79</v>
      </c>
      <c r="D150" s="4">
        <f>'Manual Adjustments'!G150</f>
        <v>0</v>
      </c>
      <c r="E150" s="4">
        <f t="shared" si="22"/>
        <v>56.79</v>
      </c>
      <c r="F150">
        <f>COUNTIFS($A$3:$A$232,A150,$E$3:$E$232,"&gt;"&amp;E150)+COUNTIFS($A$3:A150,A150,$E$3:E150,E150)</f>
        <v>67</v>
      </c>
      <c r="G150" s="4">
        <f>ROUND(INDEX('League Config'!$K$4:$K$9,MATCH(A150,'League Config'!$E$4:$E$9,0))*E150+INDEX('League Config'!$L$4:$L$9,MATCH(A150,'League Config'!$E$4:$E$9,0)),1)</f>
        <v>168.5</v>
      </c>
      <c r="H150">
        <f>INDEX('League Config'!$H$4:$H$9,MATCH(A150,'League Config'!$E$4:$E$9,0))</f>
        <v>33</v>
      </c>
      <c r="I150" s="4">
        <f>INDEX('League Config'!$I$4:$I$9,MATCH(A150,'League Config'!$E$4:$E$9,0))</f>
        <v>239.3</v>
      </c>
      <c r="J150" s="4">
        <f t="shared" si="23"/>
        <v>-70.8</v>
      </c>
      <c r="K150" s="4">
        <f t="shared" si="24"/>
        <v>7.5200000000000031</v>
      </c>
      <c r="L150" s="4">
        <f>MIN(100,MAX(0,(1-(F150-1)/(H150*1.5))*100*INDEX('League Config'!$J$4:$J$9,MATCH(A150,'League Config'!$E$4:$E$9,0))))</f>
        <v>0</v>
      </c>
      <c r="M150">
        <f>IF(A150="K",'League Config'!$B$14,IF(A150="DST",'League Config'!$B$15,IF(A150="QB",'League Config'!$B$16,0)))</f>
        <v>0</v>
      </c>
      <c r="N150" s="4">
        <f t="shared" si="25"/>
        <v>33.490500000000004</v>
      </c>
      <c r="O150" s="9">
        <f t="shared" si="26"/>
        <v>33.490500000000004</v>
      </c>
      <c r="P150" s="6">
        <f>IF(O150="","",COUNTIF($O$3:$O$232,"&gt;"&amp;O150)+COUNTIF($O$3:O150,O150))</f>
        <v>175</v>
      </c>
      <c r="Q150">
        <f t="shared" si="27"/>
        <v>195</v>
      </c>
      <c r="R150" s="4">
        <f>'LIVE SOURCE'!E150</f>
        <v>155.69999999999999</v>
      </c>
      <c r="S150" s="4">
        <f t="shared" si="28"/>
        <v>-39.300000000000011</v>
      </c>
      <c r="T150" t="str">
        <f>'LIVE SOURCE'!F150</f>
        <v>C</v>
      </c>
      <c r="U150" s="4">
        <f t="shared" si="29"/>
        <v>44.79</v>
      </c>
      <c r="V150" s="4">
        <f t="shared" si="30"/>
        <v>56.79</v>
      </c>
      <c r="W150" s="4">
        <f t="shared" si="31"/>
        <v>68.789999999999992</v>
      </c>
      <c r="X150" t="str">
        <f>'LIVE SOURCE'!G150</f>
        <v>HISTORY FALLBACK</v>
      </c>
      <c r="Y150" t="str">
        <f>IF(INDEX('Draft Board'!$J$3:$J$232,Q150)="","Available",INDEX('Draft Board'!$J$3:$J$232,Q150))</f>
        <v>Available</v>
      </c>
      <c r="Z150">
        <f t="shared" si="32"/>
        <v>195</v>
      </c>
    </row>
    <row r="151" spans="1:26" x14ac:dyDescent="0.25">
      <c r="A151" t="str">
        <f>'LIVE SOURCE'!A151</f>
        <v>WR</v>
      </c>
      <c r="B151" t="str">
        <f>'LIVE SOURCE'!B151</f>
        <v>Tre Tucker</v>
      </c>
      <c r="C151" s="4">
        <f>'LIVE SOURCE'!D151</f>
        <v>56.12</v>
      </c>
      <c r="D151" s="4">
        <f>'Manual Adjustments'!G151</f>
        <v>0</v>
      </c>
      <c r="E151" s="4">
        <f t="shared" si="22"/>
        <v>56.12</v>
      </c>
      <c r="F151">
        <f>COUNTIFS($A$3:$A$232,A151,$E$3:$E$232,"&gt;"&amp;E151)+COUNTIFS($A$3:A151,A151,$E$3:E151,E151)</f>
        <v>68</v>
      </c>
      <c r="G151" s="4">
        <f>ROUND(INDEX('League Config'!$K$4:$K$9,MATCH(A151,'League Config'!$E$4:$E$9,0))*E151+INDEX('League Config'!$L$4:$L$9,MATCH(A151,'League Config'!$E$4:$E$9,0)),1)</f>
        <v>165.7</v>
      </c>
      <c r="H151">
        <f>INDEX('League Config'!$H$4:$H$9,MATCH(A151,'League Config'!$E$4:$E$9,0))</f>
        <v>33</v>
      </c>
      <c r="I151" s="4">
        <f>INDEX('League Config'!$I$4:$I$9,MATCH(A151,'League Config'!$E$4:$E$9,0))</f>
        <v>239.3</v>
      </c>
      <c r="J151" s="4">
        <f t="shared" si="23"/>
        <v>-73.599999999999994</v>
      </c>
      <c r="K151" s="4">
        <f t="shared" si="24"/>
        <v>5.8400000000000034</v>
      </c>
      <c r="L151" s="4">
        <f>MIN(100,MAX(0,(1-(F151-1)/(H151*1.5))*100*INDEX('League Config'!$J$4:$J$9,MATCH(A151,'League Config'!$E$4:$E$9,0))))</f>
        <v>0</v>
      </c>
      <c r="M151">
        <f>IF(A151="K",'League Config'!$B$14,IF(A151="DST",'League Config'!$B$15,IF(A151="QB",'League Config'!$B$16,0)))</f>
        <v>0</v>
      </c>
      <c r="N151" s="4">
        <f t="shared" si="25"/>
        <v>32.618000000000002</v>
      </c>
      <c r="O151" s="9">
        <f t="shared" si="26"/>
        <v>32.618000000000002</v>
      </c>
      <c r="P151" s="6">
        <f>IF(O151="","",COUNTIF($O$3:$O$232,"&gt;"&amp;O151)+COUNTIF($O$3:O151,O151))</f>
        <v>177</v>
      </c>
      <c r="Q151">
        <f t="shared" si="27"/>
        <v>197</v>
      </c>
      <c r="R151" s="4">
        <f>'LIVE SOURCE'!E151</f>
        <v>135.5</v>
      </c>
      <c r="S151" s="4">
        <f t="shared" si="28"/>
        <v>-61.5</v>
      </c>
      <c r="T151" t="str">
        <f>'LIVE SOURCE'!F151</f>
        <v>C</v>
      </c>
      <c r="U151" s="4">
        <f t="shared" si="29"/>
        <v>44.12</v>
      </c>
      <c r="V151" s="4">
        <f t="shared" si="30"/>
        <v>56.12</v>
      </c>
      <c r="W151" s="4">
        <f t="shared" si="31"/>
        <v>68.12</v>
      </c>
      <c r="X151" t="str">
        <f>'LIVE SOURCE'!G151</f>
        <v>HISTORY FALLBACK</v>
      </c>
      <c r="Y151" t="str">
        <f>IF(INDEX('Draft Board'!$J$3:$J$232,Q151)="","Available",INDEX('Draft Board'!$J$3:$J$232,Q151))</f>
        <v>Available</v>
      </c>
      <c r="Z151">
        <f t="shared" si="32"/>
        <v>197</v>
      </c>
    </row>
    <row r="152" spans="1:26" x14ac:dyDescent="0.25">
      <c r="A152" t="str">
        <f>'LIVE SOURCE'!A152</f>
        <v>WR</v>
      </c>
      <c r="B152" t="str">
        <f>'LIVE SOURCE'!B152</f>
        <v>Antonio Williams</v>
      </c>
      <c r="C152" s="4">
        <f>'LIVE SOURCE'!D152</f>
        <v>55.45</v>
      </c>
      <c r="D152" s="4">
        <f>'Manual Adjustments'!G152</f>
        <v>0</v>
      </c>
      <c r="E152" s="4">
        <f t="shared" si="22"/>
        <v>55.45</v>
      </c>
      <c r="F152">
        <f>COUNTIFS($A$3:$A$232,A152,$E$3:$E$232,"&gt;"&amp;E152)+COUNTIFS($A$3:A152,A152,$E$3:E152,E152)</f>
        <v>69</v>
      </c>
      <c r="G152" s="4">
        <f>ROUND(INDEX('League Config'!$K$4:$K$9,MATCH(A152,'League Config'!$E$4:$E$9,0))*E152+INDEX('League Config'!$L$4:$L$9,MATCH(A152,'League Config'!$E$4:$E$9,0)),1)</f>
        <v>162.9</v>
      </c>
      <c r="H152">
        <f>INDEX('League Config'!$H$4:$H$9,MATCH(A152,'League Config'!$E$4:$E$9,0))</f>
        <v>33</v>
      </c>
      <c r="I152" s="4">
        <f>INDEX('League Config'!$I$4:$I$9,MATCH(A152,'League Config'!$E$4:$E$9,0))</f>
        <v>239.3</v>
      </c>
      <c r="J152" s="4">
        <f t="shared" si="23"/>
        <v>-76.400000000000006</v>
      </c>
      <c r="K152" s="4">
        <f t="shared" si="24"/>
        <v>4.1599999999999966</v>
      </c>
      <c r="L152" s="4">
        <f>MIN(100,MAX(0,(1-(F152-1)/(H152*1.5))*100*INDEX('League Config'!$J$4:$J$9,MATCH(A152,'League Config'!$E$4:$E$9,0))))</f>
        <v>0</v>
      </c>
      <c r="M152">
        <f>IF(A152="K",'League Config'!$B$14,IF(A152="DST",'League Config'!$B$15,IF(A152="QB",'League Config'!$B$16,0)))</f>
        <v>0</v>
      </c>
      <c r="N152" s="4">
        <f t="shared" si="25"/>
        <v>31.7455</v>
      </c>
      <c r="O152" s="9">
        <f t="shared" si="26"/>
        <v>31.7455</v>
      </c>
      <c r="P152" s="6">
        <f>IF(O152="","",COUNTIF($O$3:$O$232,"&gt;"&amp;O152)+COUNTIF($O$3:O152,O152))</f>
        <v>178</v>
      </c>
      <c r="Q152">
        <f t="shared" si="27"/>
        <v>198</v>
      </c>
      <c r="R152" s="4">
        <f>'LIVE SOURCE'!E152</f>
        <v>159.6</v>
      </c>
      <c r="S152" s="4">
        <f t="shared" si="28"/>
        <v>-38.400000000000006</v>
      </c>
      <c r="T152" t="str">
        <f>'LIVE SOURCE'!F152</f>
        <v>C</v>
      </c>
      <c r="U152" s="4">
        <f t="shared" si="29"/>
        <v>43.45</v>
      </c>
      <c r="V152" s="4">
        <f t="shared" si="30"/>
        <v>55.45</v>
      </c>
      <c r="W152" s="4">
        <f t="shared" si="31"/>
        <v>67.45</v>
      </c>
      <c r="X152" t="str">
        <f>'LIVE SOURCE'!G152</f>
        <v>HISTORY FALLBACK</v>
      </c>
      <c r="Y152" t="str">
        <f>IF(INDEX('Draft Board'!$J$3:$J$232,Q152)="","Available",INDEX('Draft Board'!$J$3:$J$232,Q152))</f>
        <v>Available</v>
      </c>
      <c r="Z152">
        <f t="shared" si="32"/>
        <v>198</v>
      </c>
    </row>
    <row r="153" spans="1:26" x14ac:dyDescent="0.25">
      <c r="A153" t="str">
        <f>'LIVE SOURCE'!A153</f>
        <v>WR</v>
      </c>
      <c r="B153" t="str">
        <f>'LIVE SOURCE'!B153</f>
        <v>Travis Hunter</v>
      </c>
      <c r="C153" s="4">
        <f>'LIVE SOURCE'!D153</f>
        <v>54.78</v>
      </c>
      <c r="D153" s="4">
        <f>'Manual Adjustments'!G153</f>
        <v>0</v>
      </c>
      <c r="E153" s="4">
        <f t="shared" si="22"/>
        <v>54.78</v>
      </c>
      <c r="F153">
        <f>COUNTIFS($A$3:$A$232,A153,$E$3:$E$232,"&gt;"&amp;E153)+COUNTIFS($A$3:A153,A153,$E$3:E153,E153)</f>
        <v>70</v>
      </c>
      <c r="G153" s="4">
        <f>ROUND(INDEX('League Config'!$K$4:$K$9,MATCH(A153,'League Config'!$E$4:$E$9,0))*E153+INDEX('League Config'!$L$4:$L$9,MATCH(A153,'League Config'!$E$4:$E$9,0)),1)</f>
        <v>160.1</v>
      </c>
      <c r="H153">
        <f>INDEX('League Config'!$H$4:$H$9,MATCH(A153,'League Config'!$E$4:$E$9,0))</f>
        <v>33</v>
      </c>
      <c r="I153" s="4">
        <f>INDEX('League Config'!$I$4:$I$9,MATCH(A153,'League Config'!$E$4:$E$9,0))</f>
        <v>239.3</v>
      </c>
      <c r="J153" s="4">
        <f t="shared" si="23"/>
        <v>-79.2</v>
      </c>
      <c r="K153" s="4">
        <f t="shared" si="24"/>
        <v>2.4799999999999969</v>
      </c>
      <c r="L153" s="4">
        <f>MIN(100,MAX(0,(1-(F153-1)/(H153*1.5))*100*INDEX('League Config'!$J$4:$J$9,MATCH(A153,'League Config'!$E$4:$E$9,0))))</f>
        <v>0</v>
      </c>
      <c r="M153">
        <f>IF(A153="K",'League Config'!$B$14,IF(A153="DST",'League Config'!$B$15,IF(A153="QB",'League Config'!$B$16,0)))</f>
        <v>0</v>
      </c>
      <c r="N153" s="4">
        <f t="shared" si="25"/>
        <v>30.873000000000001</v>
      </c>
      <c r="O153" s="9">
        <f t="shared" si="26"/>
        <v>30.873000000000001</v>
      </c>
      <c r="P153" s="6">
        <f>IF(O153="","",COUNTIF($O$3:$O$232,"&gt;"&amp;O153)+COUNTIF($O$3:O153,O153))</f>
        <v>180</v>
      </c>
      <c r="Q153">
        <f t="shared" si="27"/>
        <v>200</v>
      </c>
      <c r="R153" s="4">
        <f>'LIVE SOURCE'!E153</f>
        <v>164.4</v>
      </c>
      <c r="S153" s="4">
        <f t="shared" si="28"/>
        <v>-35.599999999999994</v>
      </c>
      <c r="T153" t="str">
        <f>'LIVE SOURCE'!F153</f>
        <v>C</v>
      </c>
      <c r="U153" s="4">
        <f t="shared" si="29"/>
        <v>42.78</v>
      </c>
      <c r="V153" s="4">
        <f t="shared" si="30"/>
        <v>54.78</v>
      </c>
      <c r="W153" s="4">
        <f t="shared" si="31"/>
        <v>66.78</v>
      </c>
      <c r="X153" t="str">
        <f>'LIVE SOURCE'!G153</f>
        <v>HISTORY FALLBACK</v>
      </c>
      <c r="Y153" t="str">
        <f>IF(INDEX('Draft Board'!$J$3:$J$232,Q153)="","Available",INDEX('Draft Board'!$J$3:$J$232,Q153))</f>
        <v>Available</v>
      </c>
      <c r="Z153">
        <f t="shared" si="32"/>
        <v>200</v>
      </c>
    </row>
    <row r="154" spans="1:26" x14ac:dyDescent="0.25">
      <c r="A154" t="str">
        <f>'LIVE SOURCE'!A154</f>
        <v>WR</v>
      </c>
      <c r="B154" t="str">
        <f>'LIVE SOURCE'!B154</f>
        <v>Ryan Flournoy</v>
      </c>
      <c r="C154" s="4">
        <f>'LIVE SOURCE'!D154</f>
        <v>54.11</v>
      </c>
      <c r="D154" s="4">
        <f>'Manual Adjustments'!G154</f>
        <v>0</v>
      </c>
      <c r="E154" s="4">
        <f t="shared" si="22"/>
        <v>54.11</v>
      </c>
      <c r="F154">
        <f>COUNTIFS($A$3:$A$232,A154,$E$3:$E$232,"&gt;"&amp;E154)+COUNTIFS($A$3:A154,A154,$E$3:E154,E154)</f>
        <v>71</v>
      </c>
      <c r="G154" s="4">
        <f>ROUND(INDEX('League Config'!$K$4:$K$9,MATCH(A154,'League Config'!$E$4:$E$9,0))*E154+INDEX('League Config'!$L$4:$L$9,MATCH(A154,'League Config'!$E$4:$E$9,0)),1)</f>
        <v>157.30000000000001</v>
      </c>
      <c r="H154">
        <f>INDEX('League Config'!$H$4:$H$9,MATCH(A154,'League Config'!$E$4:$E$9,0))</f>
        <v>33</v>
      </c>
      <c r="I154" s="4">
        <f>INDEX('League Config'!$I$4:$I$9,MATCH(A154,'League Config'!$E$4:$E$9,0))</f>
        <v>239.3</v>
      </c>
      <c r="J154" s="4">
        <f t="shared" si="23"/>
        <v>-82</v>
      </c>
      <c r="K154" s="4">
        <f t="shared" si="24"/>
        <v>0.80000000000000426</v>
      </c>
      <c r="L154" s="4">
        <f>MIN(100,MAX(0,(1-(F154-1)/(H154*1.5))*100*INDEX('League Config'!$J$4:$J$9,MATCH(A154,'League Config'!$E$4:$E$9,0))))</f>
        <v>0</v>
      </c>
      <c r="M154">
        <f>IF(A154="K",'League Config'!$B$14,IF(A154="DST",'League Config'!$B$15,IF(A154="QB",'League Config'!$B$16,0)))</f>
        <v>0</v>
      </c>
      <c r="N154" s="4">
        <f t="shared" si="25"/>
        <v>30.000500000000002</v>
      </c>
      <c r="O154" s="9">
        <f t="shared" si="26"/>
        <v>30.000500000000002</v>
      </c>
      <c r="P154" s="6">
        <f>IF(O154="","",COUNTIF($O$3:$O$232,"&gt;"&amp;O154)+COUNTIF($O$3:O154,O154))</f>
        <v>182</v>
      </c>
      <c r="Q154">
        <f t="shared" si="27"/>
        <v>202</v>
      </c>
      <c r="R154" s="4">
        <f>'LIVE SOURCE'!E154</f>
        <v>176.7</v>
      </c>
      <c r="S154" s="4">
        <f t="shared" si="28"/>
        <v>-25.300000000000011</v>
      </c>
      <c r="T154" t="str">
        <f>'LIVE SOURCE'!F154</f>
        <v>C</v>
      </c>
      <c r="U154" s="4">
        <f t="shared" si="29"/>
        <v>42.11</v>
      </c>
      <c r="V154" s="4">
        <f t="shared" si="30"/>
        <v>54.11</v>
      </c>
      <c r="W154" s="4">
        <f t="shared" si="31"/>
        <v>66.11</v>
      </c>
      <c r="X154" t="str">
        <f>'LIVE SOURCE'!G154</f>
        <v>HISTORY FALLBACK</v>
      </c>
      <c r="Y154" t="str">
        <f>IF(INDEX('Draft Board'!$J$3:$J$232,Q154)="","Available",INDEX('Draft Board'!$J$3:$J$232,Q154))</f>
        <v>Available</v>
      </c>
      <c r="Z154">
        <f t="shared" si="32"/>
        <v>202</v>
      </c>
    </row>
    <row r="155" spans="1:26" x14ac:dyDescent="0.25">
      <c r="A155" t="str">
        <f>'LIVE SOURCE'!A155</f>
        <v>WR</v>
      </c>
      <c r="B155" t="str">
        <f>'LIVE SOURCE'!B155</f>
        <v>Jauan Jennings</v>
      </c>
      <c r="C155" s="4">
        <f>'LIVE SOURCE'!D155</f>
        <v>53.44</v>
      </c>
      <c r="D155" s="4">
        <f>'Manual Adjustments'!G155</f>
        <v>0</v>
      </c>
      <c r="E155" s="4">
        <f t="shared" si="22"/>
        <v>53.44</v>
      </c>
      <c r="F155">
        <f>COUNTIFS($A$3:$A$232,A155,$E$3:$E$232,"&gt;"&amp;E155)+COUNTIFS($A$3:A155,A155,$E$3:E155,E155)</f>
        <v>72</v>
      </c>
      <c r="G155" s="4">
        <f>ROUND(INDEX('League Config'!$K$4:$K$9,MATCH(A155,'League Config'!$E$4:$E$9,0))*E155+INDEX('League Config'!$L$4:$L$9,MATCH(A155,'League Config'!$E$4:$E$9,0)),1)</f>
        <v>154.4</v>
      </c>
      <c r="H155">
        <f>INDEX('League Config'!$H$4:$H$9,MATCH(A155,'League Config'!$E$4:$E$9,0))</f>
        <v>33</v>
      </c>
      <c r="I155" s="4">
        <f>INDEX('League Config'!$I$4:$I$9,MATCH(A155,'League Config'!$E$4:$E$9,0))</f>
        <v>239.3</v>
      </c>
      <c r="J155" s="4">
        <f t="shared" si="23"/>
        <v>-84.9</v>
      </c>
      <c r="K155" s="4">
        <f t="shared" si="24"/>
        <v>0</v>
      </c>
      <c r="L155" s="4">
        <f>MIN(100,MAX(0,(1-(F155-1)/(H155*1.5))*100*INDEX('League Config'!$J$4:$J$9,MATCH(A155,'League Config'!$E$4:$E$9,0))))</f>
        <v>0</v>
      </c>
      <c r="M155">
        <f>IF(A155="K",'League Config'!$B$14,IF(A155="DST",'League Config'!$B$15,IF(A155="QB",'League Config'!$B$16,0)))</f>
        <v>0</v>
      </c>
      <c r="N155" s="4">
        <f t="shared" si="25"/>
        <v>29.391999999999999</v>
      </c>
      <c r="O155" s="9">
        <f t="shared" si="26"/>
        <v>29.391999999999999</v>
      </c>
      <c r="P155" s="6">
        <f>IF(O155="","",COUNTIF($O$3:$O$232,"&gt;"&amp;O155)+COUNTIF($O$3:O155,O155))</f>
        <v>183</v>
      </c>
      <c r="Q155">
        <f t="shared" si="27"/>
        <v>203</v>
      </c>
      <c r="R155" s="4">
        <f>'LIVE SOURCE'!E155</f>
        <v>147.69999999999999</v>
      </c>
      <c r="S155" s="4">
        <f t="shared" si="28"/>
        <v>-55.300000000000011</v>
      </c>
      <c r="T155" t="str">
        <f>'LIVE SOURCE'!F155</f>
        <v>C</v>
      </c>
      <c r="U155" s="4">
        <f t="shared" si="29"/>
        <v>41.44</v>
      </c>
      <c r="V155" s="4">
        <f t="shared" si="30"/>
        <v>53.44</v>
      </c>
      <c r="W155" s="4">
        <f t="shared" si="31"/>
        <v>65.44</v>
      </c>
      <c r="X155" t="str">
        <f>'LIVE SOURCE'!G155</f>
        <v>HISTORY FALLBACK</v>
      </c>
      <c r="Y155" t="str">
        <f>IF(INDEX('Draft Board'!$J$3:$J$232,Q155)="","Available",INDEX('Draft Board'!$J$3:$J$232,Q155))</f>
        <v>Available</v>
      </c>
      <c r="Z155">
        <f t="shared" si="32"/>
        <v>203</v>
      </c>
    </row>
    <row r="156" spans="1:26" x14ac:dyDescent="0.25">
      <c r="A156" t="str">
        <f>'LIVE SOURCE'!A156</f>
        <v>WR</v>
      </c>
      <c r="B156" t="str">
        <f>'LIVE SOURCE'!B156</f>
        <v>Darnell Mooney</v>
      </c>
      <c r="C156" s="4">
        <f>'LIVE SOURCE'!D156</f>
        <v>52.77</v>
      </c>
      <c r="D156" s="4">
        <f>'Manual Adjustments'!G156</f>
        <v>0</v>
      </c>
      <c r="E156" s="4">
        <f t="shared" si="22"/>
        <v>52.77</v>
      </c>
      <c r="F156">
        <f>COUNTIFS($A$3:$A$232,A156,$E$3:$E$232,"&gt;"&amp;E156)+COUNTIFS($A$3:A156,A156,$E$3:E156,E156)</f>
        <v>73</v>
      </c>
      <c r="G156" s="4">
        <f>ROUND(INDEX('League Config'!$K$4:$K$9,MATCH(A156,'League Config'!$E$4:$E$9,0))*E156+INDEX('League Config'!$L$4:$L$9,MATCH(A156,'League Config'!$E$4:$E$9,0)),1)</f>
        <v>151.6</v>
      </c>
      <c r="H156">
        <f>INDEX('League Config'!$H$4:$H$9,MATCH(A156,'League Config'!$E$4:$E$9,0))</f>
        <v>33</v>
      </c>
      <c r="I156" s="4">
        <f>INDEX('League Config'!$I$4:$I$9,MATCH(A156,'League Config'!$E$4:$E$9,0))</f>
        <v>239.3</v>
      </c>
      <c r="J156" s="4">
        <f t="shared" si="23"/>
        <v>-87.7</v>
      </c>
      <c r="K156" s="4">
        <f t="shared" si="24"/>
        <v>0</v>
      </c>
      <c r="L156" s="4">
        <f>MIN(100,MAX(0,(1-(F156-1)/(H156*1.5))*100*INDEX('League Config'!$J$4:$J$9,MATCH(A156,'League Config'!$E$4:$E$9,0))))</f>
        <v>0</v>
      </c>
      <c r="M156">
        <f>IF(A156="K",'League Config'!$B$14,IF(A156="DST",'League Config'!$B$15,IF(A156="QB",'League Config'!$B$16,0)))</f>
        <v>0</v>
      </c>
      <c r="N156" s="4">
        <f t="shared" si="25"/>
        <v>29.023500000000006</v>
      </c>
      <c r="O156" s="9">
        <f t="shared" si="26"/>
        <v>29.023500000000006</v>
      </c>
      <c r="P156" s="6">
        <f>IF(O156="","",COUNTIF($O$3:$O$232,"&gt;"&amp;O156)+COUNTIF($O$3:O156,O156))</f>
        <v>184</v>
      </c>
      <c r="Q156">
        <f t="shared" si="27"/>
        <v>204</v>
      </c>
      <c r="R156" s="4">
        <f>'LIVE SOURCE'!E156</f>
        <v>185.2</v>
      </c>
      <c r="S156" s="4">
        <f t="shared" si="28"/>
        <v>-18.800000000000011</v>
      </c>
      <c r="T156" t="str">
        <f>'LIVE SOURCE'!F156</f>
        <v>C</v>
      </c>
      <c r="U156" s="4">
        <f t="shared" si="29"/>
        <v>40.770000000000003</v>
      </c>
      <c r="V156" s="4">
        <f t="shared" si="30"/>
        <v>52.77</v>
      </c>
      <c r="W156" s="4">
        <f t="shared" si="31"/>
        <v>64.77000000000001</v>
      </c>
      <c r="X156" t="str">
        <f>'LIVE SOURCE'!G156</f>
        <v>HISTORY FALLBACK</v>
      </c>
      <c r="Y156" t="str">
        <f>IF(INDEX('Draft Board'!$J$3:$J$232,Q156)="","Available",INDEX('Draft Board'!$J$3:$J$232,Q156))</f>
        <v>Available</v>
      </c>
      <c r="Z156">
        <f t="shared" si="32"/>
        <v>204</v>
      </c>
    </row>
    <row r="157" spans="1:26" x14ac:dyDescent="0.25">
      <c r="A157" t="str">
        <f>'LIVE SOURCE'!A157</f>
        <v>WR</v>
      </c>
      <c r="B157" t="str">
        <f>'LIVE SOURCE'!B157</f>
        <v>Stefon Diggs</v>
      </c>
      <c r="C157" s="4">
        <f>'LIVE SOURCE'!D157</f>
        <v>71.2</v>
      </c>
      <c r="D157" s="4">
        <f>'Manual Adjustments'!G157</f>
        <v>0</v>
      </c>
      <c r="E157" s="4">
        <f t="shared" si="22"/>
        <v>71.2</v>
      </c>
      <c r="F157">
        <f>COUNTIFS($A$3:$A$232,A157,$E$3:$E$232,"&gt;"&amp;E157)+COUNTIFS($A$3:A157,A157,$E$3:E157,E157)</f>
        <v>38</v>
      </c>
      <c r="G157" s="4">
        <f>ROUND(INDEX('League Config'!$K$4:$K$9,MATCH(A157,'League Config'!$E$4:$E$9,0))*E157+INDEX('League Config'!$L$4:$L$9,MATCH(A157,'League Config'!$E$4:$E$9,0)),1)</f>
        <v>229</v>
      </c>
      <c r="H157">
        <f>INDEX('League Config'!$H$4:$H$9,MATCH(A157,'League Config'!$E$4:$E$9,0))</f>
        <v>33</v>
      </c>
      <c r="I157" s="4">
        <f>INDEX('League Config'!$I$4:$I$9,MATCH(A157,'League Config'!$E$4:$E$9,0))</f>
        <v>239.3</v>
      </c>
      <c r="J157" s="4">
        <f t="shared" si="23"/>
        <v>-10.3</v>
      </c>
      <c r="K157" s="4">
        <f t="shared" si="24"/>
        <v>43.82</v>
      </c>
      <c r="L157" s="4">
        <f>MIN(100,MAX(0,(1-(F157-1)/(H157*1.5))*100*INDEX('League Config'!$J$4:$J$9,MATCH(A157,'League Config'!$E$4:$E$9,0))))</f>
        <v>27.777777777777775</v>
      </c>
      <c r="M157">
        <f>IF(A157="K",'League Config'!$B$14,IF(A157="DST",'League Config'!$B$15,IF(A157="QB",'League Config'!$B$16,0)))</f>
        <v>0</v>
      </c>
      <c r="N157" s="4">
        <f t="shared" si="25"/>
        <v>56.472666666666669</v>
      </c>
      <c r="O157" s="9">
        <f t="shared" si="26"/>
        <v>56.472666666666669</v>
      </c>
      <c r="P157" s="6">
        <f>IF(O157="","",COUNTIF($O$3:$O$232,"&gt;"&amp;O157)+COUNTIF($O$3:O157,O157))</f>
        <v>107</v>
      </c>
      <c r="Q157">
        <f t="shared" si="27"/>
        <v>107</v>
      </c>
      <c r="R157" s="4">
        <f>'LIVE SOURCE'!E157</f>
        <v>90.5</v>
      </c>
      <c r="S157" s="4">
        <f t="shared" si="28"/>
        <v>-16.5</v>
      </c>
      <c r="T157" t="str">
        <f>'LIVE SOURCE'!F157</f>
        <v>C</v>
      </c>
      <c r="U157" s="4">
        <f t="shared" si="29"/>
        <v>59.2</v>
      </c>
      <c r="V157" s="4">
        <f t="shared" si="30"/>
        <v>71.2</v>
      </c>
      <c r="W157" s="4">
        <f t="shared" si="31"/>
        <v>83.2</v>
      </c>
      <c r="X157" t="str">
        <f>'LIVE SOURCE'!G157</f>
        <v>ESPN SLOT-IN</v>
      </c>
      <c r="Y157" t="str">
        <f>IF(INDEX('Draft Board'!$J$3:$J$232,Q157)="","Available",INDEX('Draft Board'!$J$3:$J$232,Q157))</f>
        <v>Available</v>
      </c>
      <c r="Z157">
        <f t="shared" si="32"/>
        <v>107</v>
      </c>
    </row>
    <row r="158" spans="1:26" x14ac:dyDescent="0.25">
      <c r="A158" t="str">
        <f>'LIVE SOURCE'!A158</f>
        <v>WR</v>
      </c>
      <c r="B158" t="str">
        <f>'LIVE SOURCE'!B158</f>
        <v>Deebo Samuel</v>
      </c>
      <c r="C158" s="4">
        <f>'LIVE SOURCE'!D158</f>
        <v>63.2</v>
      </c>
      <c r="D158" s="4">
        <f>'Manual Adjustments'!G158</f>
        <v>0</v>
      </c>
      <c r="E158" s="4">
        <f t="shared" si="22"/>
        <v>63.2</v>
      </c>
      <c r="F158">
        <f>COUNTIFS($A$3:$A$232,A158,$E$3:$E$232,"&gt;"&amp;E158)+COUNTIFS($A$3:A158,A158,$E$3:E158,E158)</f>
        <v>55</v>
      </c>
      <c r="G158" s="4">
        <f>ROUND(INDEX('League Config'!$K$4:$K$9,MATCH(A158,'League Config'!$E$4:$E$9,0))*E158+INDEX('League Config'!$L$4:$L$9,MATCH(A158,'League Config'!$E$4:$E$9,0)),1)</f>
        <v>195.4</v>
      </c>
      <c r="H158">
        <f>INDEX('League Config'!$H$4:$H$9,MATCH(A158,'League Config'!$E$4:$E$9,0))</f>
        <v>33</v>
      </c>
      <c r="I158" s="4">
        <f>INDEX('League Config'!$I$4:$I$9,MATCH(A158,'League Config'!$E$4:$E$9,0))</f>
        <v>239.3</v>
      </c>
      <c r="J158" s="4">
        <f t="shared" si="23"/>
        <v>-43.9</v>
      </c>
      <c r="K158" s="4">
        <f t="shared" si="24"/>
        <v>23.66</v>
      </c>
      <c r="L158" s="4">
        <f>MIN(100,MAX(0,(1-(F158-1)/(H158*1.5))*100*INDEX('League Config'!$J$4:$J$9,MATCH(A158,'League Config'!$E$4:$E$9,0))))</f>
        <v>0</v>
      </c>
      <c r="M158">
        <f>IF(A158="K",'League Config'!$B$14,IF(A158="DST",'League Config'!$B$15,IF(A158="QB",'League Config'!$B$16,0)))</f>
        <v>0</v>
      </c>
      <c r="N158" s="4">
        <f t="shared" si="25"/>
        <v>41.858000000000004</v>
      </c>
      <c r="O158" s="9">
        <f t="shared" si="26"/>
        <v>41.858000000000004</v>
      </c>
      <c r="P158" s="6">
        <f>IF(O158="","",COUNTIF($O$3:$O$232,"&gt;"&amp;O158)+COUNTIF($O$3:O158,O158))</f>
        <v>153</v>
      </c>
      <c r="Q158">
        <f t="shared" si="27"/>
        <v>173</v>
      </c>
      <c r="R158" s="4">
        <f>'LIVE SOURCE'!E158</f>
        <v>96.2</v>
      </c>
      <c r="S158" s="4">
        <f t="shared" si="28"/>
        <v>-76.8</v>
      </c>
      <c r="T158" t="str">
        <f>'LIVE SOURCE'!F158</f>
        <v>C</v>
      </c>
      <c r="U158" s="4">
        <f t="shared" si="29"/>
        <v>51.2</v>
      </c>
      <c r="V158" s="4">
        <f t="shared" si="30"/>
        <v>63.2</v>
      </c>
      <c r="W158" s="4">
        <f t="shared" si="31"/>
        <v>75.2</v>
      </c>
      <c r="X158" t="str">
        <f>'LIVE SOURCE'!G158</f>
        <v>ESPN SLOT-IN</v>
      </c>
      <c r="Y158" t="str">
        <f>IF(INDEX('Draft Board'!$J$3:$J$232,Q158)="","Available",INDEX('Draft Board'!$J$3:$J$232,Q158))</f>
        <v>Available</v>
      </c>
      <c r="Z158">
        <f t="shared" si="32"/>
        <v>173</v>
      </c>
    </row>
    <row r="159" spans="1:26" x14ac:dyDescent="0.25">
      <c r="A159" t="str">
        <f>'LIVE SOURCE'!A159</f>
        <v>WR</v>
      </c>
      <c r="B159" t="str">
        <f>'LIVE SOURCE'!B159</f>
        <v>Jayden Higgins</v>
      </c>
      <c r="C159" s="4">
        <f>'LIVE SOURCE'!D159</f>
        <v>62.1</v>
      </c>
      <c r="D159" s="4">
        <f>'Manual Adjustments'!G159</f>
        <v>0</v>
      </c>
      <c r="E159" s="4">
        <f t="shared" si="22"/>
        <v>62.1</v>
      </c>
      <c r="F159">
        <f>COUNTIFS($A$3:$A$232,A159,$E$3:$E$232,"&gt;"&amp;E159)+COUNTIFS($A$3:A159,A159,$E$3:E159,E159)</f>
        <v>58</v>
      </c>
      <c r="G159" s="4">
        <f>ROUND(INDEX('League Config'!$K$4:$K$9,MATCH(A159,'League Config'!$E$4:$E$9,0))*E159+INDEX('League Config'!$L$4:$L$9,MATCH(A159,'League Config'!$E$4:$E$9,0)),1)</f>
        <v>190.8</v>
      </c>
      <c r="H159">
        <f>INDEX('League Config'!$H$4:$H$9,MATCH(A159,'League Config'!$E$4:$E$9,0))</f>
        <v>33</v>
      </c>
      <c r="I159" s="4">
        <f>INDEX('League Config'!$I$4:$I$9,MATCH(A159,'League Config'!$E$4:$E$9,0))</f>
        <v>239.3</v>
      </c>
      <c r="J159" s="4">
        <f t="shared" si="23"/>
        <v>-48.5</v>
      </c>
      <c r="K159" s="4">
        <f t="shared" si="24"/>
        <v>20.900000000000002</v>
      </c>
      <c r="L159" s="4">
        <f>MIN(100,MAX(0,(1-(F159-1)/(H159*1.5))*100*INDEX('League Config'!$J$4:$J$9,MATCH(A159,'League Config'!$E$4:$E$9,0))))</f>
        <v>0</v>
      </c>
      <c r="M159">
        <f>IF(A159="K",'League Config'!$B$14,IF(A159="DST",'League Config'!$B$15,IF(A159="QB",'League Config'!$B$16,0)))</f>
        <v>0</v>
      </c>
      <c r="N159" s="4">
        <f t="shared" si="25"/>
        <v>40.425000000000004</v>
      </c>
      <c r="O159" s="9">
        <f t="shared" si="26"/>
        <v>40.425000000000004</v>
      </c>
      <c r="P159" s="6">
        <f>IF(O159="","",COUNTIF($O$3:$O$232,"&gt;"&amp;O159)+COUNTIF($O$3:O159,O159))</f>
        <v>159</v>
      </c>
      <c r="Q159">
        <f t="shared" si="27"/>
        <v>179</v>
      </c>
      <c r="R159" s="4">
        <f>'LIVE SOURCE'!E159</f>
        <v>137.1</v>
      </c>
      <c r="S159" s="4">
        <f t="shared" si="28"/>
        <v>-41.900000000000006</v>
      </c>
      <c r="T159" t="str">
        <f>'LIVE SOURCE'!F159</f>
        <v>C</v>
      </c>
      <c r="U159" s="4">
        <f t="shared" si="29"/>
        <v>50.1</v>
      </c>
      <c r="V159" s="4">
        <f t="shared" si="30"/>
        <v>62.1</v>
      </c>
      <c r="W159" s="4">
        <f t="shared" si="31"/>
        <v>74.099999999999994</v>
      </c>
      <c r="X159" t="str">
        <f>'LIVE SOURCE'!G159</f>
        <v>ESPN SLOT-IN</v>
      </c>
      <c r="Y159" t="str">
        <f>IF(INDEX('Draft Board'!$J$3:$J$232,Q159)="","Available",INDEX('Draft Board'!$J$3:$J$232,Q159))</f>
        <v>Available</v>
      </c>
      <c r="Z159">
        <f t="shared" si="32"/>
        <v>179</v>
      </c>
    </row>
    <row r="160" spans="1:26" x14ac:dyDescent="0.25">
      <c r="A160" t="str">
        <f>'LIVE SOURCE'!A160</f>
        <v>WR</v>
      </c>
      <c r="B160" t="str">
        <f>'LIVE SOURCE'!B160</f>
        <v>Tank Dell</v>
      </c>
      <c r="C160" s="4">
        <f>'LIVE SOURCE'!D160</f>
        <v>60.1</v>
      </c>
      <c r="D160" s="4">
        <f>'Manual Adjustments'!G160</f>
        <v>0</v>
      </c>
      <c r="E160" s="4">
        <f t="shared" si="22"/>
        <v>60.1</v>
      </c>
      <c r="F160">
        <f>COUNTIFS($A$3:$A$232,A160,$E$3:$E$232,"&gt;"&amp;E160)+COUNTIFS($A$3:A160,A160,$E$3:E160,E160)</f>
        <v>62</v>
      </c>
      <c r="G160" s="4">
        <f>ROUND(INDEX('League Config'!$K$4:$K$9,MATCH(A160,'League Config'!$E$4:$E$9,0))*E160+INDEX('League Config'!$L$4:$L$9,MATCH(A160,'League Config'!$E$4:$E$9,0)),1)</f>
        <v>182.4</v>
      </c>
      <c r="H160">
        <f>INDEX('League Config'!$H$4:$H$9,MATCH(A160,'League Config'!$E$4:$E$9,0))</f>
        <v>33</v>
      </c>
      <c r="I160" s="4">
        <f>INDEX('League Config'!$I$4:$I$9,MATCH(A160,'League Config'!$E$4:$E$9,0))</f>
        <v>239.3</v>
      </c>
      <c r="J160" s="4">
        <f t="shared" si="23"/>
        <v>-56.9</v>
      </c>
      <c r="K160" s="4">
        <f t="shared" si="24"/>
        <v>15.86</v>
      </c>
      <c r="L160" s="4">
        <f>MIN(100,MAX(0,(1-(F160-1)/(H160*1.5))*100*INDEX('League Config'!$J$4:$J$9,MATCH(A160,'League Config'!$E$4:$E$9,0))))</f>
        <v>0</v>
      </c>
      <c r="M160">
        <f>IF(A160="K",'League Config'!$B$14,IF(A160="DST",'League Config'!$B$15,IF(A160="QB",'League Config'!$B$16,0)))</f>
        <v>0</v>
      </c>
      <c r="N160" s="4">
        <f t="shared" si="25"/>
        <v>37.813000000000009</v>
      </c>
      <c r="O160" s="9">
        <f t="shared" si="26"/>
        <v>37.813000000000009</v>
      </c>
      <c r="P160" s="6">
        <f>IF(O160="","",COUNTIF($O$3:$O$232,"&gt;"&amp;O160)+COUNTIF($O$3:O160,O160))</f>
        <v>167</v>
      </c>
      <c r="Q160">
        <f t="shared" si="27"/>
        <v>187</v>
      </c>
      <c r="R160" s="4">
        <f>'LIVE SOURCE'!E160</f>
        <v>146.6</v>
      </c>
      <c r="S160" s="4">
        <f t="shared" si="28"/>
        <v>-40.400000000000006</v>
      </c>
      <c r="T160" t="str">
        <f>'LIVE SOURCE'!F160</f>
        <v>C</v>
      </c>
      <c r="U160" s="4">
        <f t="shared" si="29"/>
        <v>48.1</v>
      </c>
      <c r="V160" s="4">
        <f t="shared" si="30"/>
        <v>60.1</v>
      </c>
      <c r="W160" s="4">
        <f t="shared" si="31"/>
        <v>72.099999999999994</v>
      </c>
      <c r="X160" t="str">
        <f>'LIVE SOURCE'!G160</f>
        <v>ESPN SLOT-IN</v>
      </c>
      <c r="Y160" t="str">
        <f>IF(INDEX('Draft Board'!$J$3:$J$232,Q160)="","Available",INDEX('Draft Board'!$J$3:$J$232,Q160))</f>
        <v>Available</v>
      </c>
      <c r="Z160">
        <f t="shared" si="32"/>
        <v>187</v>
      </c>
    </row>
    <row r="161" spans="1:26" x14ac:dyDescent="0.25">
      <c r="A161" t="str">
        <f>'LIVE SOURCE'!A161</f>
        <v>TE</v>
      </c>
      <c r="B161" t="str">
        <f>'LIVE SOURCE'!B161</f>
        <v>Trey McBride</v>
      </c>
      <c r="C161" s="4">
        <f>'LIVE SOURCE'!D161</f>
        <v>97.737099999999998</v>
      </c>
      <c r="D161" s="4">
        <f>'Manual Adjustments'!G161</f>
        <v>0</v>
      </c>
      <c r="E161" s="4">
        <f t="shared" si="22"/>
        <v>97.737099999999998</v>
      </c>
      <c r="F161">
        <f>COUNTIFS($A$3:$A$232,A161,$E$3:$E$232,"&gt;"&amp;E161)+COUNTIFS($A$3:A161,A161,$E$3:E161,E161)</f>
        <v>1</v>
      </c>
      <c r="G161" s="4">
        <f>ROUND(INDEX('League Config'!$K$4:$K$9,MATCH(A161,'League Config'!$E$4:$E$9,0))*E161+INDEX('League Config'!$L$4:$L$9,MATCH(A161,'League Config'!$E$4:$E$9,0)),1)</f>
        <v>242.1</v>
      </c>
      <c r="H161">
        <f>INDEX('League Config'!$H$4:$H$9,MATCH(A161,'League Config'!$E$4:$E$9,0))</f>
        <v>13</v>
      </c>
      <c r="I161" s="4">
        <f>INDEX('League Config'!$I$4:$I$9,MATCH(A161,'League Config'!$E$4:$E$9,0))</f>
        <v>179.7</v>
      </c>
      <c r="J161" s="4">
        <f t="shared" si="23"/>
        <v>62.4</v>
      </c>
      <c r="K161" s="4">
        <f t="shared" si="24"/>
        <v>87.44</v>
      </c>
      <c r="L161" s="4">
        <f>MIN(100,MAX(0,(1-(F161-1)/(H161*1.5))*100*INDEX('League Config'!$J$4:$J$9,MATCH(A161,'League Config'!$E$4:$E$9,0))))</f>
        <v>90</v>
      </c>
      <c r="M161">
        <f>IF(A161="K",'League Config'!$B$14,IF(A161="DST",'League Config'!$B$15,IF(A161="QB",'League Config'!$B$16,0)))</f>
        <v>0</v>
      </c>
      <c r="N161" s="4">
        <f t="shared" si="25"/>
        <v>93.487404999999995</v>
      </c>
      <c r="O161" s="9">
        <f t="shared" si="26"/>
        <v>93.487404999999995</v>
      </c>
      <c r="P161" s="6">
        <f>IF(O161="","",COUNTIF($O$3:$O$232,"&gt;"&amp;O161)+COUNTIF($O$3:O161,O161))</f>
        <v>10</v>
      </c>
      <c r="Q161">
        <f t="shared" si="27"/>
        <v>10</v>
      </c>
      <c r="R161" s="4">
        <f>'LIVE SOURCE'!E161</f>
        <v>35.700000000000003</v>
      </c>
      <c r="S161" s="4">
        <f t="shared" si="28"/>
        <v>25.700000000000003</v>
      </c>
      <c r="T161" t="str">
        <f>'LIVE SOURCE'!F161</f>
        <v>A</v>
      </c>
      <c r="U161" s="4">
        <f t="shared" si="29"/>
        <v>91.737099999999998</v>
      </c>
      <c r="V161" s="4">
        <f t="shared" si="30"/>
        <v>97.737099999999998</v>
      </c>
      <c r="W161" s="4">
        <f t="shared" si="31"/>
        <v>100</v>
      </c>
      <c r="X161" t="str">
        <f>'LIVE SOURCE'!G161</f>
        <v>RATE-ADJUSTED VETERAN</v>
      </c>
      <c r="Y161" t="str">
        <f>IF(INDEX('Draft Board'!$J$3:$J$232,Q161)="","Available",INDEX('Draft Board'!$J$3:$J$232,Q161))</f>
        <v>Available</v>
      </c>
      <c r="Z161">
        <f t="shared" si="32"/>
        <v>10</v>
      </c>
    </row>
    <row r="162" spans="1:26" x14ac:dyDescent="0.25">
      <c r="A162" t="str">
        <f>'LIVE SOURCE'!A162</f>
        <v>TE</v>
      </c>
      <c r="B162" t="str">
        <f>'LIVE SOURCE'!B162</f>
        <v>Brock Bowers</v>
      </c>
      <c r="C162" s="4">
        <f>'LIVE SOURCE'!D162</f>
        <v>94.884600000000006</v>
      </c>
      <c r="D162" s="4">
        <f>'Manual Adjustments'!G162</f>
        <v>0</v>
      </c>
      <c r="E162" s="4">
        <f t="shared" si="22"/>
        <v>94.884600000000006</v>
      </c>
      <c r="F162">
        <f>COUNTIFS($A$3:$A$232,A162,$E$3:$E$232,"&gt;"&amp;E162)+COUNTIFS($A$3:A162,A162,$E$3:E162,E162)</f>
        <v>2</v>
      </c>
      <c r="G162" s="4">
        <f>ROUND(INDEX('League Config'!$K$4:$K$9,MATCH(A162,'League Config'!$E$4:$E$9,0))*E162+INDEX('League Config'!$L$4:$L$9,MATCH(A162,'League Config'!$E$4:$E$9,0)),1)</f>
        <v>232.1</v>
      </c>
      <c r="H162">
        <f>INDEX('League Config'!$H$4:$H$9,MATCH(A162,'League Config'!$E$4:$E$9,0))</f>
        <v>13</v>
      </c>
      <c r="I162" s="4">
        <f>INDEX('League Config'!$I$4:$I$9,MATCH(A162,'League Config'!$E$4:$E$9,0))</f>
        <v>179.7</v>
      </c>
      <c r="J162" s="4">
        <f t="shared" si="23"/>
        <v>52.4</v>
      </c>
      <c r="K162" s="4">
        <f t="shared" si="24"/>
        <v>81.44</v>
      </c>
      <c r="L162" s="4">
        <f>MIN(100,MAX(0,(1-(F162-1)/(H162*1.5))*100*INDEX('League Config'!$J$4:$J$9,MATCH(A162,'League Config'!$E$4:$E$9,0))))</f>
        <v>85.384615384615373</v>
      </c>
      <c r="M162">
        <f>IF(A162="K",'League Config'!$B$14,IF(A162="DST",'League Config'!$B$15,IF(A162="QB",'League Config'!$B$16,0)))</f>
        <v>0</v>
      </c>
      <c r="N162" s="4">
        <f t="shared" si="25"/>
        <v>89.426222307692314</v>
      </c>
      <c r="O162" s="9">
        <f t="shared" si="26"/>
        <v>89.426222307692314</v>
      </c>
      <c r="P162" s="6">
        <f>IF(O162="","",COUNTIF($O$3:$O$232,"&gt;"&amp;O162)+COUNTIF($O$3:O162,O162))</f>
        <v>15</v>
      </c>
      <c r="Q162">
        <f t="shared" si="27"/>
        <v>15</v>
      </c>
      <c r="R162" s="4">
        <f>'LIVE SOURCE'!E162</f>
        <v>41.1</v>
      </c>
      <c r="S162" s="4">
        <f t="shared" si="28"/>
        <v>26.1</v>
      </c>
      <c r="T162" t="str">
        <f>'LIVE SOURCE'!F162</f>
        <v>A</v>
      </c>
      <c r="U162" s="4">
        <f t="shared" si="29"/>
        <v>88.884600000000006</v>
      </c>
      <c r="V162" s="4">
        <f t="shared" si="30"/>
        <v>94.884600000000006</v>
      </c>
      <c r="W162" s="4">
        <f t="shared" si="31"/>
        <v>100</v>
      </c>
      <c r="X162" t="str">
        <f>'LIVE SOURCE'!G162</f>
        <v>RATE-ADJUSTED VETERAN</v>
      </c>
      <c r="Y162" t="str">
        <f>IF(INDEX('Draft Board'!$J$3:$J$232,Q162)="","Available",INDEX('Draft Board'!$J$3:$J$232,Q162))</f>
        <v>Available</v>
      </c>
      <c r="Z162">
        <f t="shared" si="32"/>
        <v>15</v>
      </c>
    </row>
    <row r="163" spans="1:26" x14ac:dyDescent="0.25">
      <c r="A163" t="str">
        <f>'LIVE SOURCE'!A163</f>
        <v>TE</v>
      </c>
      <c r="B163" t="str">
        <f>'LIVE SOURCE'!B163</f>
        <v>Colston Loveland</v>
      </c>
      <c r="C163" s="4">
        <f>'LIVE SOURCE'!D163</f>
        <v>88.753100000000003</v>
      </c>
      <c r="D163" s="4">
        <f>'Manual Adjustments'!G163</f>
        <v>0</v>
      </c>
      <c r="E163" s="4">
        <f t="shared" si="22"/>
        <v>88.753100000000003</v>
      </c>
      <c r="F163">
        <f>COUNTIFS($A$3:$A$232,A163,$E$3:$E$232,"&gt;"&amp;E163)+COUNTIFS($A$3:A163,A163,$E$3:E163,E163)</f>
        <v>3</v>
      </c>
      <c r="G163" s="4">
        <f>ROUND(INDEX('League Config'!$K$4:$K$9,MATCH(A163,'League Config'!$E$4:$E$9,0))*E163+INDEX('League Config'!$L$4:$L$9,MATCH(A163,'League Config'!$E$4:$E$9,0)),1)</f>
        <v>210.6</v>
      </c>
      <c r="H163">
        <f>INDEX('League Config'!$H$4:$H$9,MATCH(A163,'League Config'!$E$4:$E$9,0))</f>
        <v>13</v>
      </c>
      <c r="I163" s="4">
        <f>INDEX('League Config'!$I$4:$I$9,MATCH(A163,'League Config'!$E$4:$E$9,0))</f>
        <v>179.7</v>
      </c>
      <c r="J163" s="4">
        <f t="shared" si="23"/>
        <v>30.9</v>
      </c>
      <c r="K163" s="4">
        <f t="shared" si="24"/>
        <v>68.539999999999992</v>
      </c>
      <c r="L163" s="4">
        <f>MIN(100,MAX(0,(1-(F163-1)/(H163*1.5))*100*INDEX('League Config'!$J$4:$J$9,MATCH(A163,'League Config'!$E$4:$E$9,0))))</f>
        <v>80.769230769230774</v>
      </c>
      <c r="M163">
        <f>IF(A163="K",'League Config'!$B$14,IF(A163="DST",'League Config'!$B$15,IF(A163="QB",'League Config'!$B$16,0)))</f>
        <v>0</v>
      </c>
      <c r="N163" s="4">
        <f t="shared" si="25"/>
        <v>81.491589615384612</v>
      </c>
      <c r="O163" s="9">
        <f t="shared" si="26"/>
        <v>81.491589615384612</v>
      </c>
      <c r="P163" s="6">
        <f>IF(O163="","",COUNTIF($O$3:$O$232,"&gt;"&amp;O163)+COUNTIF($O$3:O163,O163))</f>
        <v>34</v>
      </c>
      <c r="Q163">
        <f t="shared" si="27"/>
        <v>34</v>
      </c>
      <c r="R163" s="4">
        <f>'LIVE SOURCE'!E163</f>
        <v>60.8</v>
      </c>
      <c r="S163" s="4">
        <f t="shared" si="28"/>
        <v>26.799999999999997</v>
      </c>
      <c r="T163" t="str">
        <f>'LIVE SOURCE'!F163</f>
        <v>A</v>
      </c>
      <c r="U163" s="4">
        <f t="shared" si="29"/>
        <v>82.753100000000003</v>
      </c>
      <c r="V163" s="4">
        <f t="shared" si="30"/>
        <v>88.753100000000003</v>
      </c>
      <c r="W163" s="4">
        <f t="shared" si="31"/>
        <v>94.753100000000003</v>
      </c>
      <c r="X163" t="str">
        <f>'LIVE SOURCE'!G163</f>
        <v>RATE-ADJUSTED VETERAN</v>
      </c>
      <c r="Y163" t="str">
        <f>IF(INDEX('Draft Board'!$J$3:$J$232,Q163)="","Available",INDEX('Draft Board'!$J$3:$J$232,Q163))</f>
        <v>Available</v>
      </c>
      <c r="Z163">
        <f t="shared" si="32"/>
        <v>34</v>
      </c>
    </row>
    <row r="164" spans="1:26" x14ac:dyDescent="0.25">
      <c r="A164" t="str">
        <f>'LIVE SOURCE'!A164</f>
        <v>TE</v>
      </c>
      <c r="B164" t="str">
        <f>'LIVE SOURCE'!B164</f>
        <v>Tyler Warren</v>
      </c>
      <c r="C164" s="4">
        <f>'LIVE SOURCE'!D164</f>
        <v>87.202399999999997</v>
      </c>
      <c r="D164" s="4">
        <f>'Manual Adjustments'!G164</f>
        <v>0</v>
      </c>
      <c r="E164" s="4">
        <f t="shared" si="22"/>
        <v>87.202399999999997</v>
      </c>
      <c r="F164">
        <f>COUNTIFS($A$3:$A$232,A164,$E$3:$E$232,"&gt;"&amp;E164)+COUNTIFS($A$3:A164,A164,$E$3:E164,E164)</f>
        <v>4</v>
      </c>
      <c r="G164" s="4">
        <f>ROUND(INDEX('League Config'!$K$4:$K$9,MATCH(A164,'League Config'!$E$4:$E$9,0))*E164+INDEX('League Config'!$L$4:$L$9,MATCH(A164,'League Config'!$E$4:$E$9,0)),1)</f>
        <v>205.2</v>
      </c>
      <c r="H164">
        <f>INDEX('League Config'!$H$4:$H$9,MATCH(A164,'League Config'!$E$4:$E$9,0))</f>
        <v>13</v>
      </c>
      <c r="I164" s="4">
        <f>INDEX('League Config'!$I$4:$I$9,MATCH(A164,'League Config'!$E$4:$E$9,0))</f>
        <v>179.7</v>
      </c>
      <c r="J164" s="4">
        <f t="shared" si="23"/>
        <v>25.5</v>
      </c>
      <c r="K164" s="4">
        <f t="shared" si="24"/>
        <v>65.3</v>
      </c>
      <c r="L164" s="4">
        <f>MIN(100,MAX(0,(1-(F164-1)/(H164*1.5))*100*INDEX('League Config'!$J$4:$J$9,MATCH(A164,'League Config'!$E$4:$E$9,0))))</f>
        <v>76.15384615384616</v>
      </c>
      <c r="M164">
        <f>IF(A164="K",'League Config'!$B$14,IF(A164="DST",'League Config'!$B$15,IF(A164="QB",'League Config'!$B$16,0)))</f>
        <v>0</v>
      </c>
      <c r="N164" s="4">
        <f t="shared" si="25"/>
        <v>78.974396923076924</v>
      </c>
      <c r="O164" s="9">
        <f t="shared" si="26"/>
        <v>78.974396923076924</v>
      </c>
      <c r="P164" s="6">
        <f>IF(O164="","",COUNTIF($O$3:$O$232,"&gt;"&amp;O164)+COUNTIF($O$3:O164,O164))</f>
        <v>41</v>
      </c>
      <c r="Q164">
        <f t="shared" si="27"/>
        <v>41</v>
      </c>
      <c r="R164" s="4">
        <f>'LIVE SOURCE'!E164</f>
        <v>65.400000000000006</v>
      </c>
      <c r="S164" s="4">
        <f t="shared" si="28"/>
        <v>24.400000000000006</v>
      </c>
      <c r="T164" t="str">
        <f>'LIVE SOURCE'!F164</f>
        <v>A</v>
      </c>
      <c r="U164" s="4">
        <f t="shared" si="29"/>
        <v>81.202399999999997</v>
      </c>
      <c r="V164" s="4">
        <f t="shared" si="30"/>
        <v>87.202399999999997</v>
      </c>
      <c r="W164" s="4">
        <f t="shared" si="31"/>
        <v>93.202399999999997</v>
      </c>
      <c r="X164" t="str">
        <f>'LIVE SOURCE'!G164</f>
        <v>RATE-ADJUSTED VETERAN</v>
      </c>
      <c r="Y164" t="str">
        <f>IF(INDEX('Draft Board'!$J$3:$J$232,Q164)="","Available",INDEX('Draft Board'!$J$3:$J$232,Q164))</f>
        <v>Available</v>
      </c>
      <c r="Z164">
        <f t="shared" si="32"/>
        <v>41</v>
      </c>
    </row>
    <row r="165" spans="1:26" x14ac:dyDescent="0.25">
      <c r="A165" t="str">
        <f>'LIVE SOURCE'!A165</f>
        <v>TE</v>
      </c>
      <c r="B165" t="str">
        <f>'LIVE SOURCE'!B165</f>
        <v>George Kittle</v>
      </c>
      <c r="C165" s="4">
        <f>'LIVE SOURCE'!D165</f>
        <v>86.266400000000004</v>
      </c>
      <c r="D165" s="4">
        <f>'Manual Adjustments'!G165</f>
        <v>0</v>
      </c>
      <c r="E165" s="4">
        <f t="shared" si="22"/>
        <v>86.266400000000004</v>
      </c>
      <c r="F165">
        <f>COUNTIFS($A$3:$A$232,A165,$E$3:$E$232,"&gt;"&amp;E165)+COUNTIFS($A$3:A165,A165,$E$3:E165,E165)</f>
        <v>5</v>
      </c>
      <c r="G165" s="4">
        <f>ROUND(INDEX('League Config'!$K$4:$K$9,MATCH(A165,'League Config'!$E$4:$E$9,0))*E165+INDEX('League Config'!$L$4:$L$9,MATCH(A165,'League Config'!$E$4:$E$9,0)),1)</f>
        <v>201.9</v>
      </c>
      <c r="H165">
        <f>INDEX('League Config'!$H$4:$H$9,MATCH(A165,'League Config'!$E$4:$E$9,0))</f>
        <v>13</v>
      </c>
      <c r="I165" s="4">
        <f>INDEX('League Config'!$I$4:$I$9,MATCH(A165,'League Config'!$E$4:$E$9,0))</f>
        <v>179.7</v>
      </c>
      <c r="J165" s="4">
        <f t="shared" si="23"/>
        <v>22.2</v>
      </c>
      <c r="K165" s="4">
        <f t="shared" si="24"/>
        <v>63.32</v>
      </c>
      <c r="L165" s="4">
        <f>MIN(100,MAX(0,(1-(F165-1)/(H165*1.5))*100*INDEX('League Config'!$J$4:$J$9,MATCH(A165,'League Config'!$E$4:$E$9,0))))</f>
        <v>71.538461538461547</v>
      </c>
      <c r="M165">
        <f>IF(A165="K",'League Config'!$B$14,IF(A165="DST",'League Config'!$B$15,IF(A165="QB",'League Config'!$B$16,0)))</f>
        <v>0</v>
      </c>
      <c r="N165" s="4">
        <f t="shared" si="25"/>
        <v>77.173289230769228</v>
      </c>
      <c r="O165" s="9">
        <f t="shared" si="26"/>
        <v>77.173289230769228</v>
      </c>
      <c r="P165" s="6">
        <f>IF(O165="","",COUNTIF($O$3:$O$232,"&gt;"&amp;O165)+COUNTIF($O$3:O165,O165))</f>
        <v>45</v>
      </c>
      <c r="Q165">
        <f t="shared" si="27"/>
        <v>45</v>
      </c>
      <c r="R165" s="4">
        <f>'LIVE SOURCE'!E165</f>
        <v>115.1</v>
      </c>
      <c r="S165" s="4">
        <f t="shared" si="28"/>
        <v>70.099999999999994</v>
      </c>
      <c r="T165" t="str">
        <f>'LIVE SOURCE'!F165</f>
        <v>B</v>
      </c>
      <c r="U165" s="4">
        <f t="shared" si="29"/>
        <v>77.266400000000004</v>
      </c>
      <c r="V165" s="4">
        <f t="shared" si="30"/>
        <v>86.266400000000004</v>
      </c>
      <c r="W165" s="4">
        <f t="shared" si="31"/>
        <v>95.266400000000004</v>
      </c>
      <c r="X165" t="str">
        <f>'LIVE SOURCE'!G165</f>
        <v>RATE-ADJUSTED VETERAN</v>
      </c>
      <c r="Y165" t="str">
        <f>IF(INDEX('Draft Board'!$J$3:$J$232,Q165)="","Available",INDEX('Draft Board'!$J$3:$J$232,Q165))</f>
        <v>Available</v>
      </c>
      <c r="Z165">
        <f t="shared" si="32"/>
        <v>45</v>
      </c>
    </row>
    <row r="166" spans="1:26" x14ac:dyDescent="0.25">
      <c r="A166" t="str">
        <f>'LIVE SOURCE'!A166</f>
        <v>TE</v>
      </c>
      <c r="B166" t="str">
        <f>'LIVE SOURCE'!B166</f>
        <v>Kyle Pitts Sr.</v>
      </c>
      <c r="C166" s="4">
        <f>'LIVE SOURCE'!D166</f>
        <v>85.304500000000004</v>
      </c>
      <c r="D166" s="4">
        <f>'Manual Adjustments'!G166</f>
        <v>0</v>
      </c>
      <c r="E166" s="4">
        <f t="shared" si="22"/>
        <v>85.304500000000004</v>
      </c>
      <c r="F166">
        <f>COUNTIFS($A$3:$A$232,A166,$E$3:$E$232,"&gt;"&amp;E166)+COUNTIFS($A$3:A166,A166,$E$3:E166,E166)</f>
        <v>6</v>
      </c>
      <c r="G166" s="4">
        <f>ROUND(INDEX('League Config'!$K$4:$K$9,MATCH(A166,'League Config'!$E$4:$E$9,0))*E166+INDEX('League Config'!$L$4:$L$9,MATCH(A166,'League Config'!$E$4:$E$9,0)),1)</f>
        <v>198.6</v>
      </c>
      <c r="H166">
        <f>INDEX('League Config'!$H$4:$H$9,MATCH(A166,'League Config'!$E$4:$E$9,0))</f>
        <v>13</v>
      </c>
      <c r="I166" s="4">
        <f>INDEX('League Config'!$I$4:$I$9,MATCH(A166,'League Config'!$E$4:$E$9,0))</f>
        <v>179.7</v>
      </c>
      <c r="J166" s="4">
        <f t="shared" si="23"/>
        <v>18.899999999999999</v>
      </c>
      <c r="K166" s="4">
        <f t="shared" si="24"/>
        <v>61.339999999999996</v>
      </c>
      <c r="L166" s="4">
        <f>MIN(100,MAX(0,(1-(F166-1)/(H166*1.5))*100*INDEX('League Config'!$J$4:$J$9,MATCH(A166,'League Config'!$E$4:$E$9,0))))</f>
        <v>66.923076923076934</v>
      </c>
      <c r="M166">
        <f>IF(A166="K",'League Config'!$B$14,IF(A166="DST",'League Config'!$B$15,IF(A166="QB",'League Config'!$B$16,0)))</f>
        <v>0</v>
      </c>
      <c r="N166" s="4">
        <f t="shared" si="25"/>
        <v>75.35793653846153</v>
      </c>
      <c r="O166" s="9">
        <f t="shared" si="26"/>
        <v>75.35793653846153</v>
      </c>
      <c r="P166" s="6">
        <f>IF(O166="","",COUNTIF($O$3:$O$232,"&gt;"&amp;O166)+COUNTIF($O$3:O166,O166))</f>
        <v>50</v>
      </c>
      <c r="Q166">
        <f t="shared" si="27"/>
        <v>50</v>
      </c>
      <c r="R166" s="4">
        <f>'LIVE SOURCE'!E166</f>
        <v>78.3</v>
      </c>
      <c r="S166" s="4">
        <f t="shared" si="28"/>
        <v>28.299999999999997</v>
      </c>
      <c r="T166" t="str">
        <f>'LIVE SOURCE'!F166</f>
        <v>A</v>
      </c>
      <c r="U166" s="4">
        <f t="shared" si="29"/>
        <v>79.304500000000004</v>
      </c>
      <c r="V166" s="4">
        <f t="shared" si="30"/>
        <v>85.304500000000004</v>
      </c>
      <c r="W166" s="4">
        <f t="shared" si="31"/>
        <v>91.304500000000004</v>
      </c>
      <c r="X166" t="str">
        <f>'LIVE SOURCE'!G166</f>
        <v>RATE-ADJUSTED VETERAN</v>
      </c>
      <c r="Y166" t="str">
        <f>IF(INDEX('Draft Board'!$J$3:$J$232,Q166)="","Available",INDEX('Draft Board'!$J$3:$J$232,Q166))</f>
        <v>Available</v>
      </c>
      <c r="Z166">
        <f t="shared" si="32"/>
        <v>50</v>
      </c>
    </row>
    <row r="167" spans="1:26" x14ac:dyDescent="0.25">
      <c r="A167" t="str">
        <f>'LIVE SOURCE'!A167</f>
        <v>TE</v>
      </c>
      <c r="B167" t="str">
        <f>'LIVE SOURCE'!B167</f>
        <v>Harold Fannin Jr.</v>
      </c>
      <c r="C167" s="4">
        <f>'LIVE SOURCE'!D167</f>
        <v>84.377700000000004</v>
      </c>
      <c r="D167" s="4">
        <f>'Manual Adjustments'!G167</f>
        <v>0</v>
      </c>
      <c r="E167" s="4">
        <f t="shared" si="22"/>
        <v>84.377700000000004</v>
      </c>
      <c r="F167">
        <f>COUNTIFS($A$3:$A$232,A167,$E$3:$E$232,"&gt;"&amp;E167)+COUNTIFS($A$3:A167,A167,$E$3:E167,E167)</f>
        <v>7</v>
      </c>
      <c r="G167" s="4">
        <f>ROUND(INDEX('League Config'!$K$4:$K$9,MATCH(A167,'League Config'!$E$4:$E$9,0))*E167+INDEX('League Config'!$L$4:$L$9,MATCH(A167,'League Config'!$E$4:$E$9,0)),1)</f>
        <v>195.3</v>
      </c>
      <c r="H167">
        <f>INDEX('League Config'!$H$4:$H$9,MATCH(A167,'League Config'!$E$4:$E$9,0))</f>
        <v>13</v>
      </c>
      <c r="I167" s="4">
        <f>INDEX('League Config'!$I$4:$I$9,MATCH(A167,'League Config'!$E$4:$E$9,0))</f>
        <v>179.7</v>
      </c>
      <c r="J167" s="4">
        <f t="shared" si="23"/>
        <v>15.6</v>
      </c>
      <c r="K167" s="4">
        <f t="shared" si="24"/>
        <v>59.36</v>
      </c>
      <c r="L167" s="4">
        <f>MIN(100,MAX(0,(1-(F167-1)/(H167*1.5))*100*INDEX('League Config'!$J$4:$J$9,MATCH(A167,'League Config'!$E$4:$E$9,0))))</f>
        <v>62.307692307692307</v>
      </c>
      <c r="M167">
        <f>IF(A167="K",'League Config'!$B$14,IF(A167="DST",'League Config'!$B$15,IF(A167="QB",'League Config'!$B$16,0)))</f>
        <v>0</v>
      </c>
      <c r="N167" s="4">
        <f t="shared" si="25"/>
        <v>73.561888846153849</v>
      </c>
      <c r="O167" s="9">
        <f t="shared" si="26"/>
        <v>73.561888846153849</v>
      </c>
      <c r="P167" s="6">
        <f>IF(O167="","",COUNTIF($O$3:$O$232,"&gt;"&amp;O167)+COUNTIF($O$3:O167,O167))</f>
        <v>55</v>
      </c>
      <c r="Q167">
        <f t="shared" si="27"/>
        <v>55</v>
      </c>
      <c r="R167" s="4">
        <f>'LIVE SOURCE'!E167</f>
        <v>82.8</v>
      </c>
      <c r="S167" s="4">
        <f t="shared" si="28"/>
        <v>27.799999999999997</v>
      </c>
      <c r="T167" t="str">
        <f>'LIVE SOURCE'!F167</f>
        <v>A</v>
      </c>
      <c r="U167" s="4">
        <f t="shared" si="29"/>
        <v>78.377700000000004</v>
      </c>
      <c r="V167" s="4">
        <f t="shared" si="30"/>
        <v>84.377700000000004</v>
      </c>
      <c r="W167" s="4">
        <f t="shared" si="31"/>
        <v>90.377700000000004</v>
      </c>
      <c r="X167" t="str">
        <f>'LIVE SOURCE'!G167</f>
        <v>RATE-ADJUSTED VETERAN</v>
      </c>
      <c r="Y167" t="str">
        <f>IF(INDEX('Draft Board'!$J$3:$J$232,Q167)="","Available",INDEX('Draft Board'!$J$3:$J$232,Q167))</f>
        <v>Available</v>
      </c>
      <c r="Z167">
        <f t="shared" si="32"/>
        <v>55</v>
      </c>
    </row>
    <row r="168" spans="1:26" x14ac:dyDescent="0.25">
      <c r="A168" t="str">
        <f>'LIVE SOURCE'!A168</f>
        <v>TE</v>
      </c>
      <c r="B168" t="str">
        <f>'LIVE SOURCE'!B168</f>
        <v>Jake Ferguson</v>
      </c>
      <c r="C168" s="4">
        <f>'LIVE SOURCE'!D168</f>
        <v>84.072999999999993</v>
      </c>
      <c r="D168" s="4">
        <f>'Manual Adjustments'!G168</f>
        <v>0</v>
      </c>
      <c r="E168" s="4">
        <f t="shared" si="22"/>
        <v>84.072999999999993</v>
      </c>
      <c r="F168">
        <f>COUNTIFS($A$3:$A$232,A168,$E$3:$E$232,"&gt;"&amp;E168)+COUNTIFS($A$3:A168,A168,$E$3:E168,E168)</f>
        <v>8</v>
      </c>
      <c r="G168" s="4">
        <f>ROUND(INDEX('League Config'!$K$4:$K$9,MATCH(A168,'League Config'!$E$4:$E$9,0))*E168+INDEX('League Config'!$L$4:$L$9,MATCH(A168,'League Config'!$E$4:$E$9,0)),1)</f>
        <v>194.3</v>
      </c>
      <c r="H168">
        <f>INDEX('League Config'!$H$4:$H$9,MATCH(A168,'League Config'!$E$4:$E$9,0))</f>
        <v>13</v>
      </c>
      <c r="I168" s="4">
        <f>INDEX('League Config'!$I$4:$I$9,MATCH(A168,'League Config'!$E$4:$E$9,0))</f>
        <v>179.7</v>
      </c>
      <c r="J168" s="4">
        <f t="shared" si="23"/>
        <v>14.6</v>
      </c>
      <c r="K168" s="4">
        <f t="shared" si="24"/>
        <v>58.76</v>
      </c>
      <c r="L168" s="4">
        <f>MIN(100,MAX(0,(1-(F168-1)/(H168*1.5))*100*INDEX('League Config'!$J$4:$J$9,MATCH(A168,'League Config'!$E$4:$E$9,0))))</f>
        <v>57.692307692307693</v>
      </c>
      <c r="M168">
        <f>IF(A168="K",'League Config'!$B$14,IF(A168="DST",'League Config'!$B$15,IF(A168="QB",'League Config'!$B$16,0)))</f>
        <v>0</v>
      </c>
      <c r="N168" s="4">
        <f t="shared" si="25"/>
        <v>72.521996153846146</v>
      </c>
      <c r="O168" s="9">
        <f t="shared" si="26"/>
        <v>72.521996153846146</v>
      </c>
      <c r="P168" s="6">
        <f>IF(O168="","",COUNTIF($O$3:$O$232,"&gt;"&amp;O168)+COUNTIF($O$3:O168,O168))</f>
        <v>58</v>
      </c>
      <c r="Q168">
        <f t="shared" si="27"/>
        <v>58</v>
      </c>
      <c r="R168" s="4">
        <f>'LIVE SOURCE'!E168</f>
        <v>140.80000000000001</v>
      </c>
      <c r="S168" s="4">
        <f t="shared" si="28"/>
        <v>82.800000000000011</v>
      </c>
      <c r="T168" t="str">
        <f>'LIVE SOURCE'!F168</f>
        <v>A</v>
      </c>
      <c r="U168" s="4">
        <f t="shared" si="29"/>
        <v>78.072999999999993</v>
      </c>
      <c r="V168" s="4">
        <f t="shared" si="30"/>
        <v>84.072999999999993</v>
      </c>
      <c r="W168" s="4">
        <f t="shared" si="31"/>
        <v>90.072999999999993</v>
      </c>
      <c r="X168" t="str">
        <f>'LIVE SOURCE'!G168</f>
        <v>RATE-ADJUSTED VETERAN</v>
      </c>
      <c r="Y168" t="str">
        <f>IF(INDEX('Draft Board'!$J$3:$J$232,Q168)="","Available",INDEX('Draft Board'!$J$3:$J$232,Q168))</f>
        <v>Available</v>
      </c>
      <c r="Z168">
        <f t="shared" si="32"/>
        <v>58</v>
      </c>
    </row>
    <row r="169" spans="1:26" x14ac:dyDescent="0.25">
      <c r="A169" t="str">
        <f>'LIVE SOURCE'!A169</f>
        <v>TE</v>
      </c>
      <c r="B169" t="str">
        <f>'LIVE SOURCE'!B169</f>
        <v>Tucker Kraft</v>
      </c>
      <c r="C169" s="4">
        <f>'LIVE SOURCE'!D169</f>
        <v>83.808599999999998</v>
      </c>
      <c r="D169" s="4">
        <f>'Manual Adjustments'!G169</f>
        <v>0</v>
      </c>
      <c r="E169" s="4">
        <f t="shared" si="22"/>
        <v>83.808599999999998</v>
      </c>
      <c r="F169">
        <f>COUNTIFS($A$3:$A$232,A169,$E$3:$E$232,"&gt;"&amp;E169)+COUNTIFS($A$3:A169,A169,$E$3:E169,E169)</f>
        <v>9</v>
      </c>
      <c r="G169" s="4">
        <f>ROUND(INDEX('League Config'!$K$4:$K$9,MATCH(A169,'League Config'!$E$4:$E$9,0))*E169+INDEX('League Config'!$L$4:$L$9,MATCH(A169,'League Config'!$E$4:$E$9,0)),1)</f>
        <v>193.3</v>
      </c>
      <c r="H169">
        <f>INDEX('League Config'!$H$4:$H$9,MATCH(A169,'League Config'!$E$4:$E$9,0))</f>
        <v>13</v>
      </c>
      <c r="I169" s="4">
        <f>INDEX('League Config'!$I$4:$I$9,MATCH(A169,'League Config'!$E$4:$E$9,0))</f>
        <v>179.7</v>
      </c>
      <c r="J169" s="4">
        <f t="shared" si="23"/>
        <v>13.6</v>
      </c>
      <c r="K169" s="4">
        <f t="shared" si="24"/>
        <v>58.16</v>
      </c>
      <c r="L169" s="4">
        <f>MIN(100,MAX(0,(1-(F169-1)/(H169*1.5))*100*INDEX('League Config'!$J$4:$J$9,MATCH(A169,'League Config'!$E$4:$E$9,0))))</f>
        <v>53.07692307692308</v>
      </c>
      <c r="M169">
        <f>IF(A169="K",'League Config'!$B$14,IF(A169="DST",'League Config'!$B$15,IF(A169="QB",'League Config'!$B$16,0)))</f>
        <v>0</v>
      </c>
      <c r="N169" s="4">
        <f t="shared" si="25"/>
        <v>71.504268461538473</v>
      </c>
      <c r="O169" s="9">
        <f t="shared" si="26"/>
        <v>71.504268461538473</v>
      </c>
      <c r="P169" s="6">
        <f>IF(O169="","",COUNTIF($O$3:$O$232,"&gt;"&amp;O169)+COUNTIF($O$3:O169,O169))</f>
        <v>60</v>
      </c>
      <c r="Q169">
        <f t="shared" si="27"/>
        <v>60</v>
      </c>
      <c r="R169" s="4">
        <f>'LIVE SOURCE'!E169</f>
        <v>108.3</v>
      </c>
      <c r="S169" s="4">
        <f t="shared" si="28"/>
        <v>48.3</v>
      </c>
      <c r="T169" t="str">
        <f>'LIVE SOURCE'!F169</f>
        <v>B</v>
      </c>
      <c r="U169" s="4">
        <f t="shared" si="29"/>
        <v>74.808599999999998</v>
      </c>
      <c r="V169" s="4">
        <f t="shared" si="30"/>
        <v>83.808599999999998</v>
      </c>
      <c r="W169" s="4">
        <f t="shared" si="31"/>
        <v>92.808599999999998</v>
      </c>
      <c r="X169" t="str">
        <f>'LIVE SOURCE'!G169</f>
        <v>RATE-ADJUSTED VETERAN</v>
      </c>
      <c r="Y169" t="str">
        <f>IF(INDEX('Draft Board'!$J$3:$J$232,Q169)="","Available",INDEX('Draft Board'!$J$3:$J$232,Q169))</f>
        <v>Available</v>
      </c>
      <c r="Z169">
        <f t="shared" si="32"/>
        <v>60</v>
      </c>
    </row>
    <row r="170" spans="1:26" x14ac:dyDescent="0.25">
      <c r="A170" t="str">
        <f>'LIVE SOURCE'!A170</f>
        <v>TE</v>
      </c>
      <c r="B170" t="str">
        <f>'LIVE SOURCE'!B170</f>
        <v>Sam LaPorta</v>
      </c>
      <c r="C170" s="4">
        <f>'LIVE SOURCE'!D170</f>
        <v>82.865300000000005</v>
      </c>
      <c r="D170" s="4">
        <f>'Manual Adjustments'!G170</f>
        <v>0</v>
      </c>
      <c r="E170" s="4">
        <f t="shared" si="22"/>
        <v>82.865300000000005</v>
      </c>
      <c r="F170">
        <f>COUNTIFS($A$3:$A$232,A170,$E$3:$E$232,"&gt;"&amp;E170)+COUNTIFS($A$3:A170,A170,$E$3:E170,E170)</f>
        <v>10</v>
      </c>
      <c r="G170" s="4">
        <f>ROUND(INDEX('League Config'!$K$4:$K$9,MATCH(A170,'League Config'!$E$4:$E$9,0))*E170+INDEX('League Config'!$L$4:$L$9,MATCH(A170,'League Config'!$E$4:$E$9,0)),1)</f>
        <v>190</v>
      </c>
      <c r="H170">
        <f>INDEX('League Config'!$H$4:$H$9,MATCH(A170,'League Config'!$E$4:$E$9,0))</f>
        <v>13</v>
      </c>
      <c r="I170" s="4">
        <f>INDEX('League Config'!$I$4:$I$9,MATCH(A170,'League Config'!$E$4:$E$9,0))</f>
        <v>179.7</v>
      </c>
      <c r="J170" s="4">
        <f t="shared" si="23"/>
        <v>10.3</v>
      </c>
      <c r="K170" s="4">
        <f t="shared" si="24"/>
        <v>56.18</v>
      </c>
      <c r="L170" s="4">
        <f>MIN(100,MAX(0,(1-(F170-1)/(H170*1.5))*100*INDEX('League Config'!$J$4:$J$9,MATCH(A170,'League Config'!$E$4:$E$9,0))))</f>
        <v>48.46153846153846</v>
      </c>
      <c r="M170">
        <f>IF(A170="K",'League Config'!$B$14,IF(A170="DST",'League Config'!$B$15,IF(A170="QB",'League Config'!$B$16,0)))</f>
        <v>0</v>
      </c>
      <c r="N170" s="4">
        <f t="shared" si="25"/>
        <v>69.699145769230782</v>
      </c>
      <c r="O170" s="9">
        <f t="shared" si="26"/>
        <v>69.699145769230782</v>
      </c>
      <c r="P170" s="6">
        <f>IF(O170="","",COUNTIF($O$3:$O$232,"&gt;"&amp;O170)+COUNTIF($O$3:O170,O170))</f>
        <v>66</v>
      </c>
      <c r="Q170">
        <f t="shared" si="27"/>
        <v>66</v>
      </c>
      <c r="R170" s="4">
        <f>'LIVE SOURCE'!E170</f>
        <v>88.7</v>
      </c>
      <c r="S170" s="4">
        <f t="shared" si="28"/>
        <v>22.700000000000003</v>
      </c>
      <c r="T170" t="str">
        <f>'LIVE SOURCE'!F170</f>
        <v>B</v>
      </c>
      <c r="U170" s="4">
        <f t="shared" si="29"/>
        <v>73.865300000000005</v>
      </c>
      <c r="V170" s="4">
        <f t="shared" si="30"/>
        <v>82.865300000000005</v>
      </c>
      <c r="W170" s="4">
        <f t="shared" si="31"/>
        <v>91.865300000000005</v>
      </c>
      <c r="X170" t="str">
        <f>'LIVE SOURCE'!G170</f>
        <v>RATE-ADJUSTED VETERAN</v>
      </c>
      <c r="Y170" t="str">
        <f>IF(INDEX('Draft Board'!$J$3:$J$232,Q170)="","Available",INDEX('Draft Board'!$J$3:$J$232,Q170))</f>
        <v>Available</v>
      </c>
      <c r="Z170">
        <f t="shared" si="32"/>
        <v>66</v>
      </c>
    </row>
    <row r="171" spans="1:26" x14ac:dyDescent="0.25">
      <c r="A171" t="str">
        <f>'LIVE SOURCE'!A171</f>
        <v>TE</v>
      </c>
      <c r="B171" t="str">
        <f>'LIVE SOURCE'!B171</f>
        <v>Dalton Kincaid</v>
      </c>
      <c r="C171" s="4">
        <f>'LIVE SOURCE'!D171</f>
        <v>81.914100000000005</v>
      </c>
      <c r="D171" s="4">
        <f>'Manual Adjustments'!G171</f>
        <v>0</v>
      </c>
      <c r="E171" s="4">
        <f t="shared" si="22"/>
        <v>81.914100000000005</v>
      </c>
      <c r="F171">
        <f>COUNTIFS($A$3:$A$232,A171,$E$3:$E$232,"&gt;"&amp;E171)+COUNTIFS($A$3:A171,A171,$E$3:E171,E171)</f>
        <v>11</v>
      </c>
      <c r="G171" s="4">
        <f>ROUND(INDEX('League Config'!$K$4:$K$9,MATCH(A171,'League Config'!$E$4:$E$9,0))*E171+INDEX('League Config'!$L$4:$L$9,MATCH(A171,'League Config'!$E$4:$E$9,0)),1)</f>
        <v>186.7</v>
      </c>
      <c r="H171">
        <f>INDEX('League Config'!$H$4:$H$9,MATCH(A171,'League Config'!$E$4:$E$9,0))</f>
        <v>13</v>
      </c>
      <c r="I171" s="4">
        <f>INDEX('League Config'!$I$4:$I$9,MATCH(A171,'League Config'!$E$4:$E$9,0))</f>
        <v>179.7</v>
      </c>
      <c r="J171" s="4">
        <f t="shared" si="23"/>
        <v>7</v>
      </c>
      <c r="K171" s="4">
        <f t="shared" si="24"/>
        <v>54.2</v>
      </c>
      <c r="L171" s="4">
        <f>MIN(100,MAX(0,(1-(F171-1)/(H171*1.5))*100*INDEX('League Config'!$J$4:$J$9,MATCH(A171,'League Config'!$E$4:$E$9,0))))</f>
        <v>43.846153846153854</v>
      </c>
      <c r="M171">
        <f>IF(A171="K",'League Config'!$B$14,IF(A171="DST",'League Config'!$B$15,IF(A171="QB",'League Config'!$B$16,0)))</f>
        <v>0</v>
      </c>
      <c r="N171" s="4">
        <f t="shared" si="25"/>
        <v>67.88967807692309</v>
      </c>
      <c r="O171" s="9">
        <f t="shared" si="26"/>
        <v>67.88967807692309</v>
      </c>
      <c r="P171" s="6">
        <f>IF(O171="","",COUNTIF($O$3:$O$232,"&gt;"&amp;O171)+COUNTIF($O$3:O171,O171))</f>
        <v>69</v>
      </c>
      <c r="Q171">
        <f t="shared" si="27"/>
        <v>69</v>
      </c>
      <c r="R171" s="4">
        <f>'LIVE SOURCE'!E171</f>
        <v>152</v>
      </c>
      <c r="S171" s="4">
        <f t="shared" si="28"/>
        <v>83</v>
      </c>
      <c r="T171" t="str">
        <f>'LIVE SOURCE'!F171</f>
        <v>A</v>
      </c>
      <c r="U171" s="4">
        <f t="shared" si="29"/>
        <v>75.914100000000005</v>
      </c>
      <c r="V171" s="4">
        <f t="shared" si="30"/>
        <v>81.914100000000005</v>
      </c>
      <c r="W171" s="4">
        <f t="shared" si="31"/>
        <v>87.914100000000005</v>
      </c>
      <c r="X171" t="str">
        <f>'LIVE SOURCE'!G171</f>
        <v>RATE-ADJUSTED VETERAN</v>
      </c>
      <c r="Y171" t="str">
        <f>IF(INDEX('Draft Board'!$J$3:$J$232,Q171)="","Available",INDEX('Draft Board'!$J$3:$J$232,Q171))</f>
        <v>Available</v>
      </c>
      <c r="Z171">
        <f t="shared" si="32"/>
        <v>69</v>
      </c>
    </row>
    <row r="172" spans="1:26" x14ac:dyDescent="0.25">
      <c r="A172" t="str">
        <f>'LIVE SOURCE'!A172</f>
        <v>TE</v>
      </c>
      <c r="B172" t="str">
        <f>'LIVE SOURCE'!B172</f>
        <v>Travis Kelce</v>
      </c>
      <c r="C172" s="4">
        <f>'LIVE SOURCE'!D172</f>
        <v>81.747799999999998</v>
      </c>
      <c r="D172" s="4">
        <f>'Manual Adjustments'!G172</f>
        <v>0</v>
      </c>
      <c r="E172" s="4">
        <f t="shared" si="22"/>
        <v>81.747799999999998</v>
      </c>
      <c r="F172">
        <f>COUNTIFS($A$3:$A$232,A172,$E$3:$E$232,"&gt;"&amp;E172)+COUNTIFS($A$3:A172,A172,$E$3:E172,E172)</f>
        <v>12</v>
      </c>
      <c r="G172" s="4">
        <f>ROUND(INDEX('League Config'!$K$4:$K$9,MATCH(A172,'League Config'!$E$4:$E$9,0))*E172+INDEX('League Config'!$L$4:$L$9,MATCH(A172,'League Config'!$E$4:$E$9,0)),1)</f>
        <v>186.1</v>
      </c>
      <c r="H172">
        <f>INDEX('League Config'!$H$4:$H$9,MATCH(A172,'League Config'!$E$4:$E$9,0))</f>
        <v>13</v>
      </c>
      <c r="I172" s="4">
        <f>INDEX('League Config'!$I$4:$I$9,MATCH(A172,'League Config'!$E$4:$E$9,0))</f>
        <v>179.7</v>
      </c>
      <c r="J172" s="4">
        <f t="shared" si="23"/>
        <v>6.4</v>
      </c>
      <c r="K172" s="4">
        <f t="shared" si="24"/>
        <v>53.84</v>
      </c>
      <c r="L172" s="4">
        <f>MIN(100,MAX(0,(1-(F172-1)/(H172*1.5))*100*INDEX('League Config'!$J$4:$J$9,MATCH(A172,'League Config'!$E$4:$E$9,0))))</f>
        <v>39.230769230769234</v>
      </c>
      <c r="M172">
        <f>IF(A172="K",'League Config'!$B$14,IF(A172="DST",'League Config'!$B$15,IF(A172="QB",'League Config'!$B$16,0)))</f>
        <v>0</v>
      </c>
      <c r="N172" s="4">
        <f t="shared" si="25"/>
        <v>66.997905384615393</v>
      </c>
      <c r="O172" s="9">
        <f t="shared" si="26"/>
        <v>66.997905384615393</v>
      </c>
      <c r="P172" s="6">
        <f>IF(O172="","",COUNTIF($O$3:$O$232,"&gt;"&amp;O172)+COUNTIF($O$3:O172,O172))</f>
        <v>74</v>
      </c>
      <c r="Q172">
        <f t="shared" si="27"/>
        <v>74</v>
      </c>
      <c r="R172" s="4">
        <f>'LIVE SOURCE'!E172</f>
        <v>108.7</v>
      </c>
      <c r="S172" s="4">
        <f t="shared" si="28"/>
        <v>34.700000000000003</v>
      </c>
      <c r="T172" t="str">
        <f>'LIVE SOURCE'!F172</f>
        <v>A</v>
      </c>
      <c r="U172" s="4">
        <f t="shared" si="29"/>
        <v>75.747799999999998</v>
      </c>
      <c r="V172" s="4">
        <f t="shared" si="30"/>
        <v>81.747799999999998</v>
      </c>
      <c r="W172" s="4">
        <f t="shared" si="31"/>
        <v>87.747799999999998</v>
      </c>
      <c r="X172" t="str">
        <f>'LIVE SOURCE'!G172</f>
        <v>RATE-ADJUSTED VETERAN</v>
      </c>
      <c r="Y172" t="str">
        <f>IF(INDEX('Draft Board'!$J$3:$J$232,Q172)="","Available",INDEX('Draft Board'!$J$3:$J$232,Q172))</f>
        <v>Available</v>
      </c>
      <c r="Z172">
        <f t="shared" si="32"/>
        <v>74</v>
      </c>
    </row>
    <row r="173" spans="1:26" x14ac:dyDescent="0.25">
      <c r="A173" t="str">
        <f>'LIVE SOURCE'!A173</f>
        <v>TE</v>
      </c>
      <c r="B173" t="str">
        <f>'LIVE SOURCE'!B173</f>
        <v>Dallas Goedert</v>
      </c>
      <c r="C173" s="4">
        <f>'LIVE SOURCE'!D173</f>
        <v>79.918099999999995</v>
      </c>
      <c r="D173" s="4">
        <f>'Manual Adjustments'!G173</f>
        <v>0</v>
      </c>
      <c r="E173" s="4">
        <f t="shared" si="22"/>
        <v>79.918099999999995</v>
      </c>
      <c r="F173">
        <f>COUNTIFS($A$3:$A$232,A173,$E$3:$E$232,"&gt;"&amp;E173)+COUNTIFS($A$3:A173,A173,$E$3:E173,E173)</f>
        <v>13</v>
      </c>
      <c r="G173" s="4">
        <f>ROUND(INDEX('League Config'!$K$4:$K$9,MATCH(A173,'League Config'!$E$4:$E$9,0))*E173+INDEX('League Config'!$L$4:$L$9,MATCH(A173,'League Config'!$E$4:$E$9,0)),1)</f>
        <v>179.7</v>
      </c>
      <c r="H173">
        <f>INDEX('League Config'!$H$4:$H$9,MATCH(A173,'League Config'!$E$4:$E$9,0))</f>
        <v>13</v>
      </c>
      <c r="I173" s="4">
        <f>INDEX('League Config'!$I$4:$I$9,MATCH(A173,'League Config'!$E$4:$E$9,0))</f>
        <v>179.7</v>
      </c>
      <c r="J173" s="4">
        <f t="shared" si="23"/>
        <v>0</v>
      </c>
      <c r="K173" s="4">
        <f t="shared" si="24"/>
        <v>50</v>
      </c>
      <c r="L173" s="4">
        <f>MIN(100,MAX(0,(1-(F173-1)/(H173*1.5))*100*INDEX('League Config'!$J$4:$J$9,MATCH(A173,'League Config'!$E$4:$E$9,0))))</f>
        <v>34.615384615384613</v>
      </c>
      <c r="M173">
        <f>IF(A173="K",'League Config'!$B$14,IF(A173="DST",'League Config'!$B$15,IF(A173="QB",'League Config'!$B$16,0)))</f>
        <v>0</v>
      </c>
      <c r="N173" s="4">
        <f t="shared" si="25"/>
        <v>64.147262692307692</v>
      </c>
      <c r="O173" s="9">
        <f t="shared" si="26"/>
        <v>64.147262692307692</v>
      </c>
      <c r="P173" s="6">
        <f>IF(O173="","",COUNTIF($O$3:$O$232,"&gt;"&amp;O173)+COUNTIF($O$3:O173,O173))</f>
        <v>83</v>
      </c>
      <c r="Q173">
        <f t="shared" si="27"/>
        <v>83</v>
      </c>
      <c r="R173" s="4">
        <f>'LIVE SOURCE'!E173</f>
        <v>103.9</v>
      </c>
      <c r="S173" s="4">
        <f t="shared" si="28"/>
        <v>20.900000000000006</v>
      </c>
      <c r="T173" t="str">
        <f>'LIVE SOURCE'!F173</f>
        <v>A</v>
      </c>
      <c r="U173" s="4">
        <f t="shared" si="29"/>
        <v>73.918099999999995</v>
      </c>
      <c r="V173" s="4">
        <f t="shared" si="30"/>
        <v>79.918099999999995</v>
      </c>
      <c r="W173" s="4">
        <f t="shared" si="31"/>
        <v>85.918099999999995</v>
      </c>
      <c r="X173" t="str">
        <f>'LIVE SOURCE'!G173</f>
        <v>RATE-ADJUSTED VETERAN</v>
      </c>
      <c r="Y173" t="str">
        <f>IF(INDEX('Draft Board'!$J$3:$J$232,Q173)="","Available",INDEX('Draft Board'!$J$3:$J$232,Q173))</f>
        <v>Available</v>
      </c>
      <c r="Z173">
        <f t="shared" si="32"/>
        <v>83</v>
      </c>
    </row>
    <row r="174" spans="1:26" x14ac:dyDescent="0.25">
      <c r="A174" t="str">
        <f>'LIVE SOURCE'!A174</f>
        <v>TE</v>
      </c>
      <c r="B174" t="str">
        <f>'LIVE SOURCE'!B174</f>
        <v>Mark Andrews</v>
      </c>
      <c r="C174" s="4">
        <f>'LIVE SOURCE'!D174</f>
        <v>79.065399999999997</v>
      </c>
      <c r="D174" s="4">
        <f>'Manual Adjustments'!G174</f>
        <v>0</v>
      </c>
      <c r="E174" s="4">
        <f t="shared" si="22"/>
        <v>79.065399999999997</v>
      </c>
      <c r="F174">
        <f>COUNTIFS($A$3:$A$232,A174,$E$3:$E$232,"&gt;"&amp;E174)+COUNTIFS($A$3:A174,A174,$E$3:E174,E174)</f>
        <v>14</v>
      </c>
      <c r="G174" s="4">
        <f>ROUND(INDEX('League Config'!$K$4:$K$9,MATCH(A174,'League Config'!$E$4:$E$9,0))*E174+INDEX('League Config'!$L$4:$L$9,MATCH(A174,'League Config'!$E$4:$E$9,0)),1)</f>
        <v>176.7</v>
      </c>
      <c r="H174">
        <f>INDEX('League Config'!$H$4:$H$9,MATCH(A174,'League Config'!$E$4:$E$9,0))</f>
        <v>13</v>
      </c>
      <c r="I174" s="4">
        <f>INDEX('League Config'!$I$4:$I$9,MATCH(A174,'League Config'!$E$4:$E$9,0))</f>
        <v>179.7</v>
      </c>
      <c r="J174" s="4">
        <f t="shared" si="23"/>
        <v>-3</v>
      </c>
      <c r="K174" s="4">
        <f t="shared" si="24"/>
        <v>48.2</v>
      </c>
      <c r="L174" s="4">
        <f>MIN(100,MAX(0,(1-(F174-1)/(H174*1.5))*100*INDEX('League Config'!$J$4:$J$9,MATCH(A174,'League Config'!$E$4:$E$9,0))))</f>
        <v>30.000000000000004</v>
      </c>
      <c r="M174">
        <f>IF(A174="K",'League Config'!$B$14,IF(A174="DST",'League Config'!$B$15,IF(A174="QB",'League Config'!$B$16,0)))</f>
        <v>0</v>
      </c>
      <c r="N174" s="4">
        <f t="shared" si="25"/>
        <v>62.445970000000003</v>
      </c>
      <c r="O174" s="9">
        <f t="shared" si="26"/>
        <v>62.445970000000003</v>
      </c>
      <c r="P174" s="6">
        <f>IF(O174="","",COUNTIF($O$3:$O$232,"&gt;"&amp;O174)+COUNTIF($O$3:O174,O174))</f>
        <v>89</v>
      </c>
      <c r="Q174">
        <f t="shared" si="27"/>
        <v>89</v>
      </c>
      <c r="R174" s="4">
        <f>'LIVE SOURCE'!E174</f>
        <v>145</v>
      </c>
      <c r="S174" s="4">
        <f t="shared" si="28"/>
        <v>56</v>
      </c>
      <c r="T174" t="str">
        <f>'LIVE SOURCE'!F174</f>
        <v>A</v>
      </c>
      <c r="U174" s="4">
        <f t="shared" si="29"/>
        <v>73.065399999999997</v>
      </c>
      <c r="V174" s="4">
        <f t="shared" si="30"/>
        <v>79.065399999999997</v>
      </c>
      <c r="W174" s="4">
        <f t="shared" si="31"/>
        <v>85.065399999999997</v>
      </c>
      <c r="X174" t="str">
        <f>'LIVE SOURCE'!G174</f>
        <v>RATE-ADJUSTED VETERAN</v>
      </c>
      <c r="Y174" t="str">
        <f>IF(INDEX('Draft Board'!$J$3:$J$232,Q174)="","Available",INDEX('Draft Board'!$J$3:$J$232,Q174))</f>
        <v>Available</v>
      </c>
      <c r="Z174">
        <f t="shared" si="32"/>
        <v>89</v>
      </c>
    </row>
    <row r="175" spans="1:26" x14ac:dyDescent="0.25">
      <c r="A175" t="str">
        <f>'LIVE SOURCE'!A175</f>
        <v>TE</v>
      </c>
      <c r="B175" t="str">
        <f>'LIVE SOURCE'!B175</f>
        <v>Isaiah Likely</v>
      </c>
      <c r="C175" s="4">
        <f>'LIVE SOURCE'!D175</f>
        <v>78.579499999999996</v>
      </c>
      <c r="D175" s="4">
        <f>'Manual Adjustments'!G175</f>
        <v>0</v>
      </c>
      <c r="E175" s="4">
        <f t="shared" si="22"/>
        <v>78.579499999999996</v>
      </c>
      <c r="F175">
        <f>COUNTIFS($A$3:$A$232,A175,$E$3:$E$232,"&gt;"&amp;E175)+COUNTIFS($A$3:A175,A175,$E$3:E175,E175)</f>
        <v>15</v>
      </c>
      <c r="G175" s="4">
        <f>ROUND(INDEX('League Config'!$K$4:$K$9,MATCH(A175,'League Config'!$E$4:$E$9,0))*E175+INDEX('League Config'!$L$4:$L$9,MATCH(A175,'League Config'!$E$4:$E$9,0)),1)</f>
        <v>175</v>
      </c>
      <c r="H175">
        <f>INDEX('League Config'!$H$4:$H$9,MATCH(A175,'League Config'!$E$4:$E$9,0))</f>
        <v>13</v>
      </c>
      <c r="I175" s="4">
        <f>INDEX('League Config'!$I$4:$I$9,MATCH(A175,'League Config'!$E$4:$E$9,0))</f>
        <v>179.7</v>
      </c>
      <c r="J175" s="4">
        <f t="shared" si="23"/>
        <v>-4.7</v>
      </c>
      <c r="K175" s="4">
        <f t="shared" si="24"/>
        <v>47.18</v>
      </c>
      <c r="L175" s="4">
        <f>MIN(100,MAX(0,(1-(F175-1)/(H175*1.5))*100*INDEX('League Config'!$J$4:$J$9,MATCH(A175,'League Config'!$E$4:$E$9,0))))</f>
        <v>25.384615384615383</v>
      </c>
      <c r="M175">
        <f>IF(A175="K",'League Config'!$B$14,IF(A175="DST",'League Config'!$B$15,IF(A175="QB",'League Config'!$B$16,0)))</f>
        <v>0</v>
      </c>
      <c r="N175" s="4">
        <f t="shared" si="25"/>
        <v>61.180417307692309</v>
      </c>
      <c r="O175" s="9">
        <f t="shared" si="26"/>
        <v>61.180417307692309</v>
      </c>
      <c r="P175" s="6">
        <f>IF(O175="","",COUNTIF($O$3:$O$232,"&gt;"&amp;O175)+COUNTIF($O$3:O175,O175))</f>
        <v>94</v>
      </c>
      <c r="Q175">
        <f t="shared" si="27"/>
        <v>94</v>
      </c>
      <c r="R175" s="4">
        <f>'LIVE SOURCE'!E175</f>
        <v>133.1</v>
      </c>
      <c r="S175" s="4">
        <f t="shared" si="28"/>
        <v>39.099999999999994</v>
      </c>
      <c r="T175" t="str">
        <f>'LIVE SOURCE'!F175</f>
        <v>A</v>
      </c>
      <c r="U175" s="4">
        <f t="shared" si="29"/>
        <v>72.579499999999996</v>
      </c>
      <c r="V175" s="4">
        <f t="shared" si="30"/>
        <v>78.579499999999996</v>
      </c>
      <c r="W175" s="4">
        <f t="shared" si="31"/>
        <v>84.579499999999996</v>
      </c>
      <c r="X175" t="str">
        <f>'LIVE SOURCE'!G175</f>
        <v>RATE-ADJUSTED VETERAN</v>
      </c>
      <c r="Y175" t="str">
        <f>IF(INDEX('Draft Board'!$J$3:$J$232,Q175)="","Available",INDEX('Draft Board'!$J$3:$J$232,Q175))</f>
        <v>Available</v>
      </c>
      <c r="Z175">
        <f t="shared" si="32"/>
        <v>94</v>
      </c>
    </row>
    <row r="176" spans="1:26" x14ac:dyDescent="0.25">
      <c r="A176" t="str">
        <f>'LIVE SOURCE'!A176</f>
        <v>TE</v>
      </c>
      <c r="B176" t="str">
        <f>'LIVE SOURCE'!B176</f>
        <v>Juwan Johnson</v>
      </c>
      <c r="C176" s="4">
        <f>'LIVE SOURCE'!D176</f>
        <v>78.320300000000003</v>
      </c>
      <c r="D176" s="4">
        <f>'Manual Adjustments'!G176</f>
        <v>0</v>
      </c>
      <c r="E176" s="4">
        <f t="shared" si="22"/>
        <v>78.320300000000003</v>
      </c>
      <c r="F176">
        <f>COUNTIFS($A$3:$A$232,A176,$E$3:$E$232,"&gt;"&amp;E176)+COUNTIFS($A$3:A176,A176,$E$3:E176,E176)</f>
        <v>16</v>
      </c>
      <c r="G176" s="4">
        <f>ROUND(INDEX('League Config'!$K$4:$K$9,MATCH(A176,'League Config'!$E$4:$E$9,0))*E176+INDEX('League Config'!$L$4:$L$9,MATCH(A176,'League Config'!$E$4:$E$9,0)),1)</f>
        <v>174.1</v>
      </c>
      <c r="H176">
        <f>INDEX('League Config'!$H$4:$H$9,MATCH(A176,'League Config'!$E$4:$E$9,0))</f>
        <v>13</v>
      </c>
      <c r="I176" s="4">
        <f>INDEX('League Config'!$I$4:$I$9,MATCH(A176,'League Config'!$E$4:$E$9,0))</f>
        <v>179.7</v>
      </c>
      <c r="J176" s="4">
        <f t="shared" si="23"/>
        <v>-5.6</v>
      </c>
      <c r="K176" s="4">
        <f t="shared" si="24"/>
        <v>46.64</v>
      </c>
      <c r="L176" s="4">
        <f>MIN(100,MAX(0,(1-(F176-1)/(H176*1.5))*100*INDEX('League Config'!$J$4:$J$9,MATCH(A176,'League Config'!$E$4:$E$9,0))))</f>
        <v>20.769230769230766</v>
      </c>
      <c r="M176">
        <f>IF(A176="K",'League Config'!$B$14,IF(A176="DST",'League Config'!$B$15,IF(A176="QB",'League Config'!$B$16,0)))</f>
        <v>0</v>
      </c>
      <c r="N176" s="4">
        <f t="shared" si="25"/>
        <v>60.183549615384614</v>
      </c>
      <c r="O176" s="9">
        <f t="shared" si="26"/>
        <v>60.183549615384614</v>
      </c>
      <c r="P176" s="6">
        <f>IF(O176="","",COUNTIF($O$3:$O$232,"&gt;"&amp;O176)+COUNTIF($O$3:O176,O176))</f>
        <v>97</v>
      </c>
      <c r="Q176">
        <f t="shared" si="27"/>
        <v>97</v>
      </c>
      <c r="R176" s="4">
        <f>'LIVE SOURCE'!E176</f>
        <v>159.19999999999999</v>
      </c>
      <c r="S176" s="4">
        <f t="shared" si="28"/>
        <v>62.199999999999989</v>
      </c>
      <c r="T176" t="str">
        <f>'LIVE SOURCE'!F176</f>
        <v>A</v>
      </c>
      <c r="U176" s="4">
        <f t="shared" si="29"/>
        <v>72.320300000000003</v>
      </c>
      <c r="V176" s="4">
        <f t="shared" si="30"/>
        <v>78.320300000000003</v>
      </c>
      <c r="W176" s="4">
        <f t="shared" si="31"/>
        <v>84.320300000000003</v>
      </c>
      <c r="X176" t="str">
        <f>'LIVE SOURCE'!G176</f>
        <v>RATE-ADJUSTED VETERAN</v>
      </c>
      <c r="Y176" t="str">
        <f>IF(INDEX('Draft Board'!$J$3:$J$232,Q176)="","Available",INDEX('Draft Board'!$J$3:$J$232,Q176))</f>
        <v>Available</v>
      </c>
      <c r="Z176">
        <f t="shared" si="32"/>
        <v>97</v>
      </c>
    </row>
    <row r="177" spans="1:26" x14ac:dyDescent="0.25">
      <c r="A177" t="str">
        <f>'LIVE SOURCE'!A177</f>
        <v>TE</v>
      </c>
      <c r="B177" t="str">
        <f>'LIVE SOURCE'!B177</f>
        <v>Hunter Henry</v>
      </c>
      <c r="C177" s="4">
        <f>'LIVE SOURCE'!D177</f>
        <v>76.252600000000001</v>
      </c>
      <c r="D177" s="4">
        <f>'Manual Adjustments'!G177</f>
        <v>0</v>
      </c>
      <c r="E177" s="4">
        <f t="shared" si="22"/>
        <v>76.252600000000001</v>
      </c>
      <c r="F177">
        <f>COUNTIFS($A$3:$A$232,A177,$E$3:$E$232,"&gt;"&amp;E177)+COUNTIFS($A$3:A177,A177,$E$3:E177,E177)</f>
        <v>17</v>
      </c>
      <c r="G177" s="4">
        <f>ROUND(INDEX('League Config'!$K$4:$K$9,MATCH(A177,'League Config'!$E$4:$E$9,0))*E177+INDEX('League Config'!$L$4:$L$9,MATCH(A177,'League Config'!$E$4:$E$9,0)),1)</f>
        <v>166.9</v>
      </c>
      <c r="H177">
        <f>INDEX('League Config'!$H$4:$H$9,MATCH(A177,'League Config'!$E$4:$E$9,0))</f>
        <v>13</v>
      </c>
      <c r="I177" s="4">
        <f>INDEX('League Config'!$I$4:$I$9,MATCH(A177,'League Config'!$E$4:$E$9,0))</f>
        <v>179.7</v>
      </c>
      <c r="J177" s="4">
        <f t="shared" si="23"/>
        <v>-12.8</v>
      </c>
      <c r="K177" s="4">
        <f t="shared" si="24"/>
        <v>42.32</v>
      </c>
      <c r="L177" s="4">
        <f>MIN(100,MAX(0,(1-(F177-1)/(H177*1.5))*100*INDEX('League Config'!$J$4:$J$9,MATCH(A177,'League Config'!$E$4:$E$9,0))))</f>
        <v>16.153846153846157</v>
      </c>
      <c r="M177">
        <f>IF(A177="K",'League Config'!$B$14,IF(A177="DST",'League Config'!$B$15,IF(A177="QB",'League Config'!$B$16,0)))</f>
        <v>0</v>
      </c>
      <c r="N177" s="4">
        <f t="shared" si="25"/>
        <v>57.058006923076931</v>
      </c>
      <c r="O177" s="9">
        <f t="shared" si="26"/>
        <v>57.058006923076931</v>
      </c>
      <c r="P177" s="6">
        <f>IF(O177="","",COUNTIF($O$3:$O$232,"&gt;"&amp;O177)+COUNTIF($O$3:O177,O177))</f>
        <v>105</v>
      </c>
      <c r="Q177">
        <f t="shared" si="27"/>
        <v>105</v>
      </c>
      <c r="R177" s="4">
        <f>'LIVE SOURCE'!E177</f>
        <v>156.6</v>
      </c>
      <c r="S177" s="4">
        <f t="shared" si="28"/>
        <v>51.599999999999994</v>
      </c>
      <c r="T177" t="str">
        <f>'LIVE SOURCE'!F177</f>
        <v>A</v>
      </c>
      <c r="U177" s="4">
        <f t="shared" si="29"/>
        <v>70.252600000000001</v>
      </c>
      <c r="V177" s="4">
        <f t="shared" si="30"/>
        <v>76.252600000000001</v>
      </c>
      <c r="W177" s="4">
        <f t="shared" si="31"/>
        <v>82.252600000000001</v>
      </c>
      <c r="X177" t="str">
        <f>'LIVE SOURCE'!G177</f>
        <v>RATE-ADJUSTED VETERAN</v>
      </c>
      <c r="Y177" t="str">
        <f>IF(INDEX('Draft Board'!$J$3:$J$232,Q177)="","Available",INDEX('Draft Board'!$J$3:$J$232,Q177))</f>
        <v>Available</v>
      </c>
      <c r="Z177">
        <f t="shared" si="32"/>
        <v>105</v>
      </c>
    </row>
    <row r="178" spans="1:26" x14ac:dyDescent="0.25">
      <c r="A178" t="str">
        <f>'LIVE SOURCE'!A178</f>
        <v>TE</v>
      </c>
      <c r="B178" t="str">
        <f>'LIVE SOURCE'!B178</f>
        <v>Brenton Strange</v>
      </c>
      <c r="C178" s="4">
        <f>'LIVE SOURCE'!D178</f>
        <v>76.0321</v>
      </c>
      <c r="D178" s="4">
        <f>'Manual Adjustments'!G178</f>
        <v>0</v>
      </c>
      <c r="E178" s="4">
        <f t="shared" si="22"/>
        <v>76.0321</v>
      </c>
      <c r="F178">
        <f>COUNTIFS($A$3:$A$232,A178,$E$3:$E$232,"&gt;"&amp;E178)+COUNTIFS($A$3:A178,A178,$E$3:E178,E178)</f>
        <v>18</v>
      </c>
      <c r="G178" s="4">
        <f>ROUND(INDEX('League Config'!$K$4:$K$9,MATCH(A178,'League Config'!$E$4:$E$9,0))*E178+INDEX('League Config'!$L$4:$L$9,MATCH(A178,'League Config'!$E$4:$E$9,0)),1)</f>
        <v>166.1</v>
      </c>
      <c r="H178">
        <f>INDEX('League Config'!$H$4:$H$9,MATCH(A178,'League Config'!$E$4:$E$9,0))</f>
        <v>13</v>
      </c>
      <c r="I178" s="4">
        <f>INDEX('League Config'!$I$4:$I$9,MATCH(A178,'League Config'!$E$4:$E$9,0))</f>
        <v>179.7</v>
      </c>
      <c r="J178" s="4">
        <f t="shared" si="23"/>
        <v>-13.6</v>
      </c>
      <c r="K178" s="4">
        <f t="shared" si="24"/>
        <v>41.84</v>
      </c>
      <c r="L178" s="4">
        <f>MIN(100,MAX(0,(1-(F178-1)/(H178*1.5))*100*INDEX('League Config'!$J$4:$J$9,MATCH(A178,'League Config'!$E$4:$E$9,0))))</f>
        <v>11.538461538461538</v>
      </c>
      <c r="M178">
        <f>IF(A178="K",'League Config'!$B$14,IF(A178="DST",'League Config'!$B$15,IF(A178="QB",'League Config'!$B$16,0)))</f>
        <v>0</v>
      </c>
      <c r="N178" s="4">
        <f t="shared" si="25"/>
        <v>56.100424230769235</v>
      </c>
      <c r="O178" s="9">
        <f t="shared" si="26"/>
        <v>56.100424230769235</v>
      </c>
      <c r="P178" s="6">
        <f>IF(O178="","",COUNTIF($O$3:$O$232,"&gt;"&amp;O178)+COUNTIF($O$3:O178,O178))</f>
        <v>108</v>
      </c>
      <c r="Q178">
        <f t="shared" si="27"/>
        <v>108</v>
      </c>
      <c r="R178" s="4">
        <f>'LIVE SOURCE'!E178</f>
        <v>165</v>
      </c>
      <c r="S178" s="4">
        <f t="shared" si="28"/>
        <v>57</v>
      </c>
      <c r="T178" t="str">
        <f>'LIVE SOURCE'!F178</f>
        <v>A</v>
      </c>
      <c r="U178" s="4">
        <f t="shared" si="29"/>
        <v>70.0321</v>
      </c>
      <c r="V178" s="4">
        <f t="shared" si="30"/>
        <v>76.0321</v>
      </c>
      <c r="W178" s="4">
        <f t="shared" si="31"/>
        <v>82.0321</v>
      </c>
      <c r="X178" t="str">
        <f>'LIVE SOURCE'!G178</f>
        <v>RATE-ADJUSTED VETERAN</v>
      </c>
      <c r="Y178" t="str">
        <f>IF(INDEX('Draft Board'!$J$3:$J$232,Q178)="","Available",INDEX('Draft Board'!$J$3:$J$232,Q178))</f>
        <v>Available</v>
      </c>
      <c r="Z178">
        <f t="shared" si="32"/>
        <v>108</v>
      </c>
    </row>
    <row r="179" spans="1:26" x14ac:dyDescent="0.25">
      <c r="A179" t="str">
        <f>'LIVE SOURCE'!A179</f>
        <v>TE</v>
      </c>
      <c r="B179" t="str">
        <f>'LIVE SOURCE'!B179</f>
        <v>Chig Okonkwo</v>
      </c>
      <c r="C179" s="4">
        <f>'LIVE SOURCE'!D179</f>
        <v>75.513199999999998</v>
      </c>
      <c r="D179" s="4">
        <f>'Manual Adjustments'!G179</f>
        <v>0</v>
      </c>
      <c r="E179" s="4">
        <f t="shared" si="22"/>
        <v>75.513199999999998</v>
      </c>
      <c r="F179">
        <f>COUNTIFS($A$3:$A$232,A179,$E$3:$E$232,"&gt;"&amp;E179)+COUNTIFS($A$3:A179,A179,$E$3:E179,E179)</f>
        <v>19</v>
      </c>
      <c r="G179" s="4">
        <f>ROUND(INDEX('League Config'!$K$4:$K$9,MATCH(A179,'League Config'!$E$4:$E$9,0))*E179+INDEX('League Config'!$L$4:$L$9,MATCH(A179,'League Config'!$E$4:$E$9,0)),1)</f>
        <v>164.3</v>
      </c>
      <c r="H179">
        <f>INDEX('League Config'!$H$4:$H$9,MATCH(A179,'League Config'!$E$4:$E$9,0))</f>
        <v>13</v>
      </c>
      <c r="I179" s="4">
        <f>INDEX('League Config'!$I$4:$I$9,MATCH(A179,'League Config'!$E$4:$E$9,0))</f>
        <v>179.7</v>
      </c>
      <c r="J179" s="4">
        <f t="shared" si="23"/>
        <v>-15.4</v>
      </c>
      <c r="K179" s="4">
        <f t="shared" si="24"/>
        <v>40.76</v>
      </c>
      <c r="L179" s="4">
        <f>MIN(100,MAX(0,(1-(F179-1)/(H179*1.5))*100*INDEX('League Config'!$J$4:$J$9,MATCH(A179,'League Config'!$E$4:$E$9,0))))</f>
        <v>6.9230769230769189</v>
      </c>
      <c r="M179">
        <f>IF(A179="K",'League Config'!$B$14,IF(A179="DST",'League Config'!$B$15,IF(A179="QB",'League Config'!$B$16,0)))</f>
        <v>0</v>
      </c>
      <c r="N179" s="4">
        <f t="shared" si="25"/>
        <v>54.798721538461542</v>
      </c>
      <c r="O179" s="9">
        <f t="shared" si="26"/>
        <v>54.798721538461542</v>
      </c>
      <c r="P179" s="6">
        <f>IF(O179="","",COUNTIF($O$3:$O$232,"&gt;"&amp;O179)+COUNTIF($O$3:O179,O179))</f>
        <v>112</v>
      </c>
      <c r="Q179">
        <f t="shared" si="27"/>
        <v>112</v>
      </c>
      <c r="R179" s="4">
        <f>'LIVE SOURCE'!E179</f>
        <v>162.19999999999999</v>
      </c>
      <c r="S179" s="4">
        <f t="shared" si="28"/>
        <v>50.199999999999989</v>
      </c>
      <c r="T179" t="str">
        <f>'LIVE SOURCE'!F179</f>
        <v>A</v>
      </c>
      <c r="U179" s="4">
        <f t="shared" si="29"/>
        <v>69.513199999999998</v>
      </c>
      <c r="V179" s="4">
        <f t="shared" si="30"/>
        <v>75.513199999999998</v>
      </c>
      <c r="W179" s="4">
        <f t="shared" si="31"/>
        <v>81.513199999999998</v>
      </c>
      <c r="X179" t="str">
        <f>'LIVE SOURCE'!G179</f>
        <v>RATE-ADJUSTED VETERAN</v>
      </c>
      <c r="Y179" t="str">
        <f>IF(INDEX('Draft Board'!$J$3:$J$232,Q179)="","Available",INDEX('Draft Board'!$J$3:$J$232,Q179))</f>
        <v>Available</v>
      </c>
      <c r="Z179">
        <f t="shared" si="32"/>
        <v>112</v>
      </c>
    </row>
    <row r="180" spans="1:26" x14ac:dyDescent="0.25">
      <c r="A180" t="str">
        <f>'LIVE SOURCE'!A180</f>
        <v>TE</v>
      </c>
      <c r="B180" t="str">
        <f>'LIVE SOURCE'!B180</f>
        <v>Kenyon Sadiq</v>
      </c>
      <c r="C180" s="4">
        <f>'LIVE SOURCE'!D180</f>
        <v>74.093800000000002</v>
      </c>
      <c r="D180" s="4">
        <f>'Manual Adjustments'!G180</f>
        <v>0</v>
      </c>
      <c r="E180" s="4">
        <f t="shared" si="22"/>
        <v>74.093800000000002</v>
      </c>
      <c r="F180">
        <f>COUNTIFS($A$3:$A$232,A180,$E$3:$E$232,"&gt;"&amp;E180)+COUNTIFS($A$3:A180,A180,$E$3:E180,E180)</f>
        <v>20</v>
      </c>
      <c r="G180" s="4">
        <f>ROUND(INDEX('League Config'!$K$4:$K$9,MATCH(A180,'League Config'!$E$4:$E$9,0))*E180+INDEX('League Config'!$L$4:$L$9,MATCH(A180,'League Config'!$E$4:$E$9,0)),1)</f>
        <v>159.30000000000001</v>
      </c>
      <c r="H180">
        <f>INDEX('League Config'!$H$4:$H$9,MATCH(A180,'League Config'!$E$4:$E$9,0))</f>
        <v>13</v>
      </c>
      <c r="I180" s="4">
        <f>INDEX('League Config'!$I$4:$I$9,MATCH(A180,'League Config'!$E$4:$E$9,0))</f>
        <v>179.7</v>
      </c>
      <c r="J180" s="4">
        <f t="shared" si="23"/>
        <v>-20.399999999999999</v>
      </c>
      <c r="K180" s="4">
        <f t="shared" si="24"/>
        <v>37.760000000000005</v>
      </c>
      <c r="L180" s="4">
        <f>MIN(100,MAX(0,(1-(F180-1)/(H180*1.5))*100*INDEX('League Config'!$J$4:$J$9,MATCH(A180,'League Config'!$E$4:$E$9,0))))</f>
        <v>2.3076923076923097</v>
      </c>
      <c r="M180">
        <f>IF(A180="K",'League Config'!$B$14,IF(A180="DST",'League Config'!$B$15,IF(A180="QB",'League Config'!$B$16,0)))</f>
        <v>0</v>
      </c>
      <c r="N180" s="4">
        <f t="shared" si="25"/>
        <v>52.425743846153857</v>
      </c>
      <c r="O180" s="9">
        <f t="shared" si="26"/>
        <v>52.425743846153857</v>
      </c>
      <c r="P180" s="6">
        <f>IF(O180="","",COUNTIF($O$3:$O$232,"&gt;"&amp;O180)+COUNTIF($O$3:O180,O180))</f>
        <v>120</v>
      </c>
      <c r="Q180">
        <f t="shared" si="27"/>
        <v>120</v>
      </c>
      <c r="R180" s="4">
        <f>'LIVE SOURCE'!E180</f>
        <v>158.80000000000001</v>
      </c>
      <c r="S180" s="4">
        <f t="shared" si="28"/>
        <v>38.800000000000011</v>
      </c>
      <c r="T180" t="str">
        <f>'LIVE SOURCE'!F180</f>
        <v>B</v>
      </c>
      <c r="U180" s="4">
        <f t="shared" si="29"/>
        <v>65.093800000000002</v>
      </c>
      <c r="V180" s="4">
        <f t="shared" si="30"/>
        <v>74.093800000000002</v>
      </c>
      <c r="W180" s="4">
        <f t="shared" si="31"/>
        <v>83.093800000000002</v>
      </c>
      <c r="X180" t="str">
        <f>'LIVE SOURCE'!G180</f>
        <v>ROOKIE ENGINE</v>
      </c>
      <c r="Y180" t="str">
        <f>IF(INDEX('Draft Board'!$J$3:$J$232,Q180)="","Available",INDEX('Draft Board'!$J$3:$J$232,Q180))</f>
        <v>Available</v>
      </c>
      <c r="Z180">
        <f t="shared" si="32"/>
        <v>120</v>
      </c>
    </row>
    <row r="181" spans="1:26" x14ac:dyDescent="0.25">
      <c r="A181" t="str">
        <f>'LIVE SOURCE'!A181</f>
        <v>TE</v>
      </c>
      <c r="B181" t="str">
        <f>'LIVE SOURCE'!B181</f>
        <v>T.J. Hockenson</v>
      </c>
      <c r="C181" s="4">
        <f>'LIVE SOURCE'!D181</f>
        <v>73.852699999999999</v>
      </c>
      <c r="D181" s="4">
        <f>'Manual Adjustments'!G181</f>
        <v>0</v>
      </c>
      <c r="E181" s="4">
        <f t="shared" si="22"/>
        <v>73.852699999999999</v>
      </c>
      <c r="F181">
        <f>COUNTIFS($A$3:$A$232,A181,$E$3:$E$232,"&gt;"&amp;E181)+COUNTIFS($A$3:A181,A181,$E$3:E181,E181)</f>
        <v>21</v>
      </c>
      <c r="G181" s="4">
        <f>ROUND(INDEX('League Config'!$K$4:$K$9,MATCH(A181,'League Config'!$E$4:$E$9,0))*E181+INDEX('League Config'!$L$4:$L$9,MATCH(A181,'League Config'!$E$4:$E$9,0)),1)</f>
        <v>158.5</v>
      </c>
      <c r="H181">
        <f>INDEX('League Config'!$H$4:$H$9,MATCH(A181,'League Config'!$E$4:$E$9,0))</f>
        <v>13</v>
      </c>
      <c r="I181" s="4">
        <f>INDEX('League Config'!$I$4:$I$9,MATCH(A181,'League Config'!$E$4:$E$9,0))</f>
        <v>179.7</v>
      </c>
      <c r="J181" s="4">
        <f t="shared" si="23"/>
        <v>-21.2</v>
      </c>
      <c r="K181" s="4">
        <f t="shared" si="24"/>
        <v>37.28</v>
      </c>
      <c r="L181" s="4">
        <f>MIN(100,MAX(0,(1-(F181-1)/(H181*1.5))*100*INDEX('League Config'!$J$4:$J$9,MATCH(A181,'League Config'!$E$4:$E$9,0))))</f>
        <v>0</v>
      </c>
      <c r="M181">
        <f>IF(A181="K",'League Config'!$B$14,IF(A181="DST",'League Config'!$B$15,IF(A181="QB",'League Config'!$B$16,0)))</f>
        <v>0</v>
      </c>
      <c r="N181" s="4">
        <f t="shared" si="25"/>
        <v>51.802985</v>
      </c>
      <c r="O181" s="9">
        <f t="shared" si="26"/>
        <v>51.802985</v>
      </c>
      <c r="P181" s="6">
        <f>IF(O181="","",COUNTIF($O$3:$O$232,"&gt;"&amp;O181)+COUNTIF($O$3:O181,O181))</f>
        <v>122</v>
      </c>
      <c r="Q181">
        <f t="shared" si="27"/>
        <v>122</v>
      </c>
      <c r="R181" s="4">
        <f>'LIVE SOURCE'!E181</f>
        <v>146.5</v>
      </c>
      <c r="S181" s="4">
        <f t="shared" si="28"/>
        <v>24.5</v>
      </c>
      <c r="T181" t="str">
        <f>'LIVE SOURCE'!F181</f>
        <v>A</v>
      </c>
      <c r="U181" s="4">
        <f t="shared" si="29"/>
        <v>67.852699999999999</v>
      </c>
      <c r="V181" s="4">
        <f t="shared" si="30"/>
        <v>73.852699999999999</v>
      </c>
      <c r="W181" s="4">
        <f t="shared" si="31"/>
        <v>79.852699999999999</v>
      </c>
      <c r="X181" t="str">
        <f>'LIVE SOURCE'!G181</f>
        <v>RATE-ADJUSTED VETERAN</v>
      </c>
      <c r="Y181" t="str">
        <f>IF(INDEX('Draft Board'!$J$3:$J$232,Q181)="","Available",INDEX('Draft Board'!$J$3:$J$232,Q181))</f>
        <v>Available</v>
      </c>
      <c r="Z181">
        <f t="shared" si="32"/>
        <v>122</v>
      </c>
    </row>
    <row r="182" spans="1:26" x14ac:dyDescent="0.25">
      <c r="A182" t="str">
        <f>'LIVE SOURCE'!A182</f>
        <v>TE</v>
      </c>
      <c r="B182" t="str">
        <f>'LIVE SOURCE'!B182</f>
        <v>Dalton Schultz</v>
      </c>
      <c r="C182" s="4">
        <f>'LIVE SOURCE'!D182</f>
        <v>73.279499999999999</v>
      </c>
      <c r="D182" s="4">
        <f>'Manual Adjustments'!G182</f>
        <v>0</v>
      </c>
      <c r="E182" s="4">
        <f t="shared" si="22"/>
        <v>73.279499999999999</v>
      </c>
      <c r="F182">
        <f>COUNTIFS($A$3:$A$232,A182,$E$3:$E$232,"&gt;"&amp;E182)+COUNTIFS($A$3:A182,A182,$E$3:E182,E182)</f>
        <v>22</v>
      </c>
      <c r="G182" s="4">
        <f>ROUND(INDEX('League Config'!$K$4:$K$9,MATCH(A182,'League Config'!$E$4:$E$9,0))*E182+INDEX('League Config'!$L$4:$L$9,MATCH(A182,'League Config'!$E$4:$E$9,0)),1)</f>
        <v>156.5</v>
      </c>
      <c r="H182">
        <f>INDEX('League Config'!$H$4:$H$9,MATCH(A182,'League Config'!$E$4:$E$9,0))</f>
        <v>13</v>
      </c>
      <c r="I182" s="4">
        <f>INDEX('League Config'!$I$4:$I$9,MATCH(A182,'League Config'!$E$4:$E$9,0))</f>
        <v>179.7</v>
      </c>
      <c r="J182" s="4">
        <f t="shared" si="23"/>
        <v>-23.2</v>
      </c>
      <c r="K182" s="4">
        <f t="shared" si="24"/>
        <v>36.08</v>
      </c>
      <c r="L182" s="4">
        <f>MIN(100,MAX(0,(1-(F182-1)/(H182*1.5))*100*INDEX('League Config'!$J$4:$J$9,MATCH(A182,'League Config'!$E$4:$E$9,0))))</f>
        <v>0</v>
      </c>
      <c r="M182">
        <f>IF(A182="K",'League Config'!$B$14,IF(A182="DST",'League Config'!$B$15,IF(A182="QB",'League Config'!$B$16,0)))</f>
        <v>0</v>
      </c>
      <c r="N182" s="4">
        <f t="shared" si="25"/>
        <v>51.127724999999998</v>
      </c>
      <c r="O182" s="9">
        <f t="shared" si="26"/>
        <v>51.127724999999998</v>
      </c>
      <c r="P182" s="6">
        <f>IF(O182="","",COUNTIF($O$3:$O$232,"&gt;"&amp;O182)+COUNTIF($O$3:O182,O182))</f>
        <v>124</v>
      </c>
      <c r="Q182">
        <f t="shared" si="27"/>
        <v>124</v>
      </c>
      <c r="R182" s="4">
        <f>'LIVE SOURCE'!E182</f>
        <v>157.5</v>
      </c>
      <c r="S182" s="4">
        <f t="shared" si="28"/>
        <v>33.5</v>
      </c>
      <c r="T182" t="str">
        <f>'LIVE SOURCE'!F182</f>
        <v>A</v>
      </c>
      <c r="U182" s="4">
        <f t="shared" si="29"/>
        <v>67.279499999999999</v>
      </c>
      <c r="V182" s="4">
        <f t="shared" si="30"/>
        <v>73.279499999999999</v>
      </c>
      <c r="W182" s="4">
        <f t="shared" si="31"/>
        <v>79.279499999999999</v>
      </c>
      <c r="X182" t="str">
        <f>'LIVE SOURCE'!G182</f>
        <v>RATE-ADJUSTED VETERAN</v>
      </c>
      <c r="Y182" t="str">
        <f>IF(INDEX('Draft Board'!$J$3:$J$232,Q182)="","Available",INDEX('Draft Board'!$J$3:$J$232,Q182))</f>
        <v>Available</v>
      </c>
      <c r="Z182">
        <f t="shared" si="32"/>
        <v>124</v>
      </c>
    </row>
    <row r="183" spans="1:26" x14ac:dyDescent="0.25">
      <c r="A183" t="str">
        <f>'LIVE SOURCE'!A183</f>
        <v>TE</v>
      </c>
      <c r="B183" t="str">
        <f>'LIVE SOURCE'!B183</f>
        <v>Oronde Gadsden II</v>
      </c>
      <c r="C183" s="4">
        <f>'LIVE SOURCE'!D183</f>
        <v>72.513800000000003</v>
      </c>
      <c r="D183" s="4">
        <f>'Manual Adjustments'!G183</f>
        <v>0</v>
      </c>
      <c r="E183" s="4">
        <f t="shared" si="22"/>
        <v>72.513800000000003</v>
      </c>
      <c r="F183">
        <f>COUNTIFS($A$3:$A$232,A183,$E$3:$E$232,"&gt;"&amp;E183)+COUNTIFS($A$3:A183,A183,$E$3:E183,E183)</f>
        <v>23</v>
      </c>
      <c r="G183" s="4">
        <f>ROUND(INDEX('League Config'!$K$4:$K$9,MATCH(A183,'League Config'!$E$4:$E$9,0))*E183+INDEX('League Config'!$L$4:$L$9,MATCH(A183,'League Config'!$E$4:$E$9,0)),1)</f>
        <v>153.80000000000001</v>
      </c>
      <c r="H183">
        <f>INDEX('League Config'!$H$4:$H$9,MATCH(A183,'League Config'!$E$4:$E$9,0))</f>
        <v>13</v>
      </c>
      <c r="I183" s="4">
        <f>INDEX('League Config'!$I$4:$I$9,MATCH(A183,'League Config'!$E$4:$E$9,0))</f>
        <v>179.7</v>
      </c>
      <c r="J183" s="4">
        <f t="shared" si="23"/>
        <v>-25.9</v>
      </c>
      <c r="K183" s="4">
        <f t="shared" si="24"/>
        <v>34.46</v>
      </c>
      <c r="L183" s="4">
        <f>MIN(100,MAX(0,(1-(F183-1)/(H183*1.5))*100*INDEX('League Config'!$J$4:$J$9,MATCH(A183,'League Config'!$E$4:$E$9,0))))</f>
        <v>0</v>
      </c>
      <c r="M183">
        <f>IF(A183="K",'League Config'!$B$14,IF(A183="DST",'League Config'!$B$15,IF(A183="QB",'League Config'!$B$16,0)))</f>
        <v>0</v>
      </c>
      <c r="N183" s="4">
        <f t="shared" si="25"/>
        <v>50.220590000000009</v>
      </c>
      <c r="O183" s="9">
        <f t="shared" si="26"/>
        <v>50.220590000000009</v>
      </c>
      <c r="P183" s="6">
        <f>IF(O183="","",COUNTIF($O$3:$O$232,"&gt;"&amp;O183)+COUNTIF($O$3:O183,O183))</f>
        <v>127</v>
      </c>
      <c r="Q183">
        <f t="shared" si="27"/>
        <v>127</v>
      </c>
      <c r="R183" s="4">
        <f>'LIVE SOURCE'!E183</f>
        <v>150.69999999999999</v>
      </c>
      <c r="S183" s="4">
        <f t="shared" si="28"/>
        <v>23.699999999999989</v>
      </c>
      <c r="T183" t="str">
        <f>'LIVE SOURCE'!F183</f>
        <v>A</v>
      </c>
      <c r="U183" s="4">
        <f t="shared" si="29"/>
        <v>66.513800000000003</v>
      </c>
      <c r="V183" s="4">
        <f t="shared" si="30"/>
        <v>72.513800000000003</v>
      </c>
      <c r="W183" s="4">
        <f t="shared" si="31"/>
        <v>78.513800000000003</v>
      </c>
      <c r="X183" t="str">
        <f>'LIVE SOURCE'!G183</f>
        <v>RATE-ADJUSTED VETERAN</v>
      </c>
      <c r="Y183" t="str">
        <f>IF(INDEX('Draft Board'!$J$3:$J$232,Q183)="","Available",INDEX('Draft Board'!$J$3:$J$232,Q183))</f>
        <v>Available</v>
      </c>
      <c r="Z183">
        <f t="shared" si="32"/>
        <v>127</v>
      </c>
    </row>
    <row r="184" spans="1:26" x14ac:dyDescent="0.25">
      <c r="A184" t="str">
        <f>'LIVE SOURCE'!A184</f>
        <v>TE</v>
      </c>
      <c r="B184" t="str">
        <f>'LIVE SOURCE'!B184</f>
        <v>AJ Barner</v>
      </c>
      <c r="C184" s="4">
        <f>'LIVE SOURCE'!D184</f>
        <v>70.124499999999998</v>
      </c>
      <c r="D184" s="4">
        <f>'Manual Adjustments'!G184</f>
        <v>0</v>
      </c>
      <c r="E184" s="4">
        <f t="shared" si="22"/>
        <v>70.124499999999998</v>
      </c>
      <c r="F184">
        <f>COUNTIFS($A$3:$A$232,A184,$E$3:$E$232,"&gt;"&amp;E184)+COUNTIFS($A$3:A184,A184,$E$3:E184,E184)</f>
        <v>24</v>
      </c>
      <c r="G184" s="4">
        <f>ROUND(INDEX('League Config'!$K$4:$K$9,MATCH(A184,'League Config'!$E$4:$E$9,0))*E184+INDEX('League Config'!$L$4:$L$9,MATCH(A184,'League Config'!$E$4:$E$9,0)),1)</f>
        <v>145.4</v>
      </c>
      <c r="H184">
        <f>INDEX('League Config'!$H$4:$H$9,MATCH(A184,'League Config'!$E$4:$E$9,0))</f>
        <v>13</v>
      </c>
      <c r="I184" s="4">
        <f>INDEX('League Config'!$I$4:$I$9,MATCH(A184,'League Config'!$E$4:$E$9,0))</f>
        <v>179.7</v>
      </c>
      <c r="J184" s="4">
        <f t="shared" si="23"/>
        <v>-34.299999999999997</v>
      </c>
      <c r="K184" s="4">
        <f t="shared" si="24"/>
        <v>29.42</v>
      </c>
      <c r="L184" s="4">
        <f>MIN(100,MAX(0,(1-(F184-1)/(H184*1.5))*100*INDEX('League Config'!$J$4:$J$9,MATCH(A184,'League Config'!$E$4:$E$9,0))))</f>
        <v>0</v>
      </c>
      <c r="M184">
        <f>IF(A184="K",'League Config'!$B$14,IF(A184="DST",'League Config'!$B$15,IF(A184="QB",'League Config'!$B$16,0)))</f>
        <v>0</v>
      </c>
      <c r="N184" s="4">
        <f t="shared" si="25"/>
        <v>47.394475</v>
      </c>
      <c r="O184" s="9">
        <f t="shared" si="26"/>
        <v>47.394475</v>
      </c>
      <c r="P184" s="6">
        <f>IF(O184="","",COUNTIF($O$3:$O$232,"&gt;"&amp;O184)+COUNTIF($O$3:O184,O184))</f>
        <v>135</v>
      </c>
      <c r="Q184">
        <f t="shared" si="27"/>
        <v>155</v>
      </c>
      <c r="R184" s="4">
        <f>'LIVE SOURCE'!E184</f>
        <v>165.8</v>
      </c>
      <c r="S184" s="4">
        <f t="shared" si="28"/>
        <v>10.800000000000011</v>
      </c>
      <c r="T184" t="str">
        <f>'LIVE SOURCE'!F184</f>
        <v>A</v>
      </c>
      <c r="U184" s="4">
        <f t="shared" si="29"/>
        <v>64.124499999999998</v>
      </c>
      <c r="V184" s="4">
        <f t="shared" si="30"/>
        <v>70.124499999999998</v>
      </c>
      <c r="W184" s="4">
        <f t="shared" si="31"/>
        <v>76.124499999999998</v>
      </c>
      <c r="X184" t="str">
        <f>'LIVE SOURCE'!G184</f>
        <v>RATE-ADJUSTED VETERAN</v>
      </c>
      <c r="Y184" t="str">
        <f>IF(INDEX('Draft Board'!$J$3:$J$232,Q184)="","Available",INDEX('Draft Board'!$J$3:$J$232,Q184))</f>
        <v>Available</v>
      </c>
      <c r="Z184">
        <f t="shared" si="32"/>
        <v>155</v>
      </c>
    </row>
    <row r="185" spans="1:26" x14ac:dyDescent="0.25">
      <c r="A185" t="str">
        <f>'LIVE SOURCE'!A185</f>
        <v>TE</v>
      </c>
      <c r="B185" t="str">
        <f>'LIVE SOURCE'!B185</f>
        <v>Cade Otton</v>
      </c>
      <c r="C185" s="4">
        <f>'LIVE SOURCE'!D185</f>
        <v>66.649000000000001</v>
      </c>
      <c r="D185" s="4">
        <f>'Manual Adjustments'!G185</f>
        <v>0</v>
      </c>
      <c r="E185" s="4">
        <f t="shared" si="22"/>
        <v>66.649000000000001</v>
      </c>
      <c r="F185">
        <f>COUNTIFS($A$3:$A$232,A185,$E$3:$E$232,"&gt;"&amp;E185)+COUNTIFS($A$3:A185,A185,$E$3:E185,E185)</f>
        <v>26</v>
      </c>
      <c r="G185" s="4">
        <f>ROUND(INDEX('League Config'!$K$4:$K$9,MATCH(A185,'League Config'!$E$4:$E$9,0))*E185+INDEX('League Config'!$L$4:$L$9,MATCH(A185,'League Config'!$E$4:$E$9,0)),1)</f>
        <v>133.30000000000001</v>
      </c>
      <c r="H185">
        <f>INDEX('League Config'!$H$4:$H$9,MATCH(A185,'League Config'!$E$4:$E$9,0))</f>
        <v>13</v>
      </c>
      <c r="I185" s="4">
        <f>INDEX('League Config'!$I$4:$I$9,MATCH(A185,'League Config'!$E$4:$E$9,0))</f>
        <v>179.7</v>
      </c>
      <c r="J185" s="4">
        <f t="shared" si="23"/>
        <v>-46.4</v>
      </c>
      <c r="K185" s="4">
        <f t="shared" si="24"/>
        <v>22.16</v>
      </c>
      <c r="L185" s="4">
        <f>MIN(100,MAX(0,(1-(F185-1)/(H185*1.5))*100*INDEX('League Config'!$J$4:$J$9,MATCH(A185,'League Config'!$E$4:$E$9,0))))</f>
        <v>0</v>
      </c>
      <c r="M185">
        <f>IF(A185="K",'League Config'!$B$14,IF(A185="DST",'League Config'!$B$15,IF(A185="QB",'League Config'!$B$16,0)))</f>
        <v>0</v>
      </c>
      <c r="N185" s="4">
        <f t="shared" si="25"/>
        <v>43.304950000000005</v>
      </c>
      <c r="O185" s="9">
        <f t="shared" si="26"/>
        <v>43.304950000000005</v>
      </c>
      <c r="P185" s="6">
        <f>IF(O185="","",COUNTIF($O$3:$O$232,"&gt;"&amp;O185)+COUNTIF($O$3:O185,O185))</f>
        <v>146</v>
      </c>
      <c r="Q185">
        <f t="shared" si="27"/>
        <v>166</v>
      </c>
      <c r="R185" s="4">
        <f>'LIVE SOURCE'!E185</f>
        <v>142.6</v>
      </c>
      <c r="S185" s="4">
        <f t="shared" si="28"/>
        <v>-23.400000000000006</v>
      </c>
      <c r="T185" t="str">
        <f>'LIVE SOURCE'!F185</f>
        <v>A</v>
      </c>
      <c r="U185" s="4">
        <f t="shared" si="29"/>
        <v>60.649000000000001</v>
      </c>
      <c r="V185" s="4">
        <f t="shared" si="30"/>
        <v>66.649000000000001</v>
      </c>
      <c r="W185" s="4">
        <f t="shared" si="31"/>
        <v>72.649000000000001</v>
      </c>
      <c r="X185" t="str">
        <f>'LIVE SOURCE'!G185</f>
        <v>RATE-ADJUSTED VETERAN</v>
      </c>
      <c r="Y185" t="str">
        <f>IF(INDEX('Draft Board'!$J$3:$J$232,Q185)="","Available",INDEX('Draft Board'!$J$3:$J$232,Q185))</f>
        <v>Available</v>
      </c>
      <c r="Z185">
        <f t="shared" si="32"/>
        <v>166</v>
      </c>
    </row>
    <row r="186" spans="1:26" x14ac:dyDescent="0.25">
      <c r="A186" t="str">
        <f>'LIVE SOURCE'!A186</f>
        <v>TE</v>
      </c>
      <c r="B186" t="str">
        <f>'LIVE SOURCE'!B186</f>
        <v>Gunnar Helm</v>
      </c>
      <c r="C186" s="4">
        <f>'LIVE SOURCE'!D186</f>
        <v>66.622299999999996</v>
      </c>
      <c r="D186" s="4">
        <f>'Manual Adjustments'!G186</f>
        <v>0</v>
      </c>
      <c r="E186" s="4">
        <f t="shared" si="22"/>
        <v>66.622299999999996</v>
      </c>
      <c r="F186">
        <f>COUNTIFS($A$3:$A$232,A186,$E$3:$E$232,"&gt;"&amp;E186)+COUNTIFS($A$3:A186,A186,$E$3:E186,E186)</f>
        <v>27</v>
      </c>
      <c r="G186" s="4">
        <f>ROUND(INDEX('League Config'!$K$4:$K$9,MATCH(A186,'League Config'!$E$4:$E$9,0))*E186+INDEX('League Config'!$L$4:$L$9,MATCH(A186,'League Config'!$E$4:$E$9,0)),1)</f>
        <v>133.19999999999999</v>
      </c>
      <c r="H186">
        <f>INDEX('League Config'!$H$4:$H$9,MATCH(A186,'League Config'!$E$4:$E$9,0))</f>
        <v>13</v>
      </c>
      <c r="I186" s="4">
        <f>INDEX('League Config'!$I$4:$I$9,MATCH(A186,'League Config'!$E$4:$E$9,0))</f>
        <v>179.7</v>
      </c>
      <c r="J186" s="4">
        <f t="shared" si="23"/>
        <v>-46.5</v>
      </c>
      <c r="K186" s="4">
        <f t="shared" si="24"/>
        <v>22.1</v>
      </c>
      <c r="L186" s="4">
        <f>MIN(100,MAX(0,(1-(F186-1)/(H186*1.5))*100*INDEX('League Config'!$J$4:$J$9,MATCH(A186,'League Config'!$E$4:$E$9,0))))</f>
        <v>0</v>
      </c>
      <c r="M186">
        <f>IF(A186="K",'League Config'!$B$14,IF(A186="DST",'League Config'!$B$15,IF(A186="QB",'League Config'!$B$16,0)))</f>
        <v>0</v>
      </c>
      <c r="N186" s="4">
        <f t="shared" si="25"/>
        <v>43.272265000000004</v>
      </c>
      <c r="O186" s="9">
        <f t="shared" si="26"/>
        <v>43.272265000000004</v>
      </c>
      <c r="P186" s="6">
        <f>IF(O186="","",COUNTIF($O$3:$O$232,"&gt;"&amp;O186)+COUNTIF($O$3:O186,O186))</f>
        <v>147</v>
      </c>
      <c r="Q186">
        <f t="shared" si="27"/>
        <v>167</v>
      </c>
      <c r="R186" s="4">
        <f>'LIVE SOURCE'!E186</f>
        <v>242</v>
      </c>
      <c r="S186" s="4">
        <f t="shared" si="28"/>
        <v>75</v>
      </c>
      <c r="T186" t="str">
        <f>'LIVE SOURCE'!F186</f>
        <v>A</v>
      </c>
      <c r="U186" s="4">
        <f t="shared" si="29"/>
        <v>60.622299999999996</v>
      </c>
      <c r="V186" s="4">
        <f t="shared" si="30"/>
        <v>66.622299999999996</v>
      </c>
      <c r="W186" s="4">
        <f t="shared" si="31"/>
        <v>72.622299999999996</v>
      </c>
      <c r="X186" t="str">
        <f>'LIVE SOURCE'!G186</f>
        <v>RATE-ADJUSTED VETERAN</v>
      </c>
      <c r="Y186" t="str">
        <f>IF(INDEX('Draft Board'!$J$3:$J$232,Q186)="","Available",INDEX('Draft Board'!$J$3:$J$232,Q186))</f>
        <v>Available</v>
      </c>
      <c r="Z186">
        <f t="shared" si="32"/>
        <v>167</v>
      </c>
    </row>
    <row r="187" spans="1:26" x14ac:dyDescent="0.25">
      <c r="A187" t="str">
        <f>'LIVE SOURCE'!A187</f>
        <v>TE</v>
      </c>
      <c r="B187" t="str">
        <f>'LIVE SOURCE'!B187</f>
        <v>Terrance Ferguson</v>
      </c>
      <c r="C187" s="4">
        <f>'LIVE SOURCE'!D187</f>
        <v>64.362099999999998</v>
      </c>
      <c r="D187" s="4">
        <f>'Manual Adjustments'!G187</f>
        <v>0</v>
      </c>
      <c r="E187" s="4">
        <f t="shared" si="22"/>
        <v>64.362099999999998</v>
      </c>
      <c r="F187">
        <f>COUNTIFS($A$3:$A$232,A187,$E$3:$E$232,"&gt;"&amp;E187)+COUNTIFS($A$3:A187,A187,$E$3:E187,E187)</f>
        <v>28</v>
      </c>
      <c r="G187" s="4">
        <f>ROUND(INDEX('League Config'!$K$4:$K$9,MATCH(A187,'League Config'!$E$4:$E$9,0))*E187+INDEX('League Config'!$L$4:$L$9,MATCH(A187,'League Config'!$E$4:$E$9,0)),1)</f>
        <v>125.3</v>
      </c>
      <c r="H187">
        <f>INDEX('League Config'!$H$4:$H$9,MATCH(A187,'League Config'!$E$4:$E$9,0))</f>
        <v>13</v>
      </c>
      <c r="I187" s="4">
        <f>INDEX('League Config'!$I$4:$I$9,MATCH(A187,'League Config'!$E$4:$E$9,0))</f>
        <v>179.7</v>
      </c>
      <c r="J187" s="4">
        <f t="shared" si="23"/>
        <v>-54.4</v>
      </c>
      <c r="K187" s="4">
        <f t="shared" si="24"/>
        <v>17.36</v>
      </c>
      <c r="L187" s="4">
        <f>MIN(100,MAX(0,(1-(F187-1)/(H187*1.5))*100*INDEX('League Config'!$J$4:$J$9,MATCH(A187,'League Config'!$E$4:$E$9,0))))</f>
        <v>0</v>
      </c>
      <c r="M187">
        <f>IF(A187="K",'League Config'!$B$14,IF(A187="DST",'League Config'!$B$15,IF(A187="QB",'League Config'!$B$16,0)))</f>
        <v>0</v>
      </c>
      <c r="N187" s="4">
        <f t="shared" si="25"/>
        <v>40.607154999999999</v>
      </c>
      <c r="O187" s="9">
        <f t="shared" si="26"/>
        <v>40.607154999999999</v>
      </c>
      <c r="P187" s="6">
        <f>IF(O187="","",COUNTIF($O$3:$O$232,"&gt;"&amp;O187)+COUNTIF($O$3:O187,O187))</f>
        <v>157</v>
      </c>
      <c r="Q187">
        <f t="shared" si="27"/>
        <v>177</v>
      </c>
      <c r="R187" s="4">
        <f>'LIVE SOURCE'!E187</f>
        <v>251</v>
      </c>
      <c r="S187" s="4">
        <f t="shared" si="28"/>
        <v>74</v>
      </c>
      <c r="T187" t="str">
        <f>'LIVE SOURCE'!F187</f>
        <v>A</v>
      </c>
      <c r="U187" s="4">
        <f t="shared" si="29"/>
        <v>58.362099999999998</v>
      </c>
      <c r="V187" s="4">
        <f t="shared" si="30"/>
        <v>64.362099999999998</v>
      </c>
      <c r="W187" s="4">
        <f t="shared" si="31"/>
        <v>70.362099999999998</v>
      </c>
      <c r="X187" t="str">
        <f>'LIVE SOURCE'!G187</f>
        <v>RATE-ADJUSTED VETERAN</v>
      </c>
      <c r="Y187" t="str">
        <f>IF(INDEX('Draft Board'!$J$3:$J$232,Q187)="","Available",INDEX('Draft Board'!$J$3:$J$232,Q187))</f>
        <v>Available</v>
      </c>
      <c r="Z187">
        <f t="shared" si="32"/>
        <v>177</v>
      </c>
    </row>
    <row r="188" spans="1:26" x14ac:dyDescent="0.25">
      <c r="A188" t="str">
        <f>'LIVE SOURCE'!A188</f>
        <v>TE</v>
      </c>
      <c r="B188" t="str">
        <f>'LIVE SOURCE'!B188</f>
        <v>Pat Freiermuth</v>
      </c>
      <c r="C188" s="4">
        <f>'LIVE SOURCE'!D188</f>
        <v>69.599999999999994</v>
      </c>
      <c r="D188" s="4">
        <f>'Manual Adjustments'!G188</f>
        <v>0</v>
      </c>
      <c r="E188" s="4">
        <f t="shared" si="22"/>
        <v>69.599999999999994</v>
      </c>
      <c r="F188">
        <f>COUNTIFS($A$3:$A$232,A188,$E$3:$E$232,"&gt;"&amp;E188)+COUNTIFS($A$3:A188,A188,$E$3:E188,E188)</f>
        <v>25</v>
      </c>
      <c r="G188" s="4">
        <f>ROUND(INDEX('League Config'!$K$4:$K$9,MATCH(A188,'League Config'!$E$4:$E$9,0))*E188+INDEX('League Config'!$L$4:$L$9,MATCH(A188,'League Config'!$E$4:$E$9,0)),1)</f>
        <v>143.6</v>
      </c>
      <c r="H188">
        <f>INDEX('League Config'!$H$4:$H$9,MATCH(A188,'League Config'!$E$4:$E$9,0))</f>
        <v>13</v>
      </c>
      <c r="I188" s="4">
        <f>INDEX('League Config'!$I$4:$I$9,MATCH(A188,'League Config'!$E$4:$E$9,0))</f>
        <v>179.7</v>
      </c>
      <c r="J188" s="4">
        <f t="shared" si="23"/>
        <v>-36.1</v>
      </c>
      <c r="K188" s="4">
        <f t="shared" si="24"/>
        <v>28.34</v>
      </c>
      <c r="L188" s="4">
        <f>MIN(100,MAX(0,(1-(F188-1)/(H188*1.5))*100*INDEX('League Config'!$J$4:$J$9,MATCH(A188,'League Config'!$E$4:$E$9,0))))</f>
        <v>0</v>
      </c>
      <c r="M188">
        <f>IF(A188="K",'League Config'!$B$14,IF(A188="DST",'League Config'!$B$15,IF(A188="QB",'League Config'!$B$16,0)))</f>
        <v>0</v>
      </c>
      <c r="N188" s="4">
        <f t="shared" si="25"/>
        <v>46.781999999999996</v>
      </c>
      <c r="O188" s="9">
        <f t="shared" si="26"/>
        <v>46.781999999999996</v>
      </c>
      <c r="P188" s="6">
        <f>IF(O188="","",COUNTIF($O$3:$O$232,"&gt;"&amp;O188)+COUNTIF($O$3:O188,O188))</f>
        <v>137</v>
      </c>
      <c r="Q188">
        <f t="shared" si="27"/>
        <v>157</v>
      </c>
      <c r="R188" s="4">
        <f>'LIVE SOURCE'!E188</f>
        <v>228</v>
      </c>
      <c r="S188" s="4">
        <f t="shared" si="28"/>
        <v>71</v>
      </c>
      <c r="T188" t="str">
        <f>'LIVE SOURCE'!F188</f>
        <v>C</v>
      </c>
      <c r="U188" s="4">
        <f t="shared" si="29"/>
        <v>57.599999999999994</v>
      </c>
      <c r="V188" s="4">
        <f t="shared" si="30"/>
        <v>69.599999999999994</v>
      </c>
      <c r="W188" s="4">
        <f t="shared" si="31"/>
        <v>81.599999999999994</v>
      </c>
      <c r="X188" t="str">
        <f>'LIVE SOURCE'!G188</f>
        <v>ESPN SLOT-IN</v>
      </c>
      <c r="Y188" t="str">
        <f>IF(INDEX('Draft Board'!$J$3:$J$232,Q188)="","Available",INDEX('Draft Board'!$J$3:$J$232,Q188))</f>
        <v>Available</v>
      </c>
      <c r="Z188">
        <f t="shared" si="32"/>
        <v>157</v>
      </c>
    </row>
    <row r="189" spans="1:26" x14ac:dyDescent="0.25">
      <c r="A189" t="str">
        <f>'LIVE SOURCE'!A189</f>
        <v>K</v>
      </c>
      <c r="B189" t="str">
        <f>'LIVE SOURCE'!B189</f>
        <v>Brandon Aubrey</v>
      </c>
      <c r="C189" s="4">
        <f>'LIVE SOURCE'!D189</f>
        <v>94</v>
      </c>
      <c r="D189" s="4">
        <f>'Manual Adjustments'!G189</f>
        <v>0</v>
      </c>
      <c r="E189" s="4">
        <f t="shared" si="22"/>
        <v>94</v>
      </c>
      <c r="F189">
        <f>COUNTIFS($A$3:$A$232,A189,$E$3:$E$232,"&gt;"&amp;E189)+COUNTIFS($A$3:A189,A189,$E$3:E189,E189)</f>
        <v>1</v>
      </c>
      <c r="G189" s="4">
        <f>ROUND(INDEX('League Config'!$K$4:$K$9,MATCH(A189,'League Config'!$E$4:$E$9,0))*E189+INDEX('League Config'!$L$4:$L$9,MATCH(A189,'League Config'!$E$4:$E$9,0)),1)</f>
        <v>148</v>
      </c>
      <c r="H189">
        <f>INDEX('League Config'!$H$4:$H$9,MATCH(A189,'League Config'!$E$4:$E$9,0))</f>
        <v>10</v>
      </c>
      <c r="I189" s="4">
        <f>INDEX('League Config'!$I$4:$I$9,MATCH(A189,'League Config'!$E$4:$E$9,0))</f>
        <v>108.4</v>
      </c>
      <c r="J189" s="4">
        <f t="shared" si="23"/>
        <v>39.6</v>
      </c>
      <c r="K189" s="4">
        <f t="shared" si="24"/>
        <v>73.760000000000005</v>
      </c>
      <c r="L189" s="4">
        <f>MIN(100,MAX(0,(1-(F189-1)/(H189*1.5))*100*INDEX('League Config'!$J$4:$J$9,MATCH(A189,'League Config'!$E$4:$E$9,0))))</f>
        <v>55.000000000000007</v>
      </c>
      <c r="M189">
        <f>IF(A189="K",'League Config'!$B$14,IF(A189="DST",'League Config'!$B$15,IF(A189="QB",'League Config'!$B$16,0)))</f>
        <v>18</v>
      </c>
      <c r="N189" s="4">
        <f t="shared" si="25"/>
        <v>64.078000000000003</v>
      </c>
      <c r="O189" s="9" t="str">
        <f t="shared" si="26"/>
        <v/>
      </c>
      <c r="P189" s="6" t="str">
        <f>IF(O189="","",COUNTIF($O$3:$O$232,"&gt;"&amp;O189)+COUNTIF($O$3:O189,O189))</f>
        <v/>
      </c>
      <c r="Q189">
        <f t="shared" si="27"/>
        <v>141</v>
      </c>
      <c r="R189" s="4">
        <f>'LIVE SOURCE'!E189</f>
        <v>155</v>
      </c>
      <c r="S189" s="4">
        <f t="shared" si="28"/>
        <v>14</v>
      </c>
      <c r="T189" t="str">
        <f>'LIVE SOURCE'!F189</f>
        <v>B</v>
      </c>
      <c r="U189" s="4">
        <f t="shared" si="29"/>
        <v>85</v>
      </c>
      <c r="V189" s="4">
        <f t="shared" si="30"/>
        <v>94</v>
      </c>
      <c r="W189" s="4">
        <f t="shared" si="31"/>
        <v>100</v>
      </c>
      <c r="X189" t="str">
        <f>'LIVE SOURCE'!G189</f>
        <v>KICKER MODEL</v>
      </c>
      <c r="Y189" t="str">
        <f>IF(INDEX('Draft Board'!$J$3:$J$232,Q189)="","Available",INDEX('Draft Board'!$J$3:$J$232,Q189))</f>
        <v>Available</v>
      </c>
      <c r="Z189">
        <f t="shared" si="32"/>
        <v>141</v>
      </c>
    </row>
    <row r="190" spans="1:26" x14ac:dyDescent="0.25">
      <c r="A190" t="str">
        <f>'LIVE SOURCE'!A190</f>
        <v>K</v>
      </c>
      <c r="B190" t="str">
        <f>'LIVE SOURCE'!B190</f>
        <v>Ka'imi Fairbairn</v>
      </c>
      <c r="C190" s="4">
        <f>'LIVE SOURCE'!D190</f>
        <v>91.8</v>
      </c>
      <c r="D190" s="4">
        <f>'Manual Adjustments'!G190</f>
        <v>0</v>
      </c>
      <c r="E190" s="4">
        <f t="shared" si="22"/>
        <v>91.8</v>
      </c>
      <c r="F190">
        <f>COUNTIFS($A$3:$A$232,A190,$E$3:$E$232,"&gt;"&amp;E190)+COUNTIFS($A$3:A190,A190,$E$3:E190,E190)</f>
        <v>2</v>
      </c>
      <c r="G190" s="4">
        <f>ROUND(INDEX('League Config'!$K$4:$K$9,MATCH(A190,'League Config'!$E$4:$E$9,0))*E190+INDEX('League Config'!$L$4:$L$9,MATCH(A190,'League Config'!$E$4:$E$9,0)),1)</f>
        <v>143.6</v>
      </c>
      <c r="H190">
        <f>INDEX('League Config'!$H$4:$H$9,MATCH(A190,'League Config'!$E$4:$E$9,0))</f>
        <v>10</v>
      </c>
      <c r="I190" s="4">
        <f>INDEX('League Config'!$I$4:$I$9,MATCH(A190,'League Config'!$E$4:$E$9,0))</f>
        <v>108.4</v>
      </c>
      <c r="J190" s="4">
        <f t="shared" si="23"/>
        <v>35.200000000000003</v>
      </c>
      <c r="K190" s="4">
        <f t="shared" si="24"/>
        <v>71.12</v>
      </c>
      <c r="L190" s="4">
        <f>MIN(100,MAX(0,(1-(F190-1)/(H190*1.5))*100*INDEX('League Config'!$J$4:$J$9,MATCH(A190,'League Config'!$E$4:$E$9,0))))</f>
        <v>51.333333333333336</v>
      </c>
      <c r="M190">
        <f>IF(A190="K",'League Config'!$B$14,IF(A190="DST",'League Config'!$B$15,IF(A190="QB",'League Config'!$B$16,0)))</f>
        <v>18</v>
      </c>
      <c r="N190" s="4">
        <f t="shared" si="25"/>
        <v>61.52600000000001</v>
      </c>
      <c r="O190" s="9" t="str">
        <f t="shared" si="26"/>
        <v/>
      </c>
      <c r="P190" s="6" t="str">
        <f>IF(O190="","",COUNTIF($O$3:$O$232,"&gt;"&amp;O190)+COUNTIF($O$3:O190,O190))</f>
        <v/>
      </c>
      <c r="Q190">
        <f t="shared" si="27"/>
        <v>142</v>
      </c>
      <c r="R190" s="4">
        <f>'LIVE SOURCE'!E190</f>
        <v>160</v>
      </c>
      <c r="S190" s="4">
        <f t="shared" si="28"/>
        <v>18</v>
      </c>
      <c r="T190" t="str">
        <f>'LIVE SOURCE'!F190</f>
        <v>B</v>
      </c>
      <c r="U190" s="4">
        <f t="shared" si="29"/>
        <v>82.8</v>
      </c>
      <c r="V190" s="4">
        <f t="shared" si="30"/>
        <v>91.8</v>
      </c>
      <c r="W190" s="4">
        <f t="shared" si="31"/>
        <v>100</v>
      </c>
      <c r="X190" t="str">
        <f>'LIVE SOURCE'!G190</f>
        <v>KICKER MODEL</v>
      </c>
      <c r="Y190" t="str">
        <f>IF(INDEX('Draft Board'!$J$3:$J$232,Q190)="","Available",INDEX('Draft Board'!$J$3:$J$232,Q190))</f>
        <v>Available</v>
      </c>
      <c r="Z190">
        <f t="shared" si="32"/>
        <v>142</v>
      </c>
    </row>
    <row r="191" spans="1:26" x14ac:dyDescent="0.25">
      <c r="A191" t="str">
        <f>'LIVE SOURCE'!A191</f>
        <v>K</v>
      </c>
      <c r="B191" t="str">
        <f>'LIVE SOURCE'!B191</f>
        <v>Cameron Dicker</v>
      </c>
      <c r="C191" s="4">
        <f>'LIVE SOURCE'!D191</f>
        <v>89.6</v>
      </c>
      <c r="D191" s="4">
        <f>'Manual Adjustments'!G191</f>
        <v>0</v>
      </c>
      <c r="E191" s="4">
        <f t="shared" si="22"/>
        <v>89.6</v>
      </c>
      <c r="F191">
        <f>COUNTIFS($A$3:$A$232,A191,$E$3:$E$232,"&gt;"&amp;E191)+COUNTIFS($A$3:A191,A191,$E$3:E191,E191)</f>
        <v>3</v>
      </c>
      <c r="G191" s="4">
        <f>ROUND(INDEX('League Config'!$K$4:$K$9,MATCH(A191,'League Config'!$E$4:$E$9,0))*E191+INDEX('League Config'!$L$4:$L$9,MATCH(A191,'League Config'!$E$4:$E$9,0)),1)</f>
        <v>139.19999999999999</v>
      </c>
      <c r="H191">
        <f>INDEX('League Config'!$H$4:$H$9,MATCH(A191,'League Config'!$E$4:$E$9,0))</f>
        <v>10</v>
      </c>
      <c r="I191" s="4">
        <f>INDEX('League Config'!$I$4:$I$9,MATCH(A191,'League Config'!$E$4:$E$9,0))</f>
        <v>108.4</v>
      </c>
      <c r="J191" s="4">
        <f t="shared" si="23"/>
        <v>30.8</v>
      </c>
      <c r="K191" s="4">
        <f t="shared" si="24"/>
        <v>68.48</v>
      </c>
      <c r="L191" s="4">
        <f>MIN(100,MAX(0,(1-(F191-1)/(H191*1.5))*100*INDEX('League Config'!$J$4:$J$9,MATCH(A191,'League Config'!$E$4:$E$9,0))))</f>
        <v>47.666666666666671</v>
      </c>
      <c r="M191">
        <f>IF(A191="K",'League Config'!$B$14,IF(A191="DST",'League Config'!$B$15,IF(A191="QB",'League Config'!$B$16,0)))</f>
        <v>18</v>
      </c>
      <c r="N191" s="4">
        <f t="shared" si="25"/>
        <v>58.974000000000004</v>
      </c>
      <c r="O191" s="9" t="str">
        <f t="shared" si="26"/>
        <v/>
      </c>
      <c r="P191" s="6" t="str">
        <f>IF(O191="","",COUNTIF($O$3:$O$232,"&gt;"&amp;O191)+COUNTIF($O$3:O191,O191))</f>
        <v/>
      </c>
      <c r="Q191">
        <f t="shared" si="27"/>
        <v>143</v>
      </c>
      <c r="R191" s="4">
        <f>'LIVE SOURCE'!E191</f>
        <v>165</v>
      </c>
      <c r="S191" s="4">
        <f t="shared" si="28"/>
        <v>22</v>
      </c>
      <c r="T191" t="str">
        <f>'LIVE SOURCE'!F191</f>
        <v>B</v>
      </c>
      <c r="U191" s="4">
        <f t="shared" si="29"/>
        <v>80.599999999999994</v>
      </c>
      <c r="V191" s="4">
        <f t="shared" si="30"/>
        <v>89.6</v>
      </c>
      <c r="W191" s="4">
        <f t="shared" si="31"/>
        <v>98.6</v>
      </c>
      <c r="X191" t="str">
        <f>'LIVE SOURCE'!G191</f>
        <v>KICKER MODEL</v>
      </c>
      <c r="Y191" t="str">
        <f>IF(INDEX('Draft Board'!$J$3:$J$232,Q191)="","Available",INDEX('Draft Board'!$J$3:$J$232,Q191))</f>
        <v>Available</v>
      </c>
      <c r="Z191">
        <f t="shared" si="32"/>
        <v>143</v>
      </c>
    </row>
    <row r="192" spans="1:26" x14ac:dyDescent="0.25">
      <c r="A192" t="str">
        <f>'LIVE SOURCE'!A192</f>
        <v>K</v>
      </c>
      <c r="B192" t="str">
        <f>'LIVE SOURCE'!B192</f>
        <v>Jason Myers</v>
      </c>
      <c r="C192" s="4">
        <f>'LIVE SOURCE'!D192</f>
        <v>87.4</v>
      </c>
      <c r="D192" s="4">
        <f>'Manual Adjustments'!G192</f>
        <v>0</v>
      </c>
      <c r="E192" s="4">
        <f t="shared" si="22"/>
        <v>87.4</v>
      </c>
      <c r="F192">
        <f>COUNTIFS($A$3:$A$232,A192,$E$3:$E$232,"&gt;"&amp;E192)+COUNTIFS($A$3:A192,A192,$E$3:E192,E192)</f>
        <v>4</v>
      </c>
      <c r="G192" s="4">
        <f>ROUND(INDEX('League Config'!$K$4:$K$9,MATCH(A192,'League Config'!$E$4:$E$9,0))*E192+INDEX('League Config'!$L$4:$L$9,MATCH(A192,'League Config'!$E$4:$E$9,0)),1)</f>
        <v>134.80000000000001</v>
      </c>
      <c r="H192">
        <f>INDEX('League Config'!$H$4:$H$9,MATCH(A192,'League Config'!$E$4:$E$9,0))</f>
        <v>10</v>
      </c>
      <c r="I192" s="4">
        <f>INDEX('League Config'!$I$4:$I$9,MATCH(A192,'League Config'!$E$4:$E$9,0))</f>
        <v>108.4</v>
      </c>
      <c r="J192" s="4">
        <f t="shared" si="23"/>
        <v>26.4</v>
      </c>
      <c r="K192" s="4">
        <f t="shared" si="24"/>
        <v>65.84</v>
      </c>
      <c r="L192" s="4">
        <f>MIN(100,MAX(0,(1-(F192-1)/(H192*1.5))*100*INDEX('League Config'!$J$4:$J$9,MATCH(A192,'League Config'!$E$4:$E$9,0))))</f>
        <v>44</v>
      </c>
      <c r="M192">
        <f>IF(A192="K",'League Config'!$B$14,IF(A192="DST",'League Config'!$B$15,IF(A192="QB",'League Config'!$B$16,0)))</f>
        <v>18</v>
      </c>
      <c r="N192" s="4">
        <f t="shared" si="25"/>
        <v>56.421999999999997</v>
      </c>
      <c r="O192" s="9" t="str">
        <f t="shared" si="26"/>
        <v/>
      </c>
      <c r="P192" s="6" t="str">
        <f>IF(O192="","",COUNTIF($O$3:$O$232,"&gt;"&amp;O192)+COUNTIF($O$3:O192,O192))</f>
        <v/>
      </c>
      <c r="Q192">
        <f t="shared" si="27"/>
        <v>144</v>
      </c>
      <c r="R192" s="4">
        <f>'LIVE SOURCE'!E192</f>
        <v>170</v>
      </c>
      <c r="S192" s="4">
        <f t="shared" si="28"/>
        <v>26</v>
      </c>
      <c r="T192" t="str">
        <f>'LIVE SOURCE'!F192</f>
        <v>B</v>
      </c>
      <c r="U192" s="4">
        <f t="shared" si="29"/>
        <v>78.400000000000006</v>
      </c>
      <c r="V192" s="4">
        <f t="shared" si="30"/>
        <v>87.4</v>
      </c>
      <c r="W192" s="4">
        <f t="shared" si="31"/>
        <v>96.4</v>
      </c>
      <c r="X192" t="str">
        <f>'LIVE SOURCE'!G192</f>
        <v>KICKER MODEL</v>
      </c>
      <c r="Y192" t="str">
        <f>IF(INDEX('Draft Board'!$J$3:$J$232,Q192)="","Available",INDEX('Draft Board'!$J$3:$J$232,Q192))</f>
        <v>Available</v>
      </c>
      <c r="Z192">
        <f t="shared" si="32"/>
        <v>144</v>
      </c>
    </row>
    <row r="193" spans="1:26" x14ac:dyDescent="0.25">
      <c r="A193" t="str">
        <f>'LIVE SOURCE'!A193</f>
        <v>K</v>
      </c>
      <c r="B193" t="str">
        <f>'LIVE SOURCE'!B193</f>
        <v>Cam Little</v>
      </c>
      <c r="C193" s="4">
        <f>'LIVE SOURCE'!D193</f>
        <v>85.2</v>
      </c>
      <c r="D193" s="4">
        <f>'Manual Adjustments'!G193</f>
        <v>0</v>
      </c>
      <c r="E193" s="4">
        <f t="shared" si="22"/>
        <v>85.2</v>
      </c>
      <c r="F193">
        <f>COUNTIFS($A$3:$A$232,A193,$E$3:$E$232,"&gt;"&amp;E193)+COUNTIFS($A$3:A193,A193,$E$3:E193,E193)</f>
        <v>5</v>
      </c>
      <c r="G193" s="4">
        <f>ROUND(INDEX('League Config'!$K$4:$K$9,MATCH(A193,'League Config'!$E$4:$E$9,0))*E193+INDEX('League Config'!$L$4:$L$9,MATCH(A193,'League Config'!$E$4:$E$9,0)),1)</f>
        <v>130.4</v>
      </c>
      <c r="H193">
        <f>INDEX('League Config'!$H$4:$H$9,MATCH(A193,'League Config'!$E$4:$E$9,0))</f>
        <v>10</v>
      </c>
      <c r="I193" s="4">
        <f>INDEX('League Config'!$I$4:$I$9,MATCH(A193,'League Config'!$E$4:$E$9,0))</f>
        <v>108.4</v>
      </c>
      <c r="J193" s="4">
        <f t="shared" si="23"/>
        <v>22</v>
      </c>
      <c r="K193" s="4">
        <f t="shared" si="24"/>
        <v>63.2</v>
      </c>
      <c r="L193" s="4">
        <f>MIN(100,MAX(0,(1-(F193-1)/(H193*1.5))*100*INDEX('League Config'!$J$4:$J$9,MATCH(A193,'League Config'!$E$4:$E$9,0))))</f>
        <v>40.333333333333343</v>
      </c>
      <c r="M193">
        <f>IF(A193="K",'League Config'!$B$14,IF(A193="DST",'League Config'!$B$15,IF(A193="QB",'League Config'!$B$16,0)))</f>
        <v>18</v>
      </c>
      <c r="N193" s="4">
        <f t="shared" si="25"/>
        <v>53.870000000000005</v>
      </c>
      <c r="O193" s="9" t="str">
        <f t="shared" si="26"/>
        <v/>
      </c>
      <c r="P193" s="6" t="str">
        <f>IF(O193="","",COUNTIF($O$3:$O$232,"&gt;"&amp;O193)+COUNTIF($O$3:O193,O193))</f>
        <v/>
      </c>
      <c r="Q193">
        <f t="shared" si="27"/>
        <v>145</v>
      </c>
      <c r="R193" s="4">
        <f>'LIVE SOURCE'!E193</f>
        <v>175</v>
      </c>
      <c r="S193" s="4">
        <f t="shared" si="28"/>
        <v>30</v>
      </c>
      <c r="T193" t="str">
        <f>'LIVE SOURCE'!F193</f>
        <v>B</v>
      </c>
      <c r="U193" s="4">
        <f t="shared" si="29"/>
        <v>76.2</v>
      </c>
      <c r="V193" s="4">
        <f t="shared" si="30"/>
        <v>85.2</v>
      </c>
      <c r="W193" s="4">
        <f t="shared" si="31"/>
        <v>94.2</v>
      </c>
      <c r="X193" t="str">
        <f>'LIVE SOURCE'!G193</f>
        <v>KICKER MODEL</v>
      </c>
      <c r="Y193" t="str">
        <f>IF(INDEX('Draft Board'!$J$3:$J$232,Q193)="","Available",INDEX('Draft Board'!$J$3:$J$232,Q193))</f>
        <v>Available</v>
      </c>
      <c r="Z193">
        <f t="shared" si="32"/>
        <v>145</v>
      </c>
    </row>
    <row r="194" spans="1:26" x14ac:dyDescent="0.25">
      <c r="A194" t="str">
        <f>'LIVE SOURCE'!A194</f>
        <v>K</v>
      </c>
      <c r="B194" t="str">
        <f>'LIVE SOURCE'!B194</f>
        <v>Eddy Pineiro</v>
      </c>
      <c r="C194" s="4">
        <f>'LIVE SOURCE'!D194</f>
        <v>83</v>
      </c>
      <c r="D194" s="4">
        <f>'Manual Adjustments'!G194</f>
        <v>0</v>
      </c>
      <c r="E194" s="4">
        <f t="shared" si="22"/>
        <v>83</v>
      </c>
      <c r="F194">
        <f>COUNTIFS($A$3:$A$232,A194,$E$3:$E$232,"&gt;"&amp;E194)+COUNTIFS($A$3:A194,A194,$E$3:E194,E194)</f>
        <v>6</v>
      </c>
      <c r="G194" s="4">
        <f>ROUND(INDEX('League Config'!$K$4:$K$9,MATCH(A194,'League Config'!$E$4:$E$9,0))*E194+INDEX('League Config'!$L$4:$L$9,MATCH(A194,'League Config'!$E$4:$E$9,0)),1)</f>
        <v>126</v>
      </c>
      <c r="H194">
        <f>INDEX('League Config'!$H$4:$H$9,MATCH(A194,'League Config'!$E$4:$E$9,0))</f>
        <v>10</v>
      </c>
      <c r="I194" s="4">
        <f>INDEX('League Config'!$I$4:$I$9,MATCH(A194,'League Config'!$E$4:$E$9,0))</f>
        <v>108.4</v>
      </c>
      <c r="J194" s="4">
        <f t="shared" si="23"/>
        <v>17.600000000000001</v>
      </c>
      <c r="K194" s="4">
        <f t="shared" si="24"/>
        <v>60.56</v>
      </c>
      <c r="L194" s="4">
        <f>MIN(100,MAX(0,(1-(F194-1)/(H194*1.5))*100*INDEX('League Config'!$J$4:$J$9,MATCH(A194,'League Config'!$E$4:$E$9,0))))</f>
        <v>36.666666666666671</v>
      </c>
      <c r="M194">
        <f>IF(A194="K",'League Config'!$B$14,IF(A194="DST",'League Config'!$B$15,IF(A194="QB",'League Config'!$B$16,0)))</f>
        <v>18</v>
      </c>
      <c r="N194" s="4">
        <f t="shared" si="25"/>
        <v>51.318000000000012</v>
      </c>
      <c r="O194" s="9" t="str">
        <f t="shared" si="26"/>
        <v/>
      </c>
      <c r="P194" s="6" t="str">
        <f>IF(O194="","",COUNTIF($O$3:$O$232,"&gt;"&amp;O194)+COUNTIF($O$3:O194,O194))</f>
        <v/>
      </c>
      <c r="Q194">
        <f t="shared" si="27"/>
        <v>146</v>
      </c>
      <c r="R194" s="4">
        <f>'LIVE SOURCE'!E194</f>
        <v>180</v>
      </c>
      <c r="S194" s="4">
        <f t="shared" si="28"/>
        <v>34</v>
      </c>
      <c r="T194" t="str">
        <f>'LIVE SOURCE'!F194</f>
        <v>B</v>
      </c>
      <c r="U194" s="4">
        <f t="shared" si="29"/>
        <v>74</v>
      </c>
      <c r="V194" s="4">
        <f t="shared" si="30"/>
        <v>83</v>
      </c>
      <c r="W194" s="4">
        <f t="shared" si="31"/>
        <v>92</v>
      </c>
      <c r="X194" t="str">
        <f>'LIVE SOURCE'!G194</f>
        <v>KICKER MODEL</v>
      </c>
      <c r="Y194" t="str">
        <f>IF(INDEX('Draft Board'!$J$3:$J$232,Q194)="","Available",INDEX('Draft Board'!$J$3:$J$232,Q194))</f>
        <v>Available</v>
      </c>
      <c r="Z194">
        <f t="shared" si="32"/>
        <v>146</v>
      </c>
    </row>
    <row r="195" spans="1:26" x14ac:dyDescent="0.25">
      <c r="A195" t="str">
        <f>'LIVE SOURCE'!A195</f>
        <v>K</v>
      </c>
      <c r="B195" t="str">
        <f>'LIVE SOURCE'!B195</f>
        <v>Tyler Loop</v>
      </c>
      <c r="C195" s="4">
        <f>'LIVE SOURCE'!D195</f>
        <v>80.8</v>
      </c>
      <c r="D195" s="4">
        <f>'Manual Adjustments'!G195</f>
        <v>0</v>
      </c>
      <c r="E195" s="4">
        <f t="shared" ref="E195:E232" si="33">MAX(40,MIN(100,C195+D195))</f>
        <v>80.8</v>
      </c>
      <c r="F195">
        <f>COUNTIFS($A$3:$A$232,A195,$E$3:$E$232,"&gt;"&amp;E195)+COUNTIFS($A$3:A195,A195,$E$3:E195,E195)</f>
        <v>7</v>
      </c>
      <c r="G195" s="4">
        <f>ROUND(INDEX('League Config'!$K$4:$K$9,MATCH(A195,'League Config'!$E$4:$E$9,0))*E195+INDEX('League Config'!$L$4:$L$9,MATCH(A195,'League Config'!$E$4:$E$9,0)),1)</f>
        <v>121.6</v>
      </c>
      <c r="H195">
        <f>INDEX('League Config'!$H$4:$H$9,MATCH(A195,'League Config'!$E$4:$E$9,0))</f>
        <v>10</v>
      </c>
      <c r="I195" s="4">
        <f>INDEX('League Config'!$I$4:$I$9,MATCH(A195,'League Config'!$E$4:$E$9,0))</f>
        <v>108.4</v>
      </c>
      <c r="J195" s="4">
        <f t="shared" ref="J195:J232" si="34">ROUND(G195-I195,1)</f>
        <v>13.2</v>
      </c>
      <c r="K195" s="4">
        <f t="shared" ref="K195:K232" si="35">MAX(0,MIN(100,50+J195*0.6))</f>
        <v>57.92</v>
      </c>
      <c r="L195" s="4">
        <f>MIN(100,MAX(0,(1-(F195-1)/(H195*1.5))*100*INDEX('League Config'!$J$4:$J$9,MATCH(A195,'League Config'!$E$4:$E$9,0))))</f>
        <v>33</v>
      </c>
      <c r="M195">
        <f>IF(A195="K",'League Config'!$B$14,IF(A195="DST",'League Config'!$B$15,IF(A195="QB",'League Config'!$B$16,0)))</f>
        <v>18</v>
      </c>
      <c r="N195" s="4">
        <f t="shared" ref="N195:N232" si="36">MIN(100,MAX(0,0.55*E195+0.3*K195+0.15*L195-M195))</f>
        <v>48.766000000000005</v>
      </c>
      <c r="O195" s="9" t="str">
        <f t="shared" ref="O195:O232" si="37">IF(OR(A195="K",A195="DST"),"",N195)</f>
        <v/>
      </c>
      <c r="P195" s="6" t="str">
        <f>IF(O195="","",COUNTIF($O$3:$O$232,"&gt;"&amp;O195)+COUNTIF($O$3:O195,O195))</f>
        <v/>
      </c>
      <c r="Q195">
        <f t="shared" ref="Q195:Q232" si="38">IF(A195="DST",IF(F195&lt;=GateSize,DstStart-1+F195,NSkill+2*GateSize+F195-GateSize),IF(A195="K",IF(F195&lt;=GateSize,KStart-1+F195,NSkill+GateSize+NDst+F195-GateSize),IF(P195&lt;=DstStart-1,P195,P195+2*GateSize)))</f>
        <v>147</v>
      </c>
      <c r="R195" s="4">
        <f>'LIVE SOURCE'!E195</f>
        <v>185</v>
      </c>
      <c r="S195" s="4">
        <f t="shared" ref="S195:S232" si="39">R195-Q195</f>
        <v>38</v>
      </c>
      <c r="T195" t="str">
        <f>'LIVE SOURCE'!F195</f>
        <v>B</v>
      </c>
      <c r="U195" s="4">
        <f t="shared" ref="U195:U232" si="40">MAX(40,E195-IF(T195="A",6,IF(T195="B",9,12)))</f>
        <v>71.8</v>
      </c>
      <c r="V195" s="4">
        <f t="shared" ref="V195:V232" si="41">E195</f>
        <v>80.8</v>
      </c>
      <c r="W195" s="4">
        <f t="shared" ref="W195:W232" si="42">MIN(100,E195+IF(T195="A",6,IF(T195="B",9,12)))</f>
        <v>89.8</v>
      </c>
      <c r="X195" t="str">
        <f>'LIVE SOURCE'!G195</f>
        <v>KICKER MODEL</v>
      </c>
      <c r="Y195" t="str">
        <f>IF(INDEX('Draft Board'!$J$3:$J$232,Q195)="","Available",INDEX('Draft Board'!$J$3:$J$232,Q195))</f>
        <v>Available</v>
      </c>
      <c r="Z195">
        <f t="shared" ref="Z195:Z232" si="43">IF(Y195&lt;&gt;"Available","",1+COUNTIFS($Y$3:$Y$232,"Available",$Q$3:$Q$232,"&lt;"&amp;Q195))</f>
        <v>147</v>
      </c>
    </row>
    <row r="196" spans="1:26" x14ac:dyDescent="0.25">
      <c r="A196" t="str">
        <f>'LIVE SOURCE'!A196</f>
        <v>K</v>
      </c>
      <c r="B196" t="str">
        <f>'LIVE SOURCE'!B196</f>
        <v>Harrison Mevis</v>
      </c>
      <c r="C196" s="4">
        <f>'LIVE SOURCE'!D196</f>
        <v>78.599999999999994</v>
      </c>
      <c r="D196" s="4">
        <f>'Manual Adjustments'!G196</f>
        <v>0</v>
      </c>
      <c r="E196" s="4">
        <f t="shared" si="33"/>
        <v>78.599999999999994</v>
      </c>
      <c r="F196">
        <f>COUNTIFS($A$3:$A$232,A196,$E$3:$E$232,"&gt;"&amp;E196)+COUNTIFS($A$3:A196,A196,$E$3:E196,E196)</f>
        <v>8</v>
      </c>
      <c r="G196" s="4">
        <f>ROUND(INDEX('League Config'!$K$4:$K$9,MATCH(A196,'League Config'!$E$4:$E$9,0))*E196+INDEX('League Config'!$L$4:$L$9,MATCH(A196,'League Config'!$E$4:$E$9,0)),1)</f>
        <v>117.2</v>
      </c>
      <c r="H196">
        <f>INDEX('League Config'!$H$4:$H$9,MATCH(A196,'League Config'!$E$4:$E$9,0))</f>
        <v>10</v>
      </c>
      <c r="I196" s="4">
        <f>INDEX('League Config'!$I$4:$I$9,MATCH(A196,'League Config'!$E$4:$E$9,0))</f>
        <v>108.4</v>
      </c>
      <c r="J196" s="4">
        <f t="shared" si="34"/>
        <v>8.8000000000000007</v>
      </c>
      <c r="K196" s="4">
        <f t="shared" si="35"/>
        <v>55.28</v>
      </c>
      <c r="L196" s="4">
        <f>MIN(100,MAX(0,(1-(F196-1)/(H196*1.5))*100*INDEX('League Config'!$J$4:$J$9,MATCH(A196,'League Config'!$E$4:$E$9,0))))</f>
        <v>29.333333333333336</v>
      </c>
      <c r="M196">
        <f>IF(A196="K",'League Config'!$B$14,IF(A196="DST",'League Config'!$B$15,IF(A196="QB",'League Config'!$B$16,0)))</f>
        <v>18</v>
      </c>
      <c r="N196" s="4">
        <f t="shared" si="36"/>
        <v>46.213999999999999</v>
      </c>
      <c r="O196" s="9" t="str">
        <f t="shared" si="37"/>
        <v/>
      </c>
      <c r="P196" s="6" t="str">
        <f>IF(O196="","",COUNTIF($O$3:$O$232,"&gt;"&amp;O196)+COUNTIF($O$3:O196,O196))</f>
        <v/>
      </c>
      <c r="Q196">
        <f t="shared" si="38"/>
        <v>148</v>
      </c>
      <c r="R196" s="4">
        <f>'LIVE SOURCE'!E196</f>
        <v>190</v>
      </c>
      <c r="S196" s="4">
        <f t="shared" si="39"/>
        <v>42</v>
      </c>
      <c r="T196" t="str">
        <f>'LIVE SOURCE'!F196</f>
        <v>B</v>
      </c>
      <c r="U196" s="4">
        <f t="shared" si="40"/>
        <v>69.599999999999994</v>
      </c>
      <c r="V196" s="4">
        <f t="shared" si="41"/>
        <v>78.599999999999994</v>
      </c>
      <c r="W196" s="4">
        <f t="shared" si="42"/>
        <v>87.6</v>
      </c>
      <c r="X196" t="str">
        <f>'LIVE SOURCE'!G196</f>
        <v>KICKER MODEL</v>
      </c>
      <c r="Y196" t="str">
        <f>IF(INDEX('Draft Board'!$J$3:$J$232,Q196)="","Available",INDEX('Draft Board'!$J$3:$J$232,Q196))</f>
        <v>Available</v>
      </c>
      <c r="Z196">
        <f t="shared" si="43"/>
        <v>148</v>
      </c>
    </row>
    <row r="197" spans="1:26" x14ac:dyDescent="0.25">
      <c r="A197" t="str">
        <f>'LIVE SOURCE'!A197</f>
        <v>K</v>
      </c>
      <c r="B197" t="str">
        <f>'LIVE SOURCE'!B197</f>
        <v>Chase McLaughlin</v>
      </c>
      <c r="C197" s="4">
        <f>'LIVE SOURCE'!D197</f>
        <v>76.400000000000006</v>
      </c>
      <c r="D197" s="4">
        <f>'Manual Adjustments'!G197</f>
        <v>0</v>
      </c>
      <c r="E197" s="4">
        <f t="shared" si="33"/>
        <v>76.400000000000006</v>
      </c>
      <c r="F197">
        <f>COUNTIFS($A$3:$A$232,A197,$E$3:$E$232,"&gt;"&amp;E197)+COUNTIFS($A$3:A197,A197,$E$3:E197,E197)</f>
        <v>9</v>
      </c>
      <c r="G197" s="4">
        <f>ROUND(INDEX('League Config'!$K$4:$K$9,MATCH(A197,'League Config'!$E$4:$E$9,0))*E197+INDEX('League Config'!$L$4:$L$9,MATCH(A197,'League Config'!$E$4:$E$9,0)),1)</f>
        <v>112.8</v>
      </c>
      <c r="H197">
        <f>INDEX('League Config'!$H$4:$H$9,MATCH(A197,'League Config'!$E$4:$E$9,0))</f>
        <v>10</v>
      </c>
      <c r="I197" s="4">
        <f>INDEX('League Config'!$I$4:$I$9,MATCH(A197,'League Config'!$E$4:$E$9,0))</f>
        <v>108.4</v>
      </c>
      <c r="J197" s="4">
        <f t="shared" si="34"/>
        <v>4.4000000000000004</v>
      </c>
      <c r="K197" s="4">
        <f t="shared" si="35"/>
        <v>52.64</v>
      </c>
      <c r="L197" s="4">
        <f>MIN(100,MAX(0,(1-(F197-1)/(H197*1.5))*100*INDEX('League Config'!$J$4:$J$9,MATCH(A197,'League Config'!$E$4:$E$9,0))))</f>
        <v>25.666666666666668</v>
      </c>
      <c r="M197">
        <f>IF(A197="K",'League Config'!$B$14,IF(A197="DST",'League Config'!$B$15,IF(A197="QB",'League Config'!$B$16,0)))</f>
        <v>18</v>
      </c>
      <c r="N197" s="4">
        <f t="shared" si="36"/>
        <v>43.662000000000006</v>
      </c>
      <c r="O197" s="9" t="str">
        <f t="shared" si="37"/>
        <v/>
      </c>
      <c r="P197" s="6" t="str">
        <f>IF(O197="","",COUNTIF($O$3:$O$232,"&gt;"&amp;O197)+COUNTIF($O$3:O197,O197))</f>
        <v/>
      </c>
      <c r="Q197">
        <f t="shared" si="38"/>
        <v>149</v>
      </c>
      <c r="R197" s="4">
        <f>'LIVE SOURCE'!E197</f>
        <v>195</v>
      </c>
      <c r="S197" s="4">
        <f t="shared" si="39"/>
        <v>46</v>
      </c>
      <c r="T197" t="str">
        <f>'LIVE SOURCE'!F197</f>
        <v>B</v>
      </c>
      <c r="U197" s="4">
        <f t="shared" si="40"/>
        <v>67.400000000000006</v>
      </c>
      <c r="V197" s="4">
        <f t="shared" si="41"/>
        <v>76.400000000000006</v>
      </c>
      <c r="W197" s="4">
        <f t="shared" si="42"/>
        <v>85.4</v>
      </c>
      <c r="X197" t="str">
        <f>'LIVE SOURCE'!G197</f>
        <v>KICKER MODEL</v>
      </c>
      <c r="Y197" t="str">
        <f>IF(INDEX('Draft Board'!$J$3:$J$232,Q197)="","Available",INDEX('Draft Board'!$J$3:$J$232,Q197))</f>
        <v>Available</v>
      </c>
      <c r="Z197">
        <f t="shared" si="43"/>
        <v>149</v>
      </c>
    </row>
    <row r="198" spans="1:26" x14ac:dyDescent="0.25">
      <c r="A198" t="str">
        <f>'LIVE SOURCE'!A198</f>
        <v>K</v>
      </c>
      <c r="B198" t="str">
        <f>'LIVE SOURCE'!B198</f>
        <v>Cairo Santos</v>
      </c>
      <c r="C198" s="4">
        <f>'LIVE SOURCE'!D198</f>
        <v>74.2</v>
      </c>
      <c r="D198" s="4">
        <f>'Manual Adjustments'!G198</f>
        <v>0</v>
      </c>
      <c r="E198" s="4">
        <f t="shared" si="33"/>
        <v>74.2</v>
      </c>
      <c r="F198">
        <f>COUNTIFS($A$3:$A$232,A198,$E$3:$E$232,"&gt;"&amp;E198)+COUNTIFS($A$3:A198,A198,$E$3:E198,E198)</f>
        <v>10</v>
      </c>
      <c r="G198" s="4">
        <f>ROUND(INDEX('League Config'!$K$4:$K$9,MATCH(A198,'League Config'!$E$4:$E$9,0))*E198+INDEX('League Config'!$L$4:$L$9,MATCH(A198,'League Config'!$E$4:$E$9,0)),1)</f>
        <v>108.4</v>
      </c>
      <c r="H198">
        <f>INDEX('League Config'!$H$4:$H$9,MATCH(A198,'League Config'!$E$4:$E$9,0))</f>
        <v>10</v>
      </c>
      <c r="I198" s="4">
        <f>INDEX('League Config'!$I$4:$I$9,MATCH(A198,'League Config'!$E$4:$E$9,0))</f>
        <v>108.4</v>
      </c>
      <c r="J198" s="4">
        <f t="shared" si="34"/>
        <v>0</v>
      </c>
      <c r="K198" s="4">
        <f t="shared" si="35"/>
        <v>50</v>
      </c>
      <c r="L198" s="4">
        <f>MIN(100,MAX(0,(1-(F198-1)/(H198*1.5))*100*INDEX('League Config'!$J$4:$J$9,MATCH(A198,'League Config'!$E$4:$E$9,0))))</f>
        <v>22</v>
      </c>
      <c r="M198">
        <f>IF(A198="K",'League Config'!$B$14,IF(A198="DST",'League Config'!$B$15,IF(A198="QB",'League Config'!$B$16,0)))</f>
        <v>18</v>
      </c>
      <c r="N198" s="4">
        <f t="shared" si="36"/>
        <v>41.11</v>
      </c>
      <c r="O198" s="9" t="str">
        <f t="shared" si="37"/>
        <v/>
      </c>
      <c r="P198" s="6" t="str">
        <f>IF(O198="","",COUNTIF($O$3:$O$232,"&gt;"&amp;O198)+COUNTIF($O$3:O198,O198))</f>
        <v/>
      </c>
      <c r="Q198">
        <f t="shared" si="38"/>
        <v>150</v>
      </c>
      <c r="R198" s="4">
        <f>'LIVE SOURCE'!E198</f>
        <v>200</v>
      </c>
      <c r="S198" s="4">
        <f t="shared" si="39"/>
        <v>50</v>
      </c>
      <c r="T198" t="str">
        <f>'LIVE SOURCE'!F198</f>
        <v>B</v>
      </c>
      <c r="U198" s="4">
        <f t="shared" si="40"/>
        <v>65.2</v>
      </c>
      <c r="V198" s="4">
        <f t="shared" si="41"/>
        <v>74.2</v>
      </c>
      <c r="W198" s="4">
        <f t="shared" si="42"/>
        <v>83.2</v>
      </c>
      <c r="X198" t="str">
        <f>'LIVE SOURCE'!G198</f>
        <v>KICKER MODEL</v>
      </c>
      <c r="Y198" t="str">
        <f>IF(INDEX('Draft Board'!$J$3:$J$232,Q198)="","Available",INDEX('Draft Board'!$J$3:$J$232,Q198))</f>
        <v>Available</v>
      </c>
      <c r="Z198">
        <f t="shared" si="43"/>
        <v>150</v>
      </c>
    </row>
    <row r="199" spans="1:26" x14ac:dyDescent="0.25">
      <c r="A199" t="str">
        <f>'LIVE SOURCE'!A199</f>
        <v>K</v>
      </c>
      <c r="B199" t="str">
        <f>'LIVE SOURCE'!B199</f>
        <v>Andy Borregales</v>
      </c>
      <c r="C199" s="4">
        <f>'LIVE SOURCE'!D199</f>
        <v>72</v>
      </c>
      <c r="D199" s="4">
        <f>'Manual Adjustments'!G199</f>
        <v>0</v>
      </c>
      <c r="E199" s="4">
        <f t="shared" si="33"/>
        <v>72</v>
      </c>
      <c r="F199">
        <f>COUNTIFS($A$3:$A$232,A199,$E$3:$E$232,"&gt;"&amp;E199)+COUNTIFS($A$3:A199,A199,$E$3:E199,E199)</f>
        <v>11</v>
      </c>
      <c r="G199" s="4">
        <f>ROUND(INDEX('League Config'!$K$4:$K$9,MATCH(A199,'League Config'!$E$4:$E$9,0))*E199+INDEX('League Config'!$L$4:$L$9,MATCH(A199,'League Config'!$E$4:$E$9,0)),1)</f>
        <v>104</v>
      </c>
      <c r="H199">
        <f>INDEX('League Config'!$H$4:$H$9,MATCH(A199,'League Config'!$E$4:$E$9,0))</f>
        <v>10</v>
      </c>
      <c r="I199" s="4">
        <f>INDEX('League Config'!$I$4:$I$9,MATCH(A199,'League Config'!$E$4:$E$9,0))</f>
        <v>108.4</v>
      </c>
      <c r="J199" s="4">
        <f t="shared" si="34"/>
        <v>-4.4000000000000004</v>
      </c>
      <c r="K199" s="4">
        <f t="shared" si="35"/>
        <v>47.36</v>
      </c>
      <c r="L199" s="4">
        <f>MIN(100,MAX(0,(1-(F199-1)/(H199*1.5))*100*INDEX('League Config'!$J$4:$J$9,MATCH(A199,'League Config'!$E$4:$E$9,0))))</f>
        <v>18.333333333333336</v>
      </c>
      <c r="M199">
        <f>IF(A199="K",'League Config'!$B$14,IF(A199="DST",'League Config'!$B$15,IF(A199="QB",'League Config'!$B$16,0)))</f>
        <v>18</v>
      </c>
      <c r="N199" s="4">
        <f t="shared" si="36"/>
        <v>38.558</v>
      </c>
      <c r="O199" s="9" t="str">
        <f t="shared" si="37"/>
        <v/>
      </c>
      <c r="P199" s="6" t="str">
        <f>IF(O199="","",COUNTIF($O$3:$O$232,"&gt;"&amp;O199)+COUNTIF($O$3:O199,O199))</f>
        <v/>
      </c>
      <c r="Q199">
        <f t="shared" si="38"/>
        <v>229</v>
      </c>
      <c r="R199" s="4">
        <f>'LIVE SOURCE'!E199</f>
        <v>205</v>
      </c>
      <c r="S199" s="4">
        <f t="shared" si="39"/>
        <v>-24</v>
      </c>
      <c r="T199" t="str">
        <f>'LIVE SOURCE'!F199</f>
        <v>B</v>
      </c>
      <c r="U199" s="4">
        <f t="shared" si="40"/>
        <v>63</v>
      </c>
      <c r="V199" s="4">
        <f t="shared" si="41"/>
        <v>72</v>
      </c>
      <c r="W199" s="4">
        <f t="shared" si="42"/>
        <v>81</v>
      </c>
      <c r="X199" t="str">
        <f>'LIVE SOURCE'!G199</f>
        <v>KICKER MODEL</v>
      </c>
      <c r="Y199" t="str">
        <f>IF(INDEX('Draft Board'!$J$3:$J$232,Q199)="","Available",INDEX('Draft Board'!$J$3:$J$232,Q199))</f>
        <v>Available</v>
      </c>
      <c r="Z199">
        <f t="shared" si="43"/>
        <v>229</v>
      </c>
    </row>
    <row r="200" spans="1:26" x14ac:dyDescent="0.25">
      <c r="A200" t="str">
        <f>'LIVE SOURCE'!A200</f>
        <v>K</v>
      </c>
      <c r="B200" t="str">
        <f>'LIVE SOURCE'!B200</f>
        <v>Evan McPherson</v>
      </c>
      <c r="C200" s="4">
        <f>'LIVE SOURCE'!D200</f>
        <v>69.8</v>
      </c>
      <c r="D200" s="4">
        <f>'Manual Adjustments'!G200</f>
        <v>0</v>
      </c>
      <c r="E200" s="4">
        <f t="shared" si="33"/>
        <v>69.8</v>
      </c>
      <c r="F200">
        <f>COUNTIFS($A$3:$A$232,A200,$E$3:$E$232,"&gt;"&amp;E200)+COUNTIFS($A$3:A200,A200,$E$3:E200,E200)</f>
        <v>12</v>
      </c>
      <c r="G200" s="4">
        <f>ROUND(INDEX('League Config'!$K$4:$K$9,MATCH(A200,'League Config'!$E$4:$E$9,0))*E200+INDEX('League Config'!$L$4:$L$9,MATCH(A200,'League Config'!$E$4:$E$9,0)),1)</f>
        <v>99.6</v>
      </c>
      <c r="H200">
        <f>INDEX('League Config'!$H$4:$H$9,MATCH(A200,'League Config'!$E$4:$E$9,0))</f>
        <v>10</v>
      </c>
      <c r="I200" s="4">
        <f>INDEX('League Config'!$I$4:$I$9,MATCH(A200,'League Config'!$E$4:$E$9,0))</f>
        <v>108.4</v>
      </c>
      <c r="J200" s="4">
        <f t="shared" si="34"/>
        <v>-8.8000000000000007</v>
      </c>
      <c r="K200" s="4">
        <f t="shared" si="35"/>
        <v>44.72</v>
      </c>
      <c r="L200" s="4">
        <f>MIN(100,MAX(0,(1-(F200-1)/(H200*1.5))*100*INDEX('League Config'!$J$4:$J$9,MATCH(A200,'League Config'!$E$4:$E$9,0))))</f>
        <v>14.66666666666667</v>
      </c>
      <c r="M200">
        <f>IF(A200="K",'League Config'!$B$14,IF(A200="DST",'League Config'!$B$15,IF(A200="QB",'League Config'!$B$16,0)))</f>
        <v>18</v>
      </c>
      <c r="N200" s="4">
        <f t="shared" si="36"/>
        <v>36.006</v>
      </c>
      <c r="O200" s="9" t="str">
        <f t="shared" si="37"/>
        <v/>
      </c>
      <c r="P200" s="6" t="str">
        <f>IF(O200="","",COUNTIF($O$3:$O$232,"&gt;"&amp;O200)+COUNTIF($O$3:O200,O200))</f>
        <v/>
      </c>
      <c r="Q200">
        <f t="shared" si="38"/>
        <v>230</v>
      </c>
      <c r="R200" s="4">
        <f>'LIVE SOURCE'!E200</f>
        <v>210</v>
      </c>
      <c r="S200" s="4">
        <f t="shared" si="39"/>
        <v>-20</v>
      </c>
      <c r="T200" t="str">
        <f>'LIVE SOURCE'!F200</f>
        <v>B</v>
      </c>
      <c r="U200" s="4">
        <f t="shared" si="40"/>
        <v>60.8</v>
      </c>
      <c r="V200" s="4">
        <f t="shared" si="41"/>
        <v>69.8</v>
      </c>
      <c r="W200" s="4">
        <f t="shared" si="42"/>
        <v>78.8</v>
      </c>
      <c r="X200" t="str">
        <f>'LIVE SOURCE'!G200</f>
        <v>KICKER MODEL</v>
      </c>
      <c r="Y200" t="str">
        <f>IF(INDEX('Draft Board'!$J$3:$J$232,Q200)="","Available",INDEX('Draft Board'!$J$3:$J$232,Q200))</f>
        <v>Available</v>
      </c>
      <c r="Z200">
        <f t="shared" si="43"/>
        <v>230</v>
      </c>
    </row>
    <row r="201" spans="1:26" x14ac:dyDescent="0.25">
      <c r="A201" t="str">
        <f>'LIVE SOURCE'!A201</f>
        <v>DST</v>
      </c>
      <c r="B201" t="str">
        <f>'LIVE SOURCE'!B201</f>
        <v>Houston Texans</v>
      </c>
      <c r="C201" s="4">
        <f>'LIVE SOURCE'!D201</f>
        <v>93</v>
      </c>
      <c r="D201" s="4">
        <f>'Manual Adjustments'!G201</f>
        <v>0</v>
      </c>
      <c r="E201" s="4">
        <f t="shared" si="33"/>
        <v>93</v>
      </c>
      <c r="F201">
        <f>COUNTIFS($A$3:$A$232,A201,$E$3:$E$232,"&gt;"&amp;E201)+COUNTIFS($A$3:A201,A201,$E$3:E201,E201)</f>
        <v>1</v>
      </c>
      <c r="G201" s="4">
        <f>ROUND(INDEX('League Config'!$K$4:$K$9,MATCH(A201,'League Config'!$E$4:$E$9,0))*E201+INDEX('League Config'!$L$4:$L$9,MATCH(A201,'League Config'!$E$4:$E$9,0)),1)</f>
        <v>117.4</v>
      </c>
      <c r="H201">
        <f>INDEX('League Config'!$H$4:$H$9,MATCH(A201,'League Config'!$E$4:$E$9,0))</f>
        <v>10</v>
      </c>
      <c r="I201" s="4">
        <f>INDEX('League Config'!$I$4:$I$9,MATCH(A201,'League Config'!$E$4:$E$9,0))</f>
        <v>99.6</v>
      </c>
      <c r="J201" s="4">
        <f t="shared" si="34"/>
        <v>17.8</v>
      </c>
      <c r="K201" s="4">
        <f t="shared" si="35"/>
        <v>60.68</v>
      </c>
      <c r="L201" s="4">
        <f>MIN(100,MAX(0,(1-(F201-1)/(H201*1.5))*100*INDEX('League Config'!$J$4:$J$9,MATCH(A201,'League Config'!$E$4:$E$9,0))))</f>
        <v>50</v>
      </c>
      <c r="M201">
        <f>IF(A201="K",'League Config'!$B$14,IF(A201="DST",'League Config'!$B$15,IF(A201="QB",'League Config'!$B$16,0)))</f>
        <v>20</v>
      </c>
      <c r="N201" s="4">
        <f t="shared" si="36"/>
        <v>56.854000000000013</v>
      </c>
      <c r="O201" s="9" t="str">
        <f t="shared" si="37"/>
        <v/>
      </c>
      <c r="P201" s="6" t="str">
        <f>IF(O201="","",COUNTIF($O$3:$O$232,"&gt;"&amp;O201)+COUNTIF($O$3:O201,O201))</f>
        <v/>
      </c>
      <c r="Q201">
        <f t="shared" si="38"/>
        <v>131</v>
      </c>
      <c r="R201" s="4">
        <f>'LIVE SOURCE'!E201</f>
        <v>160</v>
      </c>
      <c r="S201" s="4">
        <f t="shared" si="39"/>
        <v>29</v>
      </c>
      <c r="T201" t="str">
        <f>'LIVE SOURCE'!F201</f>
        <v>B</v>
      </c>
      <c r="U201" s="4">
        <f t="shared" si="40"/>
        <v>84</v>
      </c>
      <c r="V201" s="4">
        <f t="shared" si="41"/>
        <v>93</v>
      </c>
      <c r="W201" s="4">
        <f t="shared" si="42"/>
        <v>100</v>
      </c>
      <c r="X201" t="str">
        <f>'LIVE SOURCE'!G201</f>
        <v>DST MODEL</v>
      </c>
      <c r="Y201" t="str">
        <f>IF(INDEX('Draft Board'!$J$3:$J$232,Q201)="","Available",INDEX('Draft Board'!$J$3:$J$232,Q201))</f>
        <v>Available</v>
      </c>
      <c r="Z201">
        <f t="shared" si="43"/>
        <v>131</v>
      </c>
    </row>
    <row r="202" spans="1:26" x14ac:dyDescent="0.25">
      <c r="A202" t="str">
        <f>'LIVE SOURCE'!A202</f>
        <v>DST</v>
      </c>
      <c r="B202" t="str">
        <f>'LIVE SOURCE'!B202</f>
        <v>Denver Broncos</v>
      </c>
      <c r="C202" s="4">
        <f>'LIVE SOURCE'!D202</f>
        <v>91.9</v>
      </c>
      <c r="D202" s="4">
        <f>'Manual Adjustments'!G202</f>
        <v>0</v>
      </c>
      <c r="E202" s="4">
        <f t="shared" si="33"/>
        <v>91.9</v>
      </c>
      <c r="F202">
        <f>COUNTIFS($A$3:$A$232,A202,$E$3:$E$232,"&gt;"&amp;E202)+COUNTIFS($A$3:A202,A202,$E$3:E202,E202)</f>
        <v>2</v>
      </c>
      <c r="G202" s="4">
        <f>ROUND(INDEX('League Config'!$K$4:$K$9,MATCH(A202,'League Config'!$E$4:$E$9,0))*E202+INDEX('League Config'!$L$4:$L$9,MATCH(A202,'League Config'!$E$4:$E$9,0)),1)</f>
        <v>115.4</v>
      </c>
      <c r="H202">
        <f>INDEX('League Config'!$H$4:$H$9,MATCH(A202,'League Config'!$E$4:$E$9,0))</f>
        <v>10</v>
      </c>
      <c r="I202" s="4">
        <f>INDEX('League Config'!$I$4:$I$9,MATCH(A202,'League Config'!$E$4:$E$9,0))</f>
        <v>99.6</v>
      </c>
      <c r="J202" s="4">
        <f t="shared" si="34"/>
        <v>15.8</v>
      </c>
      <c r="K202" s="4">
        <f t="shared" si="35"/>
        <v>59.480000000000004</v>
      </c>
      <c r="L202" s="4">
        <f>MIN(100,MAX(0,(1-(F202-1)/(H202*1.5))*100*INDEX('League Config'!$J$4:$J$9,MATCH(A202,'League Config'!$E$4:$E$9,0))))</f>
        <v>46.666666666666664</v>
      </c>
      <c r="M202">
        <f>IF(A202="K",'League Config'!$B$14,IF(A202="DST",'League Config'!$B$15,IF(A202="QB",'League Config'!$B$16,0)))</f>
        <v>20</v>
      </c>
      <c r="N202" s="4">
        <f t="shared" si="36"/>
        <v>55.38900000000001</v>
      </c>
      <c r="O202" s="9" t="str">
        <f t="shared" si="37"/>
        <v/>
      </c>
      <c r="P202" s="6" t="str">
        <f>IF(O202="","",COUNTIF($O$3:$O$232,"&gt;"&amp;O202)+COUNTIF($O$3:O202,O202))</f>
        <v/>
      </c>
      <c r="Q202">
        <f t="shared" si="38"/>
        <v>132</v>
      </c>
      <c r="R202" s="4">
        <f>'LIVE SOURCE'!E202</f>
        <v>164</v>
      </c>
      <c r="S202" s="4">
        <f t="shared" si="39"/>
        <v>32</v>
      </c>
      <c r="T202" t="str">
        <f>'LIVE SOURCE'!F202</f>
        <v>B</v>
      </c>
      <c r="U202" s="4">
        <f t="shared" si="40"/>
        <v>82.9</v>
      </c>
      <c r="V202" s="4">
        <f t="shared" si="41"/>
        <v>91.9</v>
      </c>
      <c r="W202" s="4">
        <f t="shared" si="42"/>
        <v>100</v>
      </c>
      <c r="X202" t="str">
        <f>'LIVE SOURCE'!G202</f>
        <v>DST MODEL</v>
      </c>
      <c r="Y202" t="str">
        <f>IF(INDEX('Draft Board'!$J$3:$J$232,Q202)="","Available",INDEX('Draft Board'!$J$3:$J$232,Q202))</f>
        <v>Available</v>
      </c>
      <c r="Z202">
        <f t="shared" si="43"/>
        <v>132</v>
      </c>
    </row>
    <row r="203" spans="1:26" x14ac:dyDescent="0.25">
      <c r="A203" t="str">
        <f>'LIVE SOURCE'!A203</f>
        <v>DST</v>
      </c>
      <c r="B203" t="str">
        <f>'LIVE SOURCE'!B203</f>
        <v>Seattle Seahawks</v>
      </c>
      <c r="C203" s="4">
        <f>'LIVE SOURCE'!D203</f>
        <v>90.8</v>
      </c>
      <c r="D203" s="4">
        <f>'Manual Adjustments'!G203</f>
        <v>0</v>
      </c>
      <c r="E203" s="4">
        <f t="shared" si="33"/>
        <v>90.8</v>
      </c>
      <c r="F203">
        <f>COUNTIFS($A$3:$A$232,A203,$E$3:$E$232,"&gt;"&amp;E203)+COUNTIFS($A$3:A203,A203,$E$3:E203,E203)</f>
        <v>3</v>
      </c>
      <c r="G203" s="4">
        <f>ROUND(INDEX('League Config'!$K$4:$K$9,MATCH(A203,'League Config'!$E$4:$E$9,0))*E203+INDEX('League Config'!$L$4:$L$9,MATCH(A203,'League Config'!$E$4:$E$9,0)),1)</f>
        <v>113.4</v>
      </c>
      <c r="H203">
        <f>INDEX('League Config'!$H$4:$H$9,MATCH(A203,'League Config'!$E$4:$E$9,0))</f>
        <v>10</v>
      </c>
      <c r="I203" s="4">
        <f>INDEX('League Config'!$I$4:$I$9,MATCH(A203,'League Config'!$E$4:$E$9,0))</f>
        <v>99.6</v>
      </c>
      <c r="J203" s="4">
        <f t="shared" si="34"/>
        <v>13.8</v>
      </c>
      <c r="K203" s="4">
        <f t="shared" si="35"/>
        <v>58.28</v>
      </c>
      <c r="L203" s="4">
        <f>MIN(100,MAX(0,(1-(F203-1)/(H203*1.5))*100*INDEX('League Config'!$J$4:$J$9,MATCH(A203,'League Config'!$E$4:$E$9,0))))</f>
        <v>43.333333333333336</v>
      </c>
      <c r="M203">
        <f>IF(A203="K",'League Config'!$B$14,IF(A203="DST",'League Config'!$B$15,IF(A203="QB",'League Config'!$B$16,0)))</f>
        <v>20</v>
      </c>
      <c r="N203" s="4">
        <f t="shared" si="36"/>
        <v>53.924000000000007</v>
      </c>
      <c r="O203" s="9" t="str">
        <f t="shared" si="37"/>
        <v/>
      </c>
      <c r="P203" s="6" t="str">
        <f>IF(O203="","",COUNTIF($O$3:$O$232,"&gt;"&amp;O203)+COUNTIF($O$3:O203,O203))</f>
        <v/>
      </c>
      <c r="Q203">
        <f t="shared" si="38"/>
        <v>133</v>
      </c>
      <c r="R203" s="4">
        <f>'LIVE SOURCE'!E203</f>
        <v>168</v>
      </c>
      <c r="S203" s="4">
        <f t="shared" si="39"/>
        <v>35</v>
      </c>
      <c r="T203" t="str">
        <f>'LIVE SOURCE'!F203</f>
        <v>B</v>
      </c>
      <c r="U203" s="4">
        <f t="shared" si="40"/>
        <v>81.8</v>
      </c>
      <c r="V203" s="4">
        <f t="shared" si="41"/>
        <v>90.8</v>
      </c>
      <c r="W203" s="4">
        <f t="shared" si="42"/>
        <v>99.8</v>
      </c>
      <c r="X203" t="str">
        <f>'LIVE SOURCE'!G203</f>
        <v>DST MODEL</v>
      </c>
      <c r="Y203" t="str">
        <f>IF(INDEX('Draft Board'!$J$3:$J$232,Q203)="","Available",INDEX('Draft Board'!$J$3:$J$232,Q203))</f>
        <v>Available</v>
      </c>
      <c r="Z203">
        <f t="shared" si="43"/>
        <v>133</v>
      </c>
    </row>
    <row r="204" spans="1:26" x14ac:dyDescent="0.25">
      <c r="A204" t="str">
        <f>'LIVE SOURCE'!A204</f>
        <v>DST</v>
      </c>
      <c r="B204" t="str">
        <f>'LIVE SOURCE'!B204</f>
        <v>Los Angeles Rams</v>
      </c>
      <c r="C204" s="4">
        <f>'LIVE SOURCE'!D204</f>
        <v>89.7</v>
      </c>
      <c r="D204" s="4">
        <f>'Manual Adjustments'!G204</f>
        <v>0</v>
      </c>
      <c r="E204" s="4">
        <f t="shared" si="33"/>
        <v>89.7</v>
      </c>
      <c r="F204">
        <f>COUNTIFS($A$3:$A$232,A204,$E$3:$E$232,"&gt;"&amp;E204)+COUNTIFS($A$3:A204,A204,$E$3:E204,E204)</f>
        <v>4</v>
      </c>
      <c r="G204" s="4">
        <f>ROUND(INDEX('League Config'!$K$4:$K$9,MATCH(A204,'League Config'!$E$4:$E$9,0))*E204+INDEX('League Config'!$L$4:$L$9,MATCH(A204,'League Config'!$E$4:$E$9,0)),1)</f>
        <v>111.5</v>
      </c>
      <c r="H204">
        <f>INDEX('League Config'!$H$4:$H$9,MATCH(A204,'League Config'!$E$4:$E$9,0))</f>
        <v>10</v>
      </c>
      <c r="I204" s="4">
        <f>INDEX('League Config'!$I$4:$I$9,MATCH(A204,'League Config'!$E$4:$E$9,0))</f>
        <v>99.6</v>
      </c>
      <c r="J204" s="4">
        <f t="shared" si="34"/>
        <v>11.9</v>
      </c>
      <c r="K204" s="4">
        <f t="shared" si="35"/>
        <v>57.14</v>
      </c>
      <c r="L204" s="4">
        <f>MIN(100,MAX(0,(1-(F204-1)/(H204*1.5))*100*INDEX('League Config'!$J$4:$J$9,MATCH(A204,'League Config'!$E$4:$E$9,0))))</f>
        <v>40</v>
      </c>
      <c r="M204">
        <f>IF(A204="K",'League Config'!$B$14,IF(A204="DST",'League Config'!$B$15,IF(A204="QB",'League Config'!$B$16,0)))</f>
        <v>20</v>
      </c>
      <c r="N204" s="4">
        <f t="shared" si="36"/>
        <v>52.477000000000004</v>
      </c>
      <c r="O204" s="9" t="str">
        <f t="shared" si="37"/>
        <v/>
      </c>
      <c r="P204" s="6" t="str">
        <f>IF(O204="","",COUNTIF($O$3:$O$232,"&gt;"&amp;O204)+COUNTIF($O$3:O204,O204))</f>
        <v/>
      </c>
      <c r="Q204">
        <f t="shared" si="38"/>
        <v>134</v>
      </c>
      <c r="R204" s="4">
        <f>'LIVE SOURCE'!E204</f>
        <v>134.1</v>
      </c>
      <c r="S204" s="4">
        <f t="shared" si="39"/>
        <v>9.9999999999994316E-2</v>
      </c>
      <c r="T204" t="str">
        <f>'LIVE SOURCE'!F204</f>
        <v>B</v>
      </c>
      <c r="U204" s="4">
        <f t="shared" si="40"/>
        <v>80.7</v>
      </c>
      <c r="V204" s="4">
        <f t="shared" si="41"/>
        <v>89.7</v>
      </c>
      <c r="W204" s="4">
        <f t="shared" si="42"/>
        <v>98.7</v>
      </c>
      <c r="X204" t="str">
        <f>'LIVE SOURCE'!G204</f>
        <v>DST MODEL</v>
      </c>
      <c r="Y204" t="str">
        <f>IF(INDEX('Draft Board'!$J$3:$J$232,Q204)="","Available",INDEX('Draft Board'!$J$3:$J$232,Q204))</f>
        <v>Available</v>
      </c>
      <c r="Z204">
        <f t="shared" si="43"/>
        <v>134</v>
      </c>
    </row>
    <row r="205" spans="1:26" x14ac:dyDescent="0.25">
      <c r="A205" t="str">
        <f>'LIVE SOURCE'!A205</f>
        <v>DST</v>
      </c>
      <c r="B205" t="str">
        <f>'LIVE SOURCE'!B205</f>
        <v>Philadelphia Eagles</v>
      </c>
      <c r="C205" s="4">
        <f>'LIVE SOURCE'!D205</f>
        <v>88.6</v>
      </c>
      <c r="D205" s="4">
        <f>'Manual Adjustments'!G205</f>
        <v>0</v>
      </c>
      <c r="E205" s="4">
        <f t="shared" si="33"/>
        <v>88.6</v>
      </c>
      <c r="F205">
        <f>COUNTIFS($A$3:$A$232,A205,$E$3:$E$232,"&gt;"&amp;E205)+COUNTIFS($A$3:A205,A205,$E$3:E205,E205)</f>
        <v>5</v>
      </c>
      <c r="G205" s="4">
        <f>ROUND(INDEX('League Config'!$K$4:$K$9,MATCH(A205,'League Config'!$E$4:$E$9,0))*E205+INDEX('League Config'!$L$4:$L$9,MATCH(A205,'League Config'!$E$4:$E$9,0)),1)</f>
        <v>109.5</v>
      </c>
      <c r="H205">
        <f>INDEX('League Config'!$H$4:$H$9,MATCH(A205,'League Config'!$E$4:$E$9,0))</f>
        <v>10</v>
      </c>
      <c r="I205" s="4">
        <f>INDEX('League Config'!$I$4:$I$9,MATCH(A205,'League Config'!$E$4:$E$9,0))</f>
        <v>99.6</v>
      </c>
      <c r="J205" s="4">
        <f t="shared" si="34"/>
        <v>9.9</v>
      </c>
      <c r="K205" s="4">
        <f t="shared" si="35"/>
        <v>55.94</v>
      </c>
      <c r="L205" s="4">
        <f>MIN(100,MAX(0,(1-(F205-1)/(H205*1.5))*100*INDEX('League Config'!$J$4:$J$9,MATCH(A205,'League Config'!$E$4:$E$9,0))))</f>
        <v>36.666666666666671</v>
      </c>
      <c r="M205">
        <f>IF(A205="K",'League Config'!$B$14,IF(A205="DST",'League Config'!$B$15,IF(A205="QB",'League Config'!$B$16,0)))</f>
        <v>20</v>
      </c>
      <c r="N205" s="4">
        <f t="shared" si="36"/>
        <v>51.012</v>
      </c>
      <c r="O205" s="9" t="str">
        <f t="shared" si="37"/>
        <v/>
      </c>
      <c r="P205" s="6" t="str">
        <f>IF(O205="","",COUNTIF($O$3:$O$232,"&gt;"&amp;O205)+COUNTIF($O$3:O205,O205))</f>
        <v/>
      </c>
      <c r="Q205">
        <f t="shared" si="38"/>
        <v>135</v>
      </c>
      <c r="R205" s="4">
        <f>'LIVE SOURCE'!E205</f>
        <v>176</v>
      </c>
      <c r="S205" s="4">
        <f t="shared" si="39"/>
        <v>41</v>
      </c>
      <c r="T205" t="str">
        <f>'LIVE SOURCE'!F205</f>
        <v>B</v>
      </c>
      <c r="U205" s="4">
        <f t="shared" si="40"/>
        <v>79.599999999999994</v>
      </c>
      <c r="V205" s="4">
        <f t="shared" si="41"/>
        <v>88.6</v>
      </c>
      <c r="W205" s="4">
        <f t="shared" si="42"/>
        <v>97.6</v>
      </c>
      <c r="X205" t="str">
        <f>'LIVE SOURCE'!G205</f>
        <v>DST MODEL</v>
      </c>
      <c r="Y205" t="str">
        <f>IF(INDEX('Draft Board'!$J$3:$J$232,Q205)="","Available",INDEX('Draft Board'!$J$3:$J$232,Q205))</f>
        <v>Available</v>
      </c>
      <c r="Z205">
        <f t="shared" si="43"/>
        <v>135</v>
      </c>
    </row>
    <row r="206" spans="1:26" x14ac:dyDescent="0.25">
      <c r="A206" t="str">
        <f>'LIVE SOURCE'!A206</f>
        <v>DST</v>
      </c>
      <c r="B206" t="str">
        <f>'LIVE SOURCE'!B206</f>
        <v>Minnesota Vikings</v>
      </c>
      <c r="C206" s="4">
        <f>'LIVE SOURCE'!D206</f>
        <v>87.5</v>
      </c>
      <c r="D206" s="4">
        <f>'Manual Adjustments'!G206</f>
        <v>0</v>
      </c>
      <c r="E206" s="4">
        <f t="shared" si="33"/>
        <v>87.5</v>
      </c>
      <c r="F206">
        <f>COUNTIFS($A$3:$A$232,A206,$E$3:$E$232,"&gt;"&amp;E206)+COUNTIFS($A$3:A206,A206,$E$3:E206,E206)</f>
        <v>6</v>
      </c>
      <c r="G206" s="4">
        <f>ROUND(INDEX('League Config'!$K$4:$K$9,MATCH(A206,'League Config'!$E$4:$E$9,0))*E206+INDEX('League Config'!$L$4:$L$9,MATCH(A206,'League Config'!$E$4:$E$9,0)),1)</f>
        <v>107.5</v>
      </c>
      <c r="H206">
        <f>INDEX('League Config'!$H$4:$H$9,MATCH(A206,'League Config'!$E$4:$E$9,0))</f>
        <v>10</v>
      </c>
      <c r="I206" s="4">
        <f>INDEX('League Config'!$I$4:$I$9,MATCH(A206,'League Config'!$E$4:$E$9,0))</f>
        <v>99.6</v>
      </c>
      <c r="J206" s="4">
        <f t="shared" si="34"/>
        <v>7.9</v>
      </c>
      <c r="K206" s="4">
        <f t="shared" si="35"/>
        <v>54.74</v>
      </c>
      <c r="L206" s="4">
        <f>MIN(100,MAX(0,(1-(F206-1)/(H206*1.5))*100*INDEX('League Config'!$J$4:$J$9,MATCH(A206,'League Config'!$E$4:$E$9,0))))</f>
        <v>33.333333333333336</v>
      </c>
      <c r="M206">
        <f>IF(A206="K",'League Config'!$B$14,IF(A206="DST",'League Config'!$B$15,IF(A206="QB",'League Config'!$B$16,0)))</f>
        <v>20</v>
      </c>
      <c r="N206" s="4">
        <f t="shared" si="36"/>
        <v>49.547000000000011</v>
      </c>
      <c r="O206" s="9" t="str">
        <f t="shared" si="37"/>
        <v/>
      </c>
      <c r="P206" s="6" t="str">
        <f>IF(O206="","",COUNTIF($O$3:$O$232,"&gt;"&amp;O206)+COUNTIF($O$3:O206,O206))</f>
        <v/>
      </c>
      <c r="Q206">
        <f t="shared" si="38"/>
        <v>136</v>
      </c>
      <c r="R206" s="4">
        <f>'LIVE SOURCE'!E206</f>
        <v>180</v>
      </c>
      <c r="S206" s="4">
        <f t="shared" si="39"/>
        <v>44</v>
      </c>
      <c r="T206" t="str">
        <f>'LIVE SOURCE'!F206</f>
        <v>B</v>
      </c>
      <c r="U206" s="4">
        <f t="shared" si="40"/>
        <v>78.5</v>
      </c>
      <c r="V206" s="4">
        <f t="shared" si="41"/>
        <v>87.5</v>
      </c>
      <c r="W206" s="4">
        <f t="shared" si="42"/>
        <v>96.5</v>
      </c>
      <c r="X206" t="str">
        <f>'LIVE SOURCE'!G206</f>
        <v>DST MODEL</v>
      </c>
      <c r="Y206" t="str">
        <f>IF(INDEX('Draft Board'!$J$3:$J$232,Q206)="","Available",INDEX('Draft Board'!$J$3:$J$232,Q206))</f>
        <v>Available</v>
      </c>
      <c r="Z206">
        <f t="shared" si="43"/>
        <v>136</v>
      </c>
    </row>
    <row r="207" spans="1:26" x14ac:dyDescent="0.25">
      <c r="A207" t="str">
        <f>'LIVE SOURCE'!A207</f>
        <v>DST</v>
      </c>
      <c r="B207" t="str">
        <f>'LIVE SOURCE'!B207</f>
        <v>New England Patriots</v>
      </c>
      <c r="C207" s="4">
        <f>'LIVE SOURCE'!D207</f>
        <v>86.4</v>
      </c>
      <c r="D207" s="4">
        <f>'Manual Adjustments'!G207</f>
        <v>0</v>
      </c>
      <c r="E207" s="4">
        <f t="shared" si="33"/>
        <v>86.4</v>
      </c>
      <c r="F207">
        <f>COUNTIFS($A$3:$A$232,A207,$E$3:$E$232,"&gt;"&amp;E207)+COUNTIFS($A$3:A207,A207,$E$3:E207,E207)</f>
        <v>7</v>
      </c>
      <c r="G207" s="4">
        <f>ROUND(INDEX('League Config'!$K$4:$K$9,MATCH(A207,'League Config'!$E$4:$E$9,0))*E207+INDEX('League Config'!$L$4:$L$9,MATCH(A207,'League Config'!$E$4:$E$9,0)),1)</f>
        <v>105.5</v>
      </c>
      <c r="H207">
        <f>INDEX('League Config'!$H$4:$H$9,MATCH(A207,'League Config'!$E$4:$E$9,0))</f>
        <v>10</v>
      </c>
      <c r="I207" s="4">
        <f>INDEX('League Config'!$I$4:$I$9,MATCH(A207,'League Config'!$E$4:$E$9,0))</f>
        <v>99.6</v>
      </c>
      <c r="J207" s="4">
        <f t="shared" si="34"/>
        <v>5.9</v>
      </c>
      <c r="K207" s="4">
        <f t="shared" si="35"/>
        <v>53.54</v>
      </c>
      <c r="L207" s="4">
        <f>MIN(100,MAX(0,(1-(F207-1)/(H207*1.5))*100*INDEX('League Config'!$J$4:$J$9,MATCH(A207,'League Config'!$E$4:$E$9,0))))</f>
        <v>30</v>
      </c>
      <c r="M207">
        <f>IF(A207="K",'League Config'!$B$14,IF(A207="DST",'League Config'!$B$15,IF(A207="QB",'League Config'!$B$16,0)))</f>
        <v>20</v>
      </c>
      <c r="N207" s="4">
        <f t="shared" si="36"/>
        <v>48.082000000000008</v>
      </c>
      <c r="O207" s="9" t="str">
        <f t="shared" si="37"/>
        <v/>
      </c>
      <c r="P207" s="6" t="str">
        <f>IF(O207="","",COUNTIF($O$3:$O$232,"&gt;"&amp;O207)+COUNTIF($O$3:O207,O207))</f>
        <v/>
      </c>
      <c r="Q207">
        <f t="shared" si="38"/>
        <v>137</v>
      </c>
      <c r="R207" s="4">
        <f>'LIVE SOURCE'!E207</f>
        <v>184</v>
      </c>
      <c r="S207" s="4">
        <f t="shared" si="39"/>
        <v>47</v>
      </c>
      <c r="T207" t="str">
        <f>'LIVE SOURCE'!F207</f>
        <v>B</v>
      </c>
      <c r="U207" s="4">
        <f t="shared" si="40"/>
        <v>77.400000000000006</v>
      </c>
      <c r="V207" s="4">
        <f t="shared" si="41"/>
        <v>86.4</v>
      </c>
      <c r="W207" s="4">
        <f t="shared" si="42"/>
        <v>95.4</v>
      </c>
      <c r="X207" t="str">
        <f>'LIVE SOURCE'!G207</f>
        <v>DST MODEL</v>
      </c>
      <c r="Y207" t="str">
        <f>IF(INDEX('Draft Board'!$J$3:$J$232,Q207)="","Available",INDEX('Draft Board'!$J$3:$J$232,Q207))</f>
        <v>Available</v>
      </c>
      <c r="Z207">
        <f t="shared" si="43"/>
        <v>137</v>
      </c>
    </row>
    <row r="208" spans="1:26" x14ac:dyDescent="0.25">
      <c r="A208" t="str">
        <f>'LIVE SOURCE'!A208</f>
        <v>DST</v>
      </c>
      <c r="B208" t="str">
        <f>'LIVE SOURCE'!B208</f>
        <v>Jacksonville Jaguars</v>
      </c>
      <c r="C208" s="4">
        <f>'LIVE SOURCE'!D208</f>
        <v>85.3</v>
      </c>
      <c r="D208" s="4">
        <f>'Manual Adjustments'!G208</f>
        <v>0</v>
      </c>
      <c r="E208" s="4">
        <f t="shared" si="33"/>
        <v>85.3</v>
      </c>
      <c r="F208">
        <f>COUNTIFS($A$3:$A$232,A208,$E$3:$E$232,"&gt;"&amp;E208)+COUNTIFS($A$3:A208,A208,$E$3:E208,E208)</f>
        <v>8</v>
      </c>
      <c r="G208" s="4">
        <f>ROUND(INDEX('League Config'!$K$4:$K$9,MATCH(A208,'League Config'!$E$4:$E$9,0))*E208+INDEX('League Config'!$L$4:$L$9,MATCH(A208,'League Config'!$E$4:$E$9,0)),1)</f>
        <v>103.5</v>
      </c>
      <c r="H208">
        <f>INDEX('League Config'!$H$4:$H$9,MATCH(A208,'League Config'!$E$4:$E$9,0))</f>
        <v>10</v>
      </c>
      <c r="I208" s="4">
        <f>INDEX('League Config'!$I$4:$I$9,MATCH(A208,'League Config'!$E$4:$E$9,0))</f>
        <v>99.6</v>
      </c>
      <c r="J208" s="4">
        <f t="shared" si="34"/>
        <v>3.9</v>
      </c>
      <c r="K208" s="4">
        <f t="shared" si="35"/>
        <v>52.34</v>
      </c>
      <c r="L208" s="4">
        <f>MIN(100,MAX(0,(1-(F208-1)/(H208*1.5))*100*INDEX('League Config'!$J$4:$J$9,MATCH(A208,'League Config'!$E$4:$E$9,0))))</f>
        <v>26.666666666666668</v>
      </c>
      <c r="M208">
        <f>IF(A208="K",'League Config'!$B$14,IF(A208="DST",'League Config'!$B$15,IF(A208="QB",'League Config'!$B$16,0)))</f>
        <v>20</v>
      </c>
      <c r="N208" s="4">
        <f t="shared" si="36"/>
        <v>46.61699999999999</v>
      </c>
      <c r="O208" s="9" t="str">
        <f t="shared" si="37"/>
        <v/>
      </c>
      <c r="P208" s="6" t="str">
        <f>IF(O208="","",COUNTIF($O$3:$O$232,"&gt;"&amp;O208)+COUNTIF($O$3:O208,O208))</f>
        <v/>
      </c>
      <c r="Q208">
        <f t="shared" si="38"/>
        <v>138</v>
      </c>
      <c r="R208" s="4">
        <f>'LIVE SOURCE'!E208</f>
        <v>188</v>
      </c>
      <c r="S208" s="4">
        <f t="shared" si="39"/>
        <v>50</v>
      </c>
      <c r="T208" t="str">
        <f>'LIVE SOURCE'!F208</f>
        <v>B</v>
      </c>
      <c r="U208" s="4">
        <f t="shared" si="40"/>
        <v>76.3</v>
      </c>
      <c r="V208" s="4">
        <f t="shared" si="41"/>
        <v>85.3</v>
      </c>
      <c r="W208" s="4">
        <f t="shared" si="42"/>
        <v>94.3</v>
      </c>
      <c r="X208" t="str">
        <f>'LIVE SOURCE'!G208</f>
        <v>DST MODEL</v>
      </c>
      <c r="Y208" t="str">
        <f>IF(INDEX('Draft Board'!$J$3:$J$232,Q208)="","Available",INDEX('Draft Board'!$J$3:$J$232,Q208))</f>
        <v>Available</v>
      </c>
      <c r="Z208">
        <f t="shared" si="43"/>
        <v>138</v>
      </c>
    </row>
    <row r="209" spans="1:26" x14ac:dyDescent="0.25">
      <c r="A209" t="str">
        <f>'LIVE SOURCE'!A209</f>
        <v>DST</v>
      </c>
      <c r="B209" t="str">
        <f>'LIVE SOURCE'!B209</f>
        <v>Pittsburgh Steelers</v>
      </c>
      <c r="C209" s="4">
        <f>'LIVE SOURCE'!D209</f>
        <v>84.2</v>
      </c>
      <c r="D209" s="4">
        <f>'Manual Adjustments'!G209</f>
        <v>0</v>
      </c>
      <c r="E209" s="4">
        <f t="shared" si="33"/>
        <v>84.2</v>
      </c>
      <c r="F209">
        <f>COUNTIFS($A$3:$A$232,A209,$E$3:$E$232,"&gt;"&amp;E209)+COUNTIFS($A$3:A209,A209,$E$3:E209,E209)</f>
        <v>9</v>
      </c>
      <c r="G209" s="4">
        <f>ROUND(INDEX('League Config'!$K$4:$K$9,MATCH(A209,'League Config'!$E$4:$E$9,0))*E209+INDEX('League Config'!$L$4:$L$9,MATCH(A209,'League Config'!$E$4:$E$9,0)),1)</f>
        <v>101.6</v>
      </c>
      <c r="H209">
        <f>INDEX('League Config'!$H$4:$H$9,MATCH(A209,'League Config'!$E$4:$E$9,0))</f>
        <v>10</v>
      </c>
      <c r="I209" s="4">
        <f>INDEX('League Config'!$I$4:$I$9,MATCH(A209,'League Config'!$E$4:$E$9,0))</f>
        <v>99.6</v>
      </c>
      <c r="J209" s="4">
        <f t="shared" si="34"/>
        <v>2</v>
      </c>
      <c r="K209" s="4">
        <f t="shared" si="35"/>
        <v>51.2</v>
      </c>
      <c r="L209" s="4">
        <f>MIN(100,MAX(0,(1-(F209-1)/(H209*1.5))*100*INDEX('League Config'!$J$4:$J$9,MATCH(A209,'League Config'!$E$4:$E$9,0))))</f>
        <v>23.333333333333332</v>
      </c>
      <c r="M209">
        <f>IF(A209="K",'League Config'!$B$14,IF(A209="DST",'League Config'!$B$15,IF(A209="QB",'League Config'!$B$16,0)))</f>
        <v>20</v>
      </c>
      <c r="N209" s="4">
        <f t="shared" si="36"/>
        <v>45.17</v>
      </c>
      <c r="O209" s="9" t="str">
        <f t="shared" si="37"/>
        <v/>
      </c>
      <c r="P209" s="6" t="str">
        <f>IF(O209="","",COUNTIF($O$3:$O$232,"&gt;"&amp;O209)+COUNTIF($O$3:O209,O209))</f>
        <v/>
      </c>
      <c r="Q209">
        <f t="shared" si="38"/>
        <v>139</v>
      </c>
      <c r="R209" s="4">
        <f>'LIVE SOURCE'!E209</f>
        <v>192</v>
      </c>
      <c r="S209" s="4">
        <f t="shared" si="39"/>
        <v>53</v>
      </c>
      <c r="T209" t="str">
        <f>'LIVE SOURCE'!F209</f>
        <v>B</v>
      </c>
      <c r="U209" s="4">
        <f t="shared" si="40"/>
        <v>75.2</v>
      </c>
      <c r="V209" s="4">
        <f t="shared" si="41"/>
        <v>84.2</v>
      </c>
      <c r="W209" s="4">
        <f t="shared" si="42"/>
        <v>93.2</v>
      </c>
      <c r="X209" t="str">
        <f>'LIVE SOURCE'!G209</f>
        <v>DST MODEL</v>
      </c>
      <c r="Y209" t="str">
        <f>IF(INDEX('Draft Board'!$J$3:$J$232,Q209)="","Available",INDEX('Draft Board'!$J$3:$J$232,Q209))</f>
        <v>Available</v>
      </c>
      <c r="Z209">
        <f t="shared" si="43"/>
        <v>139</v>
      </c>
    </row>
    <row r="210" spans="1:26" x14ac:dyDescent="0.25">
      <c r="A210" t="str">
        <f>'LIVE SOURCE'!A210</f>
        <v>DST</v>
      </c>
      <c r="B210" t="str">
        <f>'LIVE SOURCE'!B210</f>
        <v>Los Angeles Chargers</v>
      </c>
      <c r="C210" s="4">
        <f>'LIVE SOURCE'!D210</f>
        <v>83.1</v>
      </c>
      <c r="D210" s="4">
        <f>'Manual Adjustments'!G210</f>
        <v>0</v>
      </c>
      <c r="E210" s="4">
        <f t="shared" si="33"/>
        <v>83.1</v>
      </c>
      <c r="F210">
        <f>COUNTIFS($A$3:$A$232,A210,$E$3:$E$232,"&gt;"&amp;E210)+COUNTIFS($A$3:A210,A210,$E$3:E210,E210)</f>
        <v>10</v>
      </c>
      <c r="G210" s="4">
        <f>ROUND(INDEX('League Config'!$K$4:$K$9,MATCH(A210,'League Config'!$E$4:$E$9,0))*E210+INDEX('League Config'!$L$4:$L$9,MATCH(A210,'League Config'!$E$4:$E$9,0)),1)</f>
        <v>99.6</v>
      </c>
      <c r="H210">
        <f>INDEX('League Config'!$H$4:$H$9,MATCH(A210,'League Config'!$E$4:$E$9,0))</f>
        <v>10</v>
      </c>
      <c r="I210" s="4">
        <f>INDEX('League Config'!$I$4:$I$9,MATCH(A210,'League Config'!$E$4:$E$9,0))</f>
        <v>99.6</v>
      </c>
      <c r="J210" s="4">
        <f t="shared" si="34"/>
        <v>0</v>
      </c>
      <c r="K210" s="4">
        <f t="shared" si="35"/>
        <v>50</v>
      </c>
      <c r="L210" s="4">
        <f>MIN(100,MAX(0,(1-(F210-1)/(H210*1.5))*100*INDEX('League Config'!$J$4:$J$9,MATCH(A210,'League Config'!$E$4:$E$9,0))))</f>
        <v>20</v>
      </c>
      <c r="M210">
        <f>IF(A210="K",'League Config'!$B$14,IF(A210="DST",'League Config'!$B$15,IF(A210="QB",'League Config'!$B$16,0)))</f>
        <v>20</v>
      </c>
      <c r="N210" s="4">
        <f t="shared" si="36"/>
        <v>43.704999999999998</v>
      </c>
      <c r="O210" s="9" t="str">
        <f t="shared" si="37"/>
        <v/>
      </c>
      <c r="P210" s="6" t="str">
        <f>IF(O210="","",COUNTIF($O$3:$O$232,"&gt;"&amp;O210)+COUNTIF($O$3:O210,O210))</f>
        <v/>
      </c>
      <c r="Q210">
        <f t="shared" si="38"/>
        <v>140</v>
      </c>
      <c r="R210" s="4">
        <f>'LIVE SOURCE'!E210</f>
        <v>144.69999999999999</v>
      </c>
      <c r="S210" s="4">
        <f t="shared" si="39"/>
        <v>4.6999999999999886</v>
      </c>
      <c r="T210" t="str">
        <f>'LIVE SOURCE'!F210</f>
        <v>B</v>
      </c>
      <c r="U210" s="4">
        <f t="shared" si="40"/>
        <v>74.099999999999994</v>
      </c>
      <c r="V210" s="4">
        <f t="shared" si="41"/>
        <v>83.1</v>
      </c>
      <c r="W210" s="4">
        <f t="shared" si="42"/>
        <v>92.1</v>
      </c>
      <c r="X210" t="str">
        <f>'LIVE SOURCE'!G210</f>
        <v>DST MODEL</v>
      </c>
      <c r="Y210" t="str">
        <f>IF(INDEX('Draft Board'!$J$3:$J$232,Q210)="","Available",INDEX('Draft Board'!$J$3:$J$232,Q210))</f>
        <v>Available</v>
      </c>
      <c r="Z210">
        <f t="shared" si="43"/>
        <v>140</v>
      </c>
    </row>
    <row r="211" spans="1:26" x14ac:dyDescent="0.25">
      <c r="A211" t="str">
        <f>'LIVE SOURCE'!A211</f>
        <v>DST</v>
      </c>
      <c r="B211" t="str">
        <f>'LIVE SOURCE'!B211</f>
        <v>Baltimore Ravens</v>
      </c>
      <c r="C211" s="4">
        <f>'LIVE SOURCE'!D211</f>
        <v>82</v>
      </c>
      <c r="D211" s="4">
        <f>'Manual Adjustments'!G211</f>
        <v>0</v>
      </c>
      <c r="E211" s="4">
        <f t="shared" si="33"/>
        <v>82</v>
      </c>
      <c r="F211">
        <f>COUNTIFS($A$3:$A$232,A211,$E$3:$E$232,"&gt;"&amp;E211)+COUNTIFS($A$3:A211,A211,$E$3:E211,E211)</f>
        <v>11</v>
      </c>
      <c r="G211" s="4">
        <f>ROUND(INDEX('League Config'!$K$4:$K$9,MATCH(A211,'League Config'!$E$4:$E$9,0))*E211+INDEX('League Config'!$L$4:$L$9,MATCH(A211,'League Config'!$E$4:$E$9,0)),1)</f>
        <v>97.6</v>
      </c>
      <c r="H211">
        <f>INDEX('League Config'!$H$4:$H$9,MATCH(A211,'League Config'!$E$4:$E$9,0))</f>
        <v>10</v>
      </c>
      <c r="I211" s="4">
        <f>INDEX('League Config'!$I$4:$I$9,MATCH(A211,'League Config'!$E$4:$E$9,0))</f>
        <v>99.6</v>
      </c>
      <c r="J211" s="4">
        <f t="shared" si="34"/>
        <v>-2</v>
      </c>
      <c r="K211" s="4">
        <f t="shared" si="35"/>
        <v>48.8</v>
      </c>
      <c r="L211" s="4">
        <f>MIN(100,MAX(0,(1-(F211-1)/(H211*1.5))*100*INDEX('League Config'!$J$4:$J$9,MATCH(A211,'League Config'!$E$4:$E$9,0))))</f>
        <v>16.666666666666668</v>
      </c>
      <c r="M211">
        <f>IF(A211="K",'League Config'!$B$14,IF(A211="DST",'League Config'!$B$15,IF(A211="QB",'League Config'!$B$16,0)))</f>
        <v>20</v>
      </c>
      <c r="N211" s="4">
        <f t="shared" si="36"/>
        <v>42.24</v>
      </c>
      <c r="O211" s="9" t="str">
        <f t="shared" si="37"/>
        <v/>
      </c>
      <c r="P211" s="6" t="str">
        <f>IF(O211="","",COUNTIF($O$3:$O$232,"&gt;"&amp;O211)+COUNTIF($O$3:O211,O211))</f>
        <v/>
      </c>
      <c r="Q211">
        <f t="shared" si="38"/>
        <v>207</v>
      </c>
      <c r="R211" s="4">
        <f>'LIVE SOURCE'!E211</f>
        <v>200</v>
      </c>
      <c r="S211" s="4">
        <f t="shared" si="39"/>
        <v>-7</v>
      </c>
      <c r="T211" t="str">
        <f>'LIVE SOURCE'!F211</f>
        <v>B</v>
      </c>
      <c r="U211" s="4">
        <f t="shared" si="40"/>
        <v>73</v>
      </c>
      <c r="V211" s="4">
        <f t="shared" si="41"/>
        <v>82</v>
      </c>
      <c r="W211" s="4">
        <f t="shared" si="42"/>
        <v>91</v>
      </c>
      <c r="X211" t="str">
        <f>'LIVE SOURCE'!G211</f>
        <v>DST MODEL</v>
      </c>
      <c r="Y211" t="str">
        <f>IF(INDEX('Draft Board'!$J$3:$J$232,Q211)="","Available",INDEX('Draft Board'!$J$3:$J$232,Q211))</f>
        <v>Available</v>
      </c>
      <c r="Z211">
        <f t="shared" si="43"/>
        <v>207</v>
      </c>
    </row>
    <row r="212" spans="1:26" x14ac:dyDescent="0.25">
      <c r="A212" t="str">
        <f>'LIVE SOURCE'!A212</f>
        <v>DST</v>
      </c>
      <c r="B212" t="str">
        <f>'LIVE SOURCE'!B212</f>
        <v>Green Bay Packers</v>
      </c>
      <c r="C212" s="4">
        <f>'LIVE SOURCE'!D212</f>
        <v>80.900000000000006</v>
      </c>
      <c r="D212" s="4">
        <f>'Manual Adjustments'!G212</f>
        <v>0</v>
      </c>
      <c r="E212" s="4">
        <f t="shared" si="33"/>
        <v>80.900000000000006</v>
      </c>
      <c r="F212">
        <f>COUNTIFS($A$3:$A$232,A212,$E$3:$E$232,"&gt;"&amp;E212)+COUNTIFS($A$3:A212,A212,$E$3:E212,E212)</f>
        <v>12</v>
      </c>
      <c r="G212" s="4">
        <f>ROUND(INDEX('League Config'!$K$4:$K$9,MATCH(A212,'League Config'!$E$4:$E$9,0))*E212+INDEX('League Config'!$L$4:$L$9,MATCH(A212,'League Config'!$E$4:$E$9,0)),1)</f>
        <v>95.6</v>
      </c>
      <c r="H212">
        <f>INDEX('League Config'!$H$4:$H$9,MATCH(A212,'League Config'!$E$4:$E$9,0))</f>
        <v>10</v>
      </c>
      <c r="I212" s="4">
        <f>INDEX('League Config'!$I$4:$I$9,MATCH(A212,'League Config'!$E$4:$E$9,0))</f>
        <v>99.6</v>
      </c>
      <c r="J212" s="4">
        <f t="shared" si="34"/>
        <v>-4</v>
      </c>
      <c r="K212" s="4">
        <f t="shared" si="35"/>
        <v>47.6</v>
      </c>
      <c r="L212" s="4">
        <f>MIN(100,MAX(0,(1-(F212-1)/(H212*1.5))*100*INDEX('League Config'!$J$4:$J$9,MATCH(A212,'League Config'!$E$4:$E$9,0))))</f>
        <v>13.333333333333336</v>
      </c>
      <c r="M212">
        <f>IF(A212="K",'League Config'!$B$14,IF(A212="DST",'League Config'!$B$15,IF(A212="QB",'League Config'!$B$16,0)))</f>
        <v>20</v>
      </c>
      <c r="N212" s="4">
        <f t="shared" si="36"/>
        <v>40.775000000000006</v>
      </c>
      <c r="O212" s="9" t="str">
        <f t="shared" si="37"/>
        <v/>
      </c>
      <c r="P212" s="6" t="str">
        <f>IF(O212="","",COUNTIF($O$3:$O$232,"&gt;"&amp;O212)+COUNTIF($O$3:O212,O212))</f>
        <v/>
      </c>
      <c r="Q212">
        <f t="shared" si="38"/>
        <v>208</v>
      </c>
      <c r="R212" s="4">
        <f>'LIVE SOURCE'!E212</f>
        <v>204</v>
      </c>
      <c r="S212" s="4">
        <f t="shared" si="39"/>
        <v>-4</v>
      </c>
      <c r="T212" t="str">
        <f>'LIVE SOURCE'!F212</f>
        <v>B</v>
      </c>
      <c r="U212" s="4">
        <f t="shared" si="40"/>
        <v>71.900000000000006</v>
      </c>
      <c r="V212" s="4">
        <f t="shared" si="41"/>
        <v>80.900000000000006</v>
      </c>
      <c r="W212" s="4">
        <f t="shared" si="42"/>
        <v>89.9</v>
      </c>
      <c r="X212" t="str">
        <f>'LIVE SOURCE'!G212</f>
        <v>DST MODEL</v>
      </c>
      <c r="Y212" t="str">
        <f>IF(INDEX('Draft Board'!$J$3:$J$232,Q212)="","Available",INDEX('Draft Board'!$J$3:$J$232,Q212))</f>
        <v>Available</v>
      </c>
      <c r="Z212">
        <f t="shared" si="43"/>
        <v>208</v>
      </c>
    </row>
    <row r="213" spans="1:26" x14ac:dyDescent="0.25">
      <c r="A213" t="str">
        <f>'LIVE SOURCE'!A213</f>
        <v>DST</v>
      </c>
      <c r="B213" t="str">
        <f>'LIVE SOURCE'!B213</f>
        <v>Detroit Lions</v>
      </c>
      <c r="C213" s="4">
        <f>'LIVE SOURCE'!D213</f>
        <v>79.8</v>
      </c>
      <c r="D213" s="4">
        <f>'Manual Adjustments'!G213</f>
        <v>0</v>
      </c>
      <c r="E213" s="4">
        <f t="shared" si="33"/>
        <v>79.8</v>
      </c>
      <c r="F213">
        <f>COUNTIFS($A$3:$A$232,A213,$E$3:$E$232,"&gt;"&amp;E213)+COUNTIFS($A$3:A213,A213,$E$3:E213,E213)</f>
        <v>13</v>
      </c>
      <c r="G213" s="4">
        <f>ROUND(INDEX('League Config'!$K$4:$K$9,MATCH(A213,'League Config'!$E$4:$E$9,0))*E213+INDEX('League Config'!$L$4:$L$9,MATCH(A213,'League Config'!$E$4:$E$9,0)),1)</f>
        <v>93.6</v>
      </c>
      <c r="H213">
        <f>INDEX('League Config'!$H$4:$H$9,MATCH(A213,'League Config'!$E$4:$E$9,0))</f>
        <v>10</v>
      </c>
      <c r="I213" s="4">
        <f>INDEX('League Config'!$I$4:$I$9,MATCH(A213,'League Config'!$E$4:$E$9,0))</f>
        <v>99.6</v>
      </c>
      <c r="J213" s="4">
        <f t="shared" si="34"/>
        <v>-6</v>
      </c>
      <c r="K213" s="4">
        <f t="shared" si="35"/>
        <v>46.4</v>
      </c>
      <c r="L213" s="4">
        <f>MIN(100,MAX(0,(1-(F213-1)/(H213*1.5))*100*INDEX('League Config'!$J$4:$J$9,MATCH(A213,'League Config'!$E$4:$E$9,0))))</f>
        <v>9.9999999999999982</v>
      </c>
      <c r="M213">
        <f>IF(A213="K",'League Config'!$B$14,IF(A213="DST",'League Config'!$B$15,IF(A213="QB",'League Config'!$B$16,0)))</f>
        <v>20</v>
      </c>
      <c r="N213" s="4">
        <f t="shared" si="36"/>
        <v>39.31</v>
      </c>
      <c r="O213" s="9" t="str">
        <f t="shared" si="37"/>
        <v/>
      </c>
      <c r="P213" s="6" t="str">
        <f>IF(O213="","",COUNTIF($O$3:$O$232,"&gt;"&amp;O213)+COUNTIF($O$3:O213,O213))</f>
        <v/>
      </c>
      <c r="Q213">
        <f t="shared" si="38"/>
        <v>209</v>
      </c>
      <c r="R213" s="4">
        <f>'LIVE SOURCE'!E213</f>
        <v>208</v>
      </c>
      <c r="S213" s="4">
        <f t="shared" si="39"/>
        <v>-1</v>
      </c>
      <c r="T213" t="str">
        <f>'LIVE SOURCE'!F213</f>
        <v>B</v>
      </c>
      <c r="U213" s="4">
        <f t="shared" si="40"/>
        <v>70.8</v>
      </c>
      <c r="V213" s="4">
        <f t="shared" si="41"/>
        <v>79.8</v>
      </c>
      <c r="W213" s="4">
        <f t="shared" si="42"/>
        <v>88.8</v>
      </c>
      <c r="X213" t="str">
        <f>'LIVE SOURCE'!G213</f>
        <v>DST MODEL</v>
      </c>
      <c r="Y213" t="str">
        <f>IF(INDEX('Draft Board'!$J$3:$J$232,Q213)="","Available",INDEX('Draft Board'!$J$3:$J$232,Q213))</f>
        <v>Available</v>
      </c>
      <c r="Z213">
        <f t="shared" si="43"/>
        <v>209</v>
      </c>
    </row>
    <row r="214" spans="1:26" x14ac:dyDescent="0.25">
      <c r="A214" t="str">
        <f>'LIVE SOURCE'!A214</f>
        <v>DST</v>
      </c>
      <c r="B214" t="str">
        <f>'LIVE SOURCE'!B214</f>
        <v>Buffalo Bills</v>
      </c>
      <c r="C214" s="4">
        <f>'LIVE SOURCE'!D214</f>
        <v>78.7</v>
      </c>
      <c r="D214" s="4">
        <f>'Manual Adjustments'!G214</f>
        <v>0</v>
      </c>
      <c r="E214" s="4">
        <f t="shared" si="33"/>
        <v>78.7</v>
      </c>
      <c r="F214">
        <f>COUNTIFS($A$3:$A$232,A214,$E$3:$E$232,"&gt;"&amp;E214)+COUNTIFS($A$3:A214,A214,$E$3:E214,E214)</f>
        <v>14</v>
      </c>
      <c r="G214" s="4">
        <f>ROUND(INDEX('League Config'!$K$4:$K$9,MATCH(A214,'League Config'!$E$4:$E$9,0))*E214+INDEX('League Config'!$L$4:$L$9,MATCH(A214,'League Config'!$E$4:$E$9,0)),1)</f>
        <v>91.7</v>
      </c>
      <c r="H214">
        <f>INDEX('League Config'!$H$4:$H$9,MATCH(A214,'League Config'!$E$4:$E$9,0))</f>
        <v>10</v>
      </c>
      <c r="I214" s="4">
        <f>INDEX('League Config'!$I$4:$I$9,MATCH(A214,'League Config'!$E$4:$E$9,0))</f>
        <v>99.6</v>
      </c>
      <c r="J214" s="4">
        <f t="shared" si="34"/>
        <v>-7.9</v>
      </c>
      <c r="K214" s="4">
        <f t="shared" si="35"/>
        <v>45.26</v>
      </c>
      <c r="L214" s="4">
        <f>MIN(100,MAX(0,(1-(F214-1)/(H214*1.5))*100*INDEX('League Config'!$J$4:$J$9,MATCH(A214,'League Config'!$E$4:$E$9,0))))</f>
        <v>6.6666666666666652</v>
      </c>
      <c r="M214">
        <f>IF(A214="K",'League Config'!$B$14,IF(A214="DST",'League Config'!$B$15,IF(A214="QB",'League Config'!$B$16,0)))</f>
        <v>20</v>
      </c>
      <c r="N214" s="4">
        <f t="shared" si="36"/>
        <v>37.863</v>
      </c>
      <c r="O214" s="9" t="str">
        <f t="shared" si="37"/>
        <v/>
      </c>
      <c r="P214" s="6" t="str">
        <f>IF(O214="","",COUNTIF($O$3:$O$232,"&gt;"&amp;O214)+COUNTIF($O$3:O214,O214))</f>
        <v/>
      </c>
      <c r="Q214">
        <f t="shared" si="38"/>
        <v>210</v>
      </c>
      <c r="R214" s="4">
        <f>'LIVE SOURCE'!E214</f>
        <v>212</v>
      </c>
      <c r="S214" s="4">
        <f t="shared" si="39"/>
        <v>2</v>
      </c>
      <c r="T214" t="str">
        <f>'LIVE SOURCE'!F214</f>
        <v>B</v>
      </c>
      <c r="U214" s="4">
        <f t="shared" si="40"/>
        <v>69.7</v>
      </c>
      <c r="V214" s="4">
        <f t="shared" si="41"/>
        <v>78.7</v>
      </c>
      <c r="W214" s="4">
        <f t="shared" si="42"/>
        <v>87.7</v>
      </c>
      <c r="X214" t="str">
        <f>'LIVE SOURCE'!G214</f>
        <v>DST MODEL</v>
      </c>
      <c r="Y214" t="str">
        <f>IF(INDEX('Draft Board'!$J$3:$J$232,Q214)="","Available",INDEX('Draft Board'!$J$3:$J$232,Q214))</f>
        <v>Available</v>
      </c>
      <c r="Z214">
        <f t="shared" si="43"/>
        <v>210</v>
      </c>
    </row>
    <row r="215" spans="1:26" x14ac:dyDescent="0.25">
      <c r="A215" t="str">
        <f>'LIVE SOURCE'!A215</f>
        <v>DST</v>
      </c>
      <c r="B215" t="str">
        <f>'LIVE SOURCE'!B215</f>
        <v>Kansas City Chiefs</v>
      </c>
      <c r="C215" s="4">
        <f>'LIVE SOURCE'!D215</f>
        <v>77.599999999999994</v>
      </c>
      <c r="D215" s="4">
        <f>'Manual Adjustments'!G215</f>
        <v>0</v>
      </c>
      <c r="E215" s="4">
        <f t="shared" si="33"/>
        <v>77.599999999999994</v>
      </c>
      <c r="F215">
        <f>COUNTIFS($A$3:$A$232,A215,$E$3:$E$232,"&gt;"&amp;E215)+COUNTIFS($A$3:A215,A215,$E$3:E215,E215)</f>
        <v>15</v>
      </c>
      <c r="G215" s="4">
        <f>ROUND(INDEX('League Config'!$K$4:$K$9,MATCH(A215,'League Config'!$E$4:$E$9,0))*E215+INDEX('League Config'!$L$4:$L$9,MATCH(A215,'League Config'!$E$4:$E$9,0)),1)</f>
        <v>89.7</v>
      </c>
      <c r="H215">
        <f>INDEX('League Config'!$H$4:$H$9,MATCH(A215,'League Config'!$E$4:$E$9,0))</f>
        <v>10</v>
      </c>
      <c r="I215" s="4">
        <f>INDEX('League Config'!$I$4:$I$9,MATCH(A215,'League Config'!$E$4:$E$9,0))</f>
        <v>99.6</v>
      </c>
      <c r="J215" s="4">
        <f t="shared" si="34"/>
        <v>-9.9</v>
      </c>
      <c r="K215" s="4">
        <f t="shared" si="35"/>
        <v>44.06</v>
      </c>
      <c r="L215" s="4">
        <f>MIN(100,MAX(0,(1-(F215-1)/(H215*1.5))*100*INDEX('League Config'!$J$4:$J$9,MATCH(A215,'League Config'!$E$4:$E$9,0))))</f>
        <v>3.3333333333333326</v>
      </c>
      <c r="M215">
        <f>IF(A215="K",'League Config'!$B$14,IF(A215="DST",'League Config'!$B$15,IF(A215="QB",'League Config'!$B$16,0)))</f>
        <v>20</v>
      </c>
      <c r="N215" s="4">
        <f t="shared" si="36"/>
        <v>36.397999999999996</v>
      </c>
      <c r="O215" s="9" t="str">
        <f t="shared" si="37"/>
        <v/>
      </c>
      <c r="P215" s="6" t="str">
        <f>IF(O215="","",COUNTIF($O$3:$O$232,"&gt;"&amp;O215)+COUNTIF($O$3:O215,O215))</f>
        <v/>
      </c>
      <c r="Q215">
        <f t="shared" si="38"/>
        <v>211</v>
      </c>
      <c r="R215" s="4">
        <f>'LIVE SOURCE'!E215</f>
        <v>216</v>
      </c>
      <c r="S215" s="4">
        <f t="shared" si="39"/>
        <v>5</v>
      </c>
      <c r="T215" t="str">
        <f>'LIVE SOURCE'!F215</f>
        <v>B</v>
      </c>
      <c r="U215" s="4">
        <f t="shared" si="40"/>
        <v>68.599999999999994</v>
      </c>
      <c r="V215" s="4">
        <f t="shared" si="41"/>
        <v>77.599999999999994</v>
      </c>
      <c r="W215" s="4">
        <f t="shared" si="42"/>
        <v>86.6</v>
      </c>
      <c r="X215" t="str">
        <f>'LIVE SOURCE'!G215</f>
        <v>DST MODEL</v>
      </c>
      <c r="Y215" t="str">
        <f>IF(INDEX('Draft Board'!$J$3:$J$232,Q215)="","Available",INDEX('Draft Board'!$J$3:$J$232,Q215))</f>
        <v>Available</v>
      </c>
      <c r="Z215">
        <f t="shared" si="43"/>
        <v>211</v>
      </c>
    </row>
    <row r="216" spans="1:26" x14ac:dyDescent="0.25">
      <c r="A216" t="str">
        <f>'LIVE SOURCE'!A216</f>
        <v>DST</v>
      </c>
      <c r="B216" t="str">
        <f>'LIVE SOURCE'!B216</f>
        <v>Cleveland Browns</v>
      </c>
      <c r="C216" s="4">
        <f>'LIVE SOURCE'!D216</f>
        <v>76.5</v>
      </c>
      <c r="D216" s="4">
        <f>'Manual Adjustments'!G216</f>
        <v>0</v>
      </c>
      <c r="E216" s="4">
        <f t="shared" si="33"/>
        <v>76.5</v>
      </c>
      <c r="F216">
        <f>COUNTIFS($A$3:$A$232,A216,$E$3:$E$232,"&gt;"&amp;E216)+COUNTIFS($A$3:A216,A216,$E$3:E216,E216)</f>
        <v>16</v>
      </c>
      <c r="G216" s="4">
        <f>ROUND(INDEX('League Config'!$K$4:$K$9,MATCH(A216,'League Config'!$E$4:$E$9,0))*E216+INDEX('League Config'!$L$4:$L$9,MATCH(A216,'League Config'!$E$4:$E$9,0)),1)</f>
        <v>87.7</v>
      </c>
      <c r="H216">
        <f>INDEX('League Config'!$H$4:$H$9,MATCH(A216,'League Config'!$E$4:$E$9,0))</f>
        <v>10</v>
      </c>
      <c r="I216" s="4">
        <f>INDEX('League Config'!$I$4:$I$9,MATCH(A216,'League Config'!$E$4:$E$9,0))</f>
        <v>99.6</v>
      </c>
      <c r="J216" s="4">
        <f t="shared" si="34"/>
        <v>-11.9</v>
      </c>
      <c r="K216" s="4">
        <f t="shared" si="35"/>
        <v>42.86</v>
      </c>
      <c r="L216" s="4">
        <f>MIN(100,MAX(0,(1-(F216-1)/(H216*1.5))*100*INDEX('League Config'!$J$4:$J$9,MATCH(A216,'League Config'!$E$4:$E$9,0))))</f>
        <v>0</v>
      </c>
      <c r="M216">
        <f>IF(A216="K",'League Config'!$B$14,IF(A216="DST",'League Config'!$B$15,IF(A216="QB",'League Config'!$B$16,0)))</f>
        <v>20</v>
      </c>
      <c r="N216" s="4">
        <f t="shared" si="36"/>
        <v>34.933</v>
      </c>
      <c r="O216" s="9" t="str">
        <f t="shared" si="37"/>
        <v/>
      </c>
      <c r="P216" s="6" t="str">
        <f>IF(O216="","",COUNTIF($O$3:$O$232,"&gt;"&amp;O216)+COUNTIF($O$3:O216,O216))</f>
        <v/>
      </c>
      <c r="Q216">
        <f t="shared" si="38"/>
        <v>212</v>
      </c>
      <c r="R216" s="4">
        <f>'LIVE SOURCE'!E216</f>
        <v>220</v>
      </c>
      <c r="S216" s="4">
        <f t="shared" si="39"/>
        <v>8</v>
      </c>
      <c r="T216" t="str">
        <f>'LIVE SOURCE'!F216</f>
        <v>B</v>
      </c>
      <c r="U216" s="4">
        <f t="shared" si="40"/>
        <v>67.5</v>
      </c>
      <c r="V216" s="4">
        <f t="shared" si="41"/>
        <v>76.5</v>
      </c>
      <c r="W216" s="4">
        <f t="shared" si="42"/>
        <v>85.5</v>
      </c>
      <c r="X216" t="str">
        <f>'LIVE SOURCE'!G216</f>
        <v>DST MODEL</v>
      </c>
      <c r="Y216" t="str">
        <f>IF(INDEX('Draft Board'!$J$3:$J$232,Q216)="","Available",INDEX('Draft Board'!$J$3:$J$232,Q216))</f>
        <v>Available</v>
      </c>
      <c r="Z216">
        <f t="shared" si="43"/>
        <v>212</v>
      </c>
    </row>
    <row r="217" spans="1:26" x14ac:dyDescent="0.25">
      <c r="A217" t="str">
        <f>'LIVE SOURCE'!A217</f>
        <v>DST</v>
      </c>
      <c r="B217" t="str">
        <f>'LIVE SOURCE'!B217</f>
        <v>San Francisco 49ers</v>
      </c>
      <c r="C217" s="4">
        <f>'LIVE SOURCE'!D217</f>
        <v>75.400000000000006</v>
      </c>
      <c r="D217" s="4">
        <f>'Manual Adjustments'!G217</f>
        <v>0</v>
      </c>
      <c r="E217" s="4">
        <f t="shared" si="33"/>
        <v>75.400000000000006</v>
      </c>
      <c r="F217">
        <f>COUNTIFS($A$3:$A$232,A217,$E$3:$E$232,"&gt;"&amp;E217)+COUNTIFS($A$3:A217,A217,$E$3:E217,E217)</f>
        <v>17</v>
      </c>
      <c r="G217" s="4">
        <f>ROUND(INDEX('League Config'!$K$4:$K$9,MATCH(A217,'League Config'!$E$4:$E$9,0))*E217+INDEX('League Config'!$L$4:$L$9,MATCH(A217,'League Config'!$E$4:$E$9,0)),1)</f>
        <v>85.7</v>
      </c>
      <c r="H217">
        <f>INDEX('League Config'!$H$4:$H$9,MATCH(A217,'League Config'!$E$4:$E$9,0))</f>
        <v>10</v>
      </c>
      <c r="I217" s="4">
        <f>INDEX('League Config'!$I$4:$I$9,MATCH(A217,'League Config'!$E$4:$E$9,0))</f>
        <v>99.6</v>
      </c>
      <c r="J217" s="4">
        <f t="shared" si="34"/>
        <v>-13.9</v>
      </c>
      <c r="K217" s="4">
        <f t="shared" si="35"/>
        <v>41.66</v>
      </c>
      <c r="L217" s="4">
        <f>MIN(100,MAX(0,(1-(F217-1)/(H217*1.5))*100*INDEX('League Config'!$J$4:$J$9,MATCH(A217,'League Config'!$E$4:$E$9,0))))</f>
        <v>0</v>
      </c>
      <c r="M217">
        <f>IF(A217="K",'League Config'!$B$14,IF(A217="DST",'League Config'!$B$15,IF(A217="QB",'League Config'!$B$16,0)))</f>
        <v>20</v>
      </c>
      <c r="N217" s="4">
        <f t="shared" si="36"/>
        <v>33.968000000000004</v>
      </c>
      <c r="O217" s="9" t="str">
        <f t="shared" si="37"/>
        <v/>
      </c>
      <c r="P217" s="6" t="str">
        <f>IF(O217="","",COUNTIF($O$3:$O$232,"&gt;"&amp;O217)+COUNTIF($O$3:O217,O217))</f>
        <v/>
      </c>
      <c r="Q217">
        <f t="shared" si="38"/>
        <v>213</v>
      </c>
      <c r="R217" s="4">
        <f>'LIVE SOURCE'!E217</f>
        <v>224</v>
      </c>
      <c r="S217" s="4">
        <f t="shared" si="39"/>
        <v>11</v>
      </c>
      <c r="T217" t="str">
        <f>'LIVE SOURCE'!F217</f>
        <v>B</v>
      </c>
      <c r="U217" s="4">
        <f t="shared" si="40"/>
        <v>66.400000000000006</v>
      </c>
      <c r="V217" s="4">
        <f t="shared" si="41"/>
        <v>75.400000000000006</v>
      </c>
      <c r="W217" s="4">
        <f t="shared" si="42"/>
        <v>84.4</v>
      </c>
      <c r="X217" t="str">
        <f>'LIVE SOURCE'!G217</f>
        <v>DST MODEL</v>
      </c>
      <c r="Y217" t="str">
        <f>IF(INDEX('Draft Board'!$J$3:$J$232,Q217)="","Available",INDEX('Draft Board'!$J$3:$J$232,Q217))</f>
        <v>Available</v>
      </c>
      <c r="Z217">
        <f t="shared" si="43"/>
        <v>213</v>
      </c>
    </row>
    <row r="218" spans="1:26" x14ac:dyDescent="0.25">
      <c r="A218" t="str">
        <f>'LIVE SOURCE'!A218</f>
        <v>DST</v>
      </c>
      <c r="B218" t="str">
        <f>'LIVE SOURCE'!B218</f>
        <v>New Orleans Saints</v>
      </c>
      <c r="C218" s="4">
        <f>'LIVE SOURCE'!D218</f>
        <v>74.3</v>
      </c>
      <c r="D218" s="4">
        <f>'Manual Adjustments'!G218</f>
        <v>0</v>
      </c>
      <c r="E218" s="4">
        <f t="shared" si="33"/>
        <v>74.3</v>
      </c>
      <c r="F218">
        <f>COUNTIFS($A$3:$A$232,A218,$E$3:$E$232,"&gt;"&amp;E218)+COUNTIFS($A$3:A218,A218,$E$3:E218,E218)</f>
        <v>18</v>
      </c>
      <c r="G218" s="4">
        <f>ROUND(INDEX('League Config'!$K$4:$K$9,MATCH(A218,'League Config'!$E$4:$E$9,0))*E218+INDEX('League Config'!$L$4:$L$9,MATCH(A218,'League Config'!$E$4:$E$9,0)),1)</f>
        <v>83.7</v>
      </c>
      <c r="H218">
        <f>INDEX('League Config'!$H$4:$H$9,MATCH(A218,'League Config'!$E$4:$E$9,0))</f>
        <v>10</v>
      </c>
      <c r="I218" s="4">
        <f>INDEX('League Config'!$I$4:$I$9,MATCH(A218,'League Config'!$E$4:$E$9,0))</f>
        <v>99.6</v>
      </c>
      <c r="J218" s="4">
        <f t="shared" si="34"/>
        <v>-15.9</v>
      </c>
      <c r="K218" s="4">
        <f t="shared" si="35"/>
        <v>40.46</v>
      </c>
      <c r="L218" s="4">
        <f>MIN(100,MAX(0,(1-(F218-1)/(H218*1.5))*100*INDEX('League Config'!$J$4:$J$9,MATCH(A218,'League Config'!$E$4:$E$9,0))))</f>
        <v>0</v>
      </c>
      <c r="M218">
        <f>IF(A218="K",'League Config'!$B$14,IF(A218="DST",'League Config'!$B$15,IF(A218="QB",'League Config'!$B$16,0)))</f>
        <v>20</v>
      </c>
      <c r="N218" s="4">
        <f t="shared" si="36"/>
        <v>33.003</v>
      </c>
      <c r="O218" s="9" t="str">
        <f t="shared" si="37"/>
        <v/>
      </c>
      <c r="P218" s="6" t="str">
        <f>IF(O218="","",COUNTIF($O$3:$O$232,"&gt;"&amp;O218)+COUNTIF($O$3:O218,O218))</f>
        <v/>
      </c>
      <c r="Q218">
        <f t="shared" si="38"/>
        <v>214</v>
      </c>
      <c r="R218" s="4">
        <f>'LIVE SOURCE'!E218</f>
        <v>228</v>
      </c>
      <c r="S218" s="4">
        <f t="shared" si="39"/>
        <v>14</v>
      </c>
      <c r="T218" t="str">
        <f>'LIVE SOURCE'!F218</f>
        <v>B</v>
      </c>
      <c r="U218" s="4">
        <f t="shared" si="40"/>
        <v>65.3</v>
      </c>
      <c r="V218" s="4">
        <f t="shared" si="41"/>
        <v>74.3</v>
      </c>
      <c r="W218" s="4">
        <f t="shared" si="42"/>
        <v>83.3</v>
      </c>
      <c r="X218" t="str">
        <f>'LIVE SOURCE'!G218</f>
        <v>DST MODEL</v>
      </c>
      <c r="Y218" t="str">
        <f>IF(INDEX('Draft Board'!$J$3:$J$232,Q218)="","Available",INDEX('Draft Board'!$J$3:$J$232,Q218))</f>
        <v>Available</v>
      </c>
      <c r="Z218">
        <f t="shared" si="43"/>
        <v>214</v>
      </c>
    </row>
    <row r="219" spans="1:26" x14ac:dyDescent="0.25">
      <c r="A219" t="str">
        <f>'LIVE SOURCE'!A219</f>
        <v>DST</v>
      </c>
      <c r="B219" t="str">
        <f>'LIVE SOURCE'!B219</f>
        <v>Atlanta Falcons</v>
      </c>
      <c r="C219" s="4">
        <f>'LIVE SOURCE'!D219</f>
        <v>73.2</v>
      </c>
      <c r="D219" s="4">
        <f>'Manual Adjustments'!G219</f>
        <v>0</v>
      </c>
      <c r="E219" s="4">
        <f t="shared" si="33"/>
        <v>73.2</v>
      </c>
      <c r="F219">
        <f>COUNTIFS($A$3:$A$232,A219,$E$3:$E$232,"&gt;"&amp;E219)+COUNTIFS($A$3:A219,A219,$E$3:E219,E219)</f>
        <v>19</v>
      </c>
      <c r="G219" s="4">
        <f>ROUND(INDEX('League Config'!$K$4:$K$9,MATCH(A219,'League Config'!$E$4:$E$9,0))*E219+INDEX('League Config'!$L$4:$L$9,MATCH(A219,'League Config'!$E$4:$E$9,0)),1)</f>
        <v>81.8</v>
      </c>
      <c r="H219">
        <f>INDEX('League Config'!$H$4:$H$9,MATCH(A219,'League Config'!$E$4:$E$9,0))</f>
        <v>10</v>
      </c>
      <c r="I219" s="4">
        <f>INDEX('League Config'!$I$4:$I$9,MATCH(A219,'League Config'!$E$4:$E$9,0))</f>
        <v>99.6</v>
      </c>
      <c r="J219" s="4">
        <f t="shared" si="34"/>
        <v>-17.8</v>
      </c>
      <c r="K219" s="4">
        <f t="shared" si="35"/>
        <v>39.32</v>
      </c>
      <c r="L219" s="4">
        <f>MIN(100,MAX(0,(1-(F219-1)/(H219*1.5))*100*INDEX('League Config'!$J$4:$J$9,MATCH(A219,'League Config'!$E$4:$E$9,0))))</f>
        <v>0</v>
      </c>
      <c r="M219">
        <f>IF(A219="K",'League Config'!$B$14,IF(A219="DST",'League Config'!$B$15,IF(A219="QB",'League Config'!$B$16,0)))</f>
        <v>20</v>
      </c>
      <c r="N219" s="4">
        <f t="shared" si="36"/>
        <v>32.056000000000004</v>
      </c>
      <c r="O219" s="9" t="str">
        <f t="shared" si="37"/>
        <v/>
      </c>
      <c r="P219" s="6" t="str">
        <f>IF(O219="","",COUNTIF($O$3:$O$232,"&gt;"&amp;O219)+COUNTIF($O$3:O219,O219))</f>
        <v/>
      </c>
      <c r="Q219">
        <f t="shared" si="38"/>
        <v>215</v>
      </c>
      <c r="R219" s="4">
        <f>'LIVE SOURCE'!E219</f>
        <v>232</v>
      </c>
      <c r="S219" s="4">
        <f t="shared" si="39"/>
        <v>17</v>
      </c>
      <c r="T219" t="str">
        <f>'LIVE SOURCE'!F219</f>
        <v>B</v>
      </c>
      <c r="U219" s="4">
        <f t="shared" si="40"/>
        <v>64.2</v>
      </c>
      <c r="V219" s="4">
        <f t="shared" si="41"/>
        <v>73.2</v>
      </c>
      <c r="W219" s="4">
        <f t="shared" si="42"/>
        <v>82.2</v>
      </c>
      <c r="X219" t="str">
        <f>'LIVE SOURCE'!G219</f>
        <v>DST MODEL</v>
      </c>
      <c r="Y219" t="str">
        <f>IF(INDEX('Draft Board'!$J$3:$J$232,Q219)="","Available",INDEX('Draft Board'!$J$3:$J$232,Q219))</f>
        <v>Available</v>
      </c>
      <c r="Z219">
        <f t="shared" si="43"/>
        <v>215</v>
      </c>
    </row>
    <row r="220" spans="1:26" x14ac:dyDescent="0.25">
      <c r="A220" t="str">
        <f>'LIVE SOURCE'!A220</f>
        <v>DST</v>
      </c>
      <c r="B220" t="str">
        <f>'LIVE SOURCE'!B220</f>
        <v>Chicago Bears</v>
      </c>
      <c r="C220" s="4">
        <f>'LIVE SOURCE'!D220</f>
        <v>72.099999999999994</v>
      </c>
      <c r="D220" s="4">
        <f>'Manual Adjustments'!G220</f>
        <v>0</v>
      </c>
      <c r="E220" s="4">
        <f t="shared" si="33"/>
        <v>72.099999999999994</v>
      </c>
      <c r="F220">
        <f>COUNTIFS($A$3:$A$232,A220,$E$3:$E$232,"&gt;"&amp;E220)+COUNTIFS($A$3:A220,A220,$E$3:E220,E220)</f>
        <v>20</v>
      </c>
      <c r="G220" s="4">
        <f>ROUND(INDEX('League Config'!$K$4:$K$9,MATCH(A220,'League Config'!$E$4:$E$9,0))*E220+INDEX('League Config'!$L$4:$L$9,MATCH(A220,'League Config'!$E$4:$E$9,0)),1)</f>
        <v>79.8</v>
      </c>
      <c r="H220">
        <f>INDEX('League Config'!$H$4:$H$9,MATCH(A220,'League Config'!$E$4:$E$9,0))</f>
        <v>10</v>
      </c>
      <c r="I220" s="4">
        <f>INDEX('League Config'!$I$4:$I$9,MATCH(A220,'League Config'!$E$4:$E$9,0))</f>
        <v>99.6</v>
      </c>
      <c r="J220" s="4">
        <f t="shared" si="34"/>
        <v>-19.8</v>
      </c>
      <c r="K220" s="4">
        <f t="shared" si="35"/>
        <v>38.119999999999997</v>
      </c>
      <c r="L220" s="4">
        <f>MIN(100,MAX(0,(1-(F220-1)/(H220*1.5))*100*INDEX('League Config'!$J$4:$J$9,MATCH(A220,'League Config'!$E$4:$E$9,0))))</f>
        <v>0</v>
      </c>
      <c r="M220">
        <f>IF(A220="K",'League Config'!$B$14,IF(A220="DST",'League Config'!$B$15,IF(A220="QB",'League Config'!$B$16,0)))</f>
        <v>20</v>
      </c>
      <c r="N220" s="4">
        <f t="shared" si="36"/>
        <v>31.091000000000001</v>
      </c>
      <c r="O220" s="9" t="str">
        <f t="shared" si="37"/>
        <v/>
      </c>
      <c r="P220" s="6" t="str">
        <f>IF(O220="","",COUNTIF($O$3:$O$232,"&gt;"&amp;O220)+COUNTIF($O$3:O220,O220))</f>
        <v/>
      </c>
      <c r="Q220">
        <f t="shared" si="38"/>
        <v>216</v>
      </c>
      <c r="R220" s="4">
        <f>'LIVE SOURCE'!E220</f>
        <v>236</v>
      </c>
      <c r="S220" s="4">
        <f t="shared" si="39"/>
        <v>20</v>
      </c>
      <c r="T220" t="str">
        <f>'LIVE SOURCE'!F220</f>
        <v>B</v>
      </c>
      <c r="U220" s="4">
        <f t="shared" si="40"/>
        <v>63.099999999999994</v>
      </c>
      <c r="V220" s="4">
        <f t="shared" si="41"/>
        <v>72.099999999999994</v>
      </c>
      <c r="W220" s="4">
        <f t="shared" si="42"/>
        <v>81.099999999999994</v>
      </c>
      <c r="X220" t="str">
        <f>'LIVE SOURCE'!G220</f>
        <v>DST MODEL</v>
      </c>
      <c r="Y220" t="str">
        <f>IF(INDEX('Draft Board'!$J$3:$J$232,Q220)="","Available",INDEX('Draft Board'!$J$3:$J$232,Q220))</f>
        <v>Available</v>
      </c>
      <c r="Z220">
        <f t="shared" si="43"/>
        <v>216</v>
      </c>
    </row>
    <row r="221" spans="1:26" x14ac:dyDescent="0.25">
      <c r="A221" t="str">
        <f>'LIVE SOURCE'!A221</f>
        <v>DST</v>
      </c>
      <c r="B221" t="str">
        <f>'LIVE SOURCE'!B221</f>
        <v>Indianapolis Colts</v>
      </c>
      <c r="C221" s="4">
        <f>'LIVE SOURCE'!D221</f>
        <v>71</v>
      </c>
      <c r="D221" s="4">
        <f>'Manual Adjustments'!G221</f>
        <v>0</v>
      </c>
      <c r="E221" s="4">
        <f t="shared" si="33"/>
        <v>71</v>
      </c>
      <c r="F221">
        <f>COUNTIFS($A$3:$A$232,A221,$E$3:$E$232,"&gt;"&amp;E221)+COUNTIFS($A$3:A221,A221,$E$3:E221,E221)</f>
        <v>21</v>
      </c>
      <c r="G221" s="4">
        <f>ROUND(INDEX('League Config'!$K$4:$K$9,MATCH(A221,'League Config'!$E$4:$E$9,0))*E221+INDEX('League Config'!$L$4:$L$9,MATCH(A221,'League Config'!$E$4:$E$9,0)),1)</f>
        <v>77.8</v>
      </c>
      <c r="H221">
        <f>INDEX('League Config'!$H$4:$H$9,MATCH(A221,'League Config'!$E$4:$E$9,0))</f>
        <v>10</v>
      </c>
      <c r="I221" s="4">
        <f>INDEX('League Config'!$I$4:$I$9,MATCH(A221,'League Config'!$E$4:$E$9,0))</f>
        <v>99.6</v>
      </c>
      <c r="J221" s="4">
        <f t="shared" si="34"/>
        <v>-21.8</v>
      </c>
      <c r="K221" s="4">
        <f t="shared" si="35"/>
        <v>36.92</v>
      </c>
      <c r="L221" s="4">
        <f>MIN(100,MAX(0,(1-(F221-1)/(H221*1.5))*100*INDEX('League Config'!$J$4:$J$9,MATCH(A221,'League Config'!$E$4:$E$9,0))))</f>
        <v>0</v>
      </c>
      <c r="M221">
        <f>IF(A221="K",'League Config'!$B$14,IF(A221="DST",'League Config'!$B$15,IF(A221="QB",'League Config'!$B$16,0)))</f>
        <v>20</v>
      </c>
      <c r="N221" s="4">
        <f t="shared" si="36"/>
        <v>30.126000000000005</v>
      </c>
      <c r="O221" s="9" t="str">
        <f t="shared" si="37"/>
        <v/>
      </c>
      <c r="P221" s="6" t="str">
        <f>IF(O221="","",COUNTIF($O$3:$O$232,"&gt;"&amp;O221)+COUNTIF($O$3:O221,O221))</f>
        <v/>
      </c>
      <c r="Q221">
        <f t="shared" si="38"/>
        <v>217</v>
      </c>
      <c r="R221" s="4">
        <f>'LIVE SOURCE'!E221</f>
        <v>240</v>
      </c>
      <c r="S221" s="4">
        <f t="shared" si="39"/>
        <v>23</v>
      </c>
      <c r="T221" t="str">
        <f>'LIVE SOURCE'!F221</f>
        <v>B</v>
      </c>
      <c r="U221" s="4">
        <f t="shared" si="40"/>
        <v>62</v>
      </c>
      <c r="V221" s="4">
        <f t="shared" si="41"/>
        <v>71</v>
      </c>
      <c r="W221" s="4">
        <f t="shared" si="42"/>
        <v>80</v>
      </c>
      <c r="X221" t="str">
        <f>'LIVE SOURCE'!G221</f>
        <v>DST MODEL</v>
      </c>
      <c r="Y221" t="str">
        <f>IF(INDEX('Draft Board'!$J$3:$J$232,Q221)="","Available",INDEX('Draft Board'!$J$3:$J$232,Q221))</f>
        <v>Available</v>
      </c>
      <c r="Z221">
        <f t="shared" si="43"/>
        <v>217</v>
      </c>
    </row>
    <row r="222" spans="1:26" x14ac:dyDescent="0.25">
      <c r="A222" t="str">
        <f>'LIVE SOURCE'!A222</f>
        <v>DST</v>
      </c>
      <c r="B222" t="str">
        <f>'LIVE SOURCE'!B222</f>
        <v>New York Giants</v>
      </c>
      <c r="C222" s="4">
        <f>'LIVE SOURCE'!D222</f>
        <v>69.900000000000006</v>
      </c>
      <c r="D222" s="4">
        <f>'Manual Adjustments'!G222</f>
        <v>0</v>
      </c>
      <c r="E222" s="4">
        <f t="shared" si="33"/>
        <v>69.900000000000006</v>
      </c>
      <c r="F222">
        <f>COUNTIFS($A$3:$A$232,A222,$E$3:$E$232,"&gt;"&amp;E222)+COUNTIFS($A$3:A222,A222,$E$3:E222,E222)</f>
        <v>22</v>
      </c>
      <c r="G222" s="4">
        <f>ROUND(INDEX('League Config'!$K$4:$K$9,MATCH(A222,'League Config'!$E$4:$E$9,0))*E222+INDEX('League Config'!$L$4:$L$9,MATCH(A222,'League Config'!$E$4:$E$9,0)),1)</f>
        <v>75.8</v>
      </c>
      <c r="H222">
        <f>INDEX('League Config'!$H$4:$H$9,MATCH(A222,'League Config'!$E$4:$E$9,0))</f>
        <v>10</v>
      </c>
      <c r="I222" s="4">
        <f>INDEX('League Config'!$I$4:$I$9,MATCH(A222,'League Config'!$E$4:$E$9,0))</f>
        <v>99.6</v>
      </c>
      <c r="J222" s="4">
        <f t="shared" si="34"/>
        <v>-23.8</v>
      </c>
      <c r="K222" s="4">
        <f t="shared" si="35"/>
        <v>35.72</v>
      </c>
      <c r="L222" s="4">
        <f>MIN(100,MAX(0,(1-(F222-1)/(H222*1.5))*100*INDEX('League Config'!$J$4:$J$9,MATCH(A222,'League Config'!$E$4:$E$9,0))))</f>
        <v>0</v>
      </c>
      <c r="M222">
        <f>IF(A222="K",'League Config'!$B$14,IF(A222="DST",'League Config'!$B$15,IF(A222="QB",'League Config'!$B$16,0)))</f>
        <v>20</v>
      </c>
      <c r="N222" s="4">
        <f t="shared" si="36"/>
        <v>29.161000000000008</v>
      </c>
      <c r="O222" s="9" t="str">
        <f t="shared" si="37"/>
        <v/>
      </c>
      <c r="P222" s="6" t="str">
        <f>IF(O222="","",COUNTIF($O$3:$O$232,"&gt;"&amp;O222)+COUNTIF($O$3:O222,O222))</f>
        <v/>
      </c>
      <c r="Q222">
        <f t="shared" si="38"/>
        <v>218</v>
      </c>
      <c r="R222" s="4">
        <f>'LIVE SOURCE'!E222</f>
        <v>166.7</v>
      </c>
      <c r="S222" s="4">
        <f t="shared" si="39"/>
        <v>-51.300000000000011</v>
      </c>
      <c r="T222" t="str">
        <f>'LIVE SOURCE'!F222</f>
        <v>B</v>
      </c>
      <c r="U222" s="4">
        <f t="shared" si="40"/>
        <v>60.900000000000006</v>
      </c>
      <c r="V222" s="4">
        <f t="shared" si="41"/>
        <v>69.900000000000006</v>
      </c>
      <c r="W222" s="4">
        <f t="shared" si="42"/>
        <v>78.900000000000006</v>
      </c>
      <c r="X222" t="str">
        <f>'LIVE SOURCE'!G222</f>
        <v>DST MODEL</v>
      </c>
      <c r="Y222" t="str">
        <f>IF(INDEX('Draft Board'!$J$3:$J$232,Q222)="","Available",INDEX('Draft Board'!$J$3:$J$232,Q222))</f>
        <v>Available</v>
      </c>
      <c r="Z222">
        <f t="shared" si="43"/>
        <v>218</v>
      </c>
    </row>
    <row r="223" spans="1:26" x14ac:dyDescent="0.25">
      <c r="A223" t="str">
        <f>'LIVE SOURCE'!A223</f>
        <v>DST</v>
      </c>
      <c r="B223" t="str">
        <f>'LIVE SOURCE'!B223</f>
        <v>Tampa Bay Buccaneers</v>
      </c>
      <c r="C223" s="4">
        <f>'LIVE SOURCE'!D223</f>
        <v>68.8</v>
      </c>
      <c r="D223" s="4">
        <f>'Manual Adjustments'!G223</f>
        <v>0</v>
      </c>
      <c r="E223" s="4">
        <f t="shared" si="33"/>
        <v>68.8</v>
      </c>
      <c r="F223">
        <f>COUNTIFS($A$3:$A$232,A223,$E$3:$E$232,"&gt;"&amp;E223)+COUNTIFS($A$3:A223,A223,$E$3:E223,E223)</f>
        <v>23</v>
      </c>
      <c r="G223" s="4">
        <f>ROUND(INDEX('League Config'!$K$4:$K$9,MATCH(A223,'League Config'!$E$4:$E$9,0))*E223+INDEX('League Config'!$L$4:$L$9,MATCH(A223,'League Config'!$E$4:$E$9,0)),1)</f>
        <v>73.8</v>
      </c>
      <c r="H223">
        <f>INDEX('League Config'!$H$4:$H$9,MATCH(A223,'League Config'!$E$4:$E$9,0))</f>
        <v>10</v>
      </c>
      <c r="I223" s="4">
        <f>INDEX('League Config'!$I$4:$I$9,MATCH(A223,'League Config'!$E$4:$E$9,0))</f>
        <v>99.6</v>
      </c>
      <c r="J223" s="4">
        <f t="shared" si="34"/>
        <v>-25.8</v>
      </c>
      <c r="K223" s="4">
        <f t="shared" si="35"/>
        <v>34.519999999999996</v>
      </c>
      <c r="L223" s="4">
        <f>MIN(100,MAX(0,(1-(F223-1)/(H223*1.5))*100*INDEX('League Config'!$J$4:$J$9,MATCH(A223,'League Config'!$E$4:$E$9,0))))</f>
        <v>0</v>
      </c>
      <c r="M223">
        <f>IF(A223="K",'League Config'!$B$14,IF(A223="DST",'League Config'!$B$15,IF(A223="QB",'League Config'!$B$16,0)))</f>
        <v>20</v>
      </c>
      <c r="N223" s="4">
        <f t="shared" si="36"/>
        <v>28.195999999999998</v>
      </c>
      <c r="O223" s="9" t="str">
        <f t="shared" si="37"/>
        <v/>
      </c>
      <c r="P223" s="6" t="str">
        <f>IF(O223="","",COUNTIF($O$3:$O$232,"&gt;"&amp;O223)+COUNTIF($O$3:O223,O223))</f>
        <v/>
      </c>
      <c r="Q223">
        <f t="shared" si="38"/>
        <v>219</v>
      </c>
      <c r="R223" s="4">
        <f>'LIVE SOURCE'!E223</f>
        <v>248</v>
      </c>
      <c r="S223" s="4">
        <f t="shared" si="39"/>
        <v>29</v>
      </c>
      <c r="T223" t="str">
        <f>'LIVE SOURCE'!F223</f>
        <v>B</v>
      </c>
      <c r="U223" s="4">
        <f t="shared" si="40"/>
        <v>59.8</v>
      </c>
      <c r="V223" s="4">
        <f t="shared" si="41"/>
        <v>68.8</v>
      </c>
      <c r="W223" s="4">
        <f t="shared" si="42"/>
        <v>77.8</v>
      </c>
      <c r="X223" t="str">
        <f>'LIVE SOURCE'!G223</f>
        <v>DST MODEL</v>
      </c>
      <c r="Y223" t="str">
        <f>IF(INDEX('Draft Board'!$J$3:$J$232,Q223)="","Available",INDEX('Draft Board'!$J$3:$J$232,Q223))</f>
        <v>Available</v>
      </c>
      <c r="Z223">
        <f t="shared" si="43"/>
        <v>219</v>
      </c>
    </row>
    <row r="224" spans="1:26" x14ac:dyDescent="0.25">
      <c r="A224" t="str">
        <f>'LIVE SOURCE'!A224</f>
        <v>DST</v>
      </c>
      <c r="B224" t="str">
        <f>'LIVE SOURCE'!B224</f>
        <v>Dallas Cowboys</v>
      </c>
      <c r="C224" s="4">
        <f>'LIVE SOURCE'!D224</f>
        <v>67.7</v>
      </c>
      <c r="D224" s="4">
        <f>'Manual Adjustments'!G224</f>
        <v>0</v>
      </c>
      <c r="E224" s="4">
        <f t="shared" si="33"/>
        <v>67.7</v>
      </c>
      <c r="F224">
        <f>COUNTIFS($A$3:$A$232,A224,$E$3:$E$232,"&gt;"&amp;E224)+COUNTIFS($A$3:A224,A224,$E$3:E224,E224)</f>
        <v>24</v>
      </c>
      <c r="G224" s="4">
        <f>ROUND(INDEX('League Config'!$K$4:$K$9,MATCH(A224,'League Config'!$E$4:$E$9,0))*E224+INDEX('League Config'!$L$4:$L$9,MATCH(A224,'League Config'!$E$4:$E$9,0)),1)</f>
        <v>71.900000000000006</v>
      </c>
      <c r="H224">
        <f>INDEX('League Config'!$H$4:$H$9,MATCH(A224,'League Config'!$E$4:$E$9,0))</f>
        <v>10</v>
      </c>
      <c r="I224" s="4">
        <f>INDEX('League Config'!$I$4:$I$9,MATCH(A224,'League Config'!$E$4:$E$9,0))</f>
        <v>99.6</v>
      </c>
      <c r="J224" s="4">
        <f t="shared" si="34"/>
        <v>-27.7</v>
      </c>
      <c r="K224" s="4">
        <f t="shared" si="35"/>
        <v>33.380000000000003</v>
      </c>
      <c r="L224" s="4">
        <f>MIN(100,MAX(0,(1-(F224-1)/(H224*1.5))*100*INDEX('League Config'!$J$4:$J$9,MATCH(A224,'League Config'!$E$4:$E$9,0))))</f>
        <v>0</v>
      </c>
      <c r="M224">
        <f>IF(A224="K",'League Config'!$B$14,IF(A224="DST",'League Config'!$B$15,IF(A224="QB",'League Config'!$B$16,0)))</f>
        <v>20</v>
      </c>
      <c r="N224" s="4">
        <f t="shared" si="36"/>
        <v>27.249000000000009</v>
      </c>
      <c r="O224" s="9" t="str">
        <f t="shared" si="37"/>
        <v/>
      </c>
      <c r="P224" s="6" t="str">
        <f>IF(O224="","",COUNTIF($O$3:$O$232,"&gt;"&amp;O224)+COUNTIF($O$3:O224,O224))</f>
        <v/>
      </c>
      <c r="Q224">
        <f t="shared" si="38"/>
        <v>220</v>
      </c>
      <c r="R224" s="4">
        <f>'LIVE SOURCE'!E224</f>
        <v>252</v>
      </c>
      <c r="S224" s="4">
        <f t="shared" si="39"/>
        <v>32</v>
      </c>
      <c r="T224" t="str">
        <f>'LIVE SOURCE'!F224</f>
        <v>B</v>
      </c>
      <c r="U224" s="4">
        <f t="shared" si="40"/>
        <v>58.7</v>
      </c>
      <c r="V224" s="4">
        <f t="shared" si="41"/>
        <v>67.7</v>
      </c>
      <c r="W224" s="4">
        <f t="shared" si="42"/>
        <v>76.7</v>
      </c>
      <c r="X224" t="str">
        <f>'LIVE SOURCE'!G224</f>
        <v>DST MODEL</v>
      </c>
      <c r="Y224" t="str">
        <f>IF(INDEX('Draft Board'!$J$3:$J$232,Q224)="","Available",INDEX('Draft Board'!$J$3:$J$232,Q224))</f>
        <v>Available</v>
      </c>
      <c r="Z224">
        <f t="shared" si="43"/>
        <v>220</v>
      </c>
    </row>
    <row r="225" spans="1:26" x14ac:dyDescent="0.25">
      <c r="A225" t="str">
        <f>'LIVE SOURCE'!A225</f>
        <v>DST</v>
      </c>
      <c r="B225" t="str">
        <f>'LIVE SOURCE'!B225</f>
        <v>Carolina Panthers</v>
      </c>
      <c r="C225" s="4">
        <f>'LIVE SOURCE'!D225</f>
        <v>66.599999999999994</v>
      </c>
      <c r="D225" s="4">
        <f>'Manual Adjustments'!G225</f>
        <v>0</v>
      </c>
      <c r="E225" s="4">
        <f t="shared" si="33"/>
        <v>66.599999999999994</v>
      </c>
      <c r="F225">
        <f>COUNTIFS($A$3:$A$232,A225,$E$3:$E$232,"&gt;"&amp;E225)+COUNTIFS($A$3:A225,A225,$E$3:E225,E225)</f>
        <v>25</v>
      </c>
      <c r="G225" s="4">
        <f>ROUND(INDEX('League Config'!$K$4:$K$9,MATCH(A225,'League Config'!$E$4:$E$9,0))*E225+INDEX('League Config'!$L$4:$L$9,MATCH(A225,'League Config'!$E$4:$E$9,0)),1)</f>
        <v>69.900000000000006</v>
      </c>
      <c r="H225">
        <f>INDEX('League Config'!$H$4:$H$9,MATCH(A225,'League Config'!$E$4:$E$9,0))</f>
        <v>10</v>
      </c>
      <c r="I225" s="4">
        <f>INDEX('League Config'!$I$4:$I$9,MATCH(A225,'League Config'!$E$4:$E$9,0))</f>
        <v>99.6</v>
      </c>
      <c r="J225" s="4">
        <f t="shared" si="34"/>
        <v>-29.7</v>
      </c>
      <c r="K225" s="4">
        <f t="shared" si="35"/>
        <v>32.18</v>
      </c>
      <c r="L225" s="4">
        <f>MIN(100,MAX(0,(1-(F225-1)/(H225*1.5))*100*INDEX('League Config'!$J$4:$J$9,MATCH(A225,'League Config'!$E$4:$E$9,0))))</f>
        <v>0</v>
      </c>
      <c r="M225">
        <f>IF(A225="K",'League Config'!$B$14,IF(A225="DST",'League Config'!$B$15,IF(A225="QB",'League Config'!$B$16,0)))</f>
        <v>20</v>
      </c>
      <c r="N225" s="4">
        <f t="shared" si="36"/>
        <v>26.284000000000006</v>
      </c>
      <c r="O225" s="9" t="str">
        <f t="shared" si="37"/>
        <v/>
      </c>
      <c r="P225" s="6" t="str">
        <f>IF(O225="","",COUNTIF($O$3:$O$232,"&gt;"&amp;O225)+COUNTIF($O$3:O225,O225))</f>
        <v/>
      </c>
      <c r="Q225">
        <f t="shared" si="38"/>
        <v>221</v>
      </c>
      <c r="R225" s="4">
        <f>'LIVE SOURCE'!E225</f>
        <v>256</v>
      </c>
      <c r="S225" s="4">
        <f t="shared" si="39"/>
        <v>35</v>
      </c>
      <c r="T225" t="str">
        <f>'LIVE SOURCE'!F225</f>
        <v>B</v>
      </c>
      <c r="U225" s="4">
        <f t="shared" si="40"/>
        <v>57.599999999999994</v>
      </c>
      <c r="V225" s="4">
        <f t="shared" si="41"/>
        <v>66.599999999999994</v>
      </c>
      <c r="W225" s="4">
        <f t="shared" si="42"/>
        <v>75.599999999999994</v>
      </c>
      <c r="X225" t="str">
        <f>'LIVE SOURCE'!G225</f>
        <v>DST MODEL</v>
      </c>
      <c r="Y225" t="str">
        <f>IF(INDEX('Draft Board'!$J$3:$J$232,Q225)="","Available",INDEX('Draft Board'!$J$3:$J$232,Q225))</f>
        <v>Available</v>
      </c>
      <c r="Z225">
        <f t="shared" si="43"/>
        <v>221</v>
      </c>
    </row>
    <row r="226" spans="1:26" x14ac:dyDescent="0.25">
      <c r="A226" t="str">
        <f>'LIVE SOURCE'!A226</f>
        <v>DST</v>
      </c>
      <c r="B226" t="str">
        <f>'LIVE SOURCE'!B226</f>
        <v>Tennessee Titans</v>
      </c>
      <c r="C226" s="4">
        <f>'LIVE SOURCE'!D226</f>
        <v>65.5</v>
      </c>
      <c r="D226" s="4">
        <f>'Manual Adjustments'!G226</f>
        <v>0</v>
      </c>
      <c r="E226" s="4">
        <f t="shared" si="33"/>
        <v>65.5</v>
      </c>
      <c r="F226">
        <f>COUNTIFS($A$3:$A$232,A226,$E$3:$E$232,"&gt;"&amp;E226)+COUNTIFS($A$3:A226,A226,$E$3:E226,E226)</f>
        <v>26</v>
      </c>
      <c r="G226" s="4">
        <f>ROUND(INDEX('League Config'!$K$4:$K$9,MATCH(A226,'League Config'!$E$4:$E$9,0))*E226+INDEX('League Config'!$L$4:$L$9,MATCH(A226,'League Config'!$E$4:$E$9,0)),1)</f>
        <v>67.900000000000006</v>
      </c>
      <c r="H226">
        <f>INDEX('League Config'!$H$4:$H$9,MATCH(A226,'League Config'!$E$4:$E$9,0))</f>
        <v>10</v>
      </c>
      <c r="I226" s="4">
        <f>INDEX('League Config'!$I$4:$I$9,MATCH(A226,'League Config'!$E$4:$E$9,0))</f>
        <v>99.6</v>
      </c>
      <c r="J226" s="4">
        <f t="shared" si="34"/>
        <v>-31.7</v>
      </c>
      <c r="K226" s="4">
        <f t="shared" si="35"/>
        <v>30.98</v>
      </c>
      <c r="L226" s="4">
        <f>MIN(100,MAX(0,(1-(F226-1)/(H226*1.5))*100*INDEX('League Config'!$J$4:$J$9,MATCH(A226,'League Config'!$E$4:$E$9,0))))</f>
        <v>0</v>
      </c>
      <c r="M226">
        <f>IF(A226="K",'League Config'!$B$14,IF(A226="DST",'League Config'!$B$15,IF(A226="QB",'League Config'!$B$16,0)))</f>
        <v>20</v>
      </c>
      <c r="N226" s="4">
        <f t="shared" si="36"/>
        <v>25.319000000000003</v>
      </c>
      <c r="O226" s="9" t="str">
        <f t="shared" si="37"/>
        <v/>
      </c>
      <c r="P226" s="6" t="str">
        <f>IF(O226="","",COUNTIF($O$3:$O$232,"&gt;"&amp;O226)+COUNTIF($O$3:O226,O226))</f>
        <v/>
      </c>
      <c r="Q226">
        <f t="shared" si="38"/>
        <v>222</v>
      </c>
      <c r="R226" s="4">
        <f>'LIVE SOURCE'!E226</f>
        <v>260</v>
      </c>
      <c r="S226" s="4">
        <f t="shared" si="39"/>
        <v>38</v>
      </c>
      <c r="T226" t="str">
        <f>'LIVE SOURCE'!F226</f>
        <v>B</v>
      </c>
      <c r="U226" s="4">
        <f t="shared" si="40"/>
        <v>56.5</v>
      </c>
      <c r="V226" s="4">
        <f t="shared" si="41"/>
        <v>65.5</v>
      </c>
      <c r="W226" s="4">
        <f t="shared" si="42"/>
        <v>74.5</v>
      </c>
      <c r="X226" t="str">
        <f>'LIVE SOURCE'!G226</f>
        <v>DST MODEL</v>
      </c>
      <c r="Y226" t="str">
        <f>IF(INDEX('Draft Board'!$J$3:$J$232,Q226)="","Available",INDEX('Draft Board'!$J$3:$J$232,Q226))</f>
        <v>Available</v>
      </c>
      <c r="Z226">
        <f t="shared" si="43"/>
        <v>222</v>
      </c>
    </row>
    <row r="227" spans="1:26" x14ac:dyDescent="0.25">
      <c r="A227" t="str">
        <f>'LIVE SOURCE'!A227</f>
        <v>DST</v>
      </c>
      <c r="B227" t="str">
        <f>'LIVE SOURCE'!B227</f>
        <v>Miami Dolphins</v>
      </c>
      <c r="C227" s="4">
        <f>'LIVE SOURCE'!D227</f>
        <v>64.400000000000006</v>
      </c>
      <c r="D227" s="4">
        <f>'Manual Adjustments'!G227</f>
        <v>0</v>
      </c>
      <c r="E227" s="4">
        <f t="shared" si="33"/>
        <v>64.400000000000006</v>
      </c>
      <c r="F227">
        <f>COUNTIFS($A$3:$A$232,A227,$E$3:$E$232,"&gt;"&amp;E227)+COUNTIFS($A$3:A227,A227,$E$3:E227,E227)</f>
        <v>27</v>
      </c>
      <c r="G227" s="4">
        <f>ROUND(INDEX('League Config'!$K$4:$K$9,MATCH(A227,'League Config'!$E$4:$E$9,0))*E227+INDEX('League Config'!$L$4:$L$9,MATCH(A227,'League Config'!$E$4:$E$9,0)),1)</f>
        <v>65.900000000000006</v>
      </c>
      <c r="H227">
        <f>INDEX('League Config'!$H$4:$H$9,MATCH(A227,'League Config'!$E$4:$E$9,0))</f>
        <v>10</v>
      </c>
      <c r="I227" s="4">
        <f>INDEX('League Config'!$I$4:$I$9,MATCH(A227,'League Config'!$E$4:$E$9,0))</f>
        <v>99.6</v>
      </c>
      <c r="J227" s="4">
        <f t="shared" si="34"/>
        <v>-33.700000000000003</v>
      </c>
      <c r="K227" s="4">
        <f t="shared" si="35"/>
        <v>29.779999999999998</v>
      </c>
      <c r="L227" s="4">
        <f>MIN(100,MAX(0,(1-(F227-1)/(H227*1.5))*100*INDEX('League Config'!$J$4:$J$9,MATCH(A227,'League Config'!$E$4:$E$9,0))))</f>
        <v>0</v>
      </c>
      <c r="M227">
        <f>IF(A227="K",'League Config'!$B$14,IF(A227="DST",'League Config'!$B$15,IF(A227="QB",'League Config'!$B$16,0)))</f>
        <v>20</v>
      </c>
      <c r="N227" s="4">
        <f t="shared" si="36"/>
        <v>24.354000000000006</v>
      </c>
      <c r="O227" s="9" t="str">
        <f t="shared" si="37"/>
        <v/>
      </c>
      <c r="P227" s="6" t="str">
        <f>IF(O227="","",COUNTIF($O$3:$O$232,"&gt;"&amp;O227)+COUNTIF($O$3:O227,O227))</f>
        <v/>
      </c>
      <c r="Q227">
        <f t="shared" si="38"/>
        <v>223</v>
      </c>
      <c r="R227" s="4">
        <f>'LIVE SOURCE'!E227</f>
        <v>264</v>
      </c>
      <c r="S227" s="4">
        <f t="shared" si="39"/>
        <v>41</v>
      </c>
      <c r="T227" t="str">
        <f>'LIVE SOURCE'!F227</f>
        <v>B</v>
      </c>
      <c r="U227" s="4">
        <f t="shared" si="40"/>
        <v>55.400000000000006</v>
      </c>
      <c r="V227" s="4">
        <f t="shared" si="41"/>
        <v>64.400000000000006</v>
      </c>
      <c r="W227" s="4">
        <f t="shared" si="42"/>
        <v>73.400000000000006</v>
      </c>
      <c r="X227" t="str">
        <f>'LIVE SOURCE'!G227</f>
        <v>DST MODEL</v>
      </c>
      <c r="Y227" t="str">
        <f>IF(INDEX('Draft Board'!$J$3:$J$232,Q227)="","Available",INDEX('Draft Board'!$J$3:$J$232,Q227))</f>
        <v>Available</v>
      </c>
      <c r="Z227">
        <f t="shared" si="43"/>
        <v>223</v>
      </c>
    </row>
    <row r="228" spans="1:26" x14ac:dyDescent="0.25">
      <c r="A228" t="str">
        <f>'LIVE SOURCE'!A228</f>
        <v>DST</v>
      </c>
      <c r="B228" t="str">
        <f>'LIVE SOURCE'!B228</f>
        <v>Washington Commanders</v>
      </c>
      <c r="C228" s="4">
        <f>'LIVE SOURCE'!D228</f>
        <v>63.3</v>
      </c>
      <c r="D228" s="4">
        <f>'Manual Adjustments'!G228</f>
        <v>0</v>
      </c>
      <c r="E228" s="4">
        <f t="shared" si="33"/>
        <v>63.3</v>
      </c>
      <c r="F228">
        <f>COUNTIFS($A$3:$A$232,A228,$E$3:$E$232,"&gt;"&amp;E228)+COUNTIFS($A$3:A228,A228,$E$3:E228,E228)</f>
        <v>28</v>
      </c>
      <c r="G228" s="4">
        <f>ROUND(INDEX('League Config'!$K$4:$K$9,MATCH(A228,'League Config'!$E$4:$E$9,0))*E228+INDEX('League Config'!$L$4:$L$9,MATCH(A228,'League Config'!$E$4:$E$9,0)),1)</f>
        <v>63.9</v>
      </c>
      <c r="H228">
        <f>INDEX('League Config'!$H$4:$H$9,MATCH(A228,'League Config'!$E$4:$E$9,0))</f>
        <v>10</v>
      </c>
      <c r="I228" s="4">
        <f>INDEX('League Config'!$I$4:$I$9,MATCH(A228,'League Config'!$E$4:$E$9,0))</f>
        <v>99.6</v>
      </c>
      <c r="J228" s="4">
        <f t="shared" si="34"/>
        <v>-35.700000000000003</v>
      </c>
      <c r="K228" s="4">
        <f t="shared" si="35"/>
        <v>28.58</v>
      </c>
      <c r="L228" s="4">
        <f>MIN(100,MAX(0,(1-(F228-1)/(H228*1.5))*100*INDEX('League Config'!$J$4:$J$9,MATCH(A228,'League Config'!$E$4:$E$9,0))))</f>
        <v>0</v>
      </c>
      <c r="M228">
        <f>IF(A228="K",'League Config'!$B$14,IF(A228="DST",'League Config'!$B$15,IF(A228="QB",'League Config'!$B$16,0)))</f>
        <v>20</v>
      </c>
      <c r="N228" s="4">
        <f t="shared" si="36"/>
        <v>23.388999999999996</v>
      </c>
      <c r="O228" s="9" t="str">
        <f t="shared" si="37"/>
        <v/>
      </c>
      <c r="P228" s="6" t="str">
        <f>IF(O228="","",COUNTIF($O$3:$O$232,"&gt;"&amp;O228)+COUNTIF($O$3:O228,O228))</f>
        <v/>
      </c>
      <c r="Q228">
        <f t="shared" si="38"/>
        <v>224</v>
      </c>
      <c r="R228" s="4">
        <f>'LIVE SOURCE'!E228</f>
        <v>268</v>
      </c>
      <c r="S228" s="4">
        <f t="shared" si="39"/>
        <v>44</v>
      </c>
      <c r="T228" t="str">
        <f>'LIVE SOURCE'!F228</f>
        <v>B</v>
      </c>
      <c r="U228" s="4">
        <f t="shared" si="40"/>
        <v>54.3</v>
      </c>
      <c r="V228" s="4">
        <f t="shared" si="41"/>
        <v>63.3</v>
      </c>
      <c r="W228" s="4">
        <f t="shared" si="42"/>
        <v>72.3</v>
      </c>
      <c r="X228" t="str">
        <f>'LIVE SOURCE'!G228</f>
        <v>DST MODEL</v>
      </c>
      <c r="Y228" t="str">
        <f>IF(INDEX('Draft Board'!$J$3:$J$232,Q228)="","Available",INDEX('Draft Board'!$J$3:$J$232,Q228))</f>
        <v>Available</v>
      </c>
      <c r="Z228">
        <f t="shared" si="43"/>
        <v>224</v>
      </c>
    </row>
    <row r="229" spans="1:26" x14ac:dyDescent="0.25">
      <c r="A229" t="str">
        <f>'LIVE SOURCE'!A229</f>
        <v>DST</v>
      </c>
      <c r="B229" t="str">
        <f>'LIVE SOURCE'!B229</f>
        <v>New York Jets</v>
      </c>
      <c r="C229" s="4">
        <f>'LIVE SOURCE'!D229</f>
        <v>62.2</v>
      </c>
      <c r="D229" s="4">
        <f>'Manual Adjustments'!G229</f>
        <v>0</v>
      </c>
      <c r="E229" s="4">
        <f t="shared" si="33"/>
        <v>62.2</v>
      </c>
      <c r="F229">
        <f>COUNTIFS($A$3:$A$232,A229,$E$3:$E$232,"&gt;"&amp;E229)+COUNTIFS($A$3:A229,A229,$E$3:E229,E229)</f>
        <v>29</v>
      </c>
      <c r="G229" s="4">
        <f>ROUND(INDEX('League Config'!$K$4:$K$9,MATCH(A229,'League Config'!$E$4:$E$9,0))*E229+INDEX('League Config'!$L$4:$L$9,MATCH(A229,'League Config'!$E$4:$E$9,0)),1)</f>
        <v>62</v>
      </c>
      <c r="H229">
        <f>INDEX('League Config'!$H$4:$H$9,MATCH(A229,'League Config'!$E$4:$E$9,0))</f>
        <v>10</v>
      </c>
      <c r="I229" s="4">
        <f>INDEX('League Config'!$I$4:$I$9,MATCH(A229,'League Config'!$E$4:$E$9,0))</f>
        <v>99.6</v>
      </c>
      <c r="J229" s="4">
        <f t="shared" si="34"/>
        <v>-37.6</v>
      </c>
      <c r="K229" s="4">
        <f t="shared" si="35"/>
        <v>27.44</v>
      </c>
      <c r="L229" s="4">
        <f>MIN(100,MAX(0,(1-(F229-1)/(H229*1.5))*100*INDEX('League Config'!$J$4:$J$9,MATCH(A229,'League Config'!$E$4:$E$9,0))))</f>
        <v>0</v>
      </c>
      <c r="M229">
        <f>IF(A229="K",'League Config'!$B$14,IF(A229="DST",'League Config'!$B$15,IF(A229="QB",'League Config'!$B$16,0)))</f>
        <v>20</v>
      </c>
      <c r="N229" s="4">
        <f t="shared" si="36"/>
        <v>22.442</v>
      </c>
      <c r="O229" s="9" t="str">
        <f t="shared" si="37"/>
        <v/>
      </c>
      <c r="P229" s="6" t="str">
        <f>IF(O229="","",COUNTIF($O$3:$O$232,"&gt;"&amp;O229)+COUNTIF($O$3:O229,O229))</f>
        <v/>
      </c>
      <c r="Q229">
        <f t="shared" si="38"/>
        <v>225</v>
      </c>
      <c r="R229" s="4">
        <f>'LIVE SOURCE'!E229</f>
        <v>149.9</v>
      </c>
      <c r="S229" s="4">
        <f t="shared" si="39"/>
        <v>-75.099999999999994</v>
      </c>
      <c r="T229" t="str">
        <f>'LIVE SOURCE'!F229</f>
        <v>B</v>
      </c>
      <c r="U229" s="4">
        <f t="shared" si="40"/>
        <v>53.2</v>
      </c>
      <c r="V229" s="4">
        <f t="shared" si="41"/>
        <v>62.2</v>
      </c>
      <c r="W229" s="4">
        <f t="shared" si="42"/>
        <v>71.2</v>
      </c>
      <c r="X229" t="str">
        <f>'LIVE SOURCE'!G229</f>
        <v>DST MODEL</v>
      </c>
      <c r="Y229" t="str">
        <f>IF(INDEX('Draft Board'!$J$3:$J$232,Q229)="","Available",INDEX('Draft Board'!$J$3:$J$232,Q229))</f>
        <v>Available</v>
      </c>
      <c r="Z229">
        <f t="shared" si="43"/>
        <v>225</v>
      </c>
    </row>
    <row r="230" spans="1:26" x14ac:dyDescent="0.25">
      <c r="A230" t="str">
        <f>'LIVE SOURCE'!A230</f>
        <v>DST</v>
      </c>
      <c r="B230" t="str">
        <f>'LIVE SOURCE'!B230</f>
        <v>Arizona Cardinals</v>
      </c>
      <c r="C230" s="4">
        <f>'LIVE SOURCE'!D230</f>
        <v>61.1</v>
      </c>
      <c r="D230" s="4">
        <f>'Manual Adjustments'!G230</f>
        <v>0</v>
      </c>
      <c r="E230" s="4">
        <f t="shared" si="33"/>
        <v>61.1</v>
      </c>
      <c r="F230">
        <f>COUNTIFS($A$3:$A$232,A230,$E$3:$E$232,"&gt;"&amp;E230)+COUNTIFS($A$3:A230,A230,$E$3:E230,E230)</f>
        <v>30</v>
      </c>
      <c r="G230" s="4">
        <f>ROUND(INDEX('League Config'!$K$4:$K$9,MATCH(A230,'League Config'!$E$4:$E$9,0))*E230+INDEX('League Config'!$L$4:$L$9,MATCH(A230,'League Config'!$E$4:$E$9,0)),1)</f>
        <v>60</v>
      </c>
      <c r="H230">
        <f>INDEX('League Config'!$H$4:$H$9,MATCH(A230,'League Config'!$E$4:$E$9,0))</f>
        <v>10</v>
      </c>
      <c r="I230" s="4">
        <f>INDEX('League Config'!$I$4:$I$9,MATCH(A230,'League Config'!$E$4:$E$9,0))</f>
        <v>99.6</v>
      </c>
      <c r="J230" s="4">
        <f t="shared" si="34"/>
        <v>-39.6</v>
      </c>
      <c r="K230" s="4">
        <f t="shared" si="35"/>
        <v>26.24</v>
      </c>
      <c r="L230" s="4">
        <f>MIN(100,MAX(0,(1-(F230-1)/(H230*1.5))*100*INDEX('League Config'!$J$4:$J$9,MATCH(A230,'League Config'!$E$4:$E$9,0))))</f>
        <v>0</v>
      </c>
      <c r="M230">
        <f>IF(A230="K",'League Config'!$B$14,IF(A230="DST",'League Config'!$B$15,IF(A230="QB",'League Config'!$B$16,0)))</f>
        <v>20</v>
      </c>
      <c r="N230" s="4">
        <f t="shared" si="36"/>
        <v>21.477000000000004</v>
      </c>
      <c r="O230" s="9" t="str">
        <f t="shared" si="37"/>
        <v/>
      </c>
      <c r="P230" s="6" t="str">
        <f>IF(O230="","",COUNTIF($O$3:$O$232,"&gt;"&amp;O230)+COUNTIF($O$3:O230,O230))</f>
        <v/>
      </c>
      <c r="Q230">
        <f t="shared" si="38"/>
        <v>226</v>
      </c>
      <c r="R230" s="4">
        <f>'LIVE SOURCE'!E230</f>
        <v>276</v>
      </c>
      <c r="S230" s="4">
        <f t="shared" si="39"/>
        <v>50</v>
      </c>
      <c r="T230" t="str">
        <f>'LIVE SOURCE'!F230</f>
        <v>B</v>
      </c>
      <c r="U230" s="4">
        <f t="shared" si="40"/>
        <v>52.1</v>
      </c>
      <c r="V230" s="4">
        <f t="shared" si="41"/>
        <v>61.1</v>
      </c>
      <c r="W230" s="4">
        <f t="shared" si="42"/>
        <v>70.099999999999994</v>
      </c>
      <c r="X230" t="str">
        <f>'LIVE SOURCE'!G230</f>
        <v>DST MODEL</v>
      </c>
      <c r="Y230" t="str">
        <f>IF(INDEX('Draft Board'!$J$3:$J$232,Q230)="","Available",INDEX('Draft Board'!$J$3:$J$232,Q230))</f>
        <v>Available</v>
      </c>
      <c r="Z230">
        <f t="shared" si="43"/>
        <v>226</v>
      </c>
    </row>
    <row r="231" spans="1:26" x14ac:dyDescent="0.25">
      <c r="A231" t="str">
        <f>'LIVE SOURCE'!A231</f>
        <v>DST</v>
      </c>
      <c r="B231" t="str">
        <f>'LIVE SOURCE'!B231</f>
        <v>Cincinnati Bengals</v>
      </c>
      <c r="C231" s="4">
        <f>'LIVE SOURCE'!D231</f>
        <v>60</v>
      </c>
      <c r="D231" s="4">
        <f>'Manual Adjustments'!G231</f>
        <v>0</v>
      </c>
      <c r="E231" s="4">
        <f t="shared" si="33"/>
        <v>60</v>
      </c>
      <c r="F231">
        <f>COUNTIFS($A$3:$A$232,A231,$E$3:$E$232,"&gt;"&amp;E231)+COUNTIFS($A$3:A231,A231,$E$3:E231,E231)</f>
        <v>31</v>
      </c>
      <c r="G231" s="4">
        <f>ROUND(INDEX('League Config'!$K$4:$K$9,MATCH(A231,'League Config'!$E$4:$E$9,0))*E231+INDEX('League Config'!$L$4:$L$9,MATCH(A231,'League Config'!$E$4:$E$9,0)),1)</f>
        <v>58</v>
      </c>
      <c r="H231">
        <f>INDEX('League Config'!$H$4:$H$9,MATCH(A231,'League Config'!$E$4:$E$9,0))</f>
        <v>10</v>
      </c>
      <c r="I231" s="4">
        <f>INDEX('League Config'!$I$4:$I$9,MATCH(A231,'League Config'!$E$4:$E$9,0))</f>
        <v>99.6</v>
      </c>
      <c r="J231" s="4">
        <f t="shared" si="34"/>
        <v>-41.6</v>
      </c>
      <c r="K231" s="4">
        <f t="shared" si="35"/>
        <v>25.04</v>
      </c>
      <c r="L231" s="4">
        <f>MIN(100,MAX(0,(1-(F231-1)/(H231*1.5))*100*INDEX('League Config'!$J$4:$J$9,MATCH(A231,'League Config'!$E$4:$E$9,0))))</f>
        <v>0</v>
      </c>
      <c r="M231">
        <f>IF(A231="K",'League Config'!$B$14,IF(A231="DST",'League Config'!$B$15,IF(A231="QB",'League Config'!$B$16,0)))</f>
        <v>20</v>
      </c>
      <c r="N231" s="4">
        <f t="shared" si="36"/>
        <v>20.512</v>
      </c>
      <c r="O231" s="9" t="str">
        <f t="shared" si="37"/>
        <v/>
      </c>
      <c r="P231" s="6" t="str">
        <f>IF(O231="","",COUNTIF($O$3:$O$232,"&gt;"&amp;O231)+COUNTIF($O$3:O231,O231))</f>
        <v/>
      </c>
      <c r="Q231">
        <f t="shared" si="38"/>
        <v>227</v>
      </c>
      <c r="R231" s="4">
        <f>'LIVE SOURCE'!E231</f>
        <v>280</v>
      </c>
      <c r="S231" s="4">
        <f t="shared" si="39"/>
        <v>53</v>
      </c>
      <c r="T231" t="str">
        <f>'LIVE SOURCE'!F231</f>
        <v>B</v>
      </c>
      <c r="U231" s="4">
        <f t="shared" si="40"/>
        <v>51</v>
      </c>
      <c r="V231" s="4">
        <f t="shared" si="41"/>
        <v>60</v>
      </c>
      <c r="W231" s="4">
        <f t="shared" si="42"/>
        <v>69</v>
      </c>
      <c r="X231" t="str">
        <f>'LIVE SOURCE'!G231</f>
        <v>DST MODEL</v>
      </c>
      <c r="Y231" t="str">
        <f>IF(INDEX('Draft Board'!$J$3:$J$232,Q231)="","Available",INDEX('Draft Board'!$J$3:$J$232,Q231))</f>
        <v>Available</v>
      </c>
      <c r="Z231">
        <f t="shared" si="43"/>
        <v>227</v>
      </c>
    </row>
    <row r="232" spans="1:26" x14ac:dyDescent="0.25">
      <c r="A232" t="str">
        <f>'LIVE SOURCE'!A232</f>
        <v>DST</v>
      </c>
      <c r="B232" t="str">
        <f>'LIVE SOURCE'!B232</f>
        <v>Las Vegas Raiders</v>
      </c>
      <c r="C232" s="4">
        <f>'LIVE SOURCE'!D232</f>
        <v>58.9</v>
      </c>
      <c r="D232" s="4">
        <f>'Manual Adjustments'!G232</f>
        <v>0</v>
      </c>
      <c r="E232" s="4">
        <f t="shared" si="33"/>
        <v>58.9</v>
      </c>
      <c r="F232">
        <f>COUNTIFS($A$3:$A$232,A232,$E$3:$E$232,"&gt;"&amp;E232)+COUNTIFS($A$3:A232,A232,$E$3:E232,E232)</f>
        <v>32</v>
      </c>
      <c r="G232" s="4">
        <f>ROUND(INDEX('League Config'!$K$4:$K$9,MATCH(A232,'League Config'!$E$4:$E$9,0))*E232+INDEX('League Config'!$L$4:$L$9,MATCH(A232,'League Config'!$E$4:$E$9,0)),1)</f>
        <v>56</v>
      </c>
      <c r="H232">
        <f>INDEX('League Config'!$H$4:$H$9,MATCH(A232,'League Config'!$E$4:$E$9,0))</f>
        <v>10</v>
      </c>
      <c r="I232" s="4">
        <f>INDEX('League Config'!$I$4:$I$9,MATCH(A232,'League Config'!$E$4:$E$9,0))</f>
        <v>99.6</v>
      </c>
      <c r="J232" s="4">
        <f t="shared" si="34"/>
        <v>-43.6</v>
      </c>
      <c r="K232" s="4">
        <f t="shared" si="35"/>
        <v>23.84</v>
      </c>
      <c r="L232" s="4">
        <f>MIN(100,MAX(0,(1-(F232-1)/(H232*1.5))*100*INDEX('League Config'!$J$4:$J$9,MATCH(A232,'League Config'!$E$4:$E$9,0))))</f>
        <v>0</v>
      </c>
      <c r="M232">
        <f>IF(A232="K",'League Config'!$B$14,IF(A232="DST",'League Config'!$B$15,IF(A232="QB",'League Config'!$B$16,0)))</f>
        <v>20</v>
      </c>
      <c r="N232" s="4">
        <f t="shared" si="36"/>
        <v>19.547000000000004</v>
      </c>
      <c r="O232" s="9" t="str">
        <f t="shared" si="37"/>
        <v/>
      </c>
      <c r="P232" s="6" t="str">
        <f>IF(O232="","",COUNTIF($O$3:$O$232,"&gt;"&amp;O232)+COUNTIF($O$3:O232,O232))</f>
        <v/>
      </c>
      <c r="Q232">
        <f t="shared" si="38"/>
        <v>228</v>
      </c>
      <c r="R232" s="4">
        <f>'LIVE SOURCE'!E232</f>
        <v>284</v>
      </c>
      <c r="S232" s="4">
        <f t="shared" si="39"/>
        <v>56</v>
      </c>
      <c r="T232" t="str">
        <f>'LIVE SOURCE'!F232</f>
        <v>B</v>
      </c>
      <c r="U232" s="4">
        <f t="shared" si="40"/>
        <v>49.9</v>
      </c>
      <c r="V232" s="4">
        <f t="shared" si="41"/>
        <v>58.9</v>
      </c>
      <c r="W232" s="4">
        <f t="shared" si="42"/>
        <v>67.900000000000006</v>
      </c>
      <c r="X232" t="str">
        <f>'LIVE SOURCE'!G232</f>
        <v>DST MODEL</v>
      </c>
      <c r="Y232" t="str">
        <f>IF(INDEX('Draft Board'!$J$3:$J$232,Q232)="","Available",INDEX('Draft Board'!$J$3:$J$232,Q232))</f>
        <v>Available</v>
      </c>
      <c r="Z232">
        <f t="shared" si="43"/>
        <v>228</v>
      </c>
    </row>
  </sheetData>
  <conditionalFormatting sqref="S3:S232">
    <cfRule type="cellIs" dxfId="4" priority="1" operator="greaterThan">
      <formula>10</formula>
    </cfRule>
    <cfRule type="cellIs" dxfId="3" priority="2" operator="lessThan">
      <formula>-10</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AD47"/>
  </sheetPr>
  <dimension ref="A1:G42"/>
  <sheetViews>
    <sheetView workbookViewId="0"/>
  </sheetViews>
  <sheetFormatPr defaultRowHeight="15" x14ac:dyDescent="0.25"/>
  <cols>
    <col min="1" max="1" width="14" customWidth="1"/>
    <col min="2" max="2" width="22" customWidth="1"/>
    <col min="3" max="3" width="13" customWidth="1"/>
    <col min="4" max="4" width="12" customWidth="1"/>
    <col min="5" max="5" width="26" customWidth="1"/>
    <col min="6" max="6" width="10" customWidth="1"/>
    <col min="7" max="7" width="8" customWidth="1"/>
  </cols>
  <sheetData>
    <row r="1" spans="1:7" ht="18.75" x14ac:dyDescent="0.3">
      <c r="A1" s="1" t="s">
        <v>616</v>
      </c>
    </row>
    <row r="2" spans="1:7" x14ac:dyDescent="0.25">
      <c r="A2" s="2" t="s">
        <v>617</v>
      </c>
    </row>
    <row r="4" spans="1:7" x14ac:dyDescent="0.25">
      <c r="A4" s="7" t="s">
        <v>618</v>
      </c>
      <c r="B4" s="7" t="s">
        <v>19</v>
      </c>
      <c r="D4" s="7" t="s">
        <v>619</v>
      </c>
      <c r="E4" s="7" t="s">
        <v>620</v>
      </c>
      <c r="F4" s="7" t="s">
        <v>621</v>
      </c>
    </row>
    <row r="5" spans="1:7" x14ac:dyDescent="0.25">
      <c r="A5" t="s">
        <v>622</v>
      </c>
      <c r="B5" s="5">
        <v>1</v>
      </c>
      <c r="D5" t="s">
        <v>623</v>
      </c>
      <c r="E5" t="s">
        <v>624</v>
      </c>
      <c r="F5" t="s">
        <v>625</v>
      </c>
    </row>
    <row r="6" spans="1:7" x14ac:dyDescent="0.25">
      <c r="A6" t="s">
        <v>29</v>
      </c>
      <c r="B6">
        <f>'League Config'!$B$4</f>
        <v>10</v>
      </c>
      <c r="D6" t="s">
        <v>626</v>
      </c>
      <c r="E6" t="s">
        <v>627</v>
      </c>
      <c r="F6" t="s">
        <v>628</v>
      </c>
    </row>
    <row r="7" spans="1:7" x14ac:dyDescent="0.25">
      <c r="A7" t="s">
        <v>629</v>
      </c>
      <c r="B7">
        <f>SUM('League Config'!$B$6:$B$13)</f>
        <v>15</v>
      </c>
      <c r="D7" t="s">
        <v>630</v>
      </c>
      <c r="E7" t="s">
        <v>631</v>
      </c>
      <c r="F7" t="s">
        <v>632</v>
      </c>
    </row>
    <row r="10" spans="1:7" x14ac:dyDescent="0.25">
      <c r="A10" s="10" t="s">
        <v>633</v>
      </c>
    </row>
    <row r="11" spans="1:7" x14ac:dyDescent="0.25">
      <c r="A11" s="7" t="s">
        <v>12</v>
      </c>
      <c r="B11" s="7" t="s">
        <v>65</v>
      </c>
      <c r="C11" s="7" t="s">
        <v>3</v>
      </c>
      <c r="D11" s="7" t="s">
        <v>8</v>
      </c>
      <c r="E11" s="7" t="s">
        <v>2</v>
      </c>
      <c r="F11" s="7" t="s">
        <v>634</v>
      </c>
      <c r="G11" s="7" t="s">
        <v>635</v>
      </c>
    </row>
    <row r="12" spans="1:7" x14ac:dyDescent="0.25">
      <c r="A12">
        <v>1</v>
      </c>
      <c r="B12" t="str">
        <f>IFERROR(INDEX('Draft Engine'!$B$3:$B$232,MATCH($A12,'Draft Engine'!$Z$3:$Z$232,0)),"")</f>
        <v>Puka Nacua</v>
      </c>
      <c r="C12" t="str">
        <f>IFERROR(INDEX('Draft Engine'!$A$3:$A$232,MATCH($A12,'Draft Engine'!$Z$3:$Z$232,0)),"")</f>
        <v>WR</v>
      </c>
      <c r="D12">
        <f>IFERROR(ROUND(INDEX('Draft Engine'!$N$3:$N$232,MATCH($A12,'Draft Engine'!$Z$3:$Z$232,0)),1),"")</f>
        <v>99.2</v>
      </c>
      <c r="E12">
        <f>IFERROR(INDEX('Draft Engine'!$Q$3:$Q$232,MATCH($A12,'Draft Engine'!$Z$3:$Z$232,0)),"")</f>
        <v>1</v>
      </c>
      <c r="F12">
        <f>IFERROR(INDEX('Draft Engine'!$R$3:$R$232,MATCH($A12,'Draft Engine'!$Z$3:$Z$232,0)),"")</f>
        <v>2.9</v>
      </c>
      <c r="G12">
        <f>IFERROR(INDEX('Draft Engine'!$S$3:$S$232,MATCH($A12,'Draft Engine'!$Z$3:$Z$232,0)),"")</f>
        <v>1.9</v>
      </c>
    </row>
    <row r="13" spans="1:7" x14ac:dyDescent="0.25">
      <c r="A13">
        <v>2</v>
      </c>
      <c r="B13" t="str">
        <f>IFERROR(INDEX('Draft Engine'!$B$3:$B$232,MATCH($A13,'Draft Engine'!$Z$3:$Z$232,0)),"")</f>
        <v>Bijan Robinson</v>
      </c>
      <c r="C13" t="str">
        <f>IFERROR(INDEX('Draft Engine'!$A$3:$A$232,MATCH($A13,'Draft Engine'!$Z$3:$Z$232,0)),"")</f>
        <v>RB</v>
      </c>
      <c r="D13">
        <f>IFERROR(ROUND(INDEX('Draft Engine'!$N$3:$N$232,MATCH($A13,'Draft Engine'!$Z$3:$Z$232,0)),1),"")</f>
        <v>98.6</v>
      </c>
      <c r="E13">
        <f>IFERROR(INDEX('Draft Engine'!$Q$3:$Q$232,MATCH($A13,'Draft Engine'!$Z$3:$Z$232,0)),"")</f>
        <v>2</v>
      </c>
      <c r="F13">
        <f>IFERROR(INDEX('Draft Engine'!$R$3:$R$232,MATCH($A13,'Draft Engine'!$Z$3:$Z$232,0)),"")</f>
        <v>1.8</v>
      </c>
      <c r="G13">
        <f>IFERROR(INDEX('Draft Engine'!$S$3:$S$232,MATCH($A13,'Draft Engine'!$Z$3:$Z$232,0)),"")</f>
        <v>-0.19999999999999996</v>
      </c>
    </row>
    <row r="14" spans="1:7" x14ac:dyDescent="0.25">
      <c r="A14">
        <v>3</v>
      </c>
      <c r="B14" t="str">
        <f>IFERROR(INDEX('Draft Engine'!$B$3:$B$232,MATCH($A14,'Draft Engine'!$Z$3:$Z$232,0)),"")</f>
        <v>Ja'Marr Chase</v>
      </c>
      <c r="C14" t="str">
        <f>IFERROR(INDEX('Draft Engine'!$A$3:$A$232,MATCH($A14,'Draft Engine'!$Z$3:$Z$232,0)),"")</f>
        <v>WR</v>
      </c>
      <c r="D14">
        <f>IFERROR(ROUND(INDEX('Draft Engine'!$N$3:$N$232,MATCH($A14,'Draft Engine'!$Z$3:$Z$232,0)),1),"")</f>
        <v>98.2</v>
      </c>
      <c r="E14">
        <f>IFERROR(INDEX('Draft Engine'!$Q$3:$Q$232,MATCH($A14,'Draft Engine'!$Z$3:$Z$232,0)),"")</f>
        <v>3</v>
      </c>
      <c r="F14">
        <f>IFERROR(INDEX('Draft Engine'!$R$3:$R$232,MATCH($A14,'Draft Engine'!$Z$3:$Z$232,0)),"")</f>
        <v>3.9</v>
      </c>
      <c r="G14">
        <f>IFERROR(INDEX('Draft Engine'!$S$3:$S$232,MATCH($A14,'Draft Engine'!$Z$3:$Z$232,0)),"")</f>
        <v>0.89999999999999991</v>
      </c>
    </row>
    <row r="15" spans="1:7" x14ac:dyDescent="0.25">
      <c r="A15">
        <v>4</v>
      </c>
      <c r="B15" t="str">
        <f>IFERROR(INDEX('Draft Engine'!$B$3:$B$232,MATCH($A15,'Draft Engine'!$Z$3:$Z$232,0)),"")</f>
        <v>Jahmyr Gibbs</v>
      </c>
      <c r="C15" t="str">
        <f>IFERROR(INDEX('Draft Engine'!$A$3:$A$232,MATCH($A15,'Draft Engine'!$Z$3:$Z$232,0)),"")</f>
        <v>RB</v>
      </c>
      <c r="D15">
        <f>IFERROR(ROUND(INDEX('Draft Engine'!$N$3:$N$232,MATCH($A15,'Draft Engine'!$Z$3:$Z$232,0)),1),"")</f>
        <v>98</v>
      </c>
      <c r="E15">
        <f>IFERROR(INDEX('Draft Engine'!$Q$3:$Q$232,MATCH($A15,'Draft Engine'!$Z$3:$Z$232,0)),"")</f>
        <v>4</v>
      </c>
      <c r="F15">
        <f>IFERROR(INDEX('Draft Engine'!$R$3:$R$232,MATCH($A15,'Draft Engine'!$Z$3:$Z$232,0)),"")</f>
        <v>1.8</v>
      </c>
      <c r="G15">
        <f>IFERROR(INDEX('Draft Engine'!$S$3:$S$232,MATCH($A15,'Draft Engine'!$Z$3:$Z$232,0)),"")</f>
        <v>-2.2000000000000002</v>
      </c>
    </row>
    <row r="16" spans="1:7" x14ac:dyDescent="0.25">
      <c r="A16">
        <v>5</v>
      </c>
      <c r="B16" t="str">
        <f>IFERROR(INDEX('Draft Engine'!$B$3:$B$232,MATCH($A16,'Draft Engine'!$Z$3:$Z$232,0)),"")</f>
        <v>Christian McCaffrey</v>
      </c>
      <c r="C16" t="str">
        <f>IFERROR(INDEX('Draft Engine'!$A$3:$A$232,MATCH($A16,'Draft Engine'!$Z$3:$Z$232,0)),"")</f>
        <v>RB</v>
      </c>
      <c r="D16">
        <f>IFERROR(ROUND(INDEX('Draft Engine'!$N$3:$N$232,MATCH($A16,'Draft Engine'!$Z$3:$Z$232,0)),1),"")</f>
        <v>96.8</v>
      </c>
      <c r="E16">
        <f>IFERROR(INDEX('Draft Engine'!$Q$3:$Q$232,MATCH($A16,'Draft Engine'!$Z$3:$Z$232,0)),"")</f>
        <v>5</v>
      </c>
      <c r="F16">
        <f>IFERROR(INDEX('Draft Engine'!$R$3:$R$232,MATCH($A16,'Draft Engine'!$Z$3:$Z$232,0)),"")</f>
        <v>5.8</v>
      </c>
      <c r="G16">
        <f>IFERROR(INDEX('Draft Engine'!$S$3:$S$232,MATCH($A16,'Draft Engine'!$Z$3:$Z$232,0)),"")</f>
        <v>0.79999999999999982</v>
      </c>
    </row>
    <row r="17" spans="1:7" x14ac:dyDescent="0.25">
      <c r="A17">
        <v>6</v>
      </c>
      <c r="B17" t="str">
        <f>IFERROR(INDEX('Draft Engine'!$B$3:$B$232,MATCH($A17,'Draft Engine'!$Z$3:$Z$232,0)),"")</f>
        <v>Jaxon Smith-Njigba</v>
      </c>
      <c r="C17" t="str">
        <f>IFERROR(INDEX('Draft Engine'!$A$3:$A$232,MATCH($A17,'Draft Engine'!$Z$3:$Z$232,0)),"")</f>
        <v>WR</v>
      </c>
      <c r="D17">
        <f>IFERROR(ROUND(INDEX('Draft Engine'!$N$3:$N$232,MATCH($A17,'Draft Engine'!$Z$3:$Z$232,0)),1),"")</f>
        <v>96.7</v>
      </c>
      <c r="E17">
        <f>IFERROR(INDEX('Draft Engine'!$Q$3:$Q$232,MATCH($A17,'Draft Engine'!$Z$3:$Z$232,0)),"")</f>
        <v>6</v>
      </c>
      <c r="F17">
        <f>IFERROR(INDEX('Draft Engine'!$R$3:$R$232,MATCH($A17,'Draft Engine'!$Z$3:$Z$232,0)),"")</f>
        <v>5.7</v>
      </c>
      <c r="G17">
        <f>IFERROR(INDEX('Draft Engine'!$S$3:$S$232,MATCH($A17,'Draft Engine'!$Z$3:$Z$232,0)),"")</f>
        <v>-0.29999999999999982</v>
      </c>
    </row>
    <row r="18" spans="1:7" x14ac:dyDescent="0.25">
      <c r="A18">
        <v>7</v>
      </c>
      <c r="B18" t="str">
        <f>IFERROR(INDEX('Draft Engine'!$B$3:$B$232,MATCH($A18,'Draft Engine'!$Z$3:$Z$232,0)),"")</f>
        <v>Amon-Ra St. Brown</v>
      </c>
      <c r="C18" t="str">
        <f>IFERROR(INDEX('Draft Engine'!$A$3:$A$232,MATCH($A18,'Draft Engine'!$Z$3:$Z$232,0)),"")</f>
        <v>WR</v>
      </c>
      <c r="D18">
        <f>IFERROR(ROUND(INDEX('Draft Engine'!$N$3:$N$232,MATCH($A18,'Draft Engine'!$Z$3:$Z$232,0)),1),"")</f>
        <v>96.1</v>
      </c>
      <c r="E18">
        <f>IFERROR(INDEX('Draft Engine'!$Q$3:$Q$232,MATCH($A18,'Draft Engine'!$Z$3:$Z$232,0)),"")</f>
        <v>7</v>
      </c>
      <c r="F18">
        <f>IFERROR(INDEX('Draft Engine'!$R$3:$R$232,MATCH($A18,'Draft Engine'!$Z$3:$Z$232,0)),"")</f>
        <v>7</v>
      </c>
      <c r="G18">
        <f>IFERROR(INDEX('Draft Engine'!$S$3:$S$232,MATCH($A18,'Draft Engine'!$Z$3:$Z$232,0)),"")</f>
        <v>0</v>
      </c>
    </row>
    <row r="19" spans="1:7" x14ac:dyDescent="0.25">
      <c r="A19">
        <v>8</v>
      </c>
      <c r="B19" t="str">
        <f>IFERROR(INDEX('Draft Engine'!$B$3:$B$232,MATCH($A19,'Draft Engine'!$Z$3:$Z$232,0)),"")</f>
        <v>Jonathan Taylor</v>
      </c>
      <c r="C19" t="str">
        <f>IFERROR(INDEX('Draft Engine'!$A$3:$A$232,MATCH($A19,'Draft Engine'!$Z$3:$Z$232,0)),"")</f>
        <v>RB</v>
      </c>
      <c r="D19">
        <f>IFERROR(ROUND(INDEX('Draft Engine'!$N$3:$N$232,MATCH($A19,'Draft Engine'!$Z$3:$Z$232,0)),1),"")</f>
        <v>94.7</v>
      </c>
      <c r="E19">
        <f>IFERROR(INDEX('Draft Engine'!$Q$3:$Q$232,MATCH($A19,'Draft Engine'!$Z$3:$Z$232,0)),"")</f>
        <v>8</v>
      </c>
      <c r="F19">
        <f>IFERROR(INDEX('Draft Engine'!$R$3:$R$232,MATCH($A19,'Draft Engine'!$Z$3:$Z$232,0)),"")</f>
        <v>7.4</v>
      </c>
      <c r="G19">
        <f>IFERROR(INDEX('Draft Engine'!$S$3:$S$232,MATCH($A19,'Draft Engine'!$Z$3:$Z$232,0)),"")</f>
        <v>-0.59999999999999964</v>
      </c>
    </row>
    <row r="20" spans="1:7" x14ac:dyDescent="0.25">
      <c r="A20">
        <v>9</v>
      </c>
      <c r="B20" t="str">
        <f>IFERROR(INDEX('Draft Engine'!$B$3:$B$232,MATCH($A20,'Draft Engine'!$Z$3:$Z$232,0)),"")</f>
        <v>Nico Collins</v>
      </c>
      <c r="C20" t="str">
        <f>IFERROR(INDEX('Draft Engine'!$A$3:$A$232,MATCH($A20,'Draft Engine'!$Z$3:$Z$232,0)),"")</f>
        <v>WR</v>
      </c>
      <c r="D20">
        <f>IFERROR(ROUND(INDEX('Draft Engine'!$N$3:$N$232,MATCH($A20,'Draft Engine'!$Z$3:$Z$232,0)),1),"")</f>
        <v>93.8</v>
      </c>
      <c r="E20">
        <f>IFERROR(INDEX('Draft Engine'!$Q$3:$Q$232,MATCH($A20,'Draft Engine'!$Z$3:$Z$232,0)),"")</f>
        <v>9</v>
      </c>
      <c r="F20">
        <f>IFERROR(INDEX('Draft Engine'!$R$3:$R$232,MATCH($A20,'Draft Engine'!$Z$3:$Z$232,0)),"")</f>
        <v>23.8</v>
      </c>
      <c r="G20">
        <f>IFERROR(INDEX('Draft Engine'!$S$3:$S$232,MATCH($A20,'Draft Engine'!$Z$3:$Z$232,0)),"")</f>
        <v>14.8</v>
      </c>
    </row>
    <row r="21" spans="1:7" x14ac:dyDescent="0.25">
      <c r="A21">
        <v>10</v>
      </c>
      <c r="B21" t="str">
        <f>IFERROR(INDEX('Draft Engine'!$B$3:$B$232,MATCH($A21,'Draft Engine'!$Z$3:$Z$232,0)),"")</f>
        <v>Trey McBride</v>
      </c>
      <c r="C21" t="str">
        <f>IFERROR(INDEX('Draft Engine'!$A$3:$A$232,MATCH($A21,'Draft Engine'!$Z$3:$Z$232,0)),"")</f>
        <v>TE</v>
      </c>
      <c r="D21">
        <f>IFERROR(ROUND(INDEX('Draft Engine'!$N$3:$N$232,MATCH($A21,'Draft Engine'!$Z$3:$Z$232,0)),1),"")</f>
        <v>93.5</v>
      </c>
      <c r="E21">
        <f>IFERROR(INDEX('Draft Engine'!$Q$3:$Q$232,MATCH($A21,'Draft Engine'!$Z$3:$Z$232,0)),"")</f>
        <v>10</v>
      </c>
      <c r="F21">
        <f>IFERROR(INDEX('Draft Engine'!$R$3:$R$232,MATCH($A21,'Draft Engine'!$Z$3:$Z$232,0)),"")</f>
        <v>35.700000000000003</v>
      </c>
      <c r="G21">
        <f>IFERROR(INDEX('Draft Engine'!$S$3:$S$232,MATCH($A21,'Draft Engine'!$Z$3:$Z$232,0)),"")</f>
        <v>25.700000000000003</v>
      </c>
    </row>
    <row r="24" spans="1:7" x14ac:dyDescent="0.25">
      <c r="A24" s="10" t="s">
        <v>636</v>
      </c>
    </row>
    <row r="25" spans="1:7" x14ac:dyDescent="0.25">
      <c r="A25" s="7" t="s">
        <v>3</v>
      </c>
      <c r="B25" s="7" t="s">
        <v>65</v>
      </c>
      <c r="C25" s="7" t="s">
        <v>598</v>
      </c>
      <c r="D25" s="7" t="s">
        <v>8</v>
      </c>
    </row>
    <row r="26" spans="1:7" x14ac:dyDescent="0.25">
      <c r="A26" t="s">
        <v>31</v>
      </c>
      <c r="B26" t="str">
        <f>IFERROR(INDEX('Draft Engine'!$B$3:$B$232,MATCH(_xlfn.AGGREGATE(15,6,'Draft Engine'!$Q$3:$Q$34/('Draft Engine'!$Y$3:$Y$34="Available"),1),'Draft Engine'!$Q$3:$Q$232,0)),"None left")</f>
        <v>Josh Allen</v>
      </c>
      <c r="C26">
        <f>IFERROR(_xlfn.AGGREGATE(15,6,'Draft Engine'!$Q$3:$Q$34/('Draft Engine'!$Y$3:$Y$34="Available"),1),"")</f>
        <v>12</v>
      </c>
      <c r="D26">
        <f>IFERROR(ROUND(INDEX('Draft Engine'!$N$3:$N$232,MATCH(_xlfn.AGGREGATE(15,6,'Draft Engine'!$Q$3:$Q$34/('Draft Engine'!$Y$3:$Y$34="Available"),1),'Draft Engine'!$Q$3:$Q$232,0)),1),"")</f>
        <v>90.7</v>
      </c>
    </row>
    <row r="27" spans="1:7" x14ac:dyDescent="0.25">
      <c r="A27" t="s">
        <v>35</v>
      </c>
      <c r="B27" t="str">
        <f>IFERROR(INDEX('Draft Engine'!$B$3:$B$232,MATCH(_xlfn.AGGREGATE(15,6,'Draft Engine'!$Q$35:$Q$86/('Draft Engine'!$Y$35:$Y$86="Available"),1),'Draft Engine'!$Q$3:$Q$232,0)),"None left")</f>
        <v>Bijan Robinson</v>
      </c>
      <c r="C27">
        <f>IFERROR(_xlfn.AGGREGATE(15,6,'Draft Engine'!$Q$35:$Q$86/('Draft Engine'!$Y$35:$Y$86="Available"),1),"")</f>
        <v>2</v>
      </c>
      <c r="D27">
        <f>IFERROR(ROUND(INDEX('Draft Engine'!$N$3:$N$232,MATCH(_xlfn.AGGREGATE(15,6,'Draft Engine'!$Q$35:$Q$86/('Draft Engine'!$Y$35:$Y$86="Available"),1),'Draft Engine'!$Q$3:$Q$232,0)),1),"")</f>
        <v>98.6</v>
      </c>
    </row>
    <row r="28" spans="1:7" x14ac:dyDescent="0.25">
      <c r="A28" t="s">
        <v>38</v>
      </c>
      <c r="B28" t="str">
        <f>IFERROR(INDEX('Draft Engine'!$B$3:$B$232,MATCH(_xlfn.AGGREGATE(15,6,'Draft Engine'!$Q$87:$Q$160/('Draft Engine'!$Y$87:$Y$160="Available"),1),'Draft Engine'!$Q$3:$Q$232,0)),"None left")</f>
        <v>Puka Nacua</v>
      </c>
      <c r="C28">
        <f>IFERROR(_xlfn.AGGREGATE(15,6,'Draft Engine'!$Q$87:$Q$160/('Draft Engine'!$Y$87:$Y$160="Available"),1),"")</f>
        <v>1</v>
      </c>
      <c r="D28">
        <f>IFERROR(ROUND(INDEX('Draft Engine'!$N$3:$N$232,MATCH(_xlfn.AGGREGATE(15,6,'Draft Engine'!$Q$87:$Q$160/('Draft Engine'!$Y$87:$Y$160="Available"),1),'Draft Engine'!$Q$3:$Q$232,0)),1),"")</f>
        <v>99.2</v>
      </c>
    </row>
    <row r="29" spans="1:7" x14ac:dyDescent="0.25">
      <c r="A29" t="s">
        <v>40</v>
      </c>
      <c r="B29" t="str">
        <f>IFERROR(INDEX('Draft Engine'!$B$3:$B$232,MATCH(_xlfn.AGGREGATE(15,6,'Draft Engine'!$Q$161:$Q$188/('Draft Engine'!$Y$161:$Y$188="Available"),1),'Draft Engine'!$Q$3:$Q$232,0)),"None left")</f>
        <v>Trey McBride</v>
      </c>
      <c r="C29">
        <f>IFERROR(_xlfn.AGGREGATE(15,6,'Draft Engine'!$Q$161:$Q$188/('Draft Engine'!$Y$161:$Y$188="Available"),1),"")</f>
        <v>10</v>
      </c>
      <c r="D29">
        <f>IFERROR(ROUND(INDEX('Draft Engine'!$N$3:$N$232,MATCH(_xlfn.AGGREGATE(15,6,'Draft Engine'!$Q$161:$Q$188/('Draft Engine'!$Y$161:$Y$188="Available"),1),'Draft Engine'!$Q$3:$Q$232,0)),1),"")</f>
        <v>93.5</v>
      </c>
    </row>
    <row r="30" spans="1:7" x14ac:dyDescent="0.25">
      <c r="A30" t="s">
        <v>42</v>
      </c>
      <c r="B30" t="str">
        <f>IFERROR(INDEX('Draft Engine'!$B$3:$B$232,MATCH(_xlfn.AGGREGATE(15,6,'Draft Engine'!$Q$189:$Q$200/('Draft Engine'!$Y$189:$Y$200="Available"),1),'Draft Engine'!$Q$3:$Q$232,0)),"None left")</f>
        <v>Brandon Aubrey</v>
      </c>
      <c r="C30">
        <f>IFERROR(_xlfn.AGGREGATE(15,6,'Draft Engine'!$Q$189:$Q$200/('Draft Engine'!$Y$189:$Y$200="Available"),1),"")</f>
        <v>141</v>
      </c>
      <c r="D30">
        <f>IFERROR(ROUND(INDEX('Draft Engine'!$N$3:$N$232,MATCH(_xlfn.AGGREGATE(15,6,'Draft Engine'!$Q$189:$Q$200/('Draft Engine'!$Y$189:$Y$200="Available"),1),'Draft Engine'!$Q$3:$Q$232,0)),1),"")</f>
        <v>64.099999999999994</v>
      </c>
    </row>
    <row r="31" spans="1:7" x14ac:dyDescent="0.25">
      <c r="A31" t="s">
        <v>44</v>
      </c>
      <c r="B31" t="str">
        <f>IFERROR(INDEX('Draft Engine'!$B$3:$B$232,MATCH(_xlfn.AGGREGATE(15,6,'Draft Engine'!$Q$201:$Q$232/('Draft Engine'!$Y$201:$Y$232="Available"),1),'Draft Engine'!$Q$3:$Q$232,0)),"None left")</f>
        <v>Houston Texans</v>
      </c>
      <c r="C31">
        <f>IFERROR(_xlfn.AGGREGATE(15,6,'Draft Engine'!$Q$201:$Q$232/('Draft Engine'!$Y$201:$Y$232="Available"),1),"")</f>
        <v>131</v>
      </c>
      <c r="D31">
        <f>IFERROR(ROUND(INDEX('Draft Engine'!$N$3:$N$232,MATCH(_xlfn.AGGREGATE(15,6,'Draft Engine'!$Q$201:$Q$232/('Draft Engine'!$Y$201:$Y$232="Available"),1),'Draft Engine'!$Q$3:$Q$232,0)),1),"")</f>
        <v>56.9</v>
      </c>
    </row>
    <row r="34" spans="1:2" x14ac:dyDescent="0.25">
      <c r="A34" s="10" t="s">
        <v>637</v>
      </c>
    </row>
    <row r="35" spans="1:2" x14ac:dyDescent="0.25">
      <c r="A35" s="7" t="s">
        <v>3</v>
      </c>
      <c r="B35" s="7" t="s">
        <v>638</v>
      </c>
    </row>
    <row r="36" spans="1:2" x14ac:dyDescent="0.25">
      <c r="A36" t="s">
        <v>31</v>
      </c>
      <c r="B36">
        <f>COUNTIFS('Draft Engine'!$A$3:$A$232,"QB",'Draft Engine'!$Y$3:$Y$232,"My Pick")</f>
        <v>0</v>
      </c>
    </row>
    <row r="37" spans="1:2" x14ac:dyDescent="0.25">
      <c r="A37" t="s">
        <v>35</v>
      </c>
      <c r="B37">
        <f>COUNTIFS('Draft Engine'!$A$3:$A$232,"RB",'Draft Engine'!$Y$3:$Y$232,"My Pick")</f>
        <v>0</v>
      </c>
    </row>
    <row r="38" spans="1:2" x14ac:dyDescent="0.25">
      <c r="A38" t="s">
        <v>38</v>
      </c>
      <c r="B38">
        <f>COUNTIFS('Draft Engine'!$A$3:$A$232,"WR",'Draft Engine'!$Y$3:$Y$232,"My Pick")</f>
        <v>0</v>
      </c>
    </row>
    <row r="39" spans="1:2" x14ac:dyDescent="0.25">
      <c r="A39" t="s">
        <v>40</v>
      </c>
      <c r="B39">
        <f>COUNTIFS('Draft Engine'!$A$3:$A$232,"TE",'Draft Engine'!$Y$3:$Y$232,"My Pick")</f>
        <v>0</v>
      </c>
    </row>
    <row r="40" spans="1:2" x14ac:dyDescent="0.25">
      <c r="A40" t="s">
        <v>42</v>
      </c>
      <c r="B40">
        <f>COUNTIFS('Draft Engine'!$A$3:$A$232,"K",'Draft Engine'!$Y$3:$Y$232,"My Pick")</f>
        <v>0</v>
      </c>
    </row>
    <row r="41" spans="1:2" x14ac:dyDescent="0.25">
      <c r="A41" t="s">
        <v>44</v>
      </c>
      <c r="B41">
        <f>COUNTIFS('Draft Engine'!$A$3:$A$232,"DST",'Draft Engine'!$Y$3:$Y$232,"My Pick")</f>
        <v>0</v>
      </c>
    </row>
    <row r="42" spans="1:2" x14ac:dyDescent="0.25">
      <c r="A42" t="s">
        <v>639</v>
      </c>
      <c r="B42">
        <f>COUNTIF('Draft Engine'!$Y$3:$Y$232,"My Pick")</f>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M232"/>
  <sheetViews>
    <sheetView workbookViewId="0">
      <pane ySplit="2" topLeftCell="A3" activePane="bottomLeft" state="frozen"/>
      <selection pane="bottomLeft"/>
    </sheetView>
  </sheetViews>
  <sheetFormatPr defaultRowHeight="15" x14ac:dyDescent="0.25"/>
  <cols>
    <col min="1" max="1" width="8" customWidth="1"/>
    <col min="2" max="2" width="6" customWidth="1"/>
    <col min="3" max="3" width="8" customWidth="1"/>
    <col min="4" max="4" width="22" customWidth="1"/>
    <col min="5" max="5" width="10" customWidth="1"/>
    <col min="6" max="6" width="55" customWidth="1"/>
    <col min="7" max="7" width="65" customWidth="1"/>
    <col min="8" max="8" width="55" customWidth="1"/>
    <col min="9" max="9" width="10" customWidth="1"/>
    <col min="10" max="10" width="9" customWidth="1"/>
    <col min="11" max="11" width="10" customWidth="1"/>
    <col min="12" max="12" width="22" customWidth="1"/>
    <col min="13" max="13" width="6" customWidth="1"/>
  </cols>
  <sheetData>
    <row r="1" spans="1:13" ht="18.75" x14ac:dyDescent="0.3">
      <c r="A1" s="1" t="s">
        <v>640</v>
      </c>
    </row>
    <row r="2" spans="1:13" ht="27.95" customHeight="1" x14ac:dyDescent="0.25">
      <c r="A2" s="3" t="s">
        <v>2</v>
      </c>
      <c r="B2" s="3" t="s">
        <v>3</v>
      </c>
      <c r="C2" s="3" t="s">
        <v>4</v>
      </c>
      <c r="D2" s="3" t="s">
        <v>5</v>
      </c>
      <c r="E2" s="3" t="s">
        <v>6</v>
      </c>
      <c r="F2" s="3" t="s">
        <v>13</v>
      </c>
      <c r="G2" s="3" t="s">
        <v>641</v>
      </c>
      <c r="H2" s="3" t="s">
        <v>642</v>
      </c>
      <c r="I2" s="3" t="s">
        <v>9</v>
      </c>
      <c r="J2" s="3" t="s">
        <v>10</v>
      </c>
      <c r="K2" s="3" t="s">
        <v>80</v>
      </c>
      <c r="L2" s="3" t="s">
        <v>81</v>
      </c>
      <c r="M2" s="3" t="s">
        <v>14</v>
      </c>
    </row>
    <row r="3" spans="1:13" x14ac:dyDescent="0.25">
      <c r="A3">
        <f>1</f>
        <v>1</v>
      </c>
      <c r="B3" t="str">
        <f>INDEX('Draft Engine'!$A$3:$A$232,$M3)</f>
        <v>WR</v>
      </c>
      <c r="C3">
        <f>INDEX('Draft Engine'!$F$3:$F$232,$M3)</f>
        <v>1</v>
      </c>
      <c r="D3" t="str">
        <f>INDEX('Draft Engine'!$B$3:$B$232,$M3)</f>
        <v>Puka Nacua</v>
      </c>
      <c r="E3" s="4">
        <f>INDEX('Draft Engine'!$E$3:$E$232,$M3)</f>
        <v>98.485900000000001</v>
      </c>
      <c r="F3" t="str">
        <f>INDEX('LIVE SOURCE'!$H$3:$H$232,$M3)</f>
        <v>Elite WR1 and first-round caliber target with overall WR1 upside.</v>
      </c>
      <c r="G3" t="str">
        <f>INDEX('LIVE SOURCE'!$I$3:$I$232,$M3)</f>
        <v>He produced 23.5 PPR/FP points per game across 16 games. The workload/efficiency profile gives the model a rate-based reason to keep him here.</v>
      </c>
      <c r="H3" t="str">
        <f>INDEX('LIVE SOURCE'!$J$3:$J$232,$M3)</f>
        <v>Target competition, quarterback efficiency and touchdown regression are the main downside paths.</v>
      </c>
      <c r="I3">
        <f>INDEX('Draft Engine'!$R$3:$R$232,$M3)</f>
        <v>2.9</v>
      </c>
      <c r="J3">
        <f>INDEX('Draft Engine'!$S$3:$S$232,$M3)</f>
        <v>1.9</v>
      </c>
      <c r="K3" t="str">
        <f>INDEX('Draft Engine'!$T$3:$T$232,$M3)</f>
        <v>A</v>
      </c>
      <c r="L3" t="str">
        <f>INDEX('Draft Engine'!$X$3:$X$232,$M3)</f>
        <v>HISTORY FALLBACK</v>
      </c>
      <c r="M3" s="6">
        <f>MATCH($A3,'Draft Engine'!$Q$3:$Q$232,0)</f>
        <v>86</v>
      </c>
    </row>
    <row r="4" spans="1:13" x14ac:dyDescent="0.25">
      <c r="A4">
        <f>2</f>
        <v>2</v>
      </c>
      <c r="B4" t="str">
        <f>INDEX('Draft Engine'!$A$3:$A$232,$M4)</f>
        <v>RB</v>
      </c>
      <c r="C4">
        <f>INDEX('Draft Engine'!$F$3:$F$232,$M4)</f>
        <v>1</v>
      </c>
      <c r="D4" t="str">
        <f>INDEX('Draft Engine'!$B$3:$B$232,$M4)</f>
        <v>Bijan Robinson</v>
      </c>
      <c r="E4" s="4">
        <f>INDEX('Draft Engine'!$E$3:$E$232,$M4)</f>
        <v>97.3673</v>
      </c>
      <c r="F4" t="str">
        <f>INDEX('LIVE SOURCE'!$H$3:$H$232,$M4)</f>
        <v>Elite RB1 and first-round roster anchor with league-winning ceiling.</v>
      </c>
      <c r="G4" t="str">
        <f>INDEX('LIVE SOURCE'!$I$3:$I$232,$M4)</f>
        <v>He produced 21.8 PPR/FP points per game across 17 games. The workload/efficiency profile gives the model a rate-based reason to keep him here.</v>
      </c>
      <c r="H4" t="str">
        <f>INDEX('LIVE SOURCE'!$J$3:$J$232,$M4)</f>
        <v>Touchdown variance, receiving-role changes and backfield competition are the main downside paths.</v>
      </c>
      <c r="I4">
        <f>INDEX('Draft Engine'!$R$3:$R$232,$M4)</f>
        <v>1.8</v>
      </c>
      <c r="J4">
        <f>INDEX('Draft Engine'!$S$3:$S$232,$M4)</f>
        <v>-0.19999999999999996</v>
      </c>
      <c r="K4" t="str">
        <f>INDEX('Draft Engine'!$T$3:$T$232,$M4)</f>
        <v>A</v>
      </c>
      <c r="L4" t="str">
        <f>INDEX('Draft Engine'!$X$3:$X$232,$M4)</f>
        <v>RATE-ADJUSTED VETERAN</v>
      </c>
      <c r="M4" s="6">
        <f>MATCH($A4,'Draft Engine'!$Q$3:$Q$232,0)</f>
        <v>33</v>
      </c>
    </row>
    <row r="5" spans="1:13" x14ac:dyDescent="0.25">
      <c r="A5">
        <f>3</f>
        <v>3</v>
      </c>
      <c r="B5" t="str">
        <f>INDEX('Draft Engine'!$A$3:$A$232,$M5)</f>
        <v>WR</v>
      </c>
      <c r="C5">
        <f>INDEX('Draft Engine'!$F$3:$F$232,$M5)</f>
        <v>2</v>
      </c>
      <c r="D5" t="str">
        <f>INDEX('Draft Engine'!$B$3:$B$232,$M5)</f>
        <v>Ja'Marr Chase</v>
      </c>
      <c r="E5" s="4">
        <f>INDEX('Draft Engine'!$E$3:$E$232,$M5)</f>
        <v>96.732299999999995</v>
      </c>
      <c r="F5" t="str">
        <f>INDEX('LIVE SOURCE'!$H$3:$H$232,$M5)</f>
        <v>Elite WR1 and first-round caliber target with overall WR1 upside.</v>
      </c>
      <c r="G5" t="str">
        <f>INDEX('LIVE SOURCE'!$I$3:$I$232,$M5)</f>
        <v>He produced 19.6 PPR/FP points per game across 16 games. The workload/efficiency profile gives the model a rate-based reason to keep him here.</v>
      </c>
      <c r="H5" t="str">
        <f>INDEX('LIVE SOURCE'!$J$3:$J$232,$M5)</f>
        <v>Target competition, quarterback efficiency and touchdown regression are the main downside paths.</v>
      </c>
      <c r="I5">
        <f>INDEX('Draft Engine'!$R$3:$R$232,$M5)</f>
        <v>3.9</v>
      </c>
      <c r="J5">
        <f>INDEX('Draft Engine'!$S$3:$S$232,$M5)</f>
        <v>0.89999999999999991</v>
      </c>
      <c r="K5" t="str">
        <f>INDEX('Draft Engine'!$T$3:$T$232,$M5)</f>
        <v>A</v>
      </c>
      <c r="L5" t="str">
        <f>INDEX('Draft Engine'!$X$3:$X$232,$M5)</f>
        <v>HISTORY FALLBACK</v>
      </c>
      <c r="M5" s="6">
        <f>MATCH($A5,'Draft Engine'!$Q$3:$Q$232,0)</f>
        <v>85</v>
      </c>
    </row>
    <row r="6" spans="1:13" x14ac:dyDescent="0.25">
      <c r="A6">
        <f>4</f>
        <v>4</v>
      </c>
      <c r="B6" t="str">
        <f>INDEX('Draft Engine'!$A$3:$A$232,$M6)</f>
        <v>RB</v>
      </c>
      <c r="C6">
        <f>INDEX('Draft Engine'!$F$3:$F$232,$M6)</f>
        <v>2</v>
      </c>
      <c r="D6" t="str">
        <f>INDEX('Draft Engine'!$B$3:$B$232,$M6)</f>
        <v>Jahmyr Gibbs</v>
      </c>
      <c r="E6" s="4">
        <f>INDEX('Draft Engine'!$E$3:$E$232,$M6)</f>
        <v>96.332300000000004</v>
      </c>
      <c r="F6" t="str">
        <f>INDEX('LIVE SOURCE'!$H$3:$H$232,$M6)</f>
        <v>Elite RB1 and first-round roster anchor with league-winning ceiling.</v>
      </c>
      <c r="G6" t="str">
        <f>INDEX('LIVE SOURCE'!$I$3:$I$232,$M6)</f>
        <v>He produced 21.6 PPR/FP points per game across 17 games. The workload/efficiency profile gives the model a rate-based reason to keep him here.</v>
      </c>
      <c r="H6" t="str">
        <f>INDEX('LIVE SOURCE'!$J$3:$J$232,$M6)</f>
        <v>Touchdown variance, receiving-role changes and backfield competition are the main downside paths.</v>
      </c>
      <c r="I6">
        <f>INDEX('Draft Engine'!$R$3:$R$232,$M6)</f>
        <v>1.8</v>
      </c>
      <c r="J6">
        <f>INDEX('Draft Engine'!$S$3:$S$232,$M6)</f>
        <v>-2.2000000000000002</v>
      </c>
      <c r="K6" t="str">
        <f>INDEX('Draft Engine'!$T$3:$T$232,$M6)</f>
        <v>A</v>
      </c>
      <c r="L6" t="str">
        <f>INDEX('Draft Engine'!$X$3:$X$232,$M6)</f>
        <v>RATE-ADJUSTED VETERAN</v>
      </c>
      <c r="M6" s="6">
        <f>MATCH($A6,'Draft Engine'!$Q$3:$Q$232,0)</f>
        <v>34</v>
      </c>
    </row>
    <row r="7" spans="1:13" x14ac:dyDescent="0.25">
      <c r="A7">
        <f>5</f>
        <v>5</v>
      </c>
      <c r="B7" t="str">
        <f>INDEX('Draft Engine'!$A$3:$A$232,$M7)</f>
        <v>RB</v>
      </c>
      <c r="C7">
        <f>INDEX('Draft Engine'!$F$3:$F$232,$M7)</f>
        <v>3</v>
      </c>
      <c r="D7" t="str">
        <f>INDEX('Draft Engine'!$B$3:$B$232,$M7)</f>
        <v>Christian McCaffrey</v>
      </c>
      <c r="E7" s="4">
        <f>INDEX('Draft Engine'!$E$3:$E$232,$M7)</f>
        <v>94.244699999999995</v>
      </c>
      <c r="F7" t="str">
        <f>INDEX('LIVE SOURCE'!$H$3:$H$232,$M7)</f>
        <v>Elite RB1 and first-round roster anchor with league-winning ceiling.</v>
      </c>
      <c r="G7" t="str">
        <f>INDEX('LIVE SOURCE'!$I$3:$I$232,$M7)</f>
        <v>He produced 24.5 PPR/FP points per game across 17 games. The workload/efficiency profile gives the model a rate-based reason to keep him here.</v>
      </c>
      <c r="H7" t="str">
        <f>INDEX('LIVE SOURCE'!$J$3:$J$232,$M7)</f>
        <v>Touchdown variance, receiving-role changes and backfield competition are the main downside paths.</v>
      </c>
      <c r="I7">
        <f>INDEX('Draft Engine'!$R$3:$R$232,$M7)</f>
        <v>5.8</v>
      </c>
      <c r="J7">
        <f>INDEX('Draft Engine'!$S$3:$S$232,$M7)</f>
        <v>0.79999999999999982</v>
      </c>
      <c r="K7" t="str">
        <f>INDEX('Draft Engine'!$T$3:$T$232,$M7)</f>
        <v>A</v>
      </c>
      <c r="L7" t="str">
        <f>INDEX('Draft Engine'!$X$3:$X$232,$M7)</f>
        <v>RATE-ADJUSTED VETERAN</v>
      </c>
      <c r="M7" s="6">
        <f>MATCH($A7,'Draft Engine'!$Q$3:$Q$232,0)</f>
        <v>35</v>
      </c>
    </row>
    <row r="8" spans="1:13" x14ac:dyDescent="0.25">
      <c r="A8">
        <f>6</f>
        <v>6</v>
      </c>
      <c r="B8" t="str">
        <f>INDEX('Draft Engine'!$A$3:$A$232,$M8)</f>
        <v>WR</v>
      </c>
      <c r="C8">
        <f>INDEX('Draft Engine'!$F$3:$F$232,$M8)</f>
        <v>3</v>
      </c>
      <c r="D8" t="str">
        <f>INDEX('Draft Engine'!$B$3:$B$232,$M8)</f>
        <v>Jaxon Smith-Njigba</v>
      </c>
      <c r="E8" s="4">
        <f>INDEX('Draft Engine'!$E$3:$E$232,$M8)</f>
        <v>94.079899999999995</v>
      </c>
      <c r="F8" t="str">
        <f>INDEX('LIVE SOURCE'!$H$3:$H$232,$M8)</f>
        <v>Elite WR1 and first-round caliber target with overall WR1 upside.</v>
      </c>
      <c r="G8" t="str">
        <f>INDEX('LIVE SOURCE'!$I$3:$I$232,$M8)</f>
        <v>He produced 21.2 PPR/FP points per game across 17 games. The workload/efficiency profile gives the model a rate-based reason to keep him here.</v>
      </c>
      <c r="H8" t="str">
        <f>INDEX('LIVE SOURCE'!$J$3:$J$232,$M8)</f>
        <v>Target competition, quarterback efficiency and touchdown regression are the main downside paths.</v>
      </c>
      <c r="I8">
        <f>INDEX('Draft Engine'!$R$3:$R$232,$M8)</f>
        <v>5.7</v>
      </c>
      <c r="J8">
        <f>INDEX('Draft Engine'!$S$3:$S$232,$M8)</f>
        <v>-0.29999999999999982</v>
      </c>
      <c r="K8" t="str">
        <f>INDEX('Draft Engine'!$T$3:$T$232,$M8)</f>
        <v>A</v>
      </c>
      <c r="L8" t="str">
        <f>INDEX('Draft Engine'!$X$3:$X$232,$M8)</f>
        <v>HISTORY FALLBACK</v>
      </c>
      <c r="M8" s="6">
        <f>MATCH($A8,'Draft Engine'!$Q$3:$Q$232,0)</f>
        <v>87</v>
      </c>
    </row>
    <row r="9" spans="1:13" x14ac:dyDescent="0.25">
      <c r="A9">
        <f>7</f>
        <v>7</v>
      </c>
      <c r="B9" t="str">
        <f>INDEX('Draft Engine'!$A$3:$A$232,$M9)</f>
        <v>WR</v>
      </c>
      <c r="C9">
        <f>INDEX('Draft Engine'!$F$3:$F$232,$M9)</f>
        <v>4</v>
      </c>
      <c r="D9" t="str">
        <f>INDEX('Draft Engine'!$B$3:$B$232,$M9)</f>
        <v>Amon-Ra St. Brown</v>
      </c>
      <c r="E9" s="4">
        <f>INDEX('Draft Engine'!$E$3:$E$232,$M9)</f>
        <v>93.263900000000007</v>
      </c>
      <c r="F9" t="str">
        <f>INDEX('LIVE SOURCE'!$H$3:$H$232,$M9)</f>
        <v>Elite WR1 and first-round caliber target with overall WR1 upside.</v>
      </c>
      <c r="G9" t="str">
        <f>INDEX('LIVE SOURCE'!$I$3:$I$232,$M9)</f>
        <v>He produced 19.1 PPR/FP points per game across 17 games. The workload/efficiency profile gives the model a rate-based reason to keep him here.</v>
      </c>
      <c r="H9" t="str">
        <f>INDEX('LIVE SOURCE'!$J$3:$J$232,$M9)</f>
        <v>Target competition, quarterback efficiency and touchdown regression are the main downside paths.</v>
      </c>
      <c r="I9">
        <f>INDEX('Draft Engine'!$R$3:$R$232,$M9)</f>
        <v>7</v>
      </c>
      <c r="J9">
        <f>INDEX('Draft Engine'!$S$3:$S$232,$M9)</f>
        <v>0</v>
      </c>
      <c r="K9" t="str">
        <f>INDEX('Draft Engine'!$T$3:$T$232,$M9)</f>
        <v>A</v>
      </c>
      <c r="L9" t="str">
        <f>INDEX('Draft Engine'!$X$3:$X$232,$M9)</f>
        <v>HISTORY FALLBACK</v>
      </c>
      <c r="M9" s="6">
        <f>MATCH($A9,'Draft Engine'!$Q$3:$Q$232,0)</f>
        <v>88</v>
      </c>
    </row>
    <row r="10" spans="1:13" x14ac:dyDescent="0.25">
      <c r="A10">
        <f>8</f>
        <v>8</v>
      </c>
      <c r="B10" t="str">
        <f>INDEX('Draft Engine'!$A$3:$A$232,$M10)</f>
        <v>RB</v>
      </c>
      <c r="C10">
        <f>INDEX('Draft Engine'!$F$3:$F$232,$M10)</f>
        <v>4</v>
      </c>
      <c r="D10" t="str">
        <f>INDEX('Draft Engine'!$B$3:$B$232,$M10)</f>
        <v>Jonathan Taylor</v>
      </c>
      <c r="E10" s="4">
        <f>INDEX('Draft Engine'!$E$3:$E$232,$M10)</f>
        <v>92.147000000000006</v>
      </c>
      <c r="F10" t="str">
        <f>INDEX('LIVE SOURCE'!$H$3:$H$232,$M10)</f>
        <v>Elite RB1 and first-round roster anchor with league-winning ceiling.</v>
      </c>
      <c r="G10" t="str">
        <f>INDEX('LIVE SOURCE'!$I$3:$I$232,$M10)</f>
        <v>He produced 21.3 PPR/FP points per game across 17 games. The workload/efficiency profile gives the model a rate-based reason to keep him here.</v>
      </c>
      <c r="H10" t="str">
        <f>INDEX('LIVE SOURCE'!$J$3:$J$232,$M10)</f>
        <v>Touchdown variance, receiving-role changes and backfield competition are the main downside paths.</v>
      </c>
      <c r="I10">
        <f>INDEX('Draft Engine'!$R$3:$R$232,$M10)</f>
        <v>7.4</v>
      </c>
      <c r="J10">
        <f>INDEX('Draft Engine'!$S$3:$S$232,$M10)</f>
        <v>-0.59999999999999964</v>
      </c>
      <c r="K10" t="str">
        <f>INDEX('Draft Engine'!$T$3:$T$232,$M10)</f>
        <v>A</v>
      </c>
      <c r="L10" t="str">
        <f>INDEX('Draft Engine'!$X$3:$X$232,$M10)</f>
        <v>RATE-ADJUSTED VETERAN</v>
      </c>
      <c r="M10" s="6">
        <f>MATCH($A10,'Draft Engine'!$Q$3:$Q$232,0)</f>
        <v>36</v>
      </c>
    </row>
    <row r="11" spans="1:13" x14ac:dyDescent="0.25">
      <c r="A11">
        <f>9</f>
        <v>9</v>
      </c>
      <c r="B11" t="str">
        <f>INDEX('Draft Engine'!$A$3:$A$232,$M11)</f>
        <v>WR</v>
      </c>
      <c r="C11">
        <f>INDEX('Draft Engine'!$F$3:$F$232,$M11)</f>
        <v>5</v>
      </c>
      <c r="D11" t="str">
        <f>INDEX('Draft Engine'!$B$3:$B$232,$M11)</f>
        <v>Nico Collins</v>
      </c>
      <c r="E11" s="4">
        <f>INDEX('Draft Engine'!$E$3:$E$232,$M11)</f>
        <v>91.492500000000007</v>
      </c>
      <c r="F11" t="str">
        <f>INDEX('LIVE SOURCE'!$H$3:$H$232,$M11)</f>
        <v>Elite WR1 and first-round caliber target with overall WR1 upside.</v>
      </c>
      <c r="G11" t="str">
        <f>INDEX('LIVE SOURCE'!$I$3:$I$232,$M11)</f>
        <v>He produced 15.0 PPR/FP points per game across 15 games. The workload/efficiency profile gives the model a rate-based reason to keep him here.</v>
      </c>
      <c r="H11" t="str">
        <f>INDEX('LIVE SOURCE'!$J$3:$J$232,$M11)</f>
        <v>Target competition, quarterback efficiency and touchdown regression are the main downside paths.</v>
      </c>
      <c r="I11">
        <f>INDEX('Draft Engine'!$R$3:$R$232,$M11)</f>
        <v>23.8</v>
      </c>
      <c r="J11">
        <f>INDEX('Draft Engine'!$S$3:$S$232,$M11)</f>
        <v>14.8</v>
      </c>
      <c r="K11" t="str">
        <f>INDEX('Draft Engine'!$T$3:$T$232,$M11)</f>
        <v>B</v>
      </c>
      <c r="L11" t="str">
        <f>INDEX('Draft Engine'!$X$3:$X$232,$M11)</f>
        <v>HISTORY FALLBACK</v>
      </c>
      <c r="M11" s="6">
        <f>MATCH($A11,'Draft Engine'!$Q$3:$Q$232,0)</f>
        <v>94</v>
      </c>
    </row>
    <row r="12" spans="1:13" x14ac:dyDescent="0.25">
      <c r="A12">
        <f>10</f>
        <v>10</v>
      </c>
      <c r="B12" t="str">
        <f>INDEX('Draft Engine'!$A$3:$A$232,$M12)</f>
        <v>TE</v>
      </c>
      <c r="C12">
        <f>INDEX('Draft Engine'!$F$3:$F$232,$M12)</f>
        <v>1</v>
      </c>
      <c r="D12" t="str">
        <f>INDEX('Draft Engine'!$B$3:$B$232,$M12)</f>
        <v>Trey McBride</v>
      </c>
      <c r="E12" s="4">
        <f>INDEX('Draft Engine'!$E$3:$E$232,$M12)</f>
        <v>97.737099999999998</v>
      </c>
      <c r="F12" t="str">
        <f>INDEX('LIVE SOURCE'!$H$3:$H$232,$M12)</f>
        <v>Elite difference-making TE; positional advantage is the expectation.</v>
      </c>
      <c r="G12" t="str">
        <f>INDEX('LIVE SOURCE'!$I$3:$I$232,$M12)</f>
        <v>He produced 18.6 PPR/FP points per game across 17 games. The workload/efficiency profile gives the model a rate-based reason to keep him here. Market price is favorable around ADP 17 versus model overall rank 5.</v>
      </c>
      <c r="H12" t="str">
        <f>INDEX('LIVE SOURCE'!$J$3:$J$232,$M12)</f>
        <v>Route share, target volume and touchdown volatility are the main swing factors.</v>
      </c>
      <c r="I12">
        <f>INDEX('Draft Engine'!$R$3:$R$232,$M12)</f>
        <v>35.700000000000003</v>
      </c>
      <c r="J12">
        <f>INDEX('Draft Engine'!$S$3:$S$232,$M12)</f>
        <v>25.700000000000003</v>
      </c>
      <c r="K12" t="str">
        <f>INDEX('Draft Engine'!$T$3:$T$232,$M12)</f>
        <v>A</v>
      </c>
      <c r="L12" t="str">
        <f>INDEX('Draft Engine'!$X$3:$X$232,$M12)</f>
        <v>RATE-ADJUSTED VETERAN</v>
      </c>
      <c r="M12" s="6">
        <f>MATCH($A12,'Draft Engine'!$Q$3:$Q$232,0)</f>
        <v>159</v>
      </c>
    </row>
    <row r="13" spans="1:13" x14ac:dyDescent="0.25">
      <c r="A13">
        <f>11</f>
        <v>11</v>
      </c>
      <c r="B13" t="str">
        <f>INDEX('Draft Engine'!$A$3:$A$232,$M13)</f>
        <v>RB</v>
      </c>
      <c r="C13">
        <f>INDEX('Draft Engine'!$F$3:$F$232,$M13)</f>
        <v>5</v>
      </c>
      <c r="D13" t="str">
        <f>INDEX('Draft Engine'!$B$3:$B$232,$M13)</f>
        <v>Jeremiyah Love</v>
      </c>
      <c r="E13" s="4">
        <f>INDEX('Draft Engine'!$E$3:$E$232,$M13)</f>
        <v>90.865899999999996</v>
      </c>
      <c r="F13" t="str">
        <f>INDEX('LIVE SOURCE'!$H$3:$H$232,$M13)</f>
        <v>Elite RB1 and first-round roster anchor with league-winning ceiling.</v>
      </c>
      <c r="G13" t="str">
        <f>INDEX('LIVE SOURCE'!$I$3:$I$232,$M13)</f>
        <v>Rookie score 98.0, backed by No. 3 draft capital and a 6.73 NFL prospect grade. The 2026 role projection is strong enough to replace missing NFL history.</v>
      </c>
      <c r="H13" t="str">
        <f>INDEX('LIVE SOURCE'!$J$3:$J$232,$M13)</f>
        <v>NFL translation and exact weekly role are the main variables; preseason first-team usage can move this rating quickly.</v>
      </c>
      <c r="I13">
        <f>INDEX('Draft Engine'!$R$3:$R$232,$M13)</f>
        <v>26.2</v>
      </c>
      <c r="J13">
        <f>INDEX('Draft Engine'!$S$3:$S$232,$M13)</f>
        <v>15.2</v>
      </c>
      <c r="K13" t="str">
        <f>INDEX('Draft Engine'!$T$3:$T$232,$M13)</f>
        <v>B</v>
      </c>
      <c r="L13" t="str">
        <f>INDEX('Draft Engine'!$X$3:$X$232,$M13)</f>
        <v>ROOKIE ENGINE</v>
      </c>
      <c r="M13" s="6">
        <f>MATCH($A13,'Draft Engine'!$Q$3:$Q$232,0)</f>
        <v>37</v>
      </c>
    </row>
    <row r="14" spans="1:13" x14ac:dyDescent="0.25">
      <c r="A14">
        <f>12</f>
        <v>12</v>
      </c>
      <c r="B14" t="str">
        <f>INDEX('Draft Engine'!$A$3:$A$232,$M14)</f>
        <v>QB</v>
      </c>
      <c r="C14">
        <f>INDEX('Draft Engine'!$F$3:$F$232,$M14)</f>
        <v>1</v>
      </c>
      <c r="D14" t="str">
        <f>INDEX('Draft Engine'!$B$3:$B$232,$M14)</f>
        <v>Josh Allen</v>
      </c>
      <c r="E14" s="4">
        <f>INDEX('Draft Engine'!$E$3:$E$232,$M14)</f>
        <v>97.309899999999999</v>
      </c>
      <c r="F14" t="str">
        <f>INDEX('LIVE SOURCE'!$H$3:$H$232,$M14)</f>
        <v>Elite QB1; weekly top-5 expectation with overall QB1 upside.</v>
      </c>
      <c r="G14" t="str">
        <f>INDEX('LIVE SOURCE'!$I$3:$I$232,$M14)</f>
        <v>He produced 22.0 PPR/FP points per game across 17 games. The workload/efficiency profile gives the model a rate-based reason to keep him here. Market price is favorable around ADP 23 versus model overall rank 10.</v>
      </c>
      <c r="H14" t="str">
        <f>INDEX('LIVE SOURCE'!$J$3:$J$232,$M14)</f>
        <v>Passing-TD efficiency, rushing volume and supporting-cast health are the main swing factors.</v>
      </c>
      <c r="I14">
        <f>INDEX('Draft Engine'!$R$3:$R$232,$M14)</f>
        <v>26.6</v>
      </c>
      <c r="J14">
        <f>INDEX('Draft Engine'!$S$3:$S$232,$M14)</f>
        <v>14.600000000000001</v>
      </c>
      <c r="K14" t="str">
        <f>INDEX('Draft Engine'!$T$3:$T$232,$M14)</f>
        <v>A</v>
      </c>
      <c r="L14" t="str">
        <f>INDEX('Draft Engine'!$X$3:$X$232,$M14)</f>
        <v>RATE-ADJUSTED VETERAN</v>
      </c>
      <c r="M14" s="6">
        <f>MATCH($A14,'Draft Engine'!$Q$3:$Q$232,0)</f>
        <v>1</v>
      </c>
    </row>
    <row r="15" spans="1:13" x14ac:dyDescent="0.25">
      <c r="A15">
        <f>13</f>
        <v>13</v>
      </c>
      <c r="B15" t="str">
        <f>INDEX('Draft Engine'!$A$3:$A$232,$M15)</f>
        <v>WR</v>
      </c>
      <c r="C15">
        <f>INDEX('Draft Engine'!$F$3:$F$232,$M15)</f>
        <v>6</v>
      </c>
      <c r="D15" t="str">
        <f>INDEX('Draft Engine'!$B$3:$B$232,$M15)</f>
        <v>Chris Olave</v>
      </c>
      <c r="E15" s="4">
        <f>INDEX('Draft Engine'!$E$3:$E$232,$M15)</f>
        <v>88.907499999999999</v>
      </c>
      <c r="F15" t="str">
        <f>INDEX('LIVE SOURCE'!$H$3:$H$232,$M15)</f>
        <v>Strong WR1; bankable weekly starter with spike-week ceiling.</v>
      </c>
      <c r="G15" t="str">
        <f>INDEX('LIVE SOURCE'!$I$3:$I$232,$M15)</f>
        <v>He produced 16.9 PPR/FP points per game across 16 games. The workload/efficiency profile gives the model a rate-based reason to keep him here.</v>
      </c>
      <c r="H15" t="str">
        <f>INDEX('LIVE SOURCE'!$J$3:$J$232,$M15)</f>
        <v>Target competition, quarterback efficiency and touchdown regression are the main downside paths.</v>
      </c>
      <c r="I15">
        <f>INDEX('Draft Engine'!$R$3:$R$232,$M15)</f>
        <v>20.399999999999999</v>
      </c>
      <c r="J15">
        <f>INDEX('Draft Engine'!$S$3:$S$232,$M15)</f>
        <v>7.3999999999999986</v>
      </c>
      <c r="K15" t="str">
        <f>INDEX('Draft Engine'!$T$3:$T$232,$M15)</f>
        <v>B</v>
      </c>
      <c r="L15" t="str">
        <f>INDEX('Draft Engine'!$X$3:$X$232,$M15)</f>
        <v>HISTORY FALLBACK</v>
      </c>
      <c r="M15" s="6">
        <f>MATCH($A15,'Draft Engine'!$Q$3:$Q$232,0)</f>
        <v>96</v>
      </c>
    </row>
    <row r="16" spans="1:13" x14ac:dyDescent="0.25">
      <c r="A16">
        <f>14</f>
        <v>14</v>
      </c>
      <c r="B16" t="str">
        <f>INDEX('Draft Engine'!$A$3:$A$232,$M16)</f>
        <v>RB</v>
      </c>
      <c r="C16">
        <f>INDEX('Draft Engine'!$F$3:$F$232,$M16)</f>
        <v>6</v>
      </c>
      <c r="D16" t="str">
        <f>INDEX('Draft Engine'!$B$3:$B$232,$M16)</f>
        <v>Omarion Hampton</v>
      </c>
      <c r="E16" s="4">
        <f>INDEX('Draft Engine'!$E$3:$E$232,$M16)</f>
        <v>88.642099999999999</v>
      </c>
      <c r="F16" t="str">
        <f>INDEX('LIVE SOURCE'!$H$3:$H$232,$M16)</f>
        <v>Strong RB1; weekly top-12 expectation with multi-touchdown ceiling.</v>
      </c>
      <c r="G16" t="str">
        <f>INDEX('LIVE SOURCE'!$I$3:$I$232,$M16)</f>
        <v>He produced 15.1 PPR/FP points per game across 9 games. The workload/efficiency profile gives the model a rate-based reason to keep him here.</v>
      </c>
      <c r="H16" t="str">
        <f>INDEX('LIVE SOURCE'!$J$3:$J$232,$M16)</f>
        <v>Availability/sample risk is elevated after only 9 games; talent is not being punished as heavily as durability.</v>
      </c>
      <c r="I16">
        <f>INDEX('Draft Engine'!$R$3:$R$232,$M16)</f>
        <v>19.600000000000001</v>
      </c>
      <c r="J16">
        <f>INDEX('Draft Engine'!$S$3:$S$232,$M16)</f>
        <v>5.6000000000000014</v>
      </c>
      <c r="K16" t="str">
        <f>INDEX('Draft Engine'!$T$3:$T$232,$M16)</f>
        <v>B</v>
      </c>
      <c r="L16" t="str">
        <f>INDEX('Draft Engine'!$X$3:$X$232,$M16)</f>
        <v>RATE-ADJUSTED VETERAN</v>
      </c>
      <c r="M16" s="6">
        <f>MATCH($A16,'Draft Engine'!$Q$3:$Q$232,0)</f>
        <v>38</v>
      </c>
    </row>
    <row r="17" spans="1:13" x14ac:dyDescent="0.25">
      <c r="A17">
        <f>15</f>
        <v>15</v>
      </c>
      <c r="B17" t="str">
        <f>INDEX('Draft Engine'!$A$3:$A$232,$M17)</f>
        <v>TE</v>
      </c>
      <c r="C17">
        <f>INDEX('Draft Engine'!$F$3:$F$232,$M17)</f>
        <v>2</v>
      </c>
      <c r="D17" t="str">
        <f>INDEX('Draft Engine'!$B$3:$B$232,$M17)</f>
        <v>Brock Bowers</v>
      </c>
      <c r="E17" s="4">
        <f>INDEX('Draft Engine'!$E$3:$E$232,$M17)</f>
        <v>94.884600000000006</v>
      </c>
      <c r="F17" t="str">
        <f>INDEX('LIVE SOURCE'!$H$3:$H$232,$M17)</f>
        <v>Elite difference-making TE; positional advantage is the expectation.</v>
      </c>
      <c r="G17" t="str">
        <f>INDEX('LIVE SOURCE'!$I$3:$I$232,$M17)</f>
        <v>He produced 14.7 PPR/FP points per game across 12 games. The workload/efficiency profile gives the model a rate-based reason to keep him here.</v>
      </c>
      <c r="H17" t="str">
        <f>INDEX('LIVE SOURCE'!$J$3:$J$232,$M17)</f>
        <v>Route share, target volume and touchdown volatility are the main swing factors.</v>
      </c>
      <c r="I17">
        <f>INDEX('Draft Engine'!$R$3:$R$232,$M17)</f>
        <v>41.1</v>
      </c>
      <c r="J17">
        <f>INDEX('Draft Engine'!$S$3:$S$232,$M17)</f>
        <v>26.1</v>
      </c>
      <c r="K17" t="str">
        <f>INDEX('Draft Engine'!$T$3:$T$232,$M17)</f>
        <v>A</v>
      </c>
      <c r="L17" t="str">
        <f>INDEX('Draft Engine'!$X$3:$X$232,$M17)</f>
        <v>RATE-ADJUSTED VETERAN</v>
      </c>
      <c r="M17" s="6">
        <f>MATCH($A17,'Draft Engine'!$Q$3:$Q$232,0)</f>
        <v>160</v>
      </c>
    </row>
    <row r="18" spans="1:13" x14ac:dyDescent="0.25">
      <c r="A18">
        <f>16</f>
        <v>16</v>
      </c>
      <c r="B18" t="str">
        <f>INDEX('Draft Engine'!$A$3:$A$232,$M18)</f>
        <v>RB</v>
      </c>
      <c r="C18">
        <f>INDEX('Draft Engine'!$F$3:$F$232,$M18)</f>
        <v>7</v>
      </c>
      <c r="D18" t="str">
        <f>INDEX('Draft Engine'!$B$3:$B$232,$M18)</f>
        <v>De'Von Achane</v>
      </c>
      <c r="E18" s="4">
        <f>INDEX('Draft Engine'!$E$3:$E$232,$M18)</f>
        <v>87.944000000000003</v>
      </c>
      <c r="F18" t="str">
        <f>INDEX('LIVE SOURCE'!$H$3:$H$232,$M18)</f>
        <v>Strong RB1; weekly top-12 expectation with multi-touchdown ceiling.</v>
      </c>
      <c r="G18" t="str">
        <f>INDEX('LIVE SOURCE'!$I$3:$I$232,$M18)</f>
        <v>He produced 20.2 PPR/FP points per game across 16 games. The workload/efficiency profile gives the model a rate-based reason to keep him here.</v>
      </c>
      <c r="H18" t="str">
        <f>INDEX('LIVE SOURCE'!$J$3:$J$232,$M18)</f>
        <v>Touchdown variance, receiving-role changes and backfield competition are the main downside paths.</v>
      </c>
      <c r="I18">
        <f>INDEX('Draft Engine'!$R$3:$R$232,$M18)</f>
        <v>10.1</v>
      </c>
      <c r="J18">
        <f>INDEX('Draft Engine'!$S$3:$S$232,$M18)</f>
        <v>-5.9</v>
      </c>
      <c r="K18" t="str">
        <f>INDEX('Draft Engine'!$T$3:$T$232,$M18)</f>
        <v>A</v>
      </c>
      <c r="L18" t="str">
        <f>INDEX('Draft Engine'!$X$3:$X$232,$M18)</f>
        <v>RATE-ADJUSTED VETERAN</v>
      </c>
      <c r="M18" s="6">
        <f>MATCH($A18,'Draft Engine'!$Q$3:$Q$232,0)</f>
        <v>39</v>
      </c>
    </row>
    <row r="19" spans="1:13" x14ac:dyDescent="0.25">
      <c r="A19">
        <f>17</f>
        <v>17</v>
      </c>
      <c r="B19" t="str">
        <f>INDEX('Draft Engine'!$A$3:$A$232,$M19)</f>
        <v>RB</v>
      </c>
      <c r="C19">
        <f>INDEX('Draft Engine'!$F$3:$F$232,$M19)</f>
        <v>8</v>
      </c>
      <c r="D19" t="str">
        <f>INDEX('Draft Engine'!$B$3:$B$232,$M19)</f>
        <v>Kenneth Walker III</v>
      </c>
      <c r="E19" s="4">
        <f>INDEX('Draft Engine'!$E$3:$E$232,$M19)</f>
        <v>87.292599999999993</v>
      </c>
      <c r="F19" t="str">
        <f>INDEX('LIVE SOURCE'!$H$3:$H$232,$M19)</f>
        <v>Strong RB1; weekly top-12 expectation with multi-touchdown ceiling.</v>
      </c>
      <c r="G19" t="str">
        <f>INDEX('LIVE SOURCE'!$I$3:$I$232,$M19)</f>
        <v>He produced 11.3 PPR/FP points per game across 17 games. The workload/efficiency profile gives the model a rate-based reason to keep him here. Market price is favorable around ADP 31 versus model overall rank 16.</v>
      </c>
      <c r="H19" t="str">
        <f>INDEX('LIVE SOURCE'!$J$3:$J$232,$M19)</f>
        <v>Touchdown variance, receiving-role changes and backfield competition are the main downside paths.</v>
      </c>
      <c r="I19">
        <f>INDEX('Draft Engine'!$R$3:$R$232,$M19)</f>
        <v>26.2</v>
      </c>
      <c r="J19">
        <f>INDEX('Draft Engine'!$S$3:$S$232,$M19)</f>
        <v>9.1999999999999993</v>
      </c>
      <c r="K19" t="str">
        <f>INDEX('Draft Engine'!$T$3:$T$232,$M19)</f>
        <v>A</v>
      </c>
      <c r="L19" t="str">
        <f>INDEX('Draft Engine'!$X$3:$X$232,$M19)</f>
        <v>RATE-ADJUSTED VETERAN</v>
      </c>
      <c r="M19" s="6">
        <f>MATCH($A19,'Draft Engine'!$Q$3:$Q$232,0)</f>
        <v>40</v>
      </c>
    </row>
    <row r="20" spans="1:13" x14ac:dyDescent="0.25">
      <c r="A20">
        <f>18</f>
        <v>18</v>
      </c>
      <c r="B20" t="str">
        <f>INDEX('Draft Engine'!$A$3:$A$232,$M20)</f>
        <v>WR</v>
      </c>
      <c r="C20">
        <f>INDEX('Draft Engine'!$F$3:$F$232,$M20)</f>
        <v>7</v>
      </c>
      <c r="D20" t="str">
        <f>INDEX('Draft Engine'!$B$3:$B$232,$M20)</f>
        <v>Drake London</v>
      </c>
      <c r="E20" s="4">
        <f>INDEX('Draft Engine'!$E$3:$E$232,$M20)</f>
        <v>87.510599999999997</v>
      </c>
      <c r="F20" t="str">
        <f>INDEX('LIVE SOURCE'!$H$3:$H$232,$M20)</f>
        <v>Strong WR1; bankable weekly starter with spike-week ceiling.</v>
      </c>
      <c r="G20" t="str">
        <f>INDEX('LIVE SOURCE'!$I$3:$I$232,$M20)</f>
        <v>He produced 16.9 PPR/FP points per game across 12 games. The workload/efficiency profile gives the model a rate-based reason to keep him here.</v>
      </c>
      <c r="H20" t="str">
        <f>INDEX('LIVE SOURCE'!$J$3:$J$232,$M20)</f>
        <v>Target competition, quarterback efficiency and touchdown regression are the main downside paths.</v>
      </c>
      <c r="I20">
        <f>INDEX('Draft Engine'!$R$3:$R$232,$M20)</f>
        <v>10.199999999999999</v>
      </c>
      <c r="J20">
        <f>INDEX('Draft Engine'!$S$3:$S$232,$M20)</f>
        <v>-7.8000000000000007</v>
      </c>
      <c r="K20" t="str">
        <f>INDEX('Draft Engine'!$T$3:$T$232,$M20)</f>
        <v>A</v>
      </c>
      <c r="L20" t="str">
        <f>INDEX('Draft Engine'!$X$3:$X$232,$M20)</f>
        <v>HISTORY FALLBACK</v>
      </c>
      <c r="M20" s="6">
        <f>MATCH($A20,'Draft Engine'!$Q$3:$Q$232,0)</f>
        <v>93</v>
      </c>
    </row>
    <row r="21" spans="1:13" x14ac:dyDescent="0.25">
      <c r="A21">
        <f>19</f>
        <v>19</v>
      </c>
      <c r="B21" t="str">
        <f>INDEX('Draft Engine'!$A$3:$A$232,$M21)</f>
        <v>WR</v>
      </c>
      <c r="C21">
        <f>INDEX('Draft Engine'!$F$3:$F$232,$M21)</f>
        <v>8</v>
      </c>
      <c r="D21" t="str">
        <f>INDEX('Draft Engine'!$B$3:$B$232,$M21)</f>
        <v>DeVonta Smith</v>
      </c>
      <c r="E21" s="4">
        <f>INDEX('Draft Engine'!$E$3:$E$232,$M21)</f>
        <v>87.487499999999997</v>
      </c>
      <c r="F21" t="str">
        <f>INDEX('LIVE SOURCE'!$H$3:$H$232,$M21)</f>
        <v>Strong WR1; bankable weekly starter with spike-week ceiling.</v>
      </c>
      <c r="G21" t="str">
        <f>INDEX('LIVE SOURCE'!$I$3:$I$232,$M21)</f>
        <v>He produced 11.8 PPR/FP points per game across 17 games. The workload/efficiency profile gives the model a rate-based reason to keep him here.</v>
      </c>
      <c r="H21" t="str">
        <f>INDEX('LIVE SOURCE'!$J$3:$J$232,$M21)</f>
        <v>Target competition, quarterback efficiency and touchdown regression are the main downside paths.</v>
      </c>
      <c r="I21">
        <f>INDEX('Draft Engine'!$R$3:$R$232,$M21)</f>
        <v>29.5</v>
      </c>
      <c r="J21">
        <f>INDEX('Draft Engine'!$S$3:$S$232,$M21)</f>
        <v>10.5</v>
      </c>
      <c r="K21" t="str">
        <f>INDEX('Draft Engine'!$T$3:$T$232,$M21)</f>
        <v>B</v>
      </c>
      <c r="L21" t="str">
        <f>INDEX('Draft Engine'!$X$3:$X$232,$M21)</f>
        <v>HISTORY FALLBACK</v>
      </c>
      <c r="M21" s="6">
        <f>MATCH($A21,'Draft Engine'!$Q$3:$Q$232,0)</f>
        <v>100</v>
      </c>
    </row>
    <row r="22" spans="1:13" x14ac:dyDescent="0.25">
      <c r="A22">
        <f>20</f>
        <v>20</v>
      </c>
      <c r="B22" t="str">
        <f>INDEX('Draft Engine'!$A$3:$A$232,$M22)</f>
        <v>RB</v>
      </c>
      <c r="C22">
        <f>INDEX('Draft Engine'!$F$3:$F$232,$M22)</f>
        <v>9</v>
      </c>
      <c r="D22" t="str">
        <f>INDEX('Draft Engine'!$B$3:$B$232,$M22)</f>
        <v>James Cook III</v>
      </c>
      <c r="E22" s="4">
        <f>INDEX('Draft Engine'!$E$3:$E$232,$M22)</f>
        <v>87.058000000000007</v>
      </c>
      <c r="F22" t="str">
        <f>INDEX('LIVE SOURCE'!$H$3:$H$232,$M22)</f>
        <v>Strong RB1; weekly top-12 expectation with multi-touchdown ceiling.</v>
      </c>
      <c r="G22" t="str">
        <f>INDEX('LIVE SOURCE'!$I$3:$I$232,$M22)</f>
        <v>He produced 17.7 PPR/FP points per game across 17 games. The workload/efficiency profile gives the model a rate-based reason to keep him here.</v>
      </c>
      <c r="H22" t="str">
        <f>INDEX('LIVE SOURCE'!$J$3:$J$232,$M22)</f>
        <v>Touchdown variance, receiving-role changes and backfield competition are the main downside paths.</v>
      </c>
      <c r="I22">
        <f>INDEX('Draft Engine'!$R$3:$R$232,$M22)</f>
        <v>14.9</v>
      </c>
      <c r="J22">
        <f>INDEX('Draft Engine'!$S$3:$S$232,$M22)</f>
        <v>-5.0999999999999996</v>
      </c>
      <c r="K22" t="str">
        <f>INDEX('Draft Engine'!$T$3:$T$232,$M22)</f>
        <v>A</v>
      </c>
      <c r="L22" t="str">
        <f>INDEX('Draft Engine'!$X$3:$X$232,$M22)</f>
        <v>RATE-ADJUSTED VETERAN</v>
      </c>
      <c r="M22" s="6">
        <f>MATCH($A22,'Draft Engine'!$Q$3:$Q$232,0)</f>
        <v>41</v>
      </c>
    </row>
    <row r="23" spans="1:13" x14ac:dyDescent="0.25">
      <c r="A23">
        <f>21</f>
        <v>21</v>
      </c>
      <c r="B23" t="str">
        <f>INDEX('Draft Engine'!$A$3:$A$232,$M23)</f>
        <v>WR</v>
      </c>
      <c r="C23">
        <f>INDEX('Draft Engine'!$F$3:$F$232,$M23)</f>
        <v>9</v>
      </c>
      <c r="D23" t="str">
        <f>INDEX('Draft Engine'!$B$3:$B$232,$M23)</f>
        <v>Zay Flowers</v>
      </c>
      <c r="E23" s="4">
        <f>INDEX('Draft Engine'!$E$3:$E$232,$M23)</f>
        <v>86.57</v>
      </c>
      <c r="F23" t="str">
        <f>INDEX('LIVE SOURCE'!$H$3:$H$232,$M23)</f>
        <v>Strong WR1; bankable weekly starter with spike-week ceiling.</v>
      </c>
      <c r="G23" t="str">
        <f>INDEX('LIVE SOURCE'!$I$3:$I$232,$M23)</f>
        <v>He produced 14.4 PPR/FP points per game across 17 games. The workload/efficiency profile gives the model a rate-based reason to keep him here. Market price is favorable around ADP 65 versus model overall rank 32.</v>
      </c>
      <c r="H23" t="str">
        <f>INDEX('LIVE SOURCE'!$J$3:$J$232,$M23)</f>
        <v>Target competition, quarterback efficiency and touchdown regression are the main downside paths.</v>
      </c>
      <c r="I23">
        <f>INDEX('Draft Engine'!$R$3:$R$232,$M23)</f>
        <v>26.4</v>
      </c>
      <c r="J23">
        <f>INDEX('Draft Engine'!$S$3:$S$232,$M23)</f>
        <v>5.3999999999999986</v>
      </c>
      <c r="K23" t="str">
        <f>INDEX('Draft Engine'!$T$3:$T$232,$M23)</f>
        <v>B</v>
      </c>
      <c r="L23" t="str">
        <f>INDEX('Draft Engine'!$X$3:$X$232,$M23)</f>
        <v>HISTORY FALLBACK</v>
      </c>
      <c r="M23" s="6">
        <f>MATCH($A23,'Draft Engine'!$Q$3:$Q$232,0)</f>
        <v>101</v>
      </c>
    </row>
    <row r="24" spans="1:13" x14ac:dyDescent="0.25">
      <c r="A24">
        <f>22</f>
        <v>22</v>
      </c>
      <c r="B24" t="str">
        <f>INDEX('Draft Engine'!$A$3:$A$232,$M24)</f>
        <v>RB</v>
      </c>
      <c r="C24">
        <f>INDEX('Draft Engine'!$F$3:$F$232,$M24)</f>
        <v>10</v>
      </c>
      <c r="D24" t="str">
        <f>INDEX('Draft Engine'!$B$3:$B$232,$M24)</f>
        <v>Kyren Williams</v>
      </c>
      <c r="E24" s="4">
        <f>INDEX('Draft Engine'!$E$3:$E$232,$M24)</f>
        <v>85.948599999999999</v>
      </c>
      <c r="F24" t="str">
        <f>INDEX('LIVE SOURCE'!$H$3:$H$232,$M24)</f>
        <v>Strong RB1; weekly top-12 expectation with multi-touchdown ceiling.</v>
      </c>
      <c r="G24" t="str">
        <f>INDEX('LIVE SOURCE'!$I$3:$I$232,$M24)</f>
        <v>He produced 15.5 PPR/FP points per game across 17 games. The workload/efficiency profile gives the model a rate-based reason to keep him here. Market price is favorable around ADP 40 versus model overall rank 21.</v>
      </c>
      <c r="H24" t="str">
        <f>INDEX('LIVE SOURCE'!$J$3:$J$232,$M24)</f>
        <v>Touchdown variance, receiving-role changes and backfield competition are the main downside paths.</v>
      </c>
      <c r="I24">
        <f>INDEX('Draft Engine'!$R$3:$R$232,$M24)</f>
        <v>33.1</v>
      </c>
      <c r="J24">
        <f>INDEX('Draft Engine'!$S$3:$S$232,$M24)</f>
        <v>11.100000000000001</v>
      </c>
      <c r="K24" t="str">
        <f>INDEX('Draft Engine'!$T$3:$T$232,$M24)</f>
        <v>A</v>
      </c>
      <c r="L24" t="str">
        <f>INDEX('Draft Engine'!$X$3:$X$232,$M24)</f>
        <v>RATE-ADJUSTED VETERAN</v>
      </c>
      <c r="M24" s="6">
        <f>MATCH($A24,'Draft Engine'!$Q$3:$Q$232,0)</f>
        <v>42</v>
      </c>
    </row>
    <row r="25" spans="1:13" x14ac:dyDescent="0.25">
      <c r="A25">
        <f>23</f>
        <v>23</v>
      </c>
      <c r="B25" t="str">
        <f>INDEX('Draft Engine'!$A$3:$A$232,$M25)</f>
        <v>WR</v>
      </c>
      <c r="C25">
        <f>INDEX('Draft Engine'!$F$3:$F$232,$M25)</f>
        <v>10</v>
      </c>
      <c r="D25" t="str">
        <f>INDEX('Draft Engine'!$B$3:$B$232,$M25)</f>
        <v>Garrett Wilson</v>
      </c>
      <c r="E25" s="4">
        <f>INDEX('Draft Engine'!$E$3:$E$232,$M25)</f>
        <v>86.155000000000001</v>
      </c>
      <c r="F25" t="str">
        <f>INDEX('LIVE SOURCE'!$H$3:$H$232,$M25)</f>
        <v>Strong WR1; bankable weekly starter with spike-week ceiling.</v>
      </c>
      <c r="G25" t="str">
        <f>INDEX('LIVE SOURCE'!$I$3:$I$232,$M25)</f>
        <v>He produced 14.2 PPR/FP points per game across 7 games. The workload/efficiency profile gives the model a rate-based reason to keep him here. Market price is favorable around ADP 58 versus model overall rank 31.</v>
      </c>
      <c r="H25" t="str">
        <f>INDEX('LIVE SOURCE'!$J$3:$J$232,$M25)</f>
        <v>Availability/sample risk is elevated after only 7 games; talent is not being punished as heavily as durability.</v>
      </c>
      <c r="I25">
        <f>INDEX('Draft Engine'!$R$3:$R$232,$M25)</f>
        <v>29</v>
      </c>
      <c r="J25">
        <f>INDEX('Draft Engine'!$S$3:$S$232,$M25)</f>
        <v>6</v>
      </c>
      <c r="K25" t="str">
        <f>INDEX('Draft Engine'!$T$3:$T$232,$M25)</f>
        <v>B</v>
      </c>
      <c r="L25" t="str">
        <f>INDEX('Draft Engine'!$X$3:$X$232,$M25)</f>
        <v>HISTORY FALLBACK</v>
      </c>
      <c r="M25" s="6">
        <f>MATCH($A25,'Draft Engine'!$Q$3:$Q$232,0)</f>
        <v>99</v>
      </c>
    </row>
    <row r="26" spans="1:13" x14ac:dyDescent="0.25">
      <c r="A26">
        <f>24</f>
        <v>24</v>
      </c>
      <c r="B26" t="str">
        <f>INDEX('Draft Engine'!$A$3:$A$232,$M26)</f>
        <v>RB</v>
      </c>
      <c r="C26">
        <f>INDEX('Draft Engine'!$F$3:$F$232,$M26)</f>
        <v>11</v>
      </c>
      <c r="D26" t="str">
        <f>INDEX('Draft Engine'!$B$3:$B$232,$M26)</f>
        <v>Breece Hall</v>
      </c>
      <c r="E26" s="4">
        <f>INDEX('Draft Engine'!$E$3:$E$232,$M26)</f>
        <v>85.895200000000003</v>
      </c>
      <c r="F26" t="str">
        <f>INDEX('LIVE SOURCE'!$H$3:$H$232,$M26)</f>
        <v>Strong RB1; weekly top-12 expectation with multi-touchdown ceiling.</v>
      </c>
      <c r="G26" t="str">
        <f>INDEX('LIVE SOURCE'!$I$3:$I$232,$M26)</f>
        <v>He produced 12.9 PPR/FP points per game across 16 games. The workload/efficiency profile gives the model a rate-based reason to keep him here. Market price is favorable around ADP 44 versus model overall rank 23.</v>
      </c>
      <c r="H26" t="str">
        <f>INDEX('LIVE SOURCE'!$J$3:$J$232,$M26)</f>
        <v>Touchdown variance, receiving-role changes and backfield competition are the main downside paths.</v>
      </c>
      <c r="I26">
        <f>INDEX('Draft Engine'!$R$3:$R$232,$M26)</f>
        <v>27</v>
      </c>
      <c r="J26">
        <f>INDEX('Draft Engine'!$S$3:$S$232,$M26)</f>
        <v>3</v>
      </c>
      <c r="K26" t="str">
        <f>INDEX('Draft Engine'!$T$3:$T$232,$M26)</f>
        <v>A</v>
      </c>
      <c r="L26" t="str">
        <f>INDEX('Draft Engine'!$X$3:$X$232,$M26)</f>
        <v>RATE-ADJUSTED VETERAN</v>
      </c>
      <c r="M26" s="6">
        <f>MATCH($A26,'Draft Engine'!$Q$3:$Q$232,0)</f>
        <v>43</v>
      </c>
    </row>
    <row r="27" spans="1:13" x14ac:dyDescent="0.25">
      <c r="A27">
        <f>25</f>
        <v>25</v>
      </c>
      <c r="B27" t="str">
        <f>INDEX('Draft Engine'!$A$3:$A$232,$M27)</f>
        <v>RB</v>
      </c>
      <c r="C27">
        <f>INDEX('Draft Engine'!$F$3:$F$232,$M27)</f>
        <v>12</v>
      </c>
      <c r="D27" t="str">
        <f>INDEX('Draft Engine'!$B$3:$B$232,$M27)</f>
        <v>Ashton Jeanty</v>
      </c>
      <c r="E27" s="4">
        <f>INDEX('Draft Engine'!$E$3:$E$232,$M27)</f>
        <v>85.843299999999999</v>
      </c>
      <c r="F27" t="str">
        <f>INDEX('LIVE SOURCE'!$H$3:$H$232,$M27)</f>
        <v>Strong RB1; weekly top-12 expectation with multi-touchdown ceiling.</v>
      </c>
      <c r="G27" t="str">
        <f>INDEX('LIVE SOURCE'!$I$3:$I$232,$M27)</f>
        <v>He produced 14.4 PPR/FP points per game across 17 games. The workload/efficiency profile gives the model a rate-based reason to keep him here. The market is more aggressive at ADP 13 versus model overall rank 24, so price matters.</v>
      </c>
      <c r="H27" t="str">
        <f>INDEX('LIVE SOURCE'!$J$3:$J$232,$M27)</f>
        <v>Price is the biggest risk: the market currently asks you to draft him earlier than the model prefers.</v>
      </c>
      <c r="I27">
        <f>INDEX('Draft Engine'!$R$3:$R$232,$M27)</f>
        <v>13.8</v>
      </c>
      <c r="J27">
        <f>INDEX('Draft Engine'!$S$3:$S$232,$M27)</f>
        <v>-11.2</v>
      </c>
      <c r="K27" t="str">
        <f>INDEX('Draft Engine'!$T$3:$T$232,$M27)</f>
        <v>A</v>
      </c>
      <c r="L27" t="str">
        <f>INDEX('Draft Engine'!$X$3:$X$232,$M27)</f>
        <v>RATE-ADJUSTED VETERAN</v>
      </c>
      <c r="M27" s="6">
        <f>MATCH($A27,'Draft Engine'!$Q$3:$Q$232,0)</f>
        <v>44</v>
      </c>
    </row>
    <row r="28" spans="1:13" x14ac:dyDescent="0.25">
      <c r="A28">
        <f>26</f>
        <v>26</v>
      </c>
      <c r="B28" t="str">
        <f>INDEX('Draft Engine'!$A$3:$A$232,$M28)</f>
        <v>WR</v>
      </c>
      <c r="C28">
        <f>INDEX('Draft Engine'!$F$3:$F$232,$M28)</f>
        <v>11</v>
      </c>
      <c r="D28" t="str">
        <f>INDEX('Draft Engine'!$B$3:$B$232,$M28)</f>
        <v>CeeDee Lamb</v>
      </c>
      <c r="E28" s="4">
        <f>INDEX('Draft Engine'!$E$3:$E$232,$M28)</f>
        <v>85.742599999999996</v>
      </c>
      <c r="F28" t="str">
        <f>INDEX('LIVE SOURCE'!$H$3:$H$232,$M28)</f>
        <v>Strong WR1; bankable weekly starter with spike-week ceiling.</v>
      </c>
      <c r="G28" t="str">
        <f>INDEX('LIVE SOURCE'!$I$3:$I$232,$M28)</f>
        <v>He produced 14.4 PPR/FP points per game across 14 games. The workload/efficiency profile gives the model a rate-based reason to keep him here. The market is more aggressive at ADP 8 versus model overall rank 18, so price matters.</v>
      </c>
      <c r="H28" t="str">
        <f>INDEX('LIVE SOURCE'!$J$3:$J$232,$M28)</f>
        <v>Price is the biggest risk: the market currently asks you to draft him earlier than the model prefers.</v>
      </c>
      <c r="I28">
        <f>INDEX('Draft Engine'!$R$3:$R$232,$M28)</f>
        <v>11.2</v>
      </c>
      <c r="J28">
        <f>INDEX('Draft Engine'!$S$3:$S$232,$M28)</f>
        <v>-14.8</v>
      </c>
      <c r="K28" t="str">
        <f>INDEX('Draft Engine'!$T$3:$T$232,$M28)</f>
        <v>A</v>
      </c>
      <c r="L28" t="str">
        <f>INDEX('Draft Engine'!$X$3:$X$232,$M28)</f>
        <v>HISTORY FALLBACK</v>
      </c>
      <c r="M28" s="6">
        <f>MATCH($A28,'Draft Engine'!$Q$3:$Q$232,0)</f>
        <v>90</v>
      </c>
    </row>
    <row r="29" spans="1:13" x14ac:dyDescent="0.25">
      <c r="A29">
        <f>27</f>
        <v>27</v>
      </c>
      <c r="B29" t="str">
        <f>INDEX('Draft Engine'!$A$3:$A$232,$M29)</f>
        <v>RB</v>
      </c>
      <c r="C29">
        <f>INDEX('Draft Engine'!$F$3:$F$232,$M29)</f>
        <v>13</v>
      </c>
      <c r="D29" t="str">
        <f>INDEX('Draft Engine'!$B$3:$B$232,$M29)</f>
        <v>Derrick Henry</v>
      </c>
      <c r="E29" s="4">
        <f>INDEX('Draft Engine'!$E$3:$E$232,$M29)</f>
        <v>85.667400000000001</v>
      </c>
      <c r="F29" t="str">
        <f>INDEX('LIVE SOURCE'!$H$3:$H$232,$M29)</f>
        <v>RB2 with RB1 weeks; should be a regular starter.</v>
      </c>
      <c r="G29" t="str">
        <f>INDEX('LIVE SOURCE'!$I$3:$I$232,$M29)</f>
        <v>He produced 16.5 PPR/FP points per game across 17 games. The workload/efficiency profile gives the model a rate-based reason to keep him here. Market price is favorable around ADP 52 versus model overall rank 26.</v>
      </c>
      <c r="H29" t="str">
        <f>INDEX('LIVE SOURCE'!$J$3:$J$232,$M29)</f>
        <v>Touchdown variance, receiving-role changes and backfield competition are the main downside paths.</v>
      </c>
      <c r="I29">
        <f>INDEX('Draft Engine'!$R$3:$R$232,$M29)</f>
        <v>15.4</v>
      </c>
      <c r="J29">
        <f>INDEX('Draft Engine'!$S$3:$S$232,$M29)</f>
        <v>-11.6</v>
      </c>
      <c r="K29" t="str">
        <f>INDEX('Draft Engine'!$T$3:$T$232,$M29)</f>
        <v>A</v>
      </c>
      <c r="L29" t="str">
        <f>INDEX('Draft Engine'!$X$3:$X$232,$M29)</f>
        <v>RATE-ADJUSTED VETERAN</v>
      </c>
      <c r="M29" s="6">
        <f>MATCH($A29,'Draft Engine'!$Q$3:$Q$232,0)</f>
        <v>45</v>
      </c>
    </row>
    <row r="30" spans="1:13" x14ac:dyDescent="0.25">
      <c r="A30">
        <f>28</f>
        <v>28</v>
      </c>
      <c r="B30" t="str">
        <f>INDEX('Draft Engine'!$A$3:$A$232,$M30)</f>
        <v>WR</v>
      </c>
      <c r="C30">
        <f>INDEX('Draft Engine'!$F$3:$F$232,$M30)</f>
        <v>12</v>
      </c>
      <c r="D30" t="str">
        <f>INDEX('Draft Engine'!$B$3:$B$232,$M30)</f>
        <v>Tetairoa McMillan</v>
      </c>
      <c r="E30" s="4">
        <f>INDEX('Draft Engine'!$E$3:$E$232,$M30)</f>
        <v>85.74</v>
      </c>
      <c r="F30" t="str">
        <f>INDEX('LIVE SOURCE'!$H$3:$H$232,$M30)</f>
        <v>Strong WR1; bankable weekly starter with spike-week ceiling.</v>
      </c>
      <c r="G30" t="str">
        <f>INDEX('LIVE SOURCE'!$I$3:$I$232,$M30)</f>
        <v>He produced 12.4 PPR/FP points per game across 17 games. The workload/efficiency profile gives the model a rate-based reason to keep him here. Market price is favorable around ADP 50 versus model overall rank 28.</v>
      </c>
      <c r="H30" t="str">
        <f>INDEX('LIVE SOURCE'!$J$3:$J$232,$M30)</f>
        <v>Target competition, quarterback efficiency and touchdown regression are the main downside paths.</v>
      </c>
      <c r="I30">
        <f>INDEX('Draft Engine'!$R$3:$R$232,$M30)</f>
        <v>34.4</v>
      </c>
      <c r="J30">
        <f>INDEX('Draft Engine'!$S$3:$S$232,$M30)</f>
        <v>6.3999999999999986</v>
      </c>
      <c r="K30" t="str">
        <f>INDEX('Draft Engine'!$T$3:$T$232,$M30)</f>
        <v>B</v>
      </c>
      <c r="L30" t="str">
        <f>INDEX('Draft Engine'!$X$3:$X$232,$M30)</f>
        <v>HISTORY FALLBACK</v>
      </c>
      <c r="M30" s="6">
        <f>MATCH($A30,'Draft Engine'!$Q$3:$Q$232,0)</f>
        <v>97</v>
      </c>
    </row>
    <row r="31" spans="1:13" x14ac:dyDescent="0.25">
      <c r="A31">
        <f>29</f>
        <v>29</v>
      </c>
      <c r="B31" t="str">
        <f>INDEX('Draft Engine'!$A$3:$A$232,$M31)</f>
        <v>RB</v>
      </c>
      <c r="C31">
        <f>INDEX('Draft Engine'!$F$3:$F$232,$M31)</f>
        <v>14</v>
      </c>
      <c r="D31" t="str">
        <f>INDEX('Draft Engine'!$B$3:$B$232,$M31)</f>
        <v>Chase Brown</v>
      </c>
      <c r="E31" s="4">
        <f>INDEX('Draft Engine'!$E$3:$E$232,$M31)</f>
        <v>85.664400000000001</v>
      </c>
      <c r="F31" t="str">
        <f>INDEX('LIVE SOURCE'!$H$3:$H$232,$M31)</f>
        <v>RB2 with RB1 weeks; should be a regular starter.</v>
      </c>
      <c r="G31" t="str">
        <f>INDEX('LIVE SOURCE'!$I$3:$I$232,$M31)</f>
        <v>He produced 16.7 PPR/FP points per game across 17 games. The workload/efficiency profile gives the model a rate-based reason to keep him here.</v>
      </c>
      <c r="H31" t="str">
        <f>INDEX('LIVE SOURCE'!$J$3:$J$232,$M31)</f>
        <v>Touchdown variance, receiving-role changes and backfield competition are the main downside paths.</v>
      </c>
      <c r="I31">
        <f>INDEX('Draft Engine'!$R$3:$R$232,$M31)</f>
        <v>12.1</v>
      </c>
      <c r="J31">
        <f>INDEX('Draft Engine'!$S$3:$S$232,$M31)</f>
        <v>-16.899999999999999</v>
      </c>
      <c r="K31" t="str">
        <f>INDEX('Draft Engine'!$T$3:$T$232,$M31)</f>
        <v>A</v>
      </c>
      <c r="L31" t="str">
        <f>INDEX('Draft Engine'!$X$3:$X$232,$M31)</f>
        <v>RATE-ADJUSTED VETERAN</v>
      </c>
      <c r="M31" s="6">
        <f>MATCH($A31,'Draft Engine'!$Q$3:$Q$232,0)</f>
        <v>46</v>
      </c>
    </row>
    <row r="32" spans="1:13" x14ac:dyDescent="0.25">
      <c r="A32">
        <f>30</f>
        <v>30</v>
      </c>
      <c r="B32" t="str">
        <f>INDEX('Draft Engine'!$A$3:$A$232,$M32)</f>
        <v>QB</v>
      </c>
      <c r="C32">
        <f>INDEX('Draft Engine'!$F$3:$F$232,$M32)</f>
        <v>2</v>
      </c>
      <c r="D32" t="str">
        <f>INDEX('Draft Engine'!$B$3:$B$232,$M32)</f>
        <v>Caleb Williams</v>
      </c>
      <c r="E32" s="4">
        <f>INDEX('Draft Engine'!$E$3:$E$232,$M32)</f>
        <v>92.192700000000002</v>
      </c>
      <c r="F32" t="str">
        <f>INDEX('LIVE SOURCE'!$H$3:$H$232,$M32)</f>
        <v>Elite QB1; weekly top-5 expectation with overall QB1 upside.</v>
      </c>
      <c r="G32" t="str">
        <f>INDEX('LIVE SOURCE'!$I$3:$I$232,$M32)</f>
        <v>He produced 19.0 PPR/FP points per game across 17 games. The workload/efficiency profile gives the model a rate-based reason to keep him here.</v>
      </c>
      <c r="H32" t="str">
        <f>INDEX('LIVE SOURCE'!$J$3:$J$232,$M32)</f>
        <v>Passing-TD efficiency, rushing volume and supporting-cast health are the main swing factors.</v>
      </c>
      <c r="I32">
        <f>INDEX('Draft Engine'!$R$3:$R$232,$M32)</f>
        <v>107.5</v>
      </c>
      <c r="J32">
        <f>INDEX('Draft Engine'!$S$3:$S$232,$M32)</f>
        <v>77.5</v>
      </c>
      <c r="K32" t="str">
        <f>INDEX('Draft Engine'!$T$3:$T$232,$M32)</f>
        <v>A</v>
      </c>
      <c r="L32" t="str">
        <f>INDEX('Draft Engine'!$X$3:$X$232,$M32)</f>
        <v>RATE-ADJUSTED VETERAN</v>
      </c>
      <c r="M32" s="6">
        <f>MATCH($A32,'Draft Engine'!$Q$3:$Q$232,0)</f>
        <v>2</v>
      </c>
    </row>
    <row r="33" spans="1:13" x14ac:dyDescent="0.25">
      <c r="A33">
        <f>31</f>
        <v>31</v>
      </c>
      <c r="B33" t="str">
        <f>INDEX('Draft Engine'!$A$3:$A$232,$M33)</f>
        <v>WR</v>
      </c>
      <c r="C33">
        <f>INDEX('Draft Engine'!$F$3:$F$232,$M33)</f>
        <v>13</v>
      </c>
      <c r="D33" t="str">
        <f>INDEX('Draft Engine'!$B$3:$B$232,$M33)</f>
        <v>Tee Higgins</v>
      </c>
      <c r="E33" s="4">
        <f>INDEX('Draft Engine'!$E$3:$E$232,$M33)</f>
        <v>84.822500000000005</v>
      </c>
      <c r="F33" t="str">
        <f>INDEX('LIVE SOURCE'!$H$3:$H$232,$M33)</f>
        <v>Strong WR2 with top-12 weekly upside.</v>
      </c>
      <c r="G33" t="str">
        <f>INDEX('LIVE SOURCE'!$I$3:$I$232,$M33)</f>
        <v>He produced 14.1 PPR/FP points per game across 15 games. The workload/efficiency profile gives the model a rate-based reason to keep him here. Market price is favorable around ADP 54 versus model overall rank 37.</v>
      </c>
      <c r="H33" t="str">
        <f>INDEX('LIVE SOURCE'!$J$3:$J$232,$M33)</f>
        <v>Target competition, quarterback efficiency and touchdown regression are the main downside paths.</v>
      </c>
      <c r="I33">
        <f>INDEX('Draft Engine'!$R$3:$R$232,$M33)</f>
        <v>38.6</v>
      </c>
      <c r="J33">
        <f>INDEX('Draft Engine'!$S$3:$S$232,$M33)</f>
        <v>7.6000000000000014</v>
      </c>
      <c r="K33" t="str">
        <f>INDEX('Draft Engine'!$T$3:$T$232,$M33)</f>
        <v>B</v>
      </c>
      <c r="L33" t="str">
        <f>INDEX('Draft Engine'!$X$3:$X$232,$M33)</f>
        <v>HISTORY FALLBACK</v>
      </c>
      <c r="M33" s="6">
        <f>MATCH($A33,'Draft Engine'!$Q$3:$Q$232,0)</f>
        <v>98</v>
      </c>
    </row>
    <row r="34" spans="1:13" x14ac:dyDescent="0.25">
      <c r="A34">
        <f>32</f>
        <v>32</v>
      </c>
      <c r="B34" t="str">
        <f>INDEX('Draft Engine'!$A$3:$A$232,$M34)</f>
        <v>WR</v>
      </c>
      <c r="C34">
        <f>INDEX('Draft Engine'!$F$3:$F$232,$M34)</f>
        <v>14</v>
      </c>
      <c r="D34" t="str">
        <f>INDEX('Draft Engine'!$B$3:$B$232,$M34)</f>
        <v>Justin Jefferson</v>
      </c>
      <c r="E34" s="4">
        <f>INDEX('Draft Engine'!$E$3:$E$232,$M34)</f>
        <v>84.793599999999998</v>
      </c>
      <c r="F34" t="str">
        <f>INDEX('LIVE SOURCE'!$H$3:$H$232,$M34)</f>
        <v>Strong WR2 with top-12 weekly upside.</v>
      </c>
      <c r="G34" t="str">
        <f>INDEX('LIVE SOURCE'!$I$3:$I$232,$M34)</f>
        <v>The 2026 opportunity and projection carry most of the grade because detailed 2025 rate data is incomplete. The market is more aggressive at ADP 9 versus model overall rank 30, so price matters.</v>
      </c>
      <c r="H34" t="str">
        <f>INDEX('LIVE SOURCE'!$J$3:$J$232,$M34)</f>
        <v>Price is the biggest risk: the market currently asks you to draft him earlier than the model prefers.</v>
      </c>
      <c r="I34">
        <f>INDEX('Draft Engine'!$R$3:$R$232,$M34)</f>
        <v>14.6</v>
      </c>
      <c r="J34">
        <f>INDEX('Draft Engine'!$S$3:$S$232,$M34)</f>
        <v>-17.399999999999999</v>
      </c>
      <c r="K34" t="str">
        <f>INDEX('Draft Engine'!$T$3:$T$232,$M34)</f>
        <v>A</v>
      </c>
      <c r="L34" t="str">
        <f>INDEX('Draft Engine'!$X$3:$X$232,$M34)</f>
        <v>HISTORY FALLBACK</v>
      </c>
      <c r="M34" s="6">
        <f>MATCH($A34,'Draft Engine'!$Q$3:$Q$232,0)</f>
        <v>91</v>
      </c>
    </row>
    <row r="35" spans="1:13" x14ac:dyDescent="0.25">
      <c r="A35">
        <f>33</f>
        <v>33</v>
      </c>
      <c r="B35" t="str">
        <f>INDEX('Draft Engine'!$A$3:$A$232,$M35)</f>
        <v>RB</v>
      </c>
      <c r="C35">
        <f>INDEX('Draft Engine'!$F$3:$F$232,$M35)</f>
        <v>15</v>
      </c>
      <c r="D35" t="str">
        <f>INDEX('Draft Engine'!$B$3:$B$232,$M35)</f>
        <v>Josh Jacobs</v>
      </c>
      <c r="E35" s="4">
        <f>INDEX('Draft Engine'!$E$3:$E$232,$M35)</f>
        <v>84.426400000000001</v>
      </c>
      <c r="F35" t="str">
        <f>INDEX('LIVE SOURCE'!$H$3:$H$232,$M35)</f>
        <v>RB2 with RB1 weeks; should be a regular starter.</v>
      </c>
      <c r="G35" t="str">
        <f>INDEX('LIVE SOURCE'!$I$3:$I$232,$M35)</f>
        <v>He produced 15.8 PPR/FP points per game across 15 games. The workload/efficiency profile gives the model a rate-based reason to keep him here. Market price is favorable around ADP 61 versus model overall rank 33.</v>
      </c>
      <c r="H35" t="str">
        <f>INDEX('LIVE SOURCE'!$J$3:$J$232,$M35)</f>
        <v>Touchdown variance, receiving-role changes and backfield competition are the main downside paths.</v>
      </c>
      <c r="I35">
        <f>INDEX('Draft Engine'!$R$3:$R$232,$M35)</f>
        <v>24.2</v>
      </c>
      <c r="J35">
        <f>INDEX('Draft Engine'!$S$3:$S$232,$M35)</f>
        <v>-8.8000000000000007</v>
      </c>
      <c r="K35" t="str">
        <f>INDEX('Draft Engine'!$T$3:$T$232,$M35)</f>
        <v>A</v>
      </c>
      <c r="L35" t="str">
        <f>INDEX('Draft Engine'!$X$3:$X$232,$M35)</f>
        <v>RATE-ADJUSTED VETERAN</v>
      </c>
      <c r="M35" s="6">
        <f>MATCH($A35,'Draft Engine'!$Q$3:$Q$232,0)</f>
        <v>47</v>
      </c>
    </row>
    <row r="36" spans="1:13" x14ac:dyDescent="0.25">
      <c r="A36">
        <f>34</f>
        <v>34</v>
      </c>
      <c r="B36" t="str">
        <f>INDEX('Draft Engine'!$A$3:$A$232,$M36)</f>
        <v>TE</v>
      </c>
      <c r="C36">
        <f>INDEX('Draft Engine'!$F$3:$F$232,$M36)</f>
        <v>3</v>
      </c>
      <c r="D36" t="str">
        <f>INDEX('Draft Engine'!$B$3:$B$232,$M36)</f>
        <v>Colston Loveland</v>
      </c>
      <c r="E36" s="4">
        <f>INDEX('Draft Engine'!$E$3:$E$232,$M36)</f>
        <v>88.753100000000003</v>
      </c>
      <c r="F36" t="str">
        <f>INDEX('LIVE SOURCE'!$H$3:$H$232,$M36)</f>
        <v>Elite difference-making TE; positional advantage is the expectation.</v>
      </c>
      <c r="G36" t="str">
        <f>INDEX('LIVE SOURCE'!$I$3:$I$232,$M36)</f>
        <v>He produced 10.3 PPR/FP points per game across 16 games. The workload/efficiency profile gives the model a rate-based reason to keep him here. Market price is favorable around ADP 35 versus model overall rank 22.</v>
      </c>
      <c r="H36" t="str">
        <f>INDEX('LIVE SOURCE'!$J$3:$J$232,$M36)</f>
        <v>Route share, target volume and touchdown volatility are the main swing factors.</v>
      </c>
      <c r="I36">
        <f>INDEX('Draft Engine'!$R$3:$R$232,$M36)</f>
        <v>60.8</v>
      </c>
      <c r="J36">
        <f>INDEX('Draft Engine'!$S$3:$S$232,$M36)</f>
        <v>26.799999999999997</v>
      </c>
      <c r="K36" t="str">
        <f>INDEX('Draft Engine'!$T$3:$T$232,$M36)</f>
        <v>A</v>
      </c>
      <c r="L36" t="str">
        <f>INDEX('Draft Engine'!$X$3:$X$232,$M36)</f>
        <v>RATE-ADJUSTED VETERAN</v>
      </c>
      <c r="M36" s="6">
        <f>MATCH($A36,'Draft Engine'!$Q$3:$Q$232,0)</f>
        <v>161</v>
      </c>
    </row>
    <row r="37" spans="1:13" x14ac:dyDescent="0.25">
      <c r="A37">
        <f>35</f>
        <v>35</v>
      </c>
      <c r="B37" t="str">
        <f>INDEX('Draft Engine'!$A$3:$A$232,$M37)</f>
        <v>WR</v>
      </c>
      <c r="C37">
        <f>INDEX('Draft Engine'!$F$3:$F$232,$M37)</f>
        <v>15</v>
      </c>
      <c r="D37" t="str">
        <f>INDEX('Draft Engine'!$B$3:$B$232,$M37)</f>
        <v>Rashee Rice</v>
      </c>
      <c r="E37" s="4">
        <f>INDEX('Draft Engine'!$E$3:$E$232,$M37)</f>
        <v>84.094700000000003</v>
      </c>
      <c r="F37" t="str">
        <f>INDEX('LIVE SOURCE'!$H$3:$H$232,$M37)</f>
        <v>Strong WR2 with top-12 weekly upside.</v>
      </c>
      <c r="G37" t="str">
        <f>INDEX('LIVE SOURCE'!$I$3:$I$232,$M37)</f>
        <v>He produced 18.7 PPR/FP points per game across 8 games. The workload/efficiency profile gives the model a rate-based reason to keep him here. The market is more aggressive at ADP 22 versus model overall rank 40, so price matters.</v>
      </c>
      <c r="H37" t="str">
        <f>INDEX('LIVE SOURCE'!$J$3:$J$232,$M37)</f>
        <v>Availability/sample risk is elevated after only 8 games; talent is not being punished as heavily as durability.</v>
      </c>
      <c r="I37">
        <f>INDEX('Draft Engine'!$R$3:$R$232,$M37)</f>
        <v>11.5</v>
      </c>
      <c r="J37">
        <f>INDEX('Draft Engine'!$S$3:$S$232,$M37)</f>
        <v>-23.5</v>
      </c>
      <c r="K37" t="str">
        <f>INDEX('Draft Engine'!$T$3:$T$232,$M37)</f>
        <v>A</v>
      </c>
      <c r="L37" t="str">
        <f>INDEX('Draft Engine'!$X$3:$X$232,$M37)</f>
        <v>HISTORY FALLBACK</v>
      </c>
      <c r="M37" s="6">
        <f>MATCH($A37,'Draft Engine'!$Q$3:$Q$232,0)</f>
        <v>95</v>
      </c>
    </row>
    <row r="38" spans="1:13" x14ac:dyDescent="0.25">
      <c r="A38">
        <f>36</f>
        <v>36</v>
      </c>
      <c r="B38" t="str">
        <f>INDEX('Draft Engine'!$A$3:$A$232,$M38)</f>
        <v>RB</v>
      </c>
      <c r="C38">
        <f>INDEX('Draft Engine'!$F$3:$F$232,$M38)</f>
        <v>16</v>
      </c>
      <c r="D38" t="str">
        <f>INDEX('Draft Engine'!$B$3:$B$232,$M38)</f>
        <v>Saquon Barkley</v>
      </c>
      <c r="E38" s="4">
        <f>INDEX('Draft Engine'!$E$3:$E$232,$M38)</f>
        <v>84.034000000000006</v>
      </c>
      <c r="F38" t="str">
        <f>INDEX('LIVE SOURCE'!$H$3:$H$232,$M38)</f>
        <v>RB2 with RB1 weeks; should be a regular starter.</v>
      </c>
      <c r="G38" t="str">
        <f>INDEX('LIVE SOURCE'!$I$3:$I$232,$M38)</f>
        <v>He produced 14.5 PPR/FP points per game across 16 games. The workload/efficiency profile gives the model a rate-based reason to keep him here. Market price is favorable around ADP 65 versus model overall rank 34.</v>
      </c>
      <c r="H38" t="str">
        <f>INDEX('LIVE SOURCE'!$J$3:$J$232,$M38)</f>
        <v>Touchdown variance, receiving-role changes and backfield competition are the main downside paths.</v>
      </c>
      <c r="I38">
        <f>INDEX('Draft Engine'!$R$3:$R$232,$M38)</f>
        <v>19</v>
      </c>
      <c r="J38">
        <f>INDEX('Draft Engine'!$S$3:$S$232,$M38)</f>
        <v>-17</v>
      </c>
      <c r="K38" t="str">
        <f>INDEX('Draft Engine'!$T$3:$T$232,$M38)</f>
        <v>A</v>
      </c>
      <c r="L38" t="str">
        <f>INDEX('Draft Engine'!$X$3:$X$232,$M38)</f>
        <v>RATE-ADJUSTED VETERAN</v>
      </c>
      <c r="M38" s="6">
        <f>MATCH($A38,'Draft Engine'!$Q$3:$Q$232,0)</f>
        <v>48</v>
      </c>
    </row>
    <row r="39" spans="1:13" x14ac:dyDescent="0.25">
      <c r="A39">
        <f>37</f>
        <v>37</v>
      </c>
      <c r="B39" t="str">
        <f>INDEX('Draft Engine'!$A$3:$A$232,$M39)</f>
        <v>QB</v>
      </c>
      <c r="C39">
        <f>INDEX('Draft Engine'!$F$3:$F$232,$M39)</f>
        <v>3</v>
      </c>
      <c r="D39" t="str">
        <f>INDEX('Draft Engine'!$B$3:$B$232,$M39)</f>
        <v>Drake Maye</v>
      </c>
      <c r="E39" s="4">
        <f>INDEX('Draft Engine'!$E$3:$E$232,$M39)</f>
        <v>91.043000000000006</v>
      </c>
      <c r="F39" t="str">
        <f>INDEX('LIVE SOURCE'!$H$3:$H$232,$M39)</f>
        <v>Elite QB1; weekly top-5 expectation with overall QB1 upside.</v>
      </c>
      <c r="G39" t="str">
        <f>INDEX('LIVE SOURCE'!$I$3:$I$232,$M39)</f>
        <v>He produced 21.1 PPR/FP points per game across 17 games. The workload/efficiency profile gives the model a rate-based reason to keep him here.</v>
      </c>
      <c r="H39" t="str">
        <f>INDEX('LIVE SOURCE'!$J$3:$J$232,$M39)</f>
        <v>Passing-TD efficiency, rushing volume and supporting-cast health are the main swing factors.</v>
      </c>
      <c r="I39">
        <f>INDEX('Draft Engine'!$R$3:$R$232,$M39)</f>
        <v>49.8</v>
      </c>
      <c r="J39">
        <f>INDEX('Draft Engine'!$S$3:$S$232,$M39)</f>
        <v>12.799999999999997</v>
      </c>
      <c r="K39" t="str">
        <f>INDEX('Draft Engine'!$T$3:$T$232,$M39)</f>
        <v>A</v>
      </c>
      <c r="L39" t="str">
        <f>INDEX('Draft Engine'!$X$3:$X$232,$M39)</f>
        <v>RATE-ADJUSTED VETERAN</v>
      </c>
      <c r="M39" s="6">
        <f>MATCH($A39,'Draft Engine'!$Q$3:$Q$232,0)</f>
        <v>3</v>
      </c>
    </row>
    <row r="40" spans="1:13" x14ac:dyDescent="0.25">
      <c r="A40">
        <f>38</f>
        <v>38</v>
      </c>
      <c r="B40" t="str">
        <f>INDEX('Draft Engine'!$A$3:$A$232,$M40)</f>
        <v>RB</v>
      </c>
      <c r="C40">
        <f>INDEX('Draft Engine'!$F$3:$F$232,$M40)</f>
        <v>17</v>
      </c>
      <c r="D40" t="str">
        <f>INDEX('Draft Engine'!$B$3:$B$232,$M40)</f>
        <v>Javonte Williams</v>
      </c>
      <c r="E40" s="4">
        <f>INDEX('Draft Engine'!$E$3:$E$232,$M40)</f>
        <v>83.803200000000004</v>
      </c>
      <c r="F40" t="str">
        <f>INDEX('LIVE SOURCE'!$H$3:$H$232,$M40)</f>
        <v>RB2 with RB1 weeks; should be a regular starter.</v>
      </c>
      <c r="G40" t="str">
        <f>INDEX('LIVE SOURCE'!$I$3:$I$232,$M40)</f>
        <v>He produced 15.2 PPR/FP points per game across 16 games. The workload/efficiency profile gives the model a rate-based reason to keep him here. Market price is favorable around ADP 69 versus model overall rank 35.</v>
      </c>
      <c r="H40" t="str">
        <f>INDEX('LIVE SOURCE'!$J$3:$J$232,$M40)</f>
        <v>Touchdown variance, receiving-role changes and backfield competition are the main downside paths.</v>
      </c>
      <c r="I40">
        <f>INDEX('Draft Engine'!$R$3:$R$232,$M40)</f>
        <v>35.799999999999997</v>
      </c>
      <c r="J40">
        <f>INDEX('Draft Engine'!$S$3:$S$232,$M40)</f>
        <v>-2.2000000000000028</v>
      </c>
      <c r="K40" t="str">
        <f>INDEX('Draft Engine'!$T$3:$T$232,$M40)</f>
        <v>A</v>
      </c>
      <c r="L40" t="str">
        <f>INDEX('Draft Engine'!$X$3:$X$232,$M40)</f>
        <v>RATE-ADJUSTED VETERAN</v>
      </c>
      <c r="M40" s="6">
        <f>MATCH($A40,'Draft Engine'!$Q$3:$Q$232,0)</f>
        <v>49</v>
      </c>
    </row>
    <row r="41" spans="1:13" x14ac:dyDescent="0.25">
      <c r="A41">
        <f>39</f>
        <v>39</v>
      </c>
      <c r="B41" t="str">
        <f>INDEX('Draft Engine'!$A$3:$A$232,$M41)</f>
        <v>WR</v>
      </c>
      <c r="C41">
        <f>INDEX('Draft Engine'!$F$3:$F$232,$M41)</f>
        <v>16</v>
      </c>
      <c r="D41" t="str">
        <f>INDEX('Draft Engine'!$B$3:$B$232,$M41)</f>
        <v>A.J. Brown</v>
      </c>
      <c r="E41" s="4">
        <f>INDEX('Draft Engine'!$E$3:$E$232,$M41)</f>
        <v>83.235699999999994</v>
      </c>
      <c r="F41" t="str">
        <f>INDEX('LIVE SOURCE'!$H$3:$H$232,$M41)</f>
        <v>Strong WR2 with top-12 weekly upside.</v>
      </c>
      <c r="G41" t="str">
        <f>INDEX('LIVE SOURCE'!$I$3:$I$232,$M41)</f>
        <v>He produced 14.7 PPR/FP points per game across 15 games. The workload/efficiency profile gives the model a rate-based reason to keep him here. The market is more aggressive at ADP 14 versus model overall rank 41, so price matters.</v>
      </c>
      <c r="H41" t="str">
        <f>INDEX('LIVE SOURCE'!$J$3:$J$232,$M41)</f>
        <v>Price is the biggest risk: the market currently asks you to draft him earlier than the model prefers.</v>
      </c>
      <c r="I41">
        <f>INDEX('Draft Engine'!$R$3:$R$232,$M41)</f>
        <v>17.8</v>
      </c>
      <c r="J41">
        <f>INDEX('Draft Engine'!$S$3:$S$232,$M41)</f>
        <v>-21.2</v>
      </c>
      <c r="K41" t="str">
        <f>INDEX('Draft Engine'!$T$3:$T$232,$M41)</f>
        <v>A</v>
      </c>
      <c r="L41" t="str">
        <f>INDEX('Draft Engine'!$X$3:$X$232,$M41)</f>
        <v>HISTORY FALLBACK</v>
      </c>
      <c r="M41" s="6">
        <f>MATCH($A41,'Draft Engine'!$Q$3:$Q$232,0)</f>
        <v>89</v>
      </c>
    </row>
    <row r="42" spans="1:13" x14ac:dyDescent="0.25">
      <c r="A42">
        <f>40</f>
        <v>40</v>
      </c>
      <c r="B42" t="str">
        <f>INDEX('Draft Engine'!$A$3:$A$232,$M42)</f>
        <v>RB</v>
      </c>
      <c r="C42">
        <f>INDEX('Draft Engine'!$F$3:$F$232,$M42)</f>
        <v>18</v>
      </c>
      <c r="D42" t="str">
        <f>INDEX('Draft Engine'!$B$3:$B$232,$M42)</f>
        <v>Travis Etienne Jr.</v>
      </c>
      <c r="E42" s="4">
        <f>INDEX('Draft Engine'!$E$3:$E$232,$M42)</f>
        <v>83.043599999999998</v>
      </c>
      <c r="F42" t="str">
        <f>INDEX('LIVE SOURCE'!$H$3:$H$232,$M42)</f>
        <v>RB2 with RB1 weeks; should be a regular starter.</v>
      </c>
      <c r="G42" t="str">
        <f>INDEX('LIVE SOURCE'!$I$3:$I$232,$M42)</f>
        <v>He produced 14.9 PPR/FP points per game across 17 games. The workload/efficiency profile gives the model a rate-based reason to keep him here. Market price is favorable around ADP 73 versus model overall rank 39.</v>
      </c>
      <c r="H42" t="str">
        <f>INDEX('LIVE SOURCE'!$J$3:$J$232,$M42)</f>
        <v>Touchdown variance, receiving-role changes and backfield competition are the main downside paths.</v>
      </c>
      <c r="I42">
        <f>INDEX('Draft Engine'!$R$3:$R$232,$M42)</f>
        <v>38.4</v>
      </c>
      <c r="J42">
        <f>INDEX('Draft Engine'!$S$3:$S$232,$M42)</f>
        <v>-1.6000000000000014</v>
      </c>
      <c r="K42" t="str">
        <f>INDEX('Draft Engine'!$T$3:$T$232,$M42)</f>
        <v>A</v>
      </c>
      <c r="L42" t="str">
        <f>INDEX('Draft Engine'!$X$3:$X$232,$M42)</f>
        <v>RATE-ADJUSTED VETERAN</v>
      </c>
      <c r="M42" s="6">
        <f>MATCH($A42,'Draft Engine'!$Q$3:$Q$232,0)</f>
        <v>50</v>
      </c>
    </row>
    <row r="43" spans="1:13" x14ac:dyDescent="0.25">
      <c r="A43">
        <f>41</f>
        <v>41</v>
      </c>
      <c r="B43" t="str">
        <f>INDEX('Draft Engine'!$A$3:$A$232,$M43)</f>
        <v>TE</v>
      </c>
      <c r="C43">
        <f>INDEX('Draft Engine'!$F$3:$F$232,$M43)</f>
        <v>4</v>
      </c>
      <c r="D43" t="str">
        <f>INDEX('Draft Engine'!$B$3:$B$232,$M43)</f>
        <v>Tyler Warren</v>
      </c>
      <c r="E43" s="4">
        <f>INDEX('Draft Engine'!$E$3:$E$232,$M43)</f>
        <v>87.202399999999997</v>
      </c>
      <c r="F43" t="str">
        <f>INDEX('LIVE SOURCE'!$H$3:$H$232,$M43)</f>
        <v>Every-week TE1 with real top-5 upside.</v>
      </c>
      <c r="G43" t="str">
        <f>INDEX('LIVE SOURCE'!$I$3:$I$232,$M43)</f>
        <v>He produced 11.1 PPR/FP points per game across 17 games. The workload/efficiency profile gives the model a rate-based reason to keep him here.</v>
      </c>
      <c r="H43" t="str">
        <f>INDEX('LIVE SOURCE'!$J$3:$J$232,$M43)</f>
        <v>Route share, target volume and touchdown volatility are the main swing factors.</v>
      </c>
      <c r="I43">
        <f>INDEX('Draft Engine'!$R$3:$R$232,$M43)</f>
        <v>65.400000000000006</v>
      </c>
      <c r="J43">
        <f>INDEX('Draft Engine'!$S$3:$S$232,$M43)</f>
        <v>24.400000000000006</v>
      </c>
      <c r="K43" t="str">
        <f>INDEX('Draft Engine'!$T$3:$T$232,$M43)</f>
        <v>A</v>
      </c>
      <c r="L43" t="str">
        <f>INDEX('Draft Engine'!$X$3:$X$232,$M43)</f>
        <v>RATE-ADJUSTED VETERAN</v>
      </c>
      <c r="M43" s="6">
        <f>MATCH($A43,'Draft Engine'!$Q$3:$Q$232,0)</f>
        <v>162</v>
      </c>
    </row>
    <row r="44" spans="1:13" x14ac:dyDescent="0.25">
      <c r="A44">
        <f>42</f>
        <v>42</v>
      </c>
      <c r="B44" t="str">
        <f>INDEX('Draft Engine'!$A$3:$A$232,$M44)</f>
        <v>QB</v>
      </c>
      <c r="C44">
        <f>INDEX('Draft Engine'!$F$3:$F$232,$M44)</f>
        <v>4</v>
      </c>
      <c r="D44" t="str">
        <f>INDEX('Draft Engine'!$B$3:$B$232,$M44)</f>
        <v>Justin Herbert</v>
      </c>
      <c r="E44" s="4">
        <f>INDEX('Draft Engine'!$E$3:$E$232,$M44)</f>
        <v>90.116900000000001</v>
      </c>
      <c r="F44" t="str">
        <f>INDEX('LIVE SOURCE'!$H$3:$H$232,$M44)</f>
        <v>Strong every-week QB1; frequent top-8 finishes expected.</v>
      </c>
      <c r="G44" t="str">
        <f>INDEX('LIVE SOURCE'!$I$3:$I$232,$M44)</f>
        <v>He produced 18.7 PPR/FP points per game across 16 games. The workload/efficiency profile gives the model a rate-based reason to keep him here.</v>
      </c>
      <c r="H44" t="str">
        <f>INDEX('LIVE SOURCE'!$J$3:$J$232,$M44)</f>
        <v>Passing-TD efficiency, rushing volume and supporting-cast health are the main swing factors.</v>
      </c>
      <c r="I44">
        <f>INDEX('Draft Engine'!$R$3:$R$232,$M44)</f>
        <v>104.2</v>
      </c>
      <c r="J44">
        <f>INDEX('Draft Engine'!$S$3:$S$232,$M44)</f>
        <v>62.2</v>
      </c>
      <c r="K44" t="str">
        <f>INDEX('Draft Engine'!$T$3:$T$232,$M44)</f>
        <v>A</v>
      </c>
      <c r="L44" t="str">
        <f>INDEX('Draft Engine'!$X$3:$X$232,$M44)</f>
        <v>RATE-ADJUSTED VETERAN</v>
      </c>
      <c r="M44" s="6">
        <f>MATCH($A44,'Draft Engine'!$Q$3:$Q$232,0)</f>
        <v>4</v>
      </c>
    </row>
    <row r="45" spans="1:13" x14ac:dyDescent="0.25">
      <c r="A45">
        <f>43</f>
        <v>43</v>
      </c>
      <c r="B45" t="str">
        <f>INDEX('Draft Engine'!$A$3:$A$232,$M45)</f>
        <v>WR</v>
      </c>
      <c r="C45">
        <f>INDEX('Draft Engine'!$F$3:$F$232,$M45)</f>
        <v>17</v>
      </c>
      <c r="D45" t="str">
        <f>INDEX('Draft Engine'!$B$3:$B$232,$M45)</f>
        <v>Ladd McConkey</v>
      </c>
      <c r="E45" s="4">
        <f>INDEX('Draft Engine'!$E$3:$E$232,$M45)</f>
        <v>82.732500000000002</v>
      </c>
      <c r="F45" t="str">
        <f>INDEX('LIVE SOURCE'!$H$3:$H$232,$M45)</f>
        <v>Strong WR2 with top-12 weekly upside.</v>
      </c>
      <c r="G45" t="str">
        <f>INDEX('LIVE SOURCE'!$I$3:$I$232,$M45)</f>
        <v>The 2026 opportunity and projection carry most of the grade because detailed 2025 rate data is incomplete. Market price is favorable around ADP 85 versus model overall rank 51.</v>
      </c>
      <c r="H45" t="str">
        <f>INDEX('LIVE SOURCE'!$J$3:$J$232,$M45)</f>
        <v>Target competition, quarterback efficiency and touchdown regression are the main downside paths.</v>
      </c>
      <c r="I45">
        <f>INDEX('Draft Engine'!$R$3:$R$232,$M45)</f>
        <v>44.3</v>
      </c>
      <c r="J45">
        <f>INDEX('Draft Engine'!$S$3:$S$232,$M45)</f>
        <v>1.2999999999999972</v>
      </c>
      <c r="K45" t="str">
        <f>INDEX('Draft Engine'!$T$3:$T$232,$M45)</f>
        <v>B</v>
      </c>
      <c r="L45" t="str">
        <f>INDEX('Draft Engine'!$X$3:$X$232,$M45)</f>
        <v>HISTORY FALLBACK</v>
      </c>
      <c r="M45" s="6">
        <f>MATCH($A45,'Draft Engine'!$Q$3:$Q$232,0)</f>
        <v>106</v>
      </c>
    </row>
    <row r="46" spans="1:13" x14ac:dyDescent="0.25">
      <c r="A46">
        <f>44</f>
        <v>44</v>
      </c>
      <c r="B46" t="str">
        <f>INDEX('Draft Engine'!$A$3:$A$232,$M46)</f>
        <v>WR</v>
      </c>
      <c r="C46">
        <f>INDEX('Draft Engine'!$F$3:$F$232,$M46)</f>
        <v>18</v>
      </c>
      <c r="D46" t="str">
        <f>INDEX('Draft Engine'!$B$3:$B$232,$M46)</f>
        <v>Jaylen Waddle</v>
      </c>
      <c r="E46" s="4">
        <f>INDEX('Draft Engine'!$E$3:$E$232,$M46)</f>
        <v>82.317499999999995</v>
      </c>
      <c r="F46" t="str">
        <f>INDEX('LIVE SOURCE'!$H$3:$H$232,$M46)</f>
        <v>Strong WR2 with top-12 weekly upside.</v>
      </c>
      <c r="G46" t="str">
        <f>INDEX('LIVE SOURCE'!$I$3:$I$232,$M46)</f>
        <v>He produced 12.1 PPR/FP points per game across 16 games. The workload/efficiency profile gives the model a rate-based reason to keep him here. Market price is favorable around ADP 77 versus model overall rank 52.</v>
      </c>
      <c r="H46" t="str">
        <f>INDEX('LIVE SOURCE'!$J$3:$J$232,$M46)</f>
        <v>Target competition, quarterback efficiency and touchdown regression are the main downside paths.</v>
      </c>
      <c r="I46">
        <f>INDEX('Draft Engine'!$R$3:$R$232,$M46)</f>
        <v>48.9</v>
      </c>
      <c r="J46">
        <f>INDEX('Draft Engine'!$S$3:$S$232,$M46)</f>
        <v>4.8999999999999986</v>
      </c>
      <c r="K46" t="str">
        <f>INDEX('Draft Engine'!$T$3:$T$232,$M46)</f>
        <v>C</v>
      </c>
      <c r="L46" t="str">
        <f>INDEX('Draft Engine'!$X$3:$X$232,$M46)</f>
        <v>HISTORY FALLBACK</v>
      </c>
      <c r="M46" s="6">
        <f>MATCH($A46,'Draft Engine'!$Q$3:$Q$232,0)</f>
        <v>104</v>
      </c>
    </row>
    <row r="47" spans="1:13" x14ac:dyDescent="0.25">
      <c r="A47">
        <f>45</f>
        <v>45</v>
      </c>
      <c r="B47" t="str">
        <f>INDEX('Draft Engine'!$A$3:$A$232,$M47)</f>
        <v>TE</v>
      </c>
      <c r="C47">
        <f>INDEX('Draft Engine'!$F$3:$F$232,$M47)</f>
        <v>5</v>
      </c>
      <c r="D47" t="str">
        <f>INDEX('Draft Engine'!$B$3:$B$232,$M47)</f>
        <v>George Kittle</v>
      </c>
      <c r="E47" s="4">
        <f>INDEX('Draft Engine'!$E$3:$E$232,$M47)</f>
        <v>86.266400000000004</v>
      </c>
      <c r="F47" t="str">
        <f>INDEX('LIVE SOURCE'!$H$3:$H$232,$M47)</f>
        <v>Every-week TE1 with real top-5 upside.</v>
      </c>
      <c r="G47" t="str">
        <f>INDEX('LIVE SOURCE'!$I$3:$I$232,$M47)</f>
        <v>He produced 14.7 PPR/FP points per game across 11 games. The workload/efficiency profile gives the model a rate-based reason to keep him here. Market price is favorable around ADP 53 versus model overall rank 43.</v>
      </c>
      <c r="H47" t="str">
        <f>INDEX('LIVE SOURCE'!$J$3:$J$232,$M47)</f>
        <v>Route share, target volume and touchdown volatility are the main swing factors.</v>
      </c>
      <c r="I47">
        <f>INDEX('Draft Engine'!$R$3:$R$232,$M47)</f>
        <v>115.1</v>
      </c>
      <c r="J47">
        <f>INDEX('Draft Engine'!$S$3:$S$232,$M47)</f>
        <v>70.099999999999994</v>
      </c>
      <c r="K47" t="str">
        <f>INDEX('Draft Engine'!$T$3:$T$232,$M47)</f>
        <v>B</v>
      </c>
      <c r="L47" t="str">
        <f>INDEX('Draft Engine'!$X$3:$X$232,$M47)</f>
        <v>RATE-ADJUSTED VETERAN</v>
      </c>
      <c r="M47" s="6">
        <f>MATCH($A47,'Draft Engine'!$Q$3:$Q$232,0)</f>
        <v>163</v>
      </c>
    </row>
    <row r="48" spans="1:13" x14ac:dyDescent="0.25">
      <c r="A48">
        <f>46</f>
        <v>46</v>
      </c>
      <c r="B48" t="str">
        <f>INDEX('Draft Engine'!$A$3:$A$232,$M48)</f>
        <v>RB</v>
      </c>
      <c r="C48">
        <f>INDEX('Draft Engine'!$F$3:$F$232,$M48)</f>
        <v>19</v>
      </c>
      <c r="D48" t="str">
        <f>INDEX('Draft Engine'!$B$3:$B$232,$M48)</f>
        <v>Cam Skattebo</v>
      </c>
      <c r="E48" s="4">
        <f>INDEX('Draft Engine'!$E$3:$E$232,$M48)</f>
        <v>81.888400000000004</v>
      </c>
      <c r="F48" t="str">
        <f>INDEX('LIVE SOURCE'!$H$3:$H$232,$M48)</f>
        <v>RB2 with RB1 weeks; should be a regular starter.</v>
      </c>
      <c r="G48" t="str">
        <f>INDEX('LIVE SOURCE'!$I$3:$I$232,$M48)</f>
        <v>He produced 16.0 PPR/FP points per game across 8 games. The workload/efficiency profile gives the model a rate-based reason to keep him here. Market price is favorable around ADP 78 versus model overall rank 42.</v>
      </c>
      <c r="H48" t="str">
        <f>INDEX('LIVE SOURCE'!$J$3:$J$232,$M48)</f>
        <v>Availability/sample risk is elevated after only 8 games; talent is not being punished as heavily as durability.</v>
      </c>
      <c r="I48">
        <f>INDEX('Draft Engine'!$R$3:$R$232,$M48)</f>
        <v>30.8</v>
      </c>
      <c r="J48">
        <f>INDEX('Draft Engine'!$S$3:$S$232,$M48)</f>
        <v>-15.2</v>
      </c>
      <c r="K48" t="str">
        <f>INDEX('Draft Engine'!$T$3:$T$232,$M48)</f>
        <v>B</v>
      </c>
      <c r="L48" t="str">
        <f>INDEX('Draft Engine'!$X$3:$X$232,$M48)</f>
        <v>RATE-ADJUSTED VETERAN</v>
      </c>
      <c r="M48" s="6">
        <f>MATCH($A48,'Draft Engine'!$Q$3:$Q$232,0)</f>
        <v>51</v>
      </c>
    </row>
    <row r="49" spans="1:13" x14ac:dyDescent="0.25">
      <c r="A49">
        <f>47</f>
        <v>47</v>
      </c>
      <c r="B49" t="str">
        <f>INDEX('Draft Engine'!$A$3:$A$232,$M49)</f>
        <v>WR</v>
      </c>
      <c r="C49">
        <f>INDEX('Draft Engine'!$F$3:$F$232,$M49)</f>
        <v>19</v>
      </c>
      <c r="D49" t="str">
        <f>INDEX('Draft Engine'!$B$3:$B$232,$M49)</f>
        <v>George Pickens</v>
      </c>
      <c r="E49" s="4">
        <f>INDEX('Draft Engine'!$E$3:$E$232,$M49)</f>
        <v>81.836600000000004</v>
      </c>
      <c r="F49" t="str">
        <f>INDEX('LIVE SOURCE'!$H$3:$H$232,$M49)</f>
        <v>Strong WR2 with top-12 weekly upside.</v>
      </c>
      <c r="G49" t="str">
        <f>INDEX('LIVE SOURCE'!$I$3:$I$232,$M49)</f>
        <v>He produced 17.2 PPR/FP points per game across 17 games. The workload/efficiency profile gives the model a rate-based reason to keep him here. The market is more aggressive at ADP 16 versus model overall rank 45, so price matters.</v>
      </c>
      <c r="H49" t="str">
        <f>INDEX('LIVE SOURCE'!$J$3:$J$232,$M49)</f>
        <v>Price is the biggest risk: the market currently asks you to draft him earlier than the model prefers.</v>
      </c>
      <c r="I49">
        <f>INDEX('Draft Engine'!$R$3:$R$232,$M49)</f>
        <v>21.1</v>
      </c>
      <c r="J49">
        <f>INDEX('Draft Engine'!$S$3:$S$232,$M49)</f>
        <v>-25.9</v>
      </c>
      <c r="K49" t="str">
        <f>INDEX('Draft Engine'!$T$3:$T$232,$M49)</f>
        <v>A</v>
      </c>
      <c r="L49" t="str">
        <f>INDEX('Draft Engine'!$X$3:$X$232,$M49)</f>
        <v>HISTORY FALLBACK</v>
      </c>
      <c r="M49" s="6">
        <f>MATCH($A49,'Draft Engine'!$Q$3:$Q$232,0)</f>
        <v>92</v>
      </c>
    </row>
    <row r="50" spans="1:13" x14ac:dyDescent="0.25">
      <c r="A50">
        <f>48</f>
        <v>48</v>
      </c>
      <c r="B50" t="str">
        <f>INDEX('Draft Engine'!$A$3:$A$232,$M50)</f>
        <v>WR</v>
      </c>
      <c r="C50">
        <f>INDEX('Draft Engine'!$F$3:$F$232,$M50)</f>
        <v>20</v>
      </c>
      <c r="D50" t="str">
        <f>INDEX('Draft Engine'!$B$3:$B$232,$M50)</f>
        <v>Emeka Egbuka</v>
      </c>
      <c r="E50" s="4">
        <f>INDEX('Draft Engine'!$E$3:$E$232,$M50)</f>
        <v>81.734999999999999</v>
      </c>
      <c r="F50" t="str">
        <f>INDEX('LIVE SOURCE'!$H$3:$H$232,$M50)</f>
        <v>Strong WR2 with top-12 weekly upside.</v>
      </c>
      <c r="G50" t="str">
        <f>INDEX('LIVE SOURCE'!$I$3:$I$232,$M50)</f>
        <v>He produced 11.5 PPR/FP points per game across 17 games. The workload/efficiency profile gives the model a rate-based reason to keep him here. Market price is favorable around ADP 73 versus model overall rank 55.</v>
      </c>
      <c r="H50" t="str">
        <f>INDEX('LIVE SOURCE'!$J$3:$J$232,$M50)</f>
        <v>Target competition, quarterback efficiency and touchdown regression are the main downside paths.</v>
      </c>
      <c r="I50">
        <f>INDEX('Draft Engine'!$R$3:$R$232,$M50)</f>
        <v>34.4</v>
      </c>
      <c r="J50">
        <f>INDEX('Draft Engine'!$S$3:$S$232,$M50)</f>
        <v>-13.600000000000001</v>
      </c>
      <c r="K50" t="str">
        <f>INDEX('Draft Engine'!$T$3:$T$232,$M50)</f>
        <v>C</v>
      </c>
      <c r="L50" t="str">
        <f>INDEX('Draft Engine'!$X$3:$X$232,$M50)</f>
        <v>HISTORY FALLBACK</v>
      </c>
      <c r="M50" s="6">
        <f>MATCH($A50,'Draft Engine'!$Q$3:$Q$232,0)</f>
        <v>103</v>
      </c>
    </row>
    <row r="51" spans="1:13" x14ac:dyDescent="0.25">
      <c r="A51">
        <f>49</f>
        <v>49</v>
      </c>
      <c r="B51" t="str">
        <f>INDEX('Draft Engine'!$A$3:$A$232,$M51)</f>
        <v>QB</v>
      </c>
      <c r="C51">
        <f>INDEX('Draft Engine'!$F$3:$F$232,$M51)</f>
        <v>5</v>
      </c>
      <c r="D51" t="str">
        <f>INDEX('Draft Engine'!$B$3:$B$232,$M51)</f>
        <v>Lamar Jackson</v>
      </c>
      <c r="E51" s="4">
        <f>INDEX('Draft Engine'!$E$3:$E$232,$M51)</f>
        <v>88.711200000000005</v>
      </c>
      <c r="F51" t="str">
        <f>INDEX('LIVE SOURCE'!$H$3:$H$232,$M51)</f>
        <v>Strong every-week QB1; frequent top-8 finishes expected.</v>
      </c>
      <c r="G51" t="str">
        <f>INDEX('LIVE SOURCE'!$I$3:$I$232,$M51)</f>
        <v>He produced 17.1 PPR/FP points per game across 13 games. The workload/efficiency profile gives the model a rate-based reason to keep him here.</v>
      </c>
      <c r="H51" t="str">
        <f>INDEX('LIVE SOURCE'!$J$3:$J$232,$M51)</f>
        <v>Passing-TD efficiency, rushing volume and supporting-cast health are the main swing factors.</v>
      </c>
      <c r="I51">
        <f>INDEX('Draft Engine'!$R$3:$R$232,$M51)</f>
        <v>52.6</v>
      </c>
      <c r="J51">
        <f>INDEX('Draft Engine'!$S$3:$S$232,$M51)</f>
        <v>3.6000000000000014</v>
      </c>
      <c r="K51" t="str">
        <f>INDEX('Draft Engine'!$T$3:$T$232,$M51)</f>
        <v>A</v>
      </c>
      <c r="L51" t="str">
        <f>INDEX('Draft Engine'!$X$3:$X$232,$M51)</f>
        <v>RATE-ADJUSTED VETERAN</v>
      </c>
      <c r="M51" s="6">
        <f>MATCH($A51,'Draft Engine'!$Q$3:$Q$232,0)</f>
        <v>5</v>
      </c>
    </row>
    <row r="52" spans="1:13" x14ac:dyDescent="0.25">
      <c r="A52">
        <f>50</f>
        <v>50</v>
      </c>
      <c r="B52" t="str">
        <f>INDEX('Draft Engine'!$A$3:$A$232,$M52)</f>
        <v>TE</v>
      </c>
      <c r="C52">
        <f>INDEX('Draft Engine'!$F$3:$F$232,$M52)</f>
        <v>6</v>
      </c>
      <c r="D52" t="str">
        <f>INDEX('Draft Engine'!$B$3:$B$232,$M52)</f>
        <v>Kyle Pitts Sr.</v>
      </c>
      <c r="E52" s="4">
        <f>INDEX('Draft Engine'!$E$3:$E$232,$M52)</f>
        <v>85.304500000000004</v>
      </c>
      <c r="F52" t="str">
        <f>INDEX('LIVE SOURCE'!$H$3:$H$232,$M52)</f>
        <v>Every-week TE1 with real top-5 upside.</v>
      </c>
      <c r="G52" t="str">
        <f>INDEX('LIVE SOURCE'!$I$3:$I$232,$M52)</f>
        <v>He produced 12.4 PPR/FP points per game across 17 games. The workload/efficiency profile gives the model a rate-based reason to keep him here. Market price is favorable around ADP 62 versus model overall rank 46.</v>
      </c>
      <c r="H52" t="str">
        <f>INDEX('LIVE SOURCE'!$J$3:$J$232,$M52)</f>
        <v>Route share, target volume and touchdown volatility are the main swing factors.</v>
      </c>
      <c r="I52">
        <f>INDEX('Draft Engine'!$R$3:$R$232,$M52)</f>
        <v>78.3</v>
      </c>
      <c r="J52">
        <f>INDEX('Draft Engine'!$S$3:$S$232,$M52)</f>
        <v>28.299999999999997</v>
      </c>
      <c r="K52" t="str">
        <f>INDEX('Draft Engine'!$T$3:$T$232,$M52)</f>
        <v>A</v>
      </c>
      <c r="L52" t="str">
        <f>INDEX('Draft Engine'!$X$3:$X$232,$M52)</f>
        <v>RATE-ADJUSTED VETERAN</v>
      </c>
      <c r="M52" s="6">
        <f>MATCH($A52,'Draft Engine'!$Q$3:$Q$232,0)</f>
        <v>164</v>
      </c>
    </row>
    <row r="53" spans="1:13" x14ac:dyDescent="0.25">
      <c r="A53">
        <f>51</f>
        <v>51</v>
      </c>
      <c r="B53" t="str">
        <f>INDEX('Draft Engine'!$A$3:$A$232,$M53)</f>
        <v>WR</v>
      </c>
      <c r="C53">
        <f>INDEX('Draft Engine'!$F$3:$F$232,$M53)</f>
        <v>21</v>
      </c>
      <c r="D53" t="str">
        <f>INDEX('Draft Engine'!$B$3:$B$232,$M53)</f>
        <v>Malik Nabers</v>
      </c>
      <c r="E53" s="4">
        <f>INDEX('Draft Engine'!$E$3:$E$232,$M53)</f>
        <v>81.152500000000003</v>
      </c>
      <c r="F53" t="str">
        <f>INDEX('LIVE SOURCE'!$H$3:$H$232,$M53)</f>
        <v>Strong WR2 with top-12 weekly upside.</v>
      </c>
      <c r="G53" t="str">
        <f>INDEX('LIVE SOURCE'!$I$3:$I$232,$M53)</f>
        <v>The 2026 opportunity and projection carry most of the grade because detailed 2025 rate data is incomplete. Market price is favorable around ADP 69 versus model overall rank 57.</v>
      </c>
      <c r="H53" t="str">
        <f>INDEX('LIVE SOURCE'!$J$3:$J$232,$M53)</f>
        <v>Evidence is thinner than for established veterans, so camp, depth-chart and role news can move the grade materially.</v>
      </c>
      <c r="I53">
        <f>INDEX('Draft Engine'!$R$3:$R$232,$M53)</f>
        <v>31.9</v>
      </c>
      <c r="J53">
        <f>INDEX('Draft Engine'!$S$3:$S$232,$M53)</f>
        <v>-19.100000000000001</v>
      </c>
      <c r="K53" t="str">
        <f>INDEX('Draft Engine'!$T$3:$T$232,$M53)</f>
        <v>C</v>
      </c>
      <c r="L53" t="str">
        <f>INDEX('Draft Engine'!$X$3:$X$232,$M53)</f>
        <v>HISTORY FALLBACK</v>
      </c>
      <c r="M53" s="6">
        <f>MATCH($A53,'Draft Engine'!$Q$3:$Q$232,0)</f>
        <v>102</v>
      </c>
    </row>
    <row r="54" spans="1:13" x14ac:dyDescent="0.25">
      <c r="A54">
        <f>52</f>
        <v>52</v>
      </c>
      <c r="B54" t="str">
        <f>INDEX('Draft Engine'!$A$3:$A$232,$M54)</f>
        <v>QB</v>
      </c>
      <c r="C54">
        <f>INDEX('Draft Engine'!$F$3:$F$232,$M54)</f>
        <v>6</v>
      </c>
      <c r="D54" t="str">
        <f>INDEX('Draft Engine'!$B$3:$B$232,$M54)</f>
        <v>Jalen Hurts</v>
      </c>
      <c r="E54" s="4">
        <f>INDEX('Draft Engine'!$E$3:$E$232,$M54)</f>
        <v>88.4499</v>
      </c>
      <c r="F54" t="str">
        <f>INDEX('LIVE SOURCE'!$H$3:$H$232,$M54)</f>
        <v>Strong every-week QB1; frequent top-8 finishes expected.</v>
      </c>
      <c r="G54" t="str">
        <f>INDEX('LIVE SOURCE'!$I$3:$I$232,$M54)</f>
        <v>He produced 19.1 PPR/FP points per game across 16 games. The workload/efficiency profile gives the model a rate-based reason to keep him here.</v>
      </c>
      <c r="H54" t="str">
        <f>INDEX('LIVE SOURCE'!$J$3:$J$232,$M54)</f>
        <v>Passing-TD efficiency, rushing volume and supporting-cast health are the main swing factors.</v>
      </c>
      <c r="I54">
        <f>INDEX('Draft Engine'!$R$3:$R$232,$M54)</f>
        <v>73.7</v>
      </c>
      <c r="J54">
        <f>INDEX('Draft Engine'!$S$3:$S$232,$M54)</f>
        <v>21.700000000000003</v>
      </c>
      <c r="K54" t="str">
        <f>INDEX('Draft Engine'!$T$3:$T$232,$M54)</f>
        <v>A</v>
      </c>
      <c r="L54" t="str">
        <f>INDEX('Draft Engine'!$X$3:$X$232,$M54)</f>
        <v>RATE-ADJUSTED VETERAN</v>
      </c>
      <c r="M54" s="6">
        <f>MATCH($A54,'Draft Engine'!$Q$3:$Q$232,0)</f>
        <v>6</v>
      </c>
    </row>
    <row r="55" spans="1:13" x14ac:dyDescent="0.25">
      <c r="A55">
        <f>53</f>
        <v>53</v>
      </c>
      <c r="B55" t="str">
        <f>INDEX('Draft Engine'!$A$3:$A$232,$M55)</f>
        <v>RB</v>
      </c>
      <c r="C55">
        <f>INDEX('Draft Engine'!$F$3:$F$232,$M55)</f>
        <v>20</v>
      </c>
      <c r="D55" t="str">
        <f>INDEX('Draft Engine'!$B$3:$B$232,$M55)</f>
        <v>D'Andre Swift</v>
      </c>
      <c r="E55" s="4">
        <f>INDEX('Draft Engine'!$E$3:$E$232,$M55)</f>
        <v>79.985600000000005</v>
      </c>
      <c r="F55" t="str">
        <f>INDEX('LIVE SOURCE'!$H$3:$H$232,$M55)</f>
        <v>RB2 with RB1 weeks; should be a regular starter.</v>
      </c>
      <c r="G55" t="str">
        <f>INDEX('LIVE SOURCE'!$I$3:$I$232,$M55)</f>
        <v>He produced 14.3 PPR/FP points per game across 16 games. The workload/efficiency profile gives the model a rate-based reason to keep him here. Market price is favorable around ADP 82 versus model overall rank 47.</v>
      </c>
      <c r="H55" t="str">
        <f>INDEX('LIVE SOURCE'!$J$3:$J$232,$M55)</f>
        <v>Touchdown variance, receiving-role changes and backfield competition are the main downside paths.</v>
      </c>
      <c r="I55">
        <f>INDEX('Draft Engine'!$R$3:$R$232,$M55)</f>
        <v>43.9</v>
      </c>
      <c r="J55">
        <f>INDEX('Draft Engine'!$S$3:$S$232,$M55)</f>
        <v>-9.1000000000000014</v>
      </c>
      <c r="K55" t="str">
        <f>INDEX('Draft Engine'!$T$3:$T$232,$M55)</f>
        <v>A</v>
      </c>
      <c r="L55" t="str">
        <f>INDEX('Draft Engine'!$X$3:$X$232,$M55)</f>
        <v>RATE-ADJUSTED VETERAN</v>
      </c>
      <c r="M55" s="6">
        <f>MATCH($A55,'Draft Engine'!$Q$3:$Q$232,0)</f>
        <v>52</v>
      </c>
    </row>
    <row r="56" spans="1:13" x14ac:dyDescent="0.25">
      <c r="A56">
        <f>54</f>
        <v>54</v>
      </c>
      <c r="B56" t="str">
        <f>INDEX('Draft Engine'!$A$3:$A$232,$M56)</f>
        <v>RB</v>
      </c>
      <c r="C56">
        <f>INDEX('Draft Engine'!$F$3:$F$232,$M56)</f>
        <v>21</v>
      </c>
      <c r="D56" t="str">
        <f>INDEX('Draft Engine'!$B$3:$B$232,$M56)</f>
        <v>Bucky Irving</v>
      </c>
      <c r="E56" s="4">
        <f>INDEX('Draft Engine'!$E$3:$E$232,$M56)</f>
        <v>79.935500000000005</v>
      </c>
      <c r="F56" t="str">
        <f>INDEX('LIVE SOURCE'!$H$3:$H$232,$M56)</f>
        <v>RB2/FLEX; useful weekly but role and receiving volume matter.</v>
      </c>
      <c r="G56" t="str">
        <f>INDEX('LIVE SOURCE'!$I$3:$I$232,$M56)</f>
        <v>He produced 13.8 PPR/FP points per game across 10 games. The workload/efficiency profile gives the model a rate-based reason to keep him here. Market price is favorable around ADP 86 versus model overall rank 48.</v>
      </c>
      <c r="H56" t="str">
        <f>INDEX('LIVE SOURCE'!$J$3:$J$232,$M56)</f>
        <v>Touchdown variance, receiving-role changes and backfield competition are the main downside paths.</v>
      </c>
      <c r="I56">
        <f>INDEX('Draft Engine'!$R$3:$R$232,$M56)</f>
        <v>43</v>
      </c>
      <c r="J56">
        <f>INDEX('Draft Engine'!$S$3:$S$232,$M56)</f>
        <v>-11</v>
      </c>
      <c r="K56" t="str">
        <f>INDEX('Draft Engine'!$T$3:$T$232,$M56)</f>
        <v>B</v>
      </c>
      <c r="L56" t="str">
        <f>INDEX('Draft Engine'!$X$3:$X$232,$M56)</f>
        <v>RATE-ADJUSTED VETERAN</v>
      </c>
      <c r="M56" s="6">
        <f>MATCH($A56,'Draft Engine'!$Q$3:$Q$232,0)</f>
        <v>53</v>
      </c>
    </row>
    <row r="57" spans="1:13" x14ac:dyDescent="0.25">
      <c r="A57">
        <f>55</f>
        <v>55</v>
      </c>
      <c r="B57" t="str">
        <f>INDEX('Draft Engine'!$A$3:$A$232,$M57)</f>
        <v>TE</v>
      </c>
      <c r="C57">
        <f>INDEX('Draft Engine'!$F$3:$F$232,$M57)</f>
        <v>7</v>
      </c>
      <c r="D57" t="str">
        <f>INDEX('Draft Engine'!$B$3:$B$232,$M57)</f>
        <v>Harold Fannin Jr.</v>
      </c>
      <c r="E57" s="4">
        <f>INDEX('Draft Engine'!$E$3:$E$232,$M57)</f>
        <v>84.377700000000004</v>
      </c>
      <c r="F57" t="str">
        <f>INDEX('LIVE SOURCE'!$H$3:$H$232,$M57)</f>
        <v>Every-week TE1 with real top-5 upside.</v>
      </c>
      <c r="G57" t="str">
        <f>INDEX('LIVE SOURCE'!$I$3:$I$232,$M57)</f>
        <v>He produced 11.7 PPR/FP points per game across 16 games. The workload/efficiency profile gives the model a rate-based reason to keep him here. Market price is favorable around ADP 71 versus model overall rank 53.</v>
      </c>
      <c r="H57" t="str">
        <f>INDEX('LIVE SOURCE'!$J$3:$J$232,$M57)</f>
        <v>Route share, target volume and touchdown volatility are the main swing factors.</v>
      </c>
      <c r="I57">
        <f>INDEX('Draft Engine'!$R$3:$R$232,$M57)</f>
        <v>82.8</v>
      </c>
      <c r="J57">
        <f>INDEX('Draft Engine'!$S$3:$S$232,$M57)</f>
        <v>27.799999999999997</v>
      </c>
      <c r="K57" t="str">
        <f>INDEX('Draft Engine'!$T$3:$T$232,$M57)</f>
        <v>A</v>
      </c>
      <c r="L57" t="str">
        <f>INDEX('Draft Engine'!$X$3:$X$232,$M57)</f>
        <v>RATE-ADJUSTED VETERAN</v>
      </c>
      <c r="M57" s="6">
        <f>MATCH($A57,'Draft Engine'!$Q$3:$Q$232,0)</f>
        <v>165</v>
      </c>
    </row>
    <row r="58" spans="1:13" x14ac:dyDescent="0.25">
      <c r="A58">
        <f>56</f>
        <v>56</v>
      </c>
      <c r="B58" t="str">
        <f>INDEX('Draft Engine'!$A$3:$A$232,$M58)</f>
        <v>RB</v>
      </c>
      <c r="C58">
        <f>INDEX('Draft Engine'!$F$3:$F$232,$M58)</f>
        <v>22</v>
      </c>
      <c r="D58" t="str">
        <f>INDEX('Draft Engine'!$B$3:$B$232,$M58)</f>
        <v>Quinshon Judkins</v>
      </c>
      <c r="E58" s="4">
        <f>INDEX('Draft Engine'!$E$3:$E$232,$M58)</f>
        <v>79.930300000000003</v>
      </c>
      <c r="F58" t="str">
        <f>INDEX('LIVE SOURCE'!$H$3:$H$232,$M58)</f>
        <v>RB2/FLEX; useful weekly but role and receiving volume matter.</v>
      </c>
      <c r="G58" t="str">
        <f>INDEX('LIVE SOURCE'!$I$3:$I$232,$M58)</f>
        <v>He produced 12.2 PPR/FP points per game across 14 games. The workload/efficiency profile gives the model a rate-based reason to keep him here. Market price is favorable around ADP 90 versus model overall rank 49.</v>
      </c>
      <c r="H58" t="str">
        <f>INDEX('LIVE SOURCE'!$J$3:$J$232,$M58)</f>
        <v>Touchdown variance, receiving-role changes and backfield competition are the main downside paths.</v>
      </c>
      <c r="I58">
        <f>INDEX('Draft Engine'!$R$3:$R$232,$M58)</f>
        <v>49.9</v>
      </c>
      <c r="J58">
        <f>INDEX('Draft Engine'!$S$3:$S$232,$M58)</f>
        <v>-6.1000000000000014</v>
      </c>
      <c r="K58" t="str">
        <f>INDEX('Draft Engine'!$T$3:$T$232,$M58)</f>
        <v>A</v>
      </c>
      <c r="L58" t="str">
        <f>INDEX('Draft Engine'!$X$3:$X$232,$M58)</f>
        <v>RATE-ADJUSTED VETERAN</v>
      </c>
      <c r="M58" s="6">
        <f>MATCH($A58,'Draft Engine'!$Q$3:$Q$232,0)</f>
        <v>54</v>
      </c>
    </row>
    <row r="59" spans="1:13" x14ac:dyDescent="0.25">
      <c r="A59">
        <f>57</f>
        <v>57</v>
      </c>
      <c r="B59" t="str">
        <f>INDEX('Draft Engine'!$A$3:$A$232,$M59)</f>
        <v>WR</v>
      </c>
      <c r="C59">
        <f>INDEX('Draft Engine'!$F$3:$F$232,$M59)</f>
        <v>22</v>
      </c>
      <c r="D59" t="str">
        <f>INDEX('Draft Engine'!$B$3:$B$232,$M59)</f>
        <v>Terry McLaurin</v>
      </c>
      <c r="E59" s="4">
        <f>INDEX('Draft Engine'!$E$3:$E$232,$M59)</f>
        <v>79.900000000000006</v>
      </c>
      <c r="F59" t="str">
        <f>INDEX('LIVE SOURCE'!$H$3:$H$232,$M59)</f>
        <v>Strong WR2 with top-12 weekly upside.</v>
      </c>
      <c r="G59" t="str">
        <f>INDEX('LIVE SOURCE'!$I$3:$I$232,$M59)</f>
        <v>He produced 11.4 PPR/FP points per game across 10 games. The workload/efficiency profile gives the model a rate-based reason to keep him here. Market price is favorable around ADP 81 versus model overall rank 62.</v>
      </c>
      <c r="H59" t="str">
        <f>INDEX('LIVE SOURCE'!$J$3:$J$232,$M59)</f>
        <v>Target competition, quarterback efficiency and touchdown regression are the main downside paths.</v>
      </c>
      <c r="I59">
        <f>INDEX('Draft Engine'!$R$3:$R$232,$M59)</f>
        <v>43</v>
      </c>
      <c r="J59">
        <f>INDEX('Draft Engine'!$S$3:$S$232,$M59)</f>
        <v>-14</v>
      </c>
      <c r="K59" t="str">
        <f>INDEX('Draft Engine'!$T$3:$T$232,$M59)</f>
        <v>C</v>
      </c>
      <c r="L59" t="str">
        <f>INDEX('Draft Engine'!$X$3:$X$232,$M59)</f>
        <v>HISTORY FALLBACK</v>
      </c>
      <c r="M59" s="6">
        <f>MATCH($A59,'Draft Engine'!$Q$3:$Q$232,0)</f>
        <v>105</v>
      </c>
    </row>
    <row r="60" spans="1:13" x14ac:dyDescent="0.25">
      <c r="A60">
        <f>58</f>
        <v>58</v>
      </c>
      <c r="B60" t="str">
        <f>INDEX('Draft Engine'!$A$3:$A$232,$M60)</f>
        <v>TE</v>
      </c>
      <c r="C60">
        <f>INDEX('Draft Engine'!$F$3:$F$232,$M60)</f>
        <v>8</v>
      </c>
      <c r="D60" t="str">
        <f>INDEX('Draft Engine'!$B$3:$B$232,$M60)</f>
        <v>Jake Ferguson</v>
      </c>
      <c r="E60" s="4">
        <f>INDEX('Draft Engine'!$E$3:$E$232,$M60)</f>
        <v>84.072999999999993</v>
      </c>
      <c r="F60" t="str">
        <f>INDEX('LIVE SOURCE'!$H$3:$H$232,$M60)</f>
        <v>Every-week TE1 with real top-5 upside.</v>
      </c>
      <c r="G60" t="str">
        <f>INDEX('LIVE SOURCE'!$I$3:$I$232,$M60)</f>
        <v>He produced 11.0 PPR/FP points per game across 17 games. The workload/efficiency profile gives the model a rate-based reason to keep him here. Market price is favorable around ADP 80 versus model overall rank 56.</v>
      </c>
      <c r="H60" t="str">
        <f>INDEX('LIVE SOURCE'!$J$3:$J$232,$M60)</f>
        <v>Route share, target volume and touchdown volatility are the main swing factors.</v>
      </c>
      <c r="I60">
        <f>INDEX('Draft Engine'!$R$3:$R$232,$M60)</f>
        <v>140.80000000000001</v>
      </c>
      <c r="J60">
        <f>INDEX('Draft Engine'!$S$3:$S$232,$M60)</f>
        <v>82.800000000000011</v>
      </c>
      <c r="K60" t="str">
        <f>INDEX('Draft Engine'!$T$3:$T$232,$M60)</f>
        <v>A</v>
      </c>
      <c r="L60" t="str">
        <f>INDEX('Draft Engine'!$X$3:$X$232,$M60)</f>
        <v>RATE-ADJUSTED VETERAN</v>
      </c>
      <c r="M60" s="6">
        <f>MATCH($A60,'Draft Engine'!$Q$3:$Q$232,0)</f>
        <v>166</v>
      </c>
    </row>
    <row r="61" spans="1:13" x14ac:dyDescent="0.25">
      <c r="A61">
        <f>59</f>
        <v>59</v>
      </c>
      <c r="B61" t="str">
        <f>INDEX('Draft Engine'!$A$3:$A$232,$M61)</f>
        <v>QB</v>
      </c>
      <c r="C61">
        <f>INDEX('Draft Engine'!$F$3:$F$232,$M61)</f>
        <v>7</v>
      </c>
      <c r="D61" t="str">
        <f>INDEX('Draft Engine'!$B$3:$B$232,$M61)</f>
        <v>Patrick Mahomes II</v>
      </c>
      <c r="E61" s="4">
        <f>INDEX('Draft Engine'!$E$3:$E$232,$M61)</f>
        <v>87.006299999999996</v>
      </c>
      <c r="F61" t="str">
        <f>INDEX('LIVE SOURCE'!$H$3:$H$232,$M61)</f>
        <v>Strong every-week QB1; frequent top-8 finishes expected.</v>
      </c>
      <c r="G61" t="str">
        <f>INDEX('LIVE SOURCE'!$I$3:$I$232,$M61)</f>
        <v>He produced 21.1 PPR/FP points per game across 14 games. The workload/efficiency profile gives the model a rate-based reason to keep him here.</v>
      </c>
      <c r="H61" t="str">
        <f>INDEX('LIVE SOURCE'!$J$3:$J$232,$M61)</f>
        <v>Passing-TD efficiency, rushing volume and supporting-cast health are the main swing factors.</v>
      </c>
      <c r="I61">
        <f>INDEX('Draft Engine'!$R$3:$R$232,$M61)</f>
        <v>97.4</v>
      </c>
      <c r="J61">
        <f>INDEX('Draft Engine'!$S$3:$S$232,$M61)</f>
        <v>38.400000000000006</v>
      </c>
      <c r="K61" t="str">
        <f>INDEX('Draft Engine'!$T$3:$T$232,$M61)</f>
        <v>A</v>
      </c>
      <c r="L61" t="str">
        <f>INDEX('Draft Engine'!$X$3:$X$232,$M61)</f>
        <v>RATE-ADJUSTED VETERAN</v>
      </c>
      <c r="M61" s="6">
        <f>MATCH($A61,'Draft Engine'!$Q$3:$Q$232,0)</f>
        <v>7</v>
      </c>
    </row>
    <row r="62" spans="1:13" x14ac:dyDescent="0.25">
      <c r="A62">
        <f>60</f>
        <v>60</v>
      </c>
      <c r="B62" t="str">
        <f>INDEX('Draft Engine'!$A$3:$A$232,$M62)</f>
        <v>TE</v>
      </c>
      <c r="C62">
        <f>INDEX('Draft Engine'!$F$3:$F$232,$M62)</f>
        <v>9</v>
      </c>
      <c r="D62" t="str">
        <f>INDEX('Draft Engine'!$B$3:$B$232,$M62)</f>
        <v>Tucker Kraft</v>
      </c>
      <c r="E62" s="4">
        <f>INDEX('Draft Engine'!$E$3:$E$232,$M62)</f>
        <v>83.808599999999998</v>
      </c>
      <c r="F62" t="str">
        <f>INDEX('LIVE SOURCE'!$H$3:$H$232,$M62)</f>
        <v>Low-end TE1; startable but replacement options remain close.</v>
      </c>
      <c r="G62" t="str">
        <f>INDEX('LIVE SOURCE'!$I$3:$I$232,$M62)</f>
        <v>He produced 14.6 PPR/FP points per game across 8 games. The workload/efficiency profile gives the model a rate-based reason to keep him here. Market price is favorable around ADP 89 versus model overall rank 58.</v>
      </c>
      <c r="H62" t="str">
        <f>INDEX('LIVE SOURCE'!$J$3:$J$232,$M62)</f>
        <v>Availability/sample risk is elevated after only 8 games; talent is not being punished as heavily as durability.</v>
      </c>
      <c r="I62">
        <f>INDEX('Draft Engine'!$R$3:$R$232,$M62)</f>
        <v>108.3</v>
      </c>
      <c r="J62">
        <f>INDEX('Draft Engine'!$S$3:$S$232,$M62)</f>
        <v>48.3</v>
      </c>
      <c r="K62" t="str">
        <f>INDEX('Draft Engine'!$T$3:$T$232,$M62)</f>
        <v>B</v>
      </c>
      <c r="L62" t="str">
        <f>INDEX('Draft Engine'!$X$3:$X$232,$M62)</f>
        <v>RATE-ADJUSTED VETERAN</v>
      </c>
      <c r="M62" s="6">
        <f>MATCH($A62,'Draft Engine'!$Q$3:$Q$232,0)</f>
        <v>167</v>
      </c>
    </row>
    <row r="63" spans="1:13" x14ac:dyDescent="0.25">
      <c r="A63">
        <f>61</f>
        <v>61</v>
      </c>
      <c r="B63" t="str">
        <f>INDEX('Draft Engine'!$A$3:$A$232,$M63)</f>
        <v>WR</v>
      </c>
      <c r="C63">
        <f>INDEX('Draft Engine'!$F$3:$F$232,$M63)</f>
        <v>23</v>
      </c>
      <c r="D63" t="str">
        <f>INDEX('Draft Engine'!$B$3:$B$232,$M63)</f>
        <v>Luther Burden III</v>
      </c>
      <c r="E63" s="4">
        <f>INDEX('Draft Engine'!$E$3:$E$232,$M63)</f>
        <v>78.647499999999994</v>
      </c>
      <c r="F63" t="str">
        <f>INDEX('LIVE SOURCE'!$H$3:$H$232,$M63)</f>
        <v>Strong WR2 with top-12 weekly upside.</v>
      </c>
      <c r="G63" t="str">
        <f>INDEX('LIVE SOURCE'!$I$3:$I$232,$M63)</f>
        <v>He produced 8.5 PPR/FP points per game across 15 games. The workload/efficiency profile gives the model a rate-based reason to keep him here. Market price is favorable around ADP 93 versus model overall rank 71.</v>
      </c>
      <c r="H63" t="str">
        <f>INDEX('LIVE SOURCE'!$J$3:$J$232,$M63)</f>
        <v>Target competition, quarterback efficiency and touchdown regression are the main downside paths.</v>
      </c>
      <c r="I63">
        <f>INDEX('Draft Engine'!$R$3:$R$232,$M63)</f>
        <v>53.1</v>
      </c>
      <c r="J63">
        <f>INDEX('Draft Engine'!$S$3:$S$232,$M63)</f>
        <v>-7.8999999999999986</v>
      </c>
      <c r="K63" t="str">
        <f>INDEX('Draft Engine'!$T$3:$T$232,$M63)</f>
        <v>C</v>
      </c>
      <c r="L63" t="str">
        <f>INDEX('Draft Engine'!$X$3:$X$232,$M63)</f>
        <v>HISTORY FALLBACK</v>
      </c>
      <c r="M63" s="6">
        <f>MATCH($A63,'Draft Engine'!$Q$3:$Q$232,0)</f>
        <v>108</v>
      </c>
    </row>
    <row r="64" spans="1:13" x14ac:dyDescent="0.25">
      <c r="A64">
        <f>62</f>
        <v>62</v>
      </c>
      <c r="B64" t="str">
        <f>INDEX('Draft Engine'!$A$3:$A$232,$M64)</f>
        <v>QB</v>
      </c>
      <c r="C64">
        <f>INDEX('Draft Engine'!$F$3:$F$232,$M64)</f>
        <v>8</v>
      </c>
      <c r="D64" t="str">
        <f>INDEX('Draft Engine'!$B$3:$B$232,$M64)</f>
        <v>Jayden Daniels</v>
      </c>
      <c r="E64" s="4">
        <f>INDEX('Draft Engine'!$E$3:$E$232,$M64)</f>
        <v>86.700299999999999</v>
      </c>
      <c r="F64" t="str">
        <f>INDEX('LIVE SOURCE'!$H$3:$H$232,$M64)</f>
        <v>Strong every-week QB1; frequent top-8 finishes expected.</v>
      </c>
      <c r="G64" t="str">
        <f>INDEX('LIVE SOURCE'!$I$3:$I$232,$M64)</f>
        <v>He produced 16.7 PPR/FP points per game across 7 games. The workload/efficiency profile gives the model a rate-based reason to keep him here. Market price is favorable around ADP 78 versus model overall rank 64.</v>
      </c>
      <c r="H64" t="str">
        <f>INDEX('LIVE SOURCE'!$J$3:$J$232,$M64)</f>
        <v>Availability/sample risk is elevated after only 7 games; talent is not being punished as heavily as durability.</v>
      </c>
      <c r="I64">
        <f>INDEX('Draft Engine'!$R$3:$R$232,$M64)</f>
        <v>67</v>
      </c>
      <c r="J64">
        <f>INDEX('Draft Engine'!$S$3:$S$232,$M64)</f>
        <v>5</v>
      </c>
      <c r="K64" t="str">
        <f>INDEX('Draft Engine'!$T$3:$T$232,$M64)</f>
        <v>B</v>
      </c>
      <c r="L64" t="str">
        <f>INDEX('Draft Engine'!$X$3:$X$232,$M64)</f>
        <v>RATE-ADJUSTED VETERAN</v>
      </c>
      <c r="M64" s="6">
        <f>MATCH($A64,'Draft Engine'!$Q$3:$Q$232,0)</f>
        <v>8</v>
      </c>
    </row>
    <row r="65" spans="1:13" x14ac:dyDescent="0.25">
      <c r="A65">
        <f>63</f>
        <v>63</v>
      </c>
      <c r="B65" t="str">
        <f>INDEX('Draft Engine'!$A$3:$A$232,$M65)</f>
        <v>RB</v>
      </c>
      <c r="C65">
        <f>INDEX('Draft Engine'!$F$3:$F$232,$M65)</f>
        <v>23</v>
      </c>
      <c r="D65" t="str">
        <f>INDEX('Draft Engine'!$B$3:$B$232,$M65)</f>
        <v>David Montgomery</v>
      </c>
      <c r="E65" s="4">
        <f>INDEX('Draft Engine'!$E$3:$E$232,$M65)</f>
        <v>77.910200000000003</v>
      </c>
      <c r="F65" t="str">
        <f>INDEX('LIVE SOURCE'!$H$3:$H$232,$M65)</f>
        <v>RB2/FLEX; useful weekly but role and receiving volume matter.</v>
      </c>
      <c r="G65" t="str">
        <f>INDEX('LIVE SOURCE'!$I$3:$I$232,$M65)</f>
        <v>He produced 9.8 PPR/FP points per game across 17 games. The workload/efficiency profile gives the model a rate-based reason to keep him here. Market price is favorable around ADP 94 versus model overall rank 59.</v>
      </c>
      <c r="H65" t="str">
        <f>INDEX('LIVE SOURCE'!$J$3:$J$232,$M65)</f>
        <v>Touchdown variance, receiving-role changes and backfield competition are the main downside paths.</v>
      </c>
      <c r="I65">
        <f>INDEX('Draft Engine'!$R$3:$R$232,$M65)</f>
        <v>66.400000000000006</v>
      </c>
      <c r="J65">
        <f>INDEX('Draft Engine'!$S$3:$S$232,$M65)</f>
        <v>3.4000000000000057</v>
      </c>
      <c r="K65" t="str">
        <f>INDEX('Draft Engine'!$T$3:$T$232,$M65)</f>
        <v>A</v>
      </c>
      <c r="L65" t="str">
        <f>INDEX('Draft Engine'!$X$3:$X$232,$M65)</f>
        <v>RATE-ADJUSTED VETERAN</v>
      </c>
      <c r="M65" s="6">
        <f>MATCH($A65,'Draft Engine'!$Q$3:$Q$232,0)</f>
        <v>55</v>
      </c>
    </row>
    <row r="66" spans="1:13" x14ac:dyDescent="0.25">
      <c r="A66">
        <f>64</f>
        <v>64</v>
      </c>
      <c r="B66" t="str">
        <f>INDEX('Draft Engine'!$A$3:$A$232,$M66)</f>
        <v>WR</v>
      </c>
      <c r="C66">
        <f>INDEX('Draft Engine'!$F$3:$F$232,$M66)</f>
        <v>24</v>
      </c>
      <c r="D66" t="str">
        <f>INDEX('Draft Engine'!$B$3:$B$232,$M66)</f>
        <v>Davante Adams</v>
      </c>
      <c r="E66" s="4">
        <f>INDEX('Draft Engine'!$E$3:$E$232,$M66)</f>
        <v>78.064999999999998</v>
      </c>
      <c r="F66" t="str">
        <f>INDEX('LIVE SOURCE'!$H$3:$H$232,$M66)</f>
        <v>Strong WR2 with top-12 weekly upside.</v>
      </c>
      <c r="G66" t="str">
        <f>INDEX('LIVE SOURCE'!$I$3:$I$232,$M66)</f>
        <v>He produced 15.9 PPR/FP points per game across 14 games. The workload/efficiency profile gives the model a rate-based reason to keep him here. Market price is favorable around ADP 89 versus model overall rank 76.</v>
      </c>
      <c r="H66" t="str">
        <f>INDEX('LIVE SOURCE'!$J$3:$J$232,$M66)</f>
        <v>Target competition, quarterback efficiency and touchdown regression are the main downside paths.</v>
      </c>
      <c r="I66">
        <f>INDEX('Draft Engine'!$R$3:$R$232,$M66)</f>
        <v>41.5</v>
      </c>
      <c r="J66">
        <f>INDEX('Draft Engine'!$S$3:$S$232,$M66)</f>
        <v>-22.5</v>
      </c>
      <c r="K66" t="str">
        <f>INDEX('Draft Engine'!$T$3:$T$232,$M66)</f>
        <v>C</v>
      </c>
      <c r="L66" t="str">
        <f>INDEX('Draft Engine'!$X$3:$X$232,$M66)</f>
        <v>HISTORY FALLBACK</v>
      </c>
      <c r="M66" s="6">
        <f>MATCH($A66,'Draft Engine'!$Q$3:$Q$232,0)</f>
        <v>107</v>
      </c>
    </row>
    <row r="67" spans="1:13" x14ac:dyDescent="0.25">
      <c r="A67">
        <f>65</f>
        <v>65</v>
      </c>
      <c r="B67" t="str">
        <f>INDEX('Draft Engine'!$A$3:$A$232,$M67)</f>
        <v>RB</v>
      </c>
      <c r="C67">
        <f>INDEX('Draft Engine'!$F$3:$F$232,$M67)</f>
        <v>24</v>
      </c>
      <c r="D67" t="str">
        <f>INDEX('Draft Engine'!$B$3:$B$232,$M67)</f>
        <v>TreVeyon Henderson</v>
      </c>
      <c r="E67" s="4">
        <f>INDEX('Draft Engine'!$E$3:$E$232,$M67)</f>
        <v>77.832499999999996</v>
      </c>
      <c r="F67" t="str">
        <f>INDEX('LIVE SOURCE'!$H$3:$H$232,$M67)</f>
        <v>RB2/FLEX; useful weekly but role and receiving volume matter.</v>
      </c>
      <c r="G67" t="str">
        <f>INDEX('LIVE SOURCE'!$I$3:$I$232,$M67)</f>
        <v>He produced 12.2 PPR/FP points per game across 17 games. The workload/efficiency profile gives the model a rate-based reason to keep him here. Market price is favorable around ADP 99 versus model overall rank 60.</v>
      </c>
      <c r="H67" t="str">
        <f>INDEX('LIVE SOURCE'!$J$3:$J$232,$M67)</f>
        <v>Touchdown variance, receiving-role changes and backfield competition are the main downside paths.</v>
      </c>
      <c r="I67">
        <f>INDEX('Draft Engine'!$R$3:$R$232,$M67)</f>
        <v>55.4</v>
      </c>
      <c r="J67">
        <f>INDEX('Draft Engine'!$S$3:$S$232,$M67)</f>
        <v>-9.6000000000000014</v>
      </c>
      <c r="K67" t="str">
        <f>INDEX('Draft Engine'!$T$3:$T$232,$M67)</f>
        <v>A</v>
      </c>
      <c r="L67" t="str">
        <f>INDEX('Draft Engine'!$X$3:$X$232,$M67)</f>
        <v>RATE-ADJUSTED VETERAN</v>
      </c>
      <c r="M67" s="6">
        <f>MATCH($A67,'Draft Engine'!$Q$3:$Q$232,0)</f>
        <v>56</v>
      </c>
    </row>
    <row r="68" spans="1:13" x14ac:dyDescent="0.25">
      <c r="A68">
        <f>66</f>
        <v>66</v>
      </c>
      <c r="B68" t="str">
        <f>INDEX('Draft Engine'!$A$3:$A$232,$M68)</f>
        <v>TE</v>
      </c>
      <c r="C68">
        <f>INDEX('Draft Engine'!$F$3:$F$232,$M68)</f>
        <v>10</v>
      </c>
      <c r="D68" t="str">
        <f>INDEX('Draft Engine'!$B$3:$B$232,$M68)</f>
        <v>Sam LaPorta</v>
      </c>
      <c r="E68" s="4">
        <f>INDEX('Draft Engine'!$E$3:$E$232,$M68)</f>
        <v>82.865300000000005</v>
      </c>
      <c r="F68" t="str">
        <f>INDEX('LIVE SOURCE'!$H$3:$H$232,$M68)</f>
        <v>Low-end TE1; startable but replacement options remain close.</v>
      </c>
      <c r="G68" t="str">
        <f>INDEX('LIVE SOURCE'!$I$3:$I$232,$M68)</f>
        <v>He produced 11.8 PPR/FP points per game across 9 games. The workload/efficiency profile gives the model a rate-based reason to keep him here. Market price is favorable around ADP 98 versus model overall rank 63.</v>
      </c>
      <c r="H68" t="str">
        <f>INDEX('LIVE SOURCE'!$J$3:$J$232,$M68)</f>
        <v>Availability/sample risk is elevated after only 9 games; talent is not being punished as heavily as durability.</v>
      </c>
      <c r="I68">
        <f>INDEX('Draft Engine'!$R$3:$R$232,$M68)</f>
        <v>88.7</v>
      </c>
      <c r="J68">
        <f>INDEX('Draft Engine'!$S$3:$S$232,$M68)</f>
        <v>22.700000000000003</v>
      </c>
      <c r="K68" t="str">
        <f>INDEX('Draft Engine'!$T$3:$T$232,$M68)</f>
        <v>B</v>
      </c>
      <c r="L68" t="str">
        <f>INDEX('Draft Engine'!$X$3:$X$232,$M68)</f>
        <v>RATE-ADJUSTED VETERAN</v>
      </c>
      <c r="M68" s="6">
        <f>MATCH($A68,'Draft Engine'!$Q$3:$Q$232,0)</f>
        <v>168</v>
      </c>
    </row>
    <row r="69" spans="1:13" x14ac:dyDescent="0.25">
      <c r="A69">
        <f>67</f>
        <v>67</v>
      </c>
      <c r="B69" t="str">
        <f>INDEX('Draft Engine'!$A$3:$A$232,$M69)</f>
        <v>QB</v>
      </c>
      <c r="C69">
        <f>INDEX('Draft Engine'!$F$3:$F$232,$M69)</f>
        <v>9</v>
      </c>
      <c r="D69" t="str">
        <f>INDEX('Draft Engine'!$B$3:$B$232,$M69)</f>
        <v>Joe Burrow</v>
      </c>
      <c r="E69" s="4">
        <f>INDEX('Draft Engine'!$E$3:$E$232,$M69)</f>
        <v>85.591300000000004</v>
      </c>
      <c r="F69" t="str">
        <f>INDEX('LIVE SOURCE'!$H$3:$H$232,$M69)</f>
        <v>Low-end QB1/high-end QB2 in a 10-team league; startable most weeks.</v>
      </c>
      <c r="G69" t="str">
        <f>INDEX('LIVE SOURCE'!$I$3:$I$232,$M69)</f>
        <v>He produced 17.4 PPR/FP points per game across 8 games. The workload/efficiency profile gives the model a rate-based reason to keep him here. Market price is favorable around ADP 86 versus model overall rank 70.</v>
      </c>
      <c r="H69" t="str">
        <f>INDEX('LIVE SOURCE'!$J$3:$J$232,$M69)</f>
        <v>Availability/sample risk is elevated after only 8 games; talent is not being punished as heavily as durability.</v>
      </c>
      <c r="I69">
        <f>INDEX('Draft Engine'!$R$3:$R$232,$M69)</f>
        <v>57.3</v>
      </c>
      <c r="J69">
        <f>INDEX('Draft Engine'!$S$3:$S$232,$M69)</f>
        <v>-9.7000000000000028</v>
      </c>
      <c r="K69" t="str">
        <f>INDEX('Draft Engine'!$T$3:$T$232,$M69)</f>
        <v>B</v>
      </c>
      <c r="L69" t="str">
        <f>INDEX('Draft Engine'!$X$3:$X$232,$M69)</f>
        <v>RATE-ADJUSTED VETERAN</v>
      </c>
      <c r="M69" s="6">
        <f>MATCH($A69,'Draft Engine'!$Q$3:$Q$232,0)</f>
        <v>9</v>
      </c>
    </row>
    <row r="70" spans="1:13" x14ac:dyDescent="0.25">
      <c r="A70">
        <f>68</f>
        <v>68</v>
      </c>
      <c r="B70" t="str">
        <f>INDEX('Draft Engine'!$A$3:$A$232,$M70)</f>
        <v>RB</v>
      </c>
      <c r="C70">
        <f>INDEX('Draft Engine'!$F$3:$F$232,$M70)</f>
        <v>25</v>
      </c>
      <c r="D70" t="str">
        <f>INDEX('Draft Engine'!$B$3:$B$232,$M70)</f>
        <v>Jadarian Price</v>
      </c>
      <c r="E70" s="4">
        <f>INDEX('Draft Engine'!$E$3:$E$232,$M70)</f>
        <v>76.662199999999999</v>
      </c>
      <c r="F70" t="str">
        <f>INDEX('LIVE SOURCE'!$H$3:$H$232,$M70)</f>
        <v>RB2/FLEX; useful weekly but role and receiving volume matter.</v>
      </c>
      <c r="G70" t="str">
        <f>INDEX('LIVE SOURCE'!$I$3:$I$232,$M70)</f>
        <v>Rookie score 85.6, backed by No. 32 draft capital and a 6.38 NFL prospect grade. The 2026 role projection is strong enough to replace missing NFL history. Market price is favorable around ADP 103 versus model overall rank 66.</v>
      </c>
      <c r="H70" t="str">
        <f>INDEX('LIVE SOURCE'!$J$3:$J$232,$M70)</f>
        <v>NFL translation and exact weekly role are the main variables; preseason first-team usage can move this rating quickly.</v>
      </c>
      <c r="I70">
        <f>INDEX('Draft Engine'!$R$3:$R$232,$M70)</f>
        <v>63</v>
      </c>
      <c r="J70">
        <f>INDEX('Draft Engine'!$S$3:$S$232,$M70)</f>
        <v>-5</v>
      </c>
      <c r="K70" t="str">
        <f>INDEX('Draft Engine'!$T$3:$T$232,$M70)</f>
        <v>B</v>
      </c>
      <c r="L70" t="str">
        <f>INDEX('Draft Engine'!$X$3:$X$232,$M70)</f>
        <v>ROOKIE ENGINE</v>
      </c>
      <c r="M70" s="6">
        <f>MATCH($A70,'Draft Engine'!$Q$3:$Q$232,0)</f>
        <v>57</v>
      </c>
    </row>
    <row r="71" spans="1:13" x14ac:dyDescent="0.25">
      <c r="A71">
        <f>69</f>
        <v>69</v>
      </c>
      <c r="B71" t="str">
        <f>INDEX('Draft Engine'!$A$3:$A$232,$M71)</f>
        <v>TE</v>
      </c>
      <c r="C71">
        <f>INDEX('Draft Engine'!$F$3:$F$232,$M71)</f>
        <v>11</v>
      </c>
      <c r="D71" t="str">
        <f>INDEX('Draft Engine'!$B$3:$B$232,$M71)</f>
        <v>Dalton Kincaid</v>
      </c>
      <c r="E71" s="4">
        <f>INDEX('Draft Engine'!$E$3:$E$232,$M71)</f>
        <v>81.914100000000005</v>
      </c>
      <c r="F71" t="str">
        <f>INDEX('LIVE SOURCE'!$H$3:$H$232,$M71)</f>
        <v>Low-end TE1; startable but replacement options remain close.</v>
      </c>
      <c r="G71" t="str">
        <f>INDEX('LIVE SOURCE'!$I$3:$I$232,$M71)</f>
        <v>He produced 10.6 PPR/FP points per game across 12 games. The workload/efficiency profile gives the model a rate-based reason to keep him here. Market price is favorable around ADP 107 versus model overall rank 67.</v>
      </c>
      <c r="H71" t="str">
        <f>INDEX('LIVE SOURCE'!$J$3:$J$232,$M71)</f>
        <v>Route share, target volume and touchdown volatility are the main swing factors.</v>
      </c>
      <c r="I71">
        <f>INDEX('Draft Engine'!$R$3:$R$232,$M71)</f>
        <v>152</v>
      </c>
      <c r="J71">
        <f>INDEX('Draft Engine'!$S$3:$S$232,$M71)</f>
        <v>83</v>
      </c>
      <c r="K71" t="str">
        <f>INDEX('Draft Engine'!$T$3:$T$232,$M71)</f>
        <v>A</v>
      </c>
      <c r="L71" t="str">
        <f>INDEX('Draft Engine'!$X$3:$X$232,$M71)</f>
        <v>RATE-ADJUSTED VETERAN</v>
      </c>
      <c r="M71" s="6">
        <f>MATCH($A71,'Draft Engine'!$Q$3:$Q$232,0)</f>
        <v>169</v>
      </c>
    </row>
    <row r="72" spans="1:13" x14ac:dyDescent="0.25">
      <c r="A72">
        <f>70</f>
        <v>70</v>
      </c>
      <c r="B72" t="str">
        <f>INDEX('Draft Engine'!$A$3:$A$232,$M72)</f>
        <v>WR</v>
      </c>
      <c r="C72">
        <f>INDEX('Draft Engine'!$F$3:$F$232,$M72)</f>
        <v>25</v>
      </c>
      <c r="D72" t="str">
        <f>INDEX('Draft Engine'!$B$3:$B$232,$M72)</f>
        <v>Mike Evans</v>
      </c>
      <c r="E72" s="4">
        <f>INDEX('Draft Engine'!$E$3:$E$232,$M72)</f>
        <v>76.477500000000006</v>
      </c>
      <c r="F72" t="str">
        <f>INDEX('LIVE SOURCE'!$H$3:$H$232,$M72)</f>
        <v>WR2/FLEX; dependable lineup option with matchup-driven ceiling.</v>
      </c>
      <c r="G72" t="str">
        <f>INDEX('LIVE SOURCE'!$I$3:$I$232,$M72)</f>
        <v>The 2026 opportunity and projection carry most of the grade because detailed 2025 rate data is incomplete. Market price is favorable around ADP 108 versus model overall rank 91.</v>
      </c>
      <c r="H72" t="str">
        <f>INDEX('LIVE SOURCE'!$J$3:$J$232,$M72)</f>
        <v>Evidence is thinner than for established veterans, so camp, depth-chart and role news can move the grade materially.</v>
      </c>
      <c r="I72">
        <f>INDEX('Draft Engine'!$R$3:$R$232,$M72)</f>
        <v>59.4</v>
      </c>
      <c r="J72">
        <f>INDEX('Draft Engine'!$S$3:$S$232,$M72)</f>
        <v>-10.600000000000001</v>
      </c>
      <c r="K72" t="str">
        <f>INDEX('Draft Engine'!$T$3:$T$232,$M72)</f>
        <v>C</v>
      </c>
      <c r="L72" t="str">
        <f>INDEX('Draft Engine'!$X$3:$X$232,$M72)</f>
        <v>HISTORY FALLBACK</v>
      </c>
      <c r="M72" s="6">
        <f>MATCH($A72,'Draft Engine'!$Q$3:$Q$232,0)</f>
        <v>112</v>
      </c>
    </row>
    <row r="73" spans="1:13" x14ac:dyDescent="0.25">
      <c r="A73">
        <f>71</f>
        <v>71</v>
      </c>
      <c r="B73" t="str">
        <f>INDEX('Draft Engine'!$A$3:$A$232,$M73)</f>
        <v>QB</v>
      </c>
      <c r="C73">
        <f>INDEX('Draft Engine'!$F$3:$F$232,$M73)</f>
        <v>10</v>
      </c>
      <c r="D73" t="str">
        <f>INDEX('Draft Engine'!$B$3:$B$232,$M73)</f>
        <v>Matthew Stafford</v>
      </c>
      <c r="E73" s="4">
        <f>INDEX('Draft Engine'!$E$3:$E$232,$M73)</f>
        <v>85.419700000000006</v>
      </c>
      <c r="F73" t="str">
        <f>INDEX('LIVE SOURCE'!$H$3:$H$232,$M73)</f>
        <v>Low-end QB1/high-end QB2 in a 10-team league; startable most weeks.</v>
      </c>
      <c r="G73" t="str">
        <f>INDEX('LIVE SOURCE'!$I$3:$I$232,$M73)</f>
        <v>He produced 21.1 PPR/FP points per game across 17 games. The workload/efficiency profile gives the model a rate-based reason to keep him here. Market price is favorable around ADP 94 versus model overall rank 77.</v>
      </c>
      <c r="H73" t="str">
        <f>INDEX('LIVE SOURCE'!$J$3:$J$232,$M73)</f>
        <v>Passing-TD efficiency, rushing volume and supporting-cast health are the main swing factors.</v>
      </c>
      <c r="I73">
        <f>INDEX('Draft Engine'!$R$3:$R$232,$M73)</f>
        <v>83.7</v>
      </c>
      <c r="J73">
        <f>INDEX('Draft Engine'!$S$3:$S$232,$M73)</f>
        <v>12.700000000000003</v>
      </c>
      <c r="K73" t="str">
        <f>INDEX('Draft Engine'!$T$3:$T$232,$M73)</f>
        <v>A</v>
      </c>
      <c r="L73" t="str">
        <f>INDEX('Draft Engine'!$X$3:$X$232,$M73)</f>
        <v>RATE-ADJUSTED VETERAN</v>
      </c>
      <c r="M73" s="6">
        <f>MATCH($A73,'Draft Engine'!$Q$3:$Q$232,0)</f>
        <v>10</v>
      </c>
    </row>
    <row r="74" spans="1:13" x14ac:dyDescent="0.25">
      <c r="A74">
        <f>72</f>
        <v>72</v>
      </c>
      <c r="B74" t="str">
        <f>INDEX('Draft Engine'!$A$3:$A$232,$M74)</f>
        <v>WR</v>
      </c>
      <c r="C74">
        <f>INDEX('Draft Engine'!$F$3:$F$232,$M74)</f>
        <v>26</v>
      </c>
      <c r="D74" t="str">
        <f>INDEX('Draft Engine'!$B$3:$B$232,$M74)</f>
        <v>Jordyn Tyson</v>
      </c>
      <c r="E74" s="4">
        <f>INDEX('Draft Engine'!$E$3:$E$232,$M74)</f>
        <v>76.22</v>
      </c>
      <c r="F74" t="str">
        <f>INDEX('LIVE SOURCE'!$H$3:$H$232,$M74)</f>
        <v>WR2/FLEX; dependable lineup option with matchup-driven ceiling.</v>
      </c>
      <c r="G74" t="str">
        <f>INDEX('LIVE SOURCE'!$I$3:$I$232,$M74)</f>
        <v>Rookie score 92.4, backed by No. 8 draft capital and a 6.43 NFL prospect grade. The 2026 role projection is strong enough to replace missing NFL history. Market price is favorable around ADP 136 versus model overall rank 98.</v>
      </c>
      <c r="H74" t="str">
        <f>INDEX('LIVE SOURCE'!$J$3:$J$232,$M74)</f>
        <v>NFL translation and exact weekly role are the main variables; preseason first-team usage can move this rating quickly.</v>
      </c>
      <c r="I74">
        <f>INDEX('Draft Engine'!$R$3:$R$232,$M74)</f>
        <v>87.1</v>
      </c>
      <c r="J74">
        <f>INDEX('Draft Engine'!$S$3:$S$232,$M74)</f>
        <v>15.099999999999994</v>
      </c>
      <c r="K74" t="str">
        <f>INDEX('Draft Engine'!$T$3:$T$232,$M74)</f>
        <v>C</v>
      </c>
      <c r="L74" t="str">
        <f>INDEX('Draft Engine'!$X$3:$X$232,$M74)</f>
        <v>HISTORY FALLBACK</v>
      </c>
      <c r="M74" s="6">
        <f>MATCH($A74,'Draft Engine'!$Q$3:$Q$232,0)</f>
        <v>119</v>
      </c>
    </row>
    <row r="75" spans="1:13" x14ac:dyDescent="0.25">
      <c r="A75">
        <f>73</f>
        <v>73</v>
      </c>
      <c r="B75" t="str">
        <f>INDEX('Draft Engine'!$A$3:$A$232,$M75)</f>
        <v>RB</v>
      </c>
      <c r="C75">
        <f>INDEX('Draft Engine'!$F$3:$F$232,$M75)</f>
        <v>26</v>
      </c>
      <c r="D75" t="str">
        <f>INDEX('Draft Engine'!$B$3:$B$232,$M75)</f>
        <v>Jaylen Warren</v>
      </c>
      <c r="E75" s="4">
        <f>INDEX('Draft Engine'!$E$3:$E$232,$M75)</f>
        <v>76.091800000000006</v>
      </c>
      <c r="F75" t="str">
        <f>INDEX('LIVE SOURCE'!$H$3:$H$232,$M75)</f>
        <v>RB2/FLEX; useful weekly but role and receiving volume matter.</v>
      </c>
      <c r="G75" t="str">
        <f>INDEX('LIVE SOURCE'!$I$3:$I$232,$M75)</f>
        <v>He produced 13.6 PPR/FP points per game across 16 games. The workload/efficiency profile gives the model a rate-based reason to keep him here. Market price is favorable around ADP 107 versus model overall rank 69.</v>
      </c>
      <c r="H75" t="str">
        <f>INDEX('LIVE SOURCE'!$J$3:$J$232,$M75)</f>
        <v>Touchdown variance, receiving-role changes and backfield competition are the main downside paths.</v>
      </c>
      <c r="I75">
        <f>INDEX('Draft Engine'!$R$3:$R$232,$M75)</f>
        <v>68.8</v>
      </c>
      <c r="J75">
        <f>INDEX('Draft Engine'!$S$3:$S$232,$M75)</f>
        <v>-4.2000000000000028</v>
      </c>
      <c r="K75" t="str">
        <f>INDEX('Draft Engine'!$T$3:$T$232,$M75)</f>
        <v>A</v>
      </c>
      <c r="L75" t="str">
        <f>INDEX('Draft Engine'!$X$3:$X$232,$M75)</f>
        <v>RATE-ADJUSTED VETERAN</v>
      </c>
      <c r="M75" s="6">
        <f>MATCH($A75,'Draft Engine'!$Q$3:$Q$232,0)</f>
        <v>58</v>
      </c>
    </row>
    <row r="76" spans="1:13" x14ac:dyDescent="0.25">
      <c r="A76">
        <f>74</f>
        <v>74</v>
      </c>
      <c r="B76" t="str">
        <f>INDEX('Draft Engine'!$A$3:$A$232,$M76)</f>
        <v>TE</v>
      </c>
      <c r="C76">
        <f>INDEX('Draft Engine'!$F$3:$F$232,$M76)</f>
        <v>12</v>
      </c>
      <c r="D76" t="str">
        <f>INDEX('Draft Engine'!$B$3:$B$232,$M76)</f>
        <v>Travis Kelce</v>
      </c>
      <c r="E76" s="4">
        <f>INDEX('Draft Engine'!$E$3:$E$232,$M76)</f>
        <v>81.747799999999998</v>
      </c>
      <c r="F76" t="str">
        <f>INDEX('LIVE SOURCE'!$H$3:$H$232,$M76)</f>
        <v>Low-end TE1; startable but replacement options remain close.</v>
      </c>
      <c r="G76" t="str">
        <f>INDEX('LIVE SOURCE'!$I$3:$I$232,$M76)</f>
        <v>He produced 11.4 PPR/FP points per game across 17 games. The workload/efficiency profile gives the model a rate-based reason to keep him here. Market price is favorable around ADP 116 versus model overall rank 72.</v>
      </c>
      <c r="H76" t="str">
        <f>INDEX('LIVE SOURCE'!$J$3:$J$232,$M76)</f>
        <v>Route share, target volume and touchdown volatility are the main swing factors.</v>
      </c>
      <c r="I76">
        <f>INDEX('Draft Engine'!$R$3:$R$232,$M76)</f>
        <v>108.7</v>
      </c>
      <c r="J76">
        <f>INDEX('Draft Engine'!$S$3:$S$232,$M76)</f>
        <v>34.700000000000003</v>
      </c>
      <c r="K76" t="str">
        <f>INDEX('Draft Engine'!$T$3:$T$232,$M76)</f>
        <v>A</v>
      </c>
      <c r="L76" t="str">
        <f>INDEX('Draft Engine'!$X$3:$X$232,$M76)</f>
        <v>RATE-ADJUSTED VETERAN</v>
      </c>
      <c r="M76" s="6">
        <f>MATCH($A76,'Draft Engine'!$Q$3:$Q$232,0)</f>
        <v>170</v>
      </c>
    </row>
    <row r="77" spans="1:13" x14ac:dyDescent="0.25">
      <c r="A77">
        <f>75</f>
        <v>75</v>
      </c>
      <c r="B77" t="str">
        <f>INDEX('Draft Engine'!$A$3:$A$232,$M77)</f>
        <v>QB</v>
      </c>
      <c r="C77">
        <f>INDEX('Draft Engine'!$F$3:$F$232,$M77)</f>
        <v>11</v>
      </c>
      <c r="D77" t="str">
        <f>INDEX('Draft Engine'!$B$3:$B$232,$M77)</f>
        <v>Bo Nix</v>
      </c>
      <c r="E77" s="4">
        <f>INDEX('Draft Engine'!$E$3:$E$232,$M77)</f>
        <v>85.248500000000007</v>
      </c>
      <c r="F77" t="str">
        <f>INDEX('LIVE SOURCE'!$H$3:$H$232,$M77)</f>
        <v>Low-end QB1/high-end QB2 in a 10-team league; startable most weeks.</v>
      </c>
      <c r="G77" t="str">
        <f>INDEX('LIVE SOURCE'!$I$3:$I$232,$M77)</f>
        <v>He produced 18.6 PPR/FP points per game across 17 games. The workload/efficiency profile gives the model a rate-based reason to keep him here. Market price is favorable around ADP 102 versus model overall rank 79.</v>
      </c>
      <c r="H77" t="str">
        <f>INDEX('LIVE SOURCE'!$J$3:$J$232,$M77)</f>
        <v>Passing-TD efficiency, rushing volume and supporting-cast health are the main swing factors.</v>
      </c>
      <c r="I77">
        <f>INDEX('Draft Engine'!$R$3:$R$232,$M77)</f>
        <v>121.5</v>
      </c>
      <c r="J77">
        <f>INDEX('Draft Engine'!$S$3:$S$232,$M77)</f>
        <v>46.5</v>
      </c>
      <c r="K77" t="str">
        <f>INDEX('Draft Engine'!$T$3:$T$232,$M77)</f>
        <v>A</v>
      </c>
      <c r="L77" t="str">
        <f>INDEX('Draft Engine'!$X$3:$X$232,$M77)</f>
        <v>RATE-ADJUSTED VETERAN</v>
      </c>
      <c r="M77" s="6">
        <f>MATCH($A77,'Draft Engine'!$Q$3:$Q$232,0)</f>
        <v>11</v>
      </c>
    </row>
    <row r="78" spans="1:13" x14ac:dyDescent="0.25">
      <c r="A78">
        <f>76</f>
        <v>76</v>
      </c>
      <c r="B78" t="str">
        <f>INDEX('Draft Engine'!$A$3:$A$232,$M78)</f>
        <v>WR</v>
      </c>
      <c r="C78">
        <f>INDEX('Draft Engine'!$F$3:$F$232,$M78)</f>
        <v>27</v>
      </c>
      <c r="D78" t="str">
        <f>INDEX('Draft Engine'!$B$3:$B$232,$M78)</f>
        <v>Jameson Williams</v>
      </c>
      <c r="E78" s="4">
        <f>INDEX('Draft Engine'!$E$3:$E$232,$M78)</f>
        <v>76.0625</v>
      </c>
      <c r="F78" t="str">
        <f>INDEX('LIVE SOURCE'!$H$3:$H$232,$M78)</f>
        <v>WR2/FLEX; dependable lineup option with matchup-driven ceiling.</v>
      </c>
      <c r="G78" t="str">
        <f>INDEX('LIVE SOURCE'!$I$3:$I$232,$M78)</f>
        <v>He produced 12.9 PPR/FP points per game across 17 games. The workload/efficiency profile gives the model a rate-based reason to keep him here.</v>
      </c>
      <c r="H78" t="str">
        <f>INDEX('LIVE SOURCE'!$J$3:$J$232,$M78)</f>
        <v>Target competition, quarterback efficiency and touchdown regression are the main downside paths.</v>
      </c>
      <c r="I78">
        <f>INDEX('Draft Engine'!$R$3:$R$232,$M78)</f>
        <v>45.8</v>
      </c>
      <c r="J78">
        <f>INDEX('Draft Engine'!$S$3:$S$232,$M78)</f>
        <v>-30.200000000000003</v>
      </c>
      <c r="K78" t="str">
        <f>INDEX('Draft Engine'!$T$3:$T$232,$M78)</f>
        <v>C</v>
      </c>
      <c r="L78" t="str">
        <f>INDEX('Draft Engine'!$X$3:$X$232,$M78)</f>
        <v>HISTORY FALLBACK</v>
      </c>
      <c r="M78" s="6">
        <f>MATCH($A78,'Draft Engine'!$Q$3:$Q$232,0)</f>
        <v>110</v>
      </c>
    </row>
    <row r="79" spans="1:13" x14ac:dyDescent="0.25">
      <c r="A79">
        <f>77</f>
        <v>77</v>
      </c>
      <c r="B79" t="str">
        <f>INDEX('Draft Engine'!$A$3:$A$232,$M79)</f>
        <v>RB</v>
      </c>
      <c r="C79">
        <f>INDEX('Draft Engine'!$F$3:$F$232,$M79)</f>
        <v>27</v>
      </c>
      <c r="D79" t="str">
        <f>INDEX('Draft Engine'!$B$3:$B$232,$M79)</f>
        <v>Rico Dowdle</v>
      </c>
      <c r="E79" s="4">
        <f>INDEX('Draft Engine'!$E$3:$E$232,$M79)</f>
        <v>75.785799999999995</v>
      </c>
      <c r="F79" t="str">
        <f>INDEX('LIVE SOURCE'!$H$3:$H$232,$M79)</f>
        <v>RB2/FLEX; useful weekly but role and receiving volume matter.</v>
      </c>
      <c r="G79" t="str">
        <f>INDEX('LIVE SOURCE'!$I$3:$I$232,$M79)</f>
        <v>He produced 12.7 PPR/FP points per game across 17 games. The workload/efficiency profile gives the model a rate-based reason to keep him here. Market price is favorable around ADP 111 versus model overall rank 74.</v>
      </c>
      <c r="H79" t="str">
        <f>INDEX('LIVE SOURCE'!$J$3:$J$232,$M79)</f>
        <v>Touchdown variance, receiving-role changes and backfield competition are the main downside paths.</v>
      </c>
      <c r="I79">
        <f>INDEX('Draft Engine'!$R$3:$R$232,$M79)</f>
        <v>64.8</v>
      </c>
      <c r="J79">
        <f>INDEX('Draft Engine'!$S$3:$S$232,$M79)</f>
        <v>-12.200000000000003</v>
      </c>
      <c r="K79" t="str">
        <f>INDEX('Draft Engine'!$T$3:$T$232,$M79)</f>
        <v>A</v>
      </c>
      <c r="L79" t="str">
        <f>INDEX('Draft Engine'!$X$3:$X$232,$M79)</f>
        <v>RATE-ADJUSTED VETERAN</v>
      </c>
      <c r="M79" s="6">
        <f>MATCH($A79,'Draft Engine'!$Q$3:$Q$232,0)</f>
        <v>59</v>
      </c>
    </row>
    <row r="80" spans="1:13" x14ac:dyDescent="0.25">
      <c r="A80">
        <f>78</f>
        <v>78</v>
      </c>
      <c r="B80" t="str">
        <f>INDEX('Draft Engine'!$A$3:$A$232,$M80)</f>
        <v>QB</v>
      </c>
      <c r="C80">
        <f>INDEX('Draft Engine'!$F$3:$F$232,$M80)</f>
        <v>12</v>
      </c>
      <c r="D80" t="str">
        <f>INDEX('Draft Engine'!$B$3:$B$232,$M80)</f>
        <v>Dak Prescott</v>
      </c>
      <c r="E80" s="4">
        <f>INDEX('Draft Engine'!$E$3:$E$232,$M80)</f>
        <v>85.115600000000001</v>
      </c>
      <c r="F80" t="str">
        <f>INDEX('LIVE SOURCE'!$H$3:$H$232,$M80)</f>
        <v>Low-end QB1/high-end QB2 in a 10-team league; startable most weeks.</v>
      </c>
      <c r="G80" t="str">
        <f>INDEX('LIVE SOURCE'!$I$3:$I$232,$M80)</f>
        <v>He produced 19.0 PPR/FP points per game across 17 games. The workload/efficiency profile gives the model a rate-based reason to keep him here. Market price is favorable around ADP 110 versus model overall rank 82.</v>
      </c>
      <c r="H80" t="str">
        <f>INDEX('LIVE SOURCE'!$J$3:$J$232,$M80)</f>
        <v>Passing-TD efficiency, rushing volume and supporting-cast health are the main swing factors.</v>
      </c>
      <c r="I80">
        <f>INDEX('Draft Engine'!$R$3:$R$232,$M80)</f>
        <v>65.400000000000006</v>
      </c>
      <c r="J80">
        <f>INDEX('Draft Engine'!$S$3:$S$232,$M80)</f>
        <v>-12.599999999999994</v>
      </c>
      <c r="K80" t="str">
        <f>INDEX('Draft Engine'!$T$3:$T$232,$M80)</f>
        <v>A</v>
      </c>
      <c r="L80" t="str">
        <f>INDEX('Draft Engine'!$X$3:$X$232,$M80)</f>
        <v>RATE-ADJUSTED VETERAN</v>
      </c>
      <c r="M80" s="6">
        <f>MATCH($A80,'Draft Engine'!$Q$3:$Q$232,0)</f>
        <v>12</v>
      </c>
    </row>
    <row r="81" spans="1:13" x14ac:dyDescent="0.25">
      <c r="A81">
        <f>79</f>
        <v>79</v>
      </c>
      <c r="B81" t="str">
        <f>INDEX('Draft Engine'!$A$3:$A$232,$M81)</f>
        <v>WR</v>
      </c>
      <c r="C81">
        <f>INDEX('Draft Engine'!$F$3:$F$232,$M81)</f>
        <v>28</v>
      </c>
      <c r="D81" t="str">
        <f>INDEX('Draft Engine'!$B$3:$B$232,$M81)</f>
        <v>Michael Pittman Jr.</v>
      </c>
      <c r="E81" s="4">
        <f>INDEX('Draft Engine'!$E$3:$E$232,$M81)</f>
        <v>75.55</v>
      </c>
      <c r="F81" t="str">
        <f>INDEX('LIVE SOURCE'!$H$3:$H$232,$M81)</f>
        <v>WR2/FLEX; dependable lineup option with matchup-driven ceiling.</v>
      </c>
      <c r="G81" t="str">
        <f>INDEX('LIVE SOURCE'!$I$3:$I$232,$M81)</f>
        <v>He produced 11.9 PPR/FP points per game across 17 games. The workload/efficiency profile gives the model a rate-based reason to keep him here. Market price is favorable around ADP 140 versus model overall rank 105.</v>
      </c>
      <c r="H81" t="str">
        <f>INDEX('LIVE SOURCE'!$J$3:$J$232,$M81)</f>
        <v>Target competition, quarterback efficiency and touchdown regression are the main downside paths.</v>
      </c>
      <c r="I81">
        <f>INDEX('Draft Engine'!$R$3:$R$232,$M81)</f>
        <v>72.2</v>
      </c>
      <c r="J81">
        <f>INDEX('Draft Engine'!$S$3:$S$232,$M81)</f>
        <v>-6.7999999999999972</v>
      </c>
      <c r="K81" t="str">
        <f>INDEX('Draft Engine'!$T$3:$T$232,$M81)</f>
        <v>C</v>
      </c>
      <c r="L81" t="str">
        <f>INDEX('Draft Engine'!$X$3:$X$232,$M81)</f>
        <v>HISTORY FALLBACK</v>
      </c>
      <c r="M81" s="6">
        <f>MATCH($A81,'Draft Engine'!$Q$3:$Q$232,0)</f>
        <v>120</v>
      </c>
    </row>
    <row r="82" spans="1:13" x14ac:dyDescent="0.25">
      <c r="A82">
        <f>80</f>
        <v>80</v>
      </c>
      <c r="B82" t="str">
        <f>INDEX('Draft Engine'!$A$3:$A$232,$M82)</f>
        <v>WR</v>
      </c>
      <c r="C82">
        <f>INDEX('Draft Engine'!$F$3:$F$232,$M82)</f>
        <v>29</v>
      </c>
      <c r="D82" t="str">
        <f>INDEX('Draft Engine'!$B$3:$B$232,$M82)</f>
        <v>DJ Moore</v>
      </c>
      <c r="E82" s="4">
        <f>INDEX('Draft Engine'!$E$3:$E$232,$M82)</f>
        <v>75.48</v>
      </c>
      <c r="F82" t="str">
        <f>INDEX('LIVE SOURCE'!$H$3:$H$232,$M82)</f>
        <v>WR2/FLEX; dependable lineup option with matchup-driven ceiling.</v>
      </c>
      <c r="G82" t="str">
        <f>INDEX('LIVE SOURCE'!$I$3:$I$232,$M82)</f>
        <v>He produced 10.0 PPR/FP points per game across 17 games. The workload/efficiency profile gives the model a rate-based reason to keep him here.</v>
      </c>
      <c r="H82" t="str">
        <f>INDEX('LIVE SOURCE'!$J$3:$J$232,$M82)</f>
        <v>Target competition, quarterback efficiency and touchdown regression are the main downside paths.</v>
      </c>
      <c r="I82">
        <f>INDEX('Draft Engine'!$R$3:$R$232,$M82)</f>
        <v>52.9</v>
      </c>
      <c r="J82">
        <f>INDEX('Draft Engine'!$S$3:$S$232,$M82)</f>
        <v>-27.1</v>
      </c>
      <c r="K82" t="str">
        <f>INDEX('Draft Engine'!$T$3:$T$232,$M82)</f>
        <v>C</v>
      </c>
      <c r="L82" t="str">
        <f>INDEX('Draft Engine'!$X$3:$X$232,$M82)</f>
        <v>HISTORY FALLBACK</v>
      </c>
      <c r="M82" s="6">
        <f>MATCH($A82,'Draft Engine'!$Q$3:$Q$232,0)</f>
        <v>109</v>
      </c>
    </row>
    <row r="83" spans="1:13" x14ac:dyDescent="0.25">
      <c r="A83">
        <f>81</f>
        <v>81</v>
      </c>
      <c r="B83" t="str">
        <f>INDEX('Draft Engine'!$A$3:$A$232,$M83)</f>
        <v>RB</v>
      </c>
      <c r="C83">
        <f>INDEX('Draft Engine'!$F$3:$F$232,$M83)</f>
        <v>28</v>
      </c>
      <c r="D83" t="str">
        <f>INDEX('Draft Engine'!$B$3:$B$232,$M83)</f>
        <v>Tony Pollard</v>
      </c>
      <c r="E83" s="4">
        <f>INDEX('Draft Engine'!$E$3:$E$232,$M83)</f>
        <v>75.098600000000005</v>
      </c>
      <c r="F83" t="str">
        <f>INDEX('LIVE SOURCE'!$H$3:$H$232,$M83)</f>
        <v>RB2/FLEX; useful weekly but role and receiving volume matter.</v>
      </c>
      <c r="G83" t="str">
        <f>INDEX('LIVE SOURCE'!$I$3:$I$232,$M83)</f>
        <v>He produced 10.9 PPR/FP points per game across 17 games. The workload/efficiency profile gives the model a rate-based reason to keep him here. Market price is favorable around ADP 115 versus model overall rank 81.</v>
      </c>
      <c r="H83" t="str">
        <f>INDEX('LIVE SOURCE'!$J$3:$J$232,$M83)</f>
        <v>Touchdown variance, receiving-role changes and backfield competition are the main downside paths.</v>
      </c>
      <c r="I83">
        <f>INDEX('Draft Engine'!$R$3:$R$232,$M83)</f>
        <v>65.5</v>
      </c>
      <c r="J83">
        <f>INDEX('Draft Engine'!$S$3:$S$232,$M83)</f>
        <v>-15.5</v>
      </c>
      <c r="K83" t="str">
        <f>INDEX('Draft Engine'!$T$3:$T$232,$M83)</f>
        <v>A</v>
      </c>
      <c r="L83" t="str">
        <f>INDEX('Draft Engine'!$X$3:$X$232,$M83)</f>
        <v>RATE-ADJUSTED VETERAN</v>
      </c>
      <c r="M83" s="6">
        <f>MATCH($A83,'Draft Engine'!$Q$3:$Q$232,0)</f>
        <v>60</v>
      </c>
    </row>
    <row r="84" spans="1:13" x14ac:dyDescent="0.25">
      <c r="A84">
        <f>82</f>
        <v>82</v>
      </c>
      <c r="B84" t="str">
        <f>INDEX('Draft Engine'!$A$3:$A$232,$M84)</f>
        <v>QB</v>
      </c>
      <c r="C84">
        <f>INDEX('Draft Engine'!$F$3:$F$232,$M84)</f>
        <v>13</v>
      </c>
      <c r="D84" t="str">
        <f>INDEX('Draft Engine'!$B$3:$B$232,$M84)</f>
        <v>Trevor Lawrence</v>
      </c>
      <c r="E84" s="4">
        <f>INDEX('Draft Engine'!$E$3:$E$232,$M84)</f>
        <v>84.692099999999996</v>
      </c>
      <c r="F84" t="str">
        <f>INDEX('LIVE SOURCE'!$H$3:$H$232,$M84)</f>
        <v>QB2/streaming tier; useful when matchup and supporting cast line up.</v>
      </c>
      <c r="G84" t="str">
        <f>INDEX('LIVE SOURCE'!$I$3:$I$232,$M84)</f>
        <v>He produced 20.6 PPR/FP points per game across 17 games. The workload/efficiency profile gives the model a rate-based reason to keep him here. Market price is favorable around ADP 118 versus model overall rank 87.</v>
      </c>
      <c r="H84" t="str">
        <f>INDEX('LIVE SOURCE'!$J$3:$J$232,$M84)</f>
        <v>Passing-TD efficiency, rushing volume and supporting-cast health are the main swing factors.</v>
      </c>
      <c r="I84">
        <f>INDEX('Draft Engine'!$R$3:$R$232,$M84)</f>
        <v>89.6</v>
      </c>
      <c r="J84">
        <f>INDEX('Draft Engine'!$S$3:$S$232,$M84)</f>
        <v>7.5999999999999943</v>
      </c>
      <c r="K84" t="str">
        <f>INDEX('Draft Engine'!$T$3:$T$232,$M84)</f>
        <v>A</v>
      </c>
      <c r="L84" t="str">
        <f>INDEX('Draft Engine'!$X$3:$X$232,$M84)</f>
        <v>RATE-ADJUSTED VETERAN</v>
      </c>
      <c r="M84" s="6">
        <f>MATCH($A84,'Draft Engine'!$Q$3:$Q$232,0)</f>
        <v>13</v>
      </c>
    </row>
    <row r="85" spans="1:13" x14ac:dyDescent="0.25">
      <c r="A85">
        <f>83</f>
        <v>83</v>
      </c>
      <c r="B85" t="str">
        <f>INDEX('Draft Engine'!$A$3:$A$232,$M85)</f>
        <v>TE</v>
      </c>
      <c r="C85">
        <f>INDEX('Draft Engine'!$F$3:$F$232,$M85)</f>
        <v>13</v>
      </c>
      <c r="D85" t="str">
        <f>INDEX('Draft Engine'!$B$3:$B$232,$M85)</f>
        <v>Dallas Goedert</v>
      </c>
      <c r="E85" s="4">
        <f>INDEX('Draft Engine'!$E$3:$E$232,$M85)</f>
        <v>79.918099999999995</v>
      </c>
      <c r="F85" t="str">
        <f>INDEX('LIVE SOURCE'!$H$3:$H$232,$M85)</f>
        <v>Streaming/TE2 range; touchdown and route volume drive usefulness.</v>
      </c>
      <c r="G85" t="str">
        <f>INDEX('LIVE SOURCE'!$I$3:$I$232,$M85)</f>
        <v>He produced 12.3 PPR/FP points per game across 15 games. The workload/efficiency profile gives the model a rate-based reason to keep him here. Market price is favorable around ADP 125 versus model overall rank 88.</v>
      </c>
      <c r="H85" t="str">
        <f>INDEX('LIVE SOURCE'!$J$3:$J$232,$M85)</f>
        <v>Route share, target volume and touchdown volatility are the main swing factors.</v>
      </c>
      <c r="I85">
        <f>INDEX('Draft Engine'!$R$3:$R$232,$M85)</f>
        <v>103.9</v>
      </c>
      <c r="J85">
        <f>INDEX('Draft Engine'!$S$3:$S$232,$M85)</f>
        <v>20.900000000000006</v>
      </c>
      <c r="K85" t="str">
        <f>INDEX('Draft Engine'!$T$3:$T$232,$M85)</f>
        <v>A</v>
      </c>
      <c r="L85" t="str">
        <f>INDEX('Draft Engine'!$X$3:$X$232,$M85)</f>
        <v>RATE-ADJUSTED VETERAN</v>
      </c>
      <c r="M85" s="6">
        <f>MATCH($A85,'Draft Engine'!$Q$3:$Q$232,0)</f>
        <v>171</v>
      </c>
    </row>
    <row r="86" spans="1:13" x14ac:dyDescent="0.25">
      <c r="A86">
        <f>84</f>
        <v>84</v>
      </c>
      <c r="B86" t="str">
        <f>INDEX('Draft Engine'!$A$3:$A$232,$M86)</f>
        <v>RB</v>
      </c>
      <c r="C86">
        <f>INDEX('Draft Engine'!$F$3:$F$232,$M86)</f>
        <v>29</v>
      </c>
      <c r="D86" t="str">
        <f>INDEX('Draft Engine'!$B$3:$B$232,$M86)</f>
        <v>Rhamondre Stevenson</v>
      </c>
      <c r="E86" s="4">
        <f>INDEX('Draft Engine'!$E$3:$E$232,$M86)</f>
        <v>74.588099999999997</v>
      </c>
      <c r="F86" t="str">
        <f>INDEX('LIVE SOURCE'!$H$3:$H$232,$M86)</f>
        <v>RB2/FLEX; useful weekly but role and receiving volume matter.</v>
      </c>
      <c r="G86" t="str">
        <f>INDEX('LIVE SOURCE'!$I$3:$I$232,$M86)</f>
        <v>He produced 12.8 PPR/FP points per game across 14 games. The workload/efficiency profile gives the model a rate-based reason to keep him here. Market price is favorable around ADP 120 versus model overall rank 84.</v>
      </c>
      <c r="H86" t="str">
        <f>INDEX('LIVE SOURCE'!$J$3:$J$232,$M86)</f>
        <v>Touchdown variance, receiving-role changes and backfield competition are the main downside paths.</v>
      </c>
      <c r="I86">
        <f>INDEX('Draft Engine'!$R$3:$R$232,$M86)</f>
        <v>72.3</v>
      </c>
      <c r="J86">
        <f>INDEX('Draft Engine'!$S$3:$S$232,$M86)</f>
        <v>-11.700000000000003</v>
      </c>
      <c r="K86" t="str">
        <f>INDEX('Draft Engine'!$T$3:$T$232,$M86)</f>
        <v>A</v>
      </c>
      <c r="L86" t="str">
        <f>INDEX('Draft Engine'!$X$3:$X$232,$M86)</f>
        <v>RATE-ADJUSTED VETERAN</v>
      </c>
      <c r="M86" s="6">
        <f>MATCH($A86,'Draft Engine'!$Q$3:$Q$232,0)</f>
        <v>61</v>
      </c>
    </row>
    <row r="87" spans="1:13" x14ac:dyDescent="0.25">
      <c r="A87">
        <f>85</f>
        <v>85</v>
      </c>
      <c r="B87" t="str">
        <f>INDEX('Draft Engine'!$A$3:$A$232,$M87)</f>
        <v>WR</v>
      </c>
      <c r="C87">
        <f>INDEX('Draft Engine'!$F$3:$F$232,$M87)</f>
        <v>30</v>
      </c>
      <c r="D87" t="str">
        <f>INDEX('Draft Engine'!$B$3:$B$232,$M87)</f>
        <v>Jakobi Meyers</v>
      </c>
      <c r="E87" s="4">
        <f>INDEX('Draft Engine'!$E$3:$E$232,$M87)</f>
        <v>74.88</v>
      </c>
      <c r="F87" t="str">
        <f>INDEX('LIVE SOURCE'!$H$3:$H$232,$M87)</f>
        <v>WR2/FLEX; dependable lineup option with matchup-driven ceiling.</v>
      </c>
      <c r="G87" t="str">
        <f>INDEX('LIVE SOURCE'!$I$3:$I$232,$M87)</f>
        <v>He produced 11.0 PPR/FP points per game across 16 games. The workload/efficiency profile gives the model a rate-based reason to keep him here. Market price is favorable around ADP 143 versus model overall rank 110.</v>
      </c>
      <c r="H87" t="str">
        <f>INDEX('LIVE SOURCE'!$J$3:$J$232,$M87)</f>
        <v>Target competition, quarterback efficiency and touchdown regression are the main downside paths.</v>
      </c>
      <c r="I87">
        <f>INDEX('Draft Engine'!$R$3:$R$232,$M87)</f>
        <v>75.599999999999994</v>
      </c>
      <c r="J87">
        <f>INDEX('Draft Engine'!$S$3:$S$232,$M87)</f>
        <v>-9.4000000000000057</v>
      </c>
      <c r="K87" t="str">
        <f>INDEX('Draft Engine'!$T$3:$T$232,$M87)</f>
        <v>C</v>
      </c>
      <c r="L87" t="str">
        <f>INDEX('Draft Engine'!$X$3:$X$232,$M87)</f>
        <v>HISTORY FALLBACK</v>
      </c>
      <c r="M87" s="6">
        <f>MATCH($A87,'Draft Engine'!$Q$3:$Q$232,0)</f>
        <v>121</v>
      </c>
    </row>
    <row r="88" spans="1:13" x14ac:dyDescent="0.25">
      <c r="A88">
        <f>86</f>
        <v>86</v>
      </c>
      <c r="B88" t="str">
        <f>INDEX('Draft Engine'!$A$3:$A$232,$M88)</f>
        <v>RB</v>
      </c>
      <c r="C88">
        <f>INDEX('Draft Engine'!$F$3:$F$232,$M88)</f>
        <v>30</v>
      </c>
      <c r="D88" t="str">
        <f>INDEX('Draft Engine'!$B$3:$B$232,$M88)</f>
        <v>Kenneth Gainwell</v>
      </c>
      <c r="E88" s="4">
        <f>INDEX('Draft Engine'!$E$3:$E$232,$M88)</f>
        <v>74.504900000000006</v>
      </c>
      <c r="F88" t="str">
        <f>INDEX('LIVE SOURCE'!$H$3:$H$232,$M88)</f>
        <v>RB2/FLEX; useful weekly but role and receiving volume matter.</v>
      </c>
      <c r="G88" t="str">
        <f>INDEX('LIVE SOURCE'!$I$3:$I$232,$M88)</f>
        <v>He produced 13.0 PPR/FP points per game across 17 games. The workload/efficiency profile gives the model a rate-based reason to keep him here. Market price is favorable around ADP 124 versus model overall rank 86.</v>
      </c>
      <c r="H88" t="str">
        <f>INDEX('LIVE SOURCE'!$J$3:$J$232,$M88)</f>
        <v>Touchdown variance, receiving-role changes and backfield competition are the main downside paths.</v>
      </c>
      <c r="I88">
        <f>INDEX('Draft Engine'!$R$3:$R$232,$M88)</f>
        <v>123.8</v>
      </c>
      <c r="J88">
        <f>INDEX('Draft Engine'!$S$3:$S$232,$M88)</f>
        <v>37.799999999999997</v>
      </c>
      <c r="K88" t="str">
        <f>INDEX('Draft Engine'!$T$3:$T$232,$M88)</f>
        <v>A</v>
      </c>
      <c r="L88" t="str">
        <f>INDEX('Draft Engine'!$X$3:$X$232,$M88)</f>
        <v>RATE-ADJUSTED VETERAN</v>
      </c>
      <c r="M88" s="6">
        <f>MATCH($A88,'Draft Engine'!$Q$3:$Q$232,0)</f>
        <v>62</v>
      </c>
    </row>
    <row r="89" spans="1:13" x14ac:dyDescent="0.25">
      <c r="A89">
        <f>87</f>
        <v>87</v>
      </c>
      <c r="B89" t="str">
        <f>INDEX('Draft Engine'!$A$3:$A$232,$M89)</f>
        <v>RB</v>
      </c>
      <c r="C89">
        <f>INDEX('Draft Engine'!$F$3:$F$232,$M89)</f>
        <v>31</v>
      </c>
      <c r="D89" t="str">
        <f>INDEX('Draft Engine'!$B$3:$B$232,$M89)</f>
        <v>Bhayshul Tuten</v>
      </c>
      <c r="E89" s="4">
        <f>INDEX('Draft Engine'!$E$3:$E$232,$M89)</f>
        <v>74.467699999999994</v>
      </c>
      <c r="F89" t="str">
        <f>INDEX('LIVE SOURCE'!$H$3:$H$232,$M89)</f>
        <v>FLEX/bench depth with upside if workload grows.</v>
      </c>
      <c r="G89" t="str">
        <f>INDEX('LIVE SOURCE'!$I$3:$I$232,$M89)</f>
        <v>He produced 5.9 PPR/FP points per game across 15 games. The workload/efficiency profile gives the model a rate-based reason to keep him here. Market price is favorable around ADP 128 versus model overall rank 89.</v>
      </c>
      <c r="H89" t="str">
        <f>INDEX('LIVE SOURCE'!$J$3:$J$232,$M89)</f>
        <v>Touchdown variance, receiving-role changes and backfield competition are the main downside paths.</v>
      </c>
      <c r="I89">
        <f>INDEX('Draft Engine'!$R$3:$R$232,$M89)</f>
        <v>52.3</v>
      </c>
      <c r="J89">
        <f>INDEX('Draft Engine'!$S$3:$S$232,$M89)</f>
        <v>-34.700000000000003</v>
      </c>
      <c r="K89" t="str">
        <f>INDEX('Draft Engine'!$T$3:$T$232,$M89)</f>
        <v>A</v>
      </c>
      <c r="L89" t="str">
        <f>INDEX('Draft Engine'!$X$3:$X$232,$M89)</f>
        <v>RATE-ADJUSTED VETERAN</v>
      </c>
      <c r="M89" s="6">
        <f>MATCH($A89,'Draft Engine'!$Q$3:$Q$232,0)</f>
        <v>63</v>
      </c>
    </row>
    <row r="90" spans="1:13" x14ac:dyDescent="0.25">
      <c r="A90">
        <f>88</f>
        <v>88</v>
      </c>
      <c r="B90" t="str">
        <f>INDEX('Draft Engine'!$A$3:$A$232,$M90)</f>
        <v>WR</v>
      </c>
      <c r="C90">
        <f>INDEX('Draft Engine'!$F$3:$F$232,$M90)</f>
        <v>31</v>
      </c>
      <c r="D90" t="str">
        <f>INDEX('Draft Engine'!$B$3:$B$232,$M90)</f>
        <v>Jordan Addison</v>
      </c>
      <c r="E90" s="4">
        <f>INDEX('Draft Engine'!$E$3:$E$232,$M90)</f>
        <v>74.209999999999994</v>
      </c>
      <c r="F90" t="str">
        <f>INDEX('LIVE SOURCE'!$H$3:$H$232,$M90)</f>
        <v>WR2/FLEX; dependable lineup option with matchup-driven ceiling.</v>
      </c>
      <c r="G90" t="str">
        <f>INDEX('LIVE SOURCE'!$I$3:$I$232,$M90)</f>
        <v>He produced 9.6 PPR/FP points per game across 14 games. The workload/efficiency profile gives the model a rate-based reason to keep him here. Market price is favorable around ADP 147 versus model overall rank 114.</v>
      </c>
      <c r="H90" t="str">
        <f>INDEX('LIVE SOURCE'!$J$3:$J$232,$M90)</f>
        <v>Target competition, quarterback efficiency and touchdown regression are the main downside paths.</v>
      </c>
      <c r="I90">
        <f>INDEX('Draft Engine'!$R$3:$R$232,$M90)</f>
        <v>103.3</v>
      </c>
      <c r="J90">
        <f>INDEX('Draft Engine'!$S$3:$S$232,$M90)</f>
        <v>15.299999999999997</v>
      </c>
      <c r="K90" t="str">
        <f>INDEX('Draft Engine'!$T$3:$T$232,$M90)</f>
        <v>C</v>
      </c>
      <c r="L90" t="str">
        <f>INDEX('Draft Engine'!$X$3:$X$232,$M90)</f>
        <v>HISTORY FALLBACK</v>
      </c>
      <c r="M90" s="6">
        <f>MATCH($A90,'Draft Engine'!$Q$3:$Q$232,0)</f>
        <v>122</v>
      </c>
    </row>
    <row r="91" spans="1:13" x14ac:dyDescent="0.25">
      <c r="A91">
        <f>89</f>
        <v>89</v>
      </c>
      <c r="B91" t="str">
        <f>INDEX('Draft Engine'!$A$3:$A$232,$M91)</f>
        <v>TE</v>
      </c>
      <c r="C91">
        <f>INDEX('Draft Engine'!$F$3:$F$232,$M91)</f>
        <v>14</v>
      </c>
      <c r="D91" t="str">
        <f>INDEX('Draft Engine'!$B$3:$B$232,$M91)</f>
        <v>Mark Andrews</v>
      </c>
      <c r="E91" s="4">
        <f>INDEX('Draft Engine'!$E$3:$E$232,$M91)</f>
        <v>79.065399999999997</v>
      </c>
      <c r="F91" t="str">
        <f>INDEX('LIVE SOURCE'!$H$3:$H$232,$M91)</f>
        <v>Streaming/TE2 range; touchdown and route volume drive usefulness.</v>
      </c>
      <c r="G91" t="str">
        <f>INDEX('LIVE SOURCE'!$I$3:$I$232,$M91)</f>
        <v>He produced 7.7 PPR/FP points per game across 17 games. The workload/efficiency profile gives the model a rate-based reason to keep him here. Market price is favorable around ADP 134 versus model overall rank 97.</v>
      </c>
      <c r="H91" t="str">
        <f>INDEX('LIVE SOURCE'!$J$3:$J$232,$M91)</f>
        <v>Route share, target volume and touchdown volatility are the main swing factors.</v>
      </c>
      <c r="I91">
        <f>INDEX('Draft Engine'!$R$3:$R$232,$M91)</f>
        <v>145</v>
      </c>
      <c r="J91">
        <f>INDEX('Draft Engine'!$S$3:$S$232,$M91)</f>
        <v>56</v>
      </c>
      <c r="K91" t="str">
        <f>INDEX('Draft Engine'!$T$3:$T$232,$M91)</f>
        <v>A</v>
      </c>
      <c r="L91" t="str">
        <f>INDEX('Draft Engine'!$X$3:$X$232,$M91)</f>
        <v>RATE-ADJUSTED VETERAN</v>
      </c>
      <c r="M91" s="6">
        <f>MATCH($A91,'Draft Engine'!$Q$3:$Q$232,0)</f>
        <v>172</v>
      </c>
    </row>
    <row r="92" spans="1:13" x14ac:dyDescent="0.25">
      <c r="A92">
        <f>90</f>
        <v>90</v>
      </c>
      <c r="B92" t="str">
        <f>INDEX('Draft Engine'!$A$3:$A$232,$M92)</f>
        <v>QB</v>
      </c>
      <c r="C92">
        <f>INDEX('Draft Engine'!$F$3:$F$232,$M92)</f>
        <v>14</v>
      </c>
      <c r="D92" t="str">
        <f>INDEX('Draft Engine'!$B$3:$B$232,$M92)</f>
        <v>Brock Purdy</v>
      </c>
      <c r="E92" s="4">
        <f>INDEX('Draft Engine'!$E$3:$E$232,$M92)</f>
        <v>83.8386</v>
      </c>
      <c r="F92" t="str">
        <f>INDEX('LIVE SOURCE'!$H$3:$H$232,$M92)</f>
        <v>QB2/streaming tier; useful when matchup and supporting cast line up.</v>
      </c>
      <c r="G92" t="str">
        <f>INDEX('LIVE SOURCE'!$I$3:$I$232,$M92)</f>
        <v>He produced 20.8 PPR/FP points per game across 9 games. The workload/efficiency profile gives the model a rate-based reason to keep him here. Market price is favorable around ADP 126 versus model overall rank 95.</v>
      </c>
      <c r="H92" t="str">
        <f>INDEX('LIVE SOURCE'!$J$3:$J$232,$M92)</f>
        <v>Availability/sample risk is elevated after only 9 games; talent is not being punished as heavily as durability.</v>
      </c>
      <c r="I92">
        <f>INDEX('Draft Engine'!$R$3:$R$232,$M92)</f>
        <v>75.7</v>
      </c>
      <c r="J92">
        <f>INDEX('Draft Engine'!$S$3:$S$232,$M92)</f>
        <v>-14.299999999999997</v>
      </c>
      <c r="K92" t="str">
        <f>INDEX('Draft Engine'!$T$3:$T$232,$M92)</f>
        <v>B</v>
      </c>
      <c r="L92" t="str">
        <f>INDEX('Draft Engine'!$X$3:$X$232,$M92)</f>
        <v>RATE-ADJUSTED VETERAN</v>
      </c>
      <c r="M92" s="6">
        <f>MATCH($A92,'Draft Engine'!$Q$3:$Q$232,0)</f>
        <v>14</v>
      </c>
    </row>
    <row r="93" spans="1:13" x14ac:dyDescent="0.25">
      <c r="A93">
        <f>91</f>
        <v>91</v>
      </c>
      <c r="B93" t="str">
        <f>INDEX('Draft Engine'!$A$3:$A$232,$M93)</f>
        <v>WR</v>
      </c>
      <c r="C93">
        <f>INDEX('Draft Engine'!$F$3:$F$232,$M93)</f>
        <v>32</v>
      </c>
      <c r="D93" t="str">
        <f>INDEX('Draft Engine'!$B$3:$B$232,$M93)</f>
        <v>Christian Watson</v>
      </c>
      <c r="E93" s="4">
        <f>INDEX('Draft Engine'!$E$3:$E$232,$M93)</f>
        <v>73.892499999999998</v>
      </c>
      <c r="F93" t="str">
        <f>INDEX('LIVE SOURCE'!$H$3:$H$232,$M93)</f>
        <v>WR2/FLEX; dependable lineup option with matchup-driven ceiling.</v>
      </c>
      <c r="G93" t="str">
        <f>INDEX('LIVE SOURCE'!$I$3:$I$232,$M93)</f>
        <v>He produced 13.2 PPR/FP points per game across 10 games. The workload/efficiency profile gives the model a rate-based reason to keep him here.</v>
      </c>
      <c r="H93" t="str">
        <f>INDEX('LIVE SOURCE'!$J$3:$J$232,$M93)</f>
        <v>Target competition, quarterback efficiency and touchdown regression are the main downside paths.</v>
      </c>
      <c r="I93">
        <f>INDEX('Draft Engine'!$R$3:$R$232,$M93)</f>
        <v>70.900000000000006</v>
      </c>
      <c r="J93">
        <f>INDEX('Draft Engine'!$S$3:$S$232,$M93)</f>
        <v>-20.099999999999994</v>
      </c>
      <c r="K93" t="str">
        <f>INDEX('Draft Engine'!$T$3:$T$232,$M93)</f>
        <v>C</v>
      </c>
      <c r="L93" t="str">
        <f>INDEX('Draft Engine'!$X$3:$X$232,$M93)</f>
        <v>HISTORY FALLBACK</v>
      </c>
      <c r="M93" s="6">
        <f>MATCH($A93,'Draft Engine'!$Q$3:$Q$232,0)</f>
        <v>114</v>
      </c>
    </row>
    <row r="94" spans="1:13" x14ac:dyDescent="0.25">
      <c r="A94">
        <f>92</f>
        <v>92</v>
      </c>
      <c r="B94" t="str">
        <f>INDEX('Draft Engine'!$A$3:$A$232,$M94)</f>
        <v>RB</v>
      </c>
      <c r="C94">
        <f>INDEX('Draft Engine'!$F$3:$F$232,$M94)</f>
        <v>32</v>
      </c>
      <c r="D94" t="str">
        <f>INDEX('Draft Engine'!$B$3:$B$232,$M94)</f>
        <v>RJ Harvey</v>
      </c>
      <c r="E94" s="4">
        <f>INDEX('Draft Engine'!$E$3:$E$232,$M94)</f>
        <v>73.567800000000005</v>
      </c>
      <c r="F94" t="str">
        <f>INDEX('LIVE SOURCE'!$H$3:$H$232,$M94)</f>
        <v>FLEX/bench depth with upside if workload grows.</v>
      </c>
      <c r="G94" t="str">
        <f>INDEX('LIVE SOURCE'!$I$3:$I$232,$M94)</f>
        <v>He produced 12.2 PPR/FP points per game across 17 games. The workload/efficiency profile gives the model a rate-based reason to keep him here. Market price is favorable around ADP 132 versus model overall rank 96.</v>
      </c>
      <c r="H94" t="str">
        <f>INDEX('LIVE SOURCE'!$J$3:$J$232,$M94)</f>
        <v>Touchdown variance, receiving-role changes and backfield competition are the main downside paths.</v>
      </c>
      <c r="I94">
        <f>INDEX('Draft Engine'!$R$3:$R$232,$M94)</f>
        <v>82.6</v>
      </c>
      <c r="J94">
        <f>INDEX('Draft Engine'!$S$3:$S$232,$M94)</f>
        <v>-9.4000000000000057</v>
      </c>
      <c r="K94" t="str">
        <f>INDEX('Draft Engine'!$T$3:$T$232,$M94)</f>
        <v>A</v>
      </c>
      <c r="L94" t="str">
        <f>INDEX('Draft Engine'!$X$3:$X$232,$M94)</f>
        <v>RATE-ADJUSTED VETERAN</v>
      </c>
      <c r="M94" s="6">
        <f>MATCH($A94,'Draft Engine'!$Q$3:$Q$232,0)</f>
        <v>64</v>
      </c>
    </row>
    <row r="95" spans="1:13" x14ac:dyDescent="0.25">
      <c r="A95">
        <f>93</f>
        <v>93</v>
      </c>
      <c r="B95" t="str">
        <f>INDEX('Draft Engine'!$A$3:$A$232,$M95)</f>
        <v>WR</v>
      </c>
      <c r="C95">
        <f>INDEX('Draft Engine'!$F$3:$F$232,$M95)</f>
        <v>33</v>
      </c>
      <c r="D95" t="str">
        <f>INDEX('Draft Engine'!$B$3:$B$232,$M95)</f>
        <v>Rome Odunze</v>
      </c>
      <c r="E95" s="4">
        <f>INDEX('Draft Engine'!$E$3:$E$232,$M95)</f>
        <v>73.644999999999996</v>
      </c>
      <c r="F95" t="str">
        <f>INDEX('LIVE SOURCE'!$H$3:$H$232,$M95)</f>
        <v>WR2/FLEX; dependable lineup option with matchup-driven ceiling.</v>
      </c>
      <c r="G95" t="str">
        <f>INDEX('LIVE SOURCE'!$I$3:$I$232,$M95)</f>
        <v>He produced 12.2 PPR/FP points per game across 12 games. The workload/efficiency profile gives the model a rate-based reason to keep him here.</v>
      </c>
      <c r="H95" t="str">
        <f>INDEX('LIVE SOURCE'!$J$3:$J$232,$M95)</f>
        <v>Target competition, quarterback efficiency and touchdown regression are the main downside paths.</v>
      </c>
      <c r="I95">
        <f>INDEX('Draft Engine'!$R$3:$R$232,$M95)</f>
        <v>49.3</v>
      </c>
      <c r="J95">
        <f>INDEX('Draft Engine'!$S$3:$S$232,$M95)</f>
        <v>-43.7</v>
      </c>
      <c r="K95" t="str">
        <f>INDEX('Draft Engine'!$T$3:$T$232,$M95)</f>
        <v>C</v>
      </c>
      <c r="L95" t="str">
        <f>INDEX('Draft Engine'!$X$3:$X$232,$M95)</f>
        <v>HISTORY FALLBACK</v>
      </c>
      <c r="M95" s="6">
        <f>MATCH($A95,'Draft Engine'!$Q$3:$Q$232,0)</f>
        <v>111</v>
      </c>
    </row>
    <row r="96" spans="1:13" x14ac:dyDescent="0.25">
      <c r="A96">
        <f>94</f>
        <v>94</v>
      </c>
      <c r="B96" t="str">
        <f>INDEX('Draft Engine'!$A$3:$A$232,$M96)</f>
        <v>TE</v>
      </c>
      <c r="C96">
        <f>INDEX('Draft Engine'!$F$3:$F$232,$M96)</f>
        <v>15</v>
      </c>
      <c r="D96" t="str">
        <f>INDEX('Draft Engine'!$B$3:$B$232,$M96)</f>
        <v>Isaiah Likely</v>
      </c>
      <c r="E96" s="4">
        <f>INDEX('Draft Engine'!$E$3:$E$232,$M96)</f>
        <v>78.579499999999996</v>
      </c>
      <c r="F96" t="str">
        <f>INDEX('LIVE SOURCE'!$H$3:$H$232,$M96)</f>
        <v>Streaming/TE2 range; touchdown and route volume drive usefulness.</v>
      </c>
      <c r="G96" t="str">
        <f>INDEX('LIVE SOURCE'!$I$3:$I$232,$M96)</f>
        <v>He produced 4.4 PPR/FP points per game across 14 games. The workload/efficiency profile gives the model a rate-based reason to keep him here. Market price is favorable around ADP 143 versus model overall rank 99.</v>
      </c>
      <c r="H96" t="str">
        <f>INDEX('LIVE SOURCE'!$J$3:$J$232,$M96)</f>
        <v>Route share, target volume and touchdown volatility are the main swing factors.</v>
      </c>
      <c r="I96">
        <f>INDEX('Draft Engine'!$R$3:$R$232,$M96)</f>
        <v>133.1</v>
      </c>
      <c r="J96">
        <f>INDEX('Draft Engine'!$S$3:$S$232,$M96)</f>
        <v>39.099999999999994</v>
      </c>
      <c r="K96" t="str">
        <f>INDEX('Draft Engine'!$T$3:$T$232,$M96)</f>
        <v>A</v>
      </c>
      <c r="L96" t="str">
        <f>INDEX('Draft Engine'!$X$3:$X$232,$M96)</f>
        <v>RATE-ADJUSTED VETERAN</v>
      </c>
      <c r="M96" s="6">
        <f>MATCH($A96,'Draft Engine'!$Q$3:$Q$232,0)</f>
        <v>173</v>
      </c>
    </row>
    <row r="97" spans="1:13" x14ac:dyDescent="0.25">
      <c r="A97">
        <f>95</f>
        <v>95</v>
      </c>
      <c r="B97" t="str">
        <f>INDEX('Draft Engine'!$A$3:$A$232,$M97)</f>
        <v>WR</v>
      </c>
      <c r="C97">
        <f>INDEX('Draft Engine'!$F$3:$F$232,$M97)</f>
        <v>34</v>
      </c>
      <c r="D97" t="str">
        <f>INDEX('Draft Engine'!$B$3:$B$232,$M97)</f>
        <v>Wan'Dale Robinson</v>
      </c>
      <c r="E97" s="4">
        <f>INDEX('Draft Engine'!$E$3:$E$232,$M97)</f>
        <v>73.540000000000006</v>
      </c>
      <c r="F97" t="str">
        <f>INDEX('LIVE SOURCE'!$H$3:$H$232,$M97)</f>
        <v>WR2/FLEX; dependable lineup option with matchup-driven ceiling.</v>
      </c>
      <c r="G97" t="str">
        <f>INDEX('LIVE SOURCE'!$I$3:$I$232,$M97)</f>
        <v>He produced 13.7 PPR/FP points per game across 16 games. The workload/efficiency profile gives the model a rate-based reason to keep him here. Market price is favorable around ADP 151 versus model overall rank 118.</v>
      </c>
      <c r="H97" t="str">
        <f>INDEX('LIVE SOURCE'!$J$3:$J$232,$M97)</f>
        <v>Target competition, quarterback efficiency and touchdown regression are the main downside paths.</v>
      </c>
      <c r="I97">
        <f>INDEX('Draft Engine'!$R$3:$R$232,$M97)</f>
        <v>71</v>
      </c>
      <c r="J97">
        <f>INDEX('Draft Engine'!$S$3:$S$232,$M97)</f>
        <v>-24</v>
      </c>
      <c r="K97" t="str">
        <f>INDEX('Draft Engine'!$T$3:$T$232,$M97)</f>
        <v>C</v>
      </c>
      <c r="L97" t="str">
        <f>INDEX('Draft Engine'!$X$3:$X$232,$M97)</f>
        <v>HISTORY FALLBACK</v>
      </c>
      <c r="M97" s="6">
        <f>MATCH($A97,'Draft Engine'!$Q$3:$Q$232,0)</f>
        <v>123</v>
      </c>
    </row>
    <row r="98" spans="1:13" x14ac:dyDescent="0.25">
      <c r="A98">
        <f>96</f>
        <v>96</v>
      </c>
      <c r="B98" t="str">
        <f>INDEX('Draft Engine'!$A$3:$A$232,$M98)</f>
        <v>QB</v>
      </c>
      <c r="C98">
        <f>INDEX('Draft Engine'!$F$3:$F$232,$M98)</f>
        <v>15</v>
      </c>
      <c r="D98" t="str">
        <f>INDEX('Draft Engine'!$B$3:$B$232,$M98)</f>
        <v>Jaxson Dart</v>
      </c>
      <c r="E98" s="4">
        <f>INDEX('Draft Engine'!$E$3:$E$232,$M98)</f>
        <v>83.060699999999997</v>
      </c>
      <c r="F98" t="str">
        <f>INDEX('LIVE SOURCE'!$H$3:$H$232,$M98)</f>
        <v>QB2/streaming tier; useful when matchup and supporting cast line up.</v>
      </c>
      <c r="G98" t="str">
        <f>INDEX('LIVE SOURCE'!$I$3:$I$232,$M98)</f>
        <v>He produced 17.6 PPR/FP points per game across 14 games. The workload/efficiency profile gives the model a rate-based reason to keep him here. Market price is favorable around ADP 134 versus model overall rank 101.</v>
      </c>
      <c r="H98" t="str">
        <f>INDEX('LIVE SOURCE'!$J$3:$J$232,$M98)</f>
        <v>Passing-TD efficiency, rushing volume and supporting-cast health are the main swing factors.</v>
      </c>
      <c r="I98">
        <f>INDEX('Draft Engine'!$R$3:$R$232,$M98)</f>
        <v>100.4</v>
      </c>
      <c r="J98">
        <f>INDEX('Draft Engine'!$S$3:$S$232,$M98)</f>
        <v>4.4000000000000057</v>
      </c>
      <c r="K98" t="str">
        <f>INDEX('Draft Engine'!$T$3:$T$232,$M98)</f>
        <v>A</v>
      </c>
      <c r="L98" t="str">
        <f>INDEX('Draft Engine'!$X$3:$X$232,$M98)</f>
        <v>RATE-ADJUSTED VETERAN</v>
      </c>
      <c r="M98" s="6">
        <f>MATCH($A98,'Draft Engine'!$Q$3:$Q$232,0)</f>
        <v>15</v>
      </c>
    </row>
    <row r="99" spans="1:13" x14ac:dyDescent="0.25">
      <c r="A99">
        <f>97</f>
        <v>97</v>
      </c>
      <c r="B99" t="str">
        <f>INDEX('Draft Engine'!$A$3:$A$232,$M99)</f>
        <v>TE</v>
      </c>
      <c r="C99">
        <f>INDEX('Draft Engine'!$F$3:$F$232,$M99)</f>
        <v>16</v>
      </c>
      <c r="D99" t="str">
        <f>INDEX('Draft Engine'!$B$3:$B$232,$M99)</f>
        <v>Juwan Johnson</v>
      </c>
      <c r="E99" s="4">
        <f>INDEX('Draft Engine'!$E$3:$E$232,$M99)</f>
        <v>78.320300000000003</v>
      </c>
      <c r="F99" t="str">
        <f>INDEX('LIVE SOURCE'!$H$3:$H$232,$M99)</f>
        <v>Streaming/TE2 range; touchdown and route volume drive usefulness.</v>
      </c>
      <c r="G99" t="str">
        <f>INDEX('LIVE SOURCE'!$I$3:$I$232,$M99)</f>
        <v>He produced 10.6 PPR/FP points per game across 17 games. The workload/efficiency profile gives the model a rate-based reason to keep him here. Market price is favorable around ADP 152 versus model overall rank 103.</v>
      </c>
      <c r="H99" t="str">
        <f>INDEX('LIVE SOURCE'!$J$3:$J$232,$M99)</f>
        <v>Route share, target volume and touchdown volatility are the main swing factors.</v>
      </c>
      <c r="I99">
        <f>INDEX('Draft Engine'!$R$3:$R$232,$M99)</f>
        <v>159.19999999999999</v>
      </c>
      <c r="J99">
        <f>INDEX('Draft Engine'!$S$3:$S$232,$M99)</f>
        <v>62.199999999999989</v>
      </c>
      <c r="K99" t="str">
        <f>INDEX('Draft Engine'!$T$3:$T$232,$M99)</f>
        <v>A</v>
      </c>
      <c r="L99" t="str">
        <f>INDEX('Draft Engine'!$X$3:$X$232,$M99)</f>
        <v>RATE-ADJUSTED VETERAN</v>
      </c>
      <c r="M99" s="6">
        <f>MATCH($A99,'Draft Engine'!$Q$3:$Q$232,0)</f>
        <v>174</v>
      </c>
    </row>
    <row r="100" spans="1:13" x14ac:dyDescent="0.25">
      <c r="A100">
        <f>98</f>
        <v>98</v>
      </c>
      <c r="B100" t="str">
        <f>INDEX('Draft Engine'!$A$3:$A$232,$M100)</f>
        <v>RB</v>
      </c>
      <c r="C100">
        <f>INDEX('Draft Engine'!$F$3:$F$232,$M100)</f>
        <v>33</v>
      </c>
      <c r="D100" t="str">
        <f>INDEX('Draft Engine'!$B$3:$B$232,$M100)</f>
        <v>Kyle Monangai</v>
      </c>
      <c r="E100" s="4">
        <f>INDEX('Draft Engine'!$E$3:$E$232,$M100)</f>
        <v>72.610200000000006</v>
      </c>
      <c r="F100" t="str">
        <f>INDEX('LIVE SOURCE'!$H$3:$H$232,$M100)</f>
        <v>FLEX/bench depth with upside if workload grows.</v>
      </c>
      <c r="G100" t="str">
        <f>INDEX('LIVE SOURCE'!$I$3:$I$232,$M100)</f>
        <v>He produced 8.7 PPR/FP points per game across 17 games. The workload/efficiency profile gives the model a rate-based reason to keep him here. Market price is favorable around ADP 136 versus model overall rank 102.</v>
      </c>
      <c r="H100" t="str">
        <f>INDEX('LIVE SOURCE'!$J$3:$J$232,$M100)</f>
        <v>Touchdown variance, receiving-role changes and backfield competition are the main downside paths.</v>
      </c>
      <c r="I100">
        <f>INDEX('Draft Engine'!$R$3:$R$232,$M100)</f>
        <v>100.3</v>
      </c>
      <c r="J100">
        <f>INDEX('Draft Engine'!$S$3:$S$232,$M100)</f>
        <v>2.2999999999999972</v>
      </c>
      <c r="K100" t="str">
        <f>INDEX('Draft Engine'!$T$3:$T$232,$M100)</f>
        <v>A</v>
      </c>
      <c r="L100" t="str">
        <f>INDEX('Draft Engine'!$X$3:$X$232,$M100)</f>
        <v>RATE-ADJUSTED VETERAN</v>
      </c>
      <c r="M100" s="6">
        <f>MATCH($A100,'Draft Engine'!$Q$3:$Q$232,0)</f>
        <v>65</v>
      </c>
    </row>
    <row r="101" spans="1:13" x14ac:dyDescent="0.25">
      <c r="A101">
        <f>99</f>
        <v>99</v>
      </c>
      <c r="B101" t="str">
        <f>INDEX('Draft Engine'!$A$3:$A$232,$M101)</f>
        <v>QB</v>
      </c>
      <c r="C101">
        <f>INDEX('Draft Engine'!$F$3:$F$232,$M101)</f>
        <v>16</v>
      </c>
      <c r="D101" t="str">
        <f>INDEX('Draft Engine'!$B$3:$B$232,$M101)</f>
        <v>Jared Goff</v>
      </c>
      <c r="E101" s="4">
        <f>INDEX('Draft Engine'!$E$3:$E$232,$M101)</f>
        <v>82.642499999999998</v>
      </c>
      <c r="F101" t="str">
        <f>INDEX('LIVE SOURCE'!$H$3:$H$232,$M101)</f>
        <v>QB2/streaming tier; useful when matchup and supporting cast line up.</v>
      </c>
      <c r="G101" t="str">
        <f>INDEX('LIVE SOURCE'!$I$3:$I$232,$M101)</f>
        <v>He produced 17.9 PPR/FP points per game across 17 games. The workload/efficiency profile gives the model a rate-based reason to keep him here. Market price is favorable around ADP 142 versus model overall rank 106.</v>
      </c>
      <c r="H101" t="str">
        <f>INDEX('LIVE SOURCE'!$J$3:$J$232,$M101)</f>
        <v>Passing-TD efficiency, rushing volume and supporting-cast health are the main swing factors.</v>
      </c>
      <c r="I101">
        <f>INDEX('Draft Engine'!$R$3:$R$232,$M101)</f>
        <v>107.9</v>
      </c>
      <c r="J101">
        <f>INDEX('Draft Engine'!$S$3:$S$232,$M101)</f>
        <v>8.9000000000000057</v>
      </c>
      <c r="K101" t="str">
        <f>INDEX('Draft Engine'!$T$3:$T$232,$M101)</f>
        <v>A</v>
      </c>
      <c r="L101" t="str">
        <f>INDEX('Draft Engine'!$X$3:$X$232,$M101)</f>
        <v>RATE-ADJUSTED VETERAN</v>
      </c>
      <c r="M101" s="6">
        <f>MATCH($A101,'Draft Engine'!$Q$3:$Q$232,0)</f>
        <v>16</v>
      </c>
    </row>
    <row r="102" spans="1:13" x14ac:dyDescent="0.25">
      <c r="A102">
        <f>100</f>
        <v>100</v>
      </c>
      <c r="B102" t="str">
        <f>INDEX('Draft Engine'!$A$3:$A$232,$M102)</f>
        <v>RB</v>
      </c>
      <c r="C102">
        <f>INDEX('Draft Engine'!$F$3:$F$232,$M102)</f>
        <v>34</v>
      </c>
      <c r="D102" t="str">
        <f>INDEX('Draft Engine'!$B$3:$B$232,$M102)</f>
        <v>Chuba Hubbard</v>
      </c>
      <c r="E102" s="4">
        <f>INDEX('Draft Engine'!$E$3:$E$232,$M102)</f>
        <v>71.866699999999994</v>
      </c>
      <c r="F102" t="str">
        <f>INDEX('LIVE SOURCE'!$H$3:$H$232,$M102)</f>
        <v>FLEX/bench depth with upside if workload grows.</v>
      </c>
      <c r="G102" t="str">
        <f>INDEX('LIVE SOURCE'!$I$3:$I$232,$M102)</f>
        <v>He produced 8.4 PPR/FP points per game across 15 games. The workload/efficiency profile gives the model a rate-based reason to keep him here. Market price is favorable around ADP 141 versus model overall rank 107.</v>
      </c>
      <c r="H102" t="str">
        <f>INDEX('LIVE SOURCE'!$J$3:$J$232,$M102)</f>
        <v>Touchdown variance, receiving-role changes and backfield competition are the main downside paths.</v>
      </c>
      <c r="I102">
        <f>INDEX('Draft Engine'!$R$3:$R$232,$M102)</f>
        <v>75.900000000000006</v>
      </c>
      <c r="J102">
        <f>INDEX('Draft Engine'!$S$3:$S$232,$M102)</f>
        <v>-24.099999999999994</v>
      </c>
      <c r="K102" t="str">
        <f>INDEX('Draft Engine'!$T$3:$T$232,$M102)</f>
        <v>A</v>
      </c>
      <c r="L102" t="str">
        <f>INDEX('Draft Engine'!$X$3:$X$232,$M102)</f>
        <v>RATE-ADJUSTED VETERAN</v>
      </c>
      <c r="M102" s="6">
        <f>MATCH($A102,'Draft Engine'!$Q$3:$Q$232,0)</f>
        <v>66</v>
      </c>
    </row>
    <row r="103" spans="1:13" x14ac:dyDescent="0.25">
      <c r="A103">
        <f>101</f>
        <v>101</v>
      </c>
      <c r="B103" t="str">
        <f>INDEX('Draft Engine'!$A$3:$A$232,$M103)</f>
        <v>WR</v>
      </c>
      <c r="C103">
        <f>INDEX('Draft Engine'!$F$3:$F$232,$M103)</f>
        <v>35</v>
      </c>
      <c r="D103" t="str">
        <f>INDEX('Draft Engine'!$B$3:$B$232,$M103)</f>
        <v>Carnell Tate</v>
      </c>
      <c r="E103" s="4">
        <f>INDEX('Draft Engine'!$E$3:$E$232,$M103)</f>
        <v>71.89</v>
      </c>
      <c r="F103" t="str">
        <f>INDEX('LIVE SOURCE'!$H$3:$H$232,$M103)</f>
        <v>WR2/FLEX; dependable lineup option with matchup-driven ceiling.</v>
      </c>
      <c r="G103" t="str">
        <f>INDEX('LIVE SOURCE'!$I$3:$I$232,$M103)</f>
        <v>Rookie score 95.1, backed by No. 4 draft capital and a 6.71 NFL prospect grade. The 2026 role projection is strong enough to replace missing NFL history.</v>
      </c>
      <c r="H103" t="str">
        <f>INDEX('LIVE SOURCE'!$J$3:$J$232,$M103)</f>
        <v>NFL translation and exact weekly role are the main variables; preseason first-team usage can move this rating quickly.</v>
      </c>
      <c r="I103">
        <f>INDEX('Draft Engine'!$R$3:$R$232,$M103)</f>
        <v>77.400000000000006</v>
      </c>
      <c r="J103">
        <f>INDEX('Draft Engine'!$S$3:$S$232,$M103)</f>
        <v>-23.599999999999994</v>
      </c>
      <c r="K103" t="str">
        <f>INDEX('Draft Engine'!$T$3:$T$232,$M103)</f>
        <v>C</v>
      </c>
      <c r="L103" t="str">
        <f>INDEX('Draft Engine'!$X$3:$X$232,$M103)</f>
        <v>HISTORY FALLBACK</v>
      </c>
      <c r="M103" s="6">
        <f>MATCH($A103,'Draft Engine'!$Q$3:$Q$232,0)</f>
        <v>117</v>
      </c>
    </row>
    <row r="104" spans="1:13" x14ac:dyDescent="0.25">
      <c r="A104">
        <f>102</f>
        <v>102</v>
      </c>
      <c r="B104" t="str">
        <f>INDEX('Draft Engine'!$A$3:$A$232,$M104)</f>
        <v>RB</v>
      </c>
      <c r="C104">
        <f>INDEX('Draft Engine'!$F$3:$F$232,$M104)</f>
        <v>35</v>
      </c>
      <c r="D104" t="str">
        <f>INDEX('Draft Engine'!$B$3:$B$232,$M104)</f>
        <v>Aaron Jones Sr.</v>
      </c>
      <c r="E104" s="4">
        <f>INDEX('Draft Engine'!$E$3:$E$232,$M104)</f>
        <v>71.697699999999998</v>
      </c>
      <c r="F104" t="str">
        <f>INDEX('LIVE SOURCE'!$H$3:$H$232,$M104)</f>
        <v>FLEX/bench depth with upside if workload grows.</v>
      </c>
      <c r="G104" t="str">
        <f>INDEX('LIVE SOURCE'!$I$3:$I$232,$M104)</f>
        <v>He produced 9.9 PPR/FP points per game across 12 games. The workload/efficiency profile gives the model a rate-based reason to keep him here. Market price is favorable around ADP 145 versus model overall rank 111.</v>
      </c>
      <c r="H104" t="str">
        <f>INDEX('LIVE SOURCE'!$J$3:$J$232,$M104)</f>
        <v>Touchdown variance, receiving-role changes and backfield competition are the main downside paths.</v>
      </c>
      <c r="I104">
        <f>INDEX('Draft Engine'!$R$3:$R$232,$M104)</f>
        <v>90.7</v>
      </c>
      <c r="J104">
        <f>INDEX('Draft Engine'!$S$3:$S$232,$M104)</f>
        <v>-11.299999999999997</v>
      </c>
      <c r="K104" t="str">
        <f>INDEX('Draft Engine'!$T$3:$T$232,$M104)</f>
        <v>A</v>
      </c>
      <c r="L104" t="str">
        <f>INDEX('Draft Engine'!$X$3:$X$232,$M104)</f>
        <v>RATE-ADJUSTED VETERAN</v>
      </c>
      <c r="M104" s="6">
        <f>MATCH($A104,'Draft Engine'!$Q$3:$Q$232,0)</f>
        <v>67</v>
      </c>
    </row>
    <row r="105" spans="1:13" x14ac:dyDescent="0.25">
      <c r="A105">
        <f>103</f>
        <v>103</v>
      </c>
      <c r="B105" t="str">
        <f>INDEX('Draft Engine'!$A$3:$A$232,$M105)</f>
        <v>WR</v>
      </c>
      <c r="C105">
        <f>INDEX('Draft Engine'!$F$3:$F$232,$M105)</f>
        <v>36</v>
      </c>
      <c r="D105" t="str">
        <f>INDEX('Draft Engine'!$B$3:$B$232,$M105)</f>
        <v>Marvin Harrison Jr.</v>
      </c>
      <c r="E105" s="4">
        <f>INDEX('Draft Engine'!$E$3:$E$232,$M105)</f>
        <v>71.81</v>
      </c>
      <c r="F105" t="str">
        <f>INDEX('LIVE SOURCE'!$H$3:$H$232,$M105)</f>
        <v>FLEX/bench receiver; needs target growth or efficiency spikes.</v>
      </c>
      <c r="G105" t="str">
        <f>INDEX('LIVE SOURCE'!$I$3:$I$232,$M105)</f>
        <v>He produced 10.6 PPR/FP points per game across 12 games. The workload/efficiency profile gives the model a rate-based reason to keep him here.</v>
      </c>
      <c r="H105" t="str">
        <f>INDEX('LIVE SOURCE'!$J$3:$J$232,$M105)</f>
        <v>Target competition, quarterback efficiency and touchdown regression are the main downside paths.</v>
      </c>
      <c r="I105">
        <f>INDEX('Draft Engine'!$R$3:$R$232,$M105)</f>
        <v>63.9</v>
      </c>
      <c r="J105">
        <f>INDEX('Draft Engine'!$S$3:$S$232,$M105)</f>
        <v>-39.1</v>
      </c>
      <c r="K105" t="str">
        <f>INDEX('Draft Engine'!$T$3:$T$232,$M105)</f>
        <v>C</v>
      </c>
      <c r="L105" t="str">
        <f>INDEX('Draft Engine'!$X$3:$X$232,$M105)</f>
        <v>HISTORY FALLBACK</v>
      </c>
      <c r="M105" s="6">
        <f>MATCH($A105,'Draft Engine'!$Q$3:$Q$232,0)</f>
        <v>113</v>
      </c>
    </row>
    <row r="106" spans="1:13" x14ac:dyDescent="0.25">
      <c r="A106">
        <f>104</f>
        <v>104</v>
      </c>
      <c r="B106" t="str">
        <f>INDEX('Draft Engine'!$A$3:$A$232,$M106)</f>
        <v>WR</v>
      </c>
      <c r="C106">
        <f>INDEX('Draft Engine'!$F$3:$F$232,$M106)</f>
        <v>37</v>
      </c>
      <c r="D106" t="str">
        <f>INDEX('Draft Engine'!$B$3:$B$232,$M106)</f>
        <v>Parker Washington</v>
      </c>
      <c r="E106" s="4">
        <f>INDEX('Draft Engine'!$E$3:$E$232,$M106)</f>
        <v>71.53</v>
      </c>
      <c r="F106" t="str">
        <f>INDEX('LIVE SOURCE'!$H$3:$H$232,$M106)</f>
        <v>FLEX/bench receiver; needs target growth or efficiency spikes.</v>
      </c>
      <c r="G106" t="str">
        <f>INDEX('LIVE SOURCE'!$I$3:$I$232,$M106)</f>
        <v>He produced 11.5 PPR/FP points per game across 16 games. The workload/efficiency profile gives the model a rate-based reason to keep him here. Market price is favorable around ADP 163 versus model overall rank 133.</v>
      </c>
      <c r="H106" t="str">
        <f>INDEX('LIVE SOURCE'!$J$3:$J$232,$M106)</f>
        <v>Target competition, quarterback efficiency and touchdown regression are the main downside paths.</v>
      </c>
      <c r="I106">
        <f>INDEX('Draft Engine'!$R$3:$R$232,$M106)</f>
        <v>72.3</v>
      </c>
      <c r="J106">
        <f>INDEX('Draft Engine'!$S$3:$S$232,$M106)</f>
        <v>-31.700000000000003</v>
      </c>
      <c r="K106" t="str">
        <f>INDEX('Draft Engine'!$T$3:$T$232,$M106)</f>
        <v>C</v>
      </c>
      <c r="L106" t="str">
        <f>INDEX('Draft Engine'!$X$3:$X$232,$M106)</f>
        <v>HISTORY FALLBACK</v>
      </c>
      <c r="M106" s="6">
        <f>MATCH($A106,'Draft Engine'!$Q$3:$Q$232,0)</f>
        <v>126</v>
      </c>
    </row>
    <row r="107" spans="1:13" x14ac:dyDescent="0.25">
      <c r="A107">
        <f>105</f>
        <v>105</v>
      </c>
      <c r="B107" t="str">
        <f>INDEX('Draft Engine'!$A$3:$A$232,$M107)</f>
        <v>TE</v>
      </c>
      <c r="C107">
        <f>INDEX('Draft Engine'!$F$3:$F$232,$M107)</f>
        <v>17</v>
      </c>
      <c r="D107" t="str">
        <f>INDEX('Draft Engine'!$B$3:$B$232,$M107)</f>
        <v>Hunter Henry</v>
      </c>
      <c r="E107" s="4">
        <f>INDEX('Draft Engine'!$E$3:$E$232,$M107)</f>
        <v>76.252600000000001</v>
      </c>
      <c r="F107" t="str">
        <f>INDEX('LIVE SOURCE'!$H$3:$H$232,$M107)</f>
        <v>Streaming/TE2 range; touchdown and route volume drive usefulness.</v>
      </c>
      <c r="G107" t="str">
        <f>INDEX('LIVE SOURCE'!$I$3:$I$232,$M107)</f>
        <v>He produced 10.5 PPR/FP points per game across 17 games. The workload/efficiency profile gives the model a rate-based reason to keep him here. Market price is favorable around ADP 161 versus model overall rank 116.</v>
      </c>
      <c r="H107" t="str">
        <f>INDEX('LIVE SOURCE'!$J$3:$J$232,$M107)</f>
        <v>Route share, target volume and touchdown volatility are the main swing factors.</v>
      </c>
      <c r="I107">
        <f>INDEX('Draft Engine'!$R$3:$R$232,$M107)</f>
        <v>156.6</v>
      </c>
      <c r="J107">
        <f>INDEX('Draft Engine'!$S$3:$S$232,$M107)</f>
        <v>51.599999999999994</v>
      </c>
      <c r="K107" t="str">
        <f>INDEX('Draft Engine'!$T$3:$T$232,$M107)</f>
        <v>A</v>
      </c>
      <c r="L107" t="str">
        <f>INDEX('Draft Engine'!$X$3:$X$232,$M107)</f>
        <v>RATE-ADJUSTED VETERAN</v>
      </c>
      <c r="M107" s="6">
        <f>MATCH($A107,'Draft Engine'!$Q$3:$Q$232,0)</f>
        <v>175</v>
      </c>
    </row>
    <row r="108" spans="1:13" x14ac:dyDescent="0.25">
      <c r="A108">
        <f>106</f>
        <v>106</v>
      </c>
      <c r="B108" t="str">
        <f>INDEX('Draft Engine'!$A$3:$A$232,$M108)</f>
        <v>RB</v>
      </c>
      <c r="C108">
        <f>INDEX('Draft Engine'!$F$3:$F$232,$M108)</f>
        <v>36</v>
      </c>
      <c r="D108" t="str">
        <f>INDEX('Draft Engine'!$B$3:$B$232,$M108)</f>
        <v>J.K. Dobbins</v>
      </c>
      <c r="E108" s="4">
        <f>INDEX('Draft Engine'!$E$3:$E$232,$M108)</f>
        <v>71.166600000000003</v>
      </c>
      <c r="F108" t="str">
        <f>INDEX('LIVE SOURCE'!$H$3:$H$232,$M108)</f>
        <v>FLEX/bench depth with upside if workload grows.</v>
      </c>
      <c r="G108" t="str">
        <f>INDEX('LIVE SOURCE'!$I$3:$I$232,$M108)</f>
        <v>He produced 11.6 PPR/FP points per game across 10 games. The workload/efficiency profile gives the model a rate-based reason to keep him here. Market price is favorable around ADP 149 versus model overall rank 113.</v>
      </c>
      <c r="H108" t="str">
        <f>INDEX('LIVE SOURCE'!$J$3:$J$232,$M108)</f>
        <v>Touchdown variance, receiving-role changes and backfield competition are the main downside paths.</v>
      </c>
      <c r="I108">
        <f>INDEX('Draft Engine'!$R$3:$R$232,$M108)</f>
        <v>91.9</v>
      </c>
      <c r="J108">
        <f>INDEX('Draft Engine'!$S$3:$S$232,$M108)</f>
        <v>-14.099999999999994</v>
      </c>
      <c r="K108" t="str">
        <f>INDEX('Draft Engine'!$T$3:$T$232,$M108)</f>
        <v>B</v>
      </c>
      <c r="L108" t="str">
        <f>INDEX('Draft Engine'!$X$3:$X$232,$M108)</f>
        <v>RATE-ADJUSTED VETERAN</v>
      </c>
      <c r="M108" s="6">
        <f>MATCH($A108,'Draft Engine'!$Q$3:$Q$232,0)</f>
        <v>68</v>
      </c>
    </row>
    <row r="109" spans="1:13" x14ac:dyDescent="0.25">
      <c r="A109">
        <f>107</f>
        <v>107</v>
      </c>
      <c r="B109" t="str">
        <f>INDEX('Draft Engine'!$A$3:$A$232,$M109)</f>
        <v>WR</v>
      </c>
      <c r="C109">
        <f>INDEX('Draft Engine'!$F$3:$F$232,$M109)</f>
        <v>38</v>
      </c>
      <c r="D109" t="str">
        <f>INDEX('Draft Engine'!$B$3:$B$232,$M109)</f>
        <v>Stefon Diggs</v>
      </c>
      <c r="E109" s="4">
        <f>INDEX('Draft Engine'!$E$3:$E$232,$M109)</f>
        <v>71.2</v>
      </c>
      <c r="F109" t="str">
        <f>INDEX('LIVE SOURCE'!$H$3:$H$232,$M109)</f>
        <v>Added 2026-08-12 from ESPN consensus (WR41).</v>
      </c>
      <c r="G109" t="str">
        <f>INDEX('LIVE SOURCE'!$I$3:$I$232,$M109)</f>
        <v>Not in the original model pool; rating interpolated from the players ESPN ranks directly around him, so he sits at his consensus slot on our board.</v>
      </c>
      <c r="H109" t="str">
        <f>INDEX('LIVE SOURCE'!$J$3:$J$232,$M109)</f>
        <v>No model projection behind this rating; it is market consensus only. Re-rate manually if you have a strong opinion.</v>
      </c>
      <c r="I109">
        <f>INDEX('Draft Engine'!$R$3:$R$232,$M109)</f>
        <v>90.5</v>
      </c>
      <c r="J109">
        <f>INDEX('Draft Engine'!$S$3:$S$232,$M109)</f>
        <v>-16.5</v>
      </c>
      <c r="K109" t="str">
        <f>INDEX('Draft Engine'!$T$3:$T$232,$M109)</f>
        <v>C</v>
      </c>
      <c r="L109" t="str">
        <f>INDEX('Draft Engine'!$X$3:$X$232,$M109)</f>
        <v>ESPN SLOT-IN</v>
      </c>
      <c r="M109" s="6">
        <f>MATCH($A109,'Draft Engine'!$Q$3:$Q$232,0)</f>
        <v>155</v>
      </c>
    </row>
    <row r="110" spans="1:13" x14ac:dyDescent="0.25">
      <c r="A110">
        <f>108</f>
        <v>108</v>
      </c>
      <c r="B110" t="str">
        <f>INDEX('Draft Engine'!$A$3:$A$232,$M110)</f>
        <v>TE</v>
      </c>
      <c r="C110">
        <f>INDEX('Draft Engine'!$F$3:$F$232,$M110)</f>
        <v>18</v>
      </c>
      <c r="D110" t="str">
        <f>INDEX('Draft Engine'!$B$3:$B$232,$M110)</f>
        <v>Brenton Strange</v>
      </c>
      <c r="E110" s="4">
        <f>INDEX('Draft Engine'!$E$3:$E$232,$M110)</f>
        <v>76.0321</v>
      </c>
      <c r="F110" t="str">
        <f>INDEX('LIVE SOURCE'!$H$3:$H$232,$M110)</f>
        <v>Streaming/TE2 range; touchdown and route volume drive usefulness.</v>
      </c>
      <c r="G110" t="str">
        <f>INDEX('LIVE SOURCE'!$I$3:$I$232,$M110)</f>
        <v>He produced 9.8 PPR/FP points per game across 12 games. The workload/efficiency profile gives the model a rate-based reason to keep him here. Market price is favorable around ADP 170 versus model overall rank 121.</v>
      </c>
      <c r="H110" t="str">
        <f>INDEX('LIVE SOURCE'!$J$3:$J$232,$M110)</f>
        <v>Route share, target volume and touchdown volatility are the main swing factors.</v>
      </c>
      <c r="I110">
        <f>INDEX('Draft Engine'!$R$3:$R$232,$M110)</f>
        <v>165</v>
      </c>
      <c r="J110">
        <f>INDEX('Draft Engine'!$S$3:$S$232,$M110)</f>
        <v>57</v>
      </c>
      <c r="K110" t="str">
        <f>INDEX('Draft Engine'!$T$3:$T$232,$M110)</f>
        <v>A</v>
      </c>
      <c r="L110" t="str">
        <f>INDEX('Draft Engine'!$X$3:$X$232,$M110)</f>
        <v>RATE-ADJUSTED VETERAN</v>
      </c>
      <c r="M110" s="6">
        <f>MATCH($A110,'Draft Engine'!$Q$3:$Q$232,0)</f>
        <v>176</v>
      </c>
    </row>
    <row r="111" spans="1:13" x14ac:dyDescent="0.25">
      <c r="A111">
        <f>109</f>
        <v>109</v>
      </c>
      <c r="B111" t="str">
        <f>INDEX('Draft Engine'!$A$3:$A$232,$M111)</f>
        <v>QB</v>
      </c>
      <c r="C111">
        <f>INDEX('Draft Engine'!$F$3:$F$232,$M111)</f>
        <v>17</v>
      </c>
      <c r="D111" t="str">
        <f>INDEX('Draft Engine'!$B$3:$B$232,$M111)</f>
        <v>Kyler Murray</v>
      </c>
      <c r="E111" s="4">
        <f>INDEX('Draft Engine'!$E$3:$E$232,$M111)</f>
        <v>80.710099999999997</v>
      </c>
      <c r="F111" t="str">
        <f>INDEX('LIVE SOURCE'!$H$3:$H$232,$M111)</f>
        <v>QB2/streaming tier; useful when matchup and supporting cast line up.</v>
      </c>
      <c r="G111" t="str">
        <f>INDEX('LIVE SOURCE'!$I$3:$I$232,$M111)</f>
        <v>He produced 16.2 PPR/FP points per game across 5 games. The workload/efficiency profile gives the model a rate-based reason to keep him here. Market price is favorable around ADP 150 versus model overall rank 119.</v>
      </c>
      <c r="H111" t="str">
        <f>INDEX('LIVE SOURCE'!$J$3:$J$232,$M111)</f>
        <v>Availability/sample risk is elevated after only 5 games; talent is not being punished as heavily as durability.</v>
      </c>
      <c r="I111">
        <f>INDEX('Draft Engine'!$R$3:$R$232,$M111)</f>
        <v>146.6</v>
      </c>
      <c r="J111">
        <f>INDEX('Draft Engine'!$S$3:$S$232,$M111)</f>
        <v>37.599999999999994</v>
      </c>
      <c r="K111" t="str">
        <f>INDEX('Draft Engine'!$T$3:$T$232,$M111)</f>
        <v>B</v>
      </c>
      <c r="L111" t="str">
        <f>INDEX('Draft Engine'!$X$3:$X$232,$M111)</f>
        <v>RATE-ADJUSTED VETERAN</v>
      </c>
      <c r="M111" s="6">
        <f>MATCH($A111,'Draft Engine'!$Q$3:$Q$232,0)</f>
        <v>17</v>
      </c>
    </row>
    <row r="112" spans="1:13" x14ac:dyDescent="0.25">
      <c r="A112">
        <f>110</f>
        <v>110</v>
      </c>
      <c r="B112" t="str">
        <f>INDEX('Draft Engine'!$A$3:$A$232,$M112)</f>
        <v>WR</v>
      </c>
      <c r="C112">
        <f>INDEX('Draft Engine'!$F$3:$F$232,$M112)</f>
        <v>39</v>
      </c>
      <c r="D112" t="str">
        <f>INDEX('Draft Engine'!$B$3:$B$232,$M112)</f>
        <v>Chris Godwin Jr.</v>
      </c>
      <c r="E112" s="4">
        <f>INDEX('Draft Engine'!$E$3:$E$232,$M112)</f>
        <v>70.86</v>
      </c>
      <c r="F112" t="str">
        <f>INDEX('LIVE SOURCE'!$H$3:$H$232,$M112)</f>
        <v>FLEX/bench receiver; needs target growth or efficiency spikes.</v>
      </c>
      <c r="G112" t="str">
        <f>INDEX('LIVE SOURCE'!$I$3:$I$232,$M112)</f>
        <v>The 2026 opportunity and projection carry most of the grade because detailed 2025 rate data is incomplete. Market price is favorable around ADP 167 versus model overall rank 137.</v>
      </c>
      <c r="H112" t="str">
        <f>INDEX('LIVE SOURCE'!$J$3:$J$232,$M112)</f>
        <v>Evidence is thinner than for established veterans, so camp, depth-chart and role news can move the grade materially.</v>
      </c>
      <c r="I112">
        <f>INDEX('Draft Engine'!$R$3:$R$232,$M112)</f>
        <v>92.4</v>
      </c>
      <c r="J112">
        <f>INDEX('Draft Engine'!$S$3:$S$232,$M112)</f>
        <v>-17.599999999999994</v>
      </c>
      <c r="K112" t="str">
        <f>INDEX('Draft Engine'!$T$3:$T$232,$M112)</f>
        <v>C</v>
      </c>
      <c r="L112" t="str">
        <f>INDEX('Draft Engine'!$X$3:$X$232,$M112)</f>
        <v>HISTORY FALLBACK</v>
      </c>
      <c r="M112" s="6">
        <f>MATCH($A112,'Draft Engine'!$Q$3:$Q$232,0)</f>
        <v>127</v>
      </c>
    </row>
    <row r="113" spans="1:13" x14ac:dyDescent="0.25">
      <c r="A113">
        <f>111</f>
        <v>111</v>
      </c>
      <c r="B113" t="str">
        <f>INDEX('Draft Engine'!$A$3:$A$232,$M113)</f>
        <v>WR</v>
      </c>
      <c r="C113">
        <f>INDEX('Draft Engine'!$F$3:$F$232,$M113)</f>
        <v>40</v>
      </c>
      <c r="D113" t="str">
        <f>INDEX('Draft Engine'!$B$3:$B$232,$M113)</f>
        <v>Alec Pierce</v>
      </c>
      <c r="E113" s="4">
        <f>INDEX('Draft Engine'!$E$3:$E$232,$M113)</f>
        <v>70.724999999999994</v>
      </c>
      <c r="F113" t="str">
        <f>INDEX('LIVE SOURCE'!$H$3:$H$232,$M113)</f>
        <v>FLEX/bench receiver; needs target growth or efficiency spikes.</v>
      </c>
      <c r="G113" t="str">
        <f>INDEX('LIVE SOURCE'!$I$3:$I$232,$M113)</f>
        <v>He produced 12.2 PPR/FP points per game across 15 games. The workload/efficiency profile gives the model a rate-based reason to keep him here.</v>
      </c>
      <c r="H113" t="str">
        <f>INDEX('LIVE SOURCE'!$J$3:$J$232,$M113)</f>
        <v>Target competition, quarterback efficiency and touchdown regression are the main downside paths.</v>
      </c>
      <c r="I113">
        <f>INDEX('Draft Engine'!$R$3:$R$232,$M113)</f>
        <v>55.3</v>
      </c>
      <c r="J113">
        <f>INDEX('Draft Engine'!$S$3:$S$232,$M113)</f>
        <v>-55.7</v>
      </c>
      <c r="K113" t="str">
        <f>INDEX('Draft Engine'!$T$3:$T$232,$M113)</f>
        <v>C</v>
      </c>
      <c r="L113" t="str">
        <f>INDEX('Draft Engine'!$X$3:$X$232,$M113)</f>
        <v>HISTORY FALLBACK</v>
      </c>
      <c r="M113" s="6">
        <f>MATCH($A113,'Draft Engine'!$Q$3:$Q$232,0)</f>
        <v>115</v>
      </c>
    </row>
    <row r="114" spans="1:13" x14ac:dyDescent="0.25">
      <c r="A114">
        <f>112</f>
        <v>112</v>
      </c>
      <c r="B114" t="str">
        <f>INDEX('Draft Engine'!$A$3:$A$232,$M114)</f>
        <v>TE</v>
      </c>
      <c r="C114">
        <f>INDEX('Draft Engine'!$F$3:$F$232,$M114)</f>
        <v>19</v>
      </c>
      <c r="D114" t="str">
        <f>INDEX('Draft Engine'!$B$3:$B$232,$M114)</f>
        <v>Chig Okonkwo</v>
      </c>
      <c r="E114" s="4">
        <f>INDEX('Draft Engine'!$E$3:$E$232,$M114)</f>
        <v>75.513199999999998</v>
      </c>
      <c r="F114" t="str">
        <f>INDEX('LIVE SOURCE'!$H$3:$H$232,$M114)</f>
        <v>Deep TE stash; needs a larger route/target role to matter in 10-team leagues.</v>
      </c>
      <c r="G114" t="str">
        <f>INDEX('LIVE SOURCE'!$I$3:$I$232,$M114)</f>
        <v>He produced 7.3 PPR/FP points per game across 17 games. The workload/efficiency profile gives the model a rate-based reason to keep him here. Market price is favorable around ADP 179 versus model overall rank 125.</v>
      </c>
      <c r="H114" t="str">
        <f>INDEX('LIVE SOURCE'!$J$3:$J$232,$M114)</f>
        <v>Route share, target volume and touchdown volatility are the main swing factors.</v>
      </c>
      <c r="I114">
        <f>INDEX('Draft Engine'!$R$3:$R$232,$M114)</f>
        <v>162.19999999999999</v>
      </c>
      <c r="J114">
        <f>INDEX('Draft Engine'!$S$3:$S$232,$M114)</f>
        <v>50.199999999999989</v>
      </c>
      <c r="K114" t="str">
        <f>INDEX('Draft Engine'!$T$3:$T$232,$M114)</f>
        <v>A</v>
      </c>
      <c r="L114" t="str">
        <f>INDEX('Draft Engine'!$X$3:$X$232,$M114)</f>
        <v>RATE-ADJUSTED VETERAN</v>
      </c>
      <c r="M114" s="6">
        <f>MATCH($A114,'Draft Engine'!$Q$3:$Q$232,0)</f>
        <v>177</v>
      </c>
    </row>
    <row r="115" spans="1:13" x14ac:dyDescent="0.25">
      <c r="A115">
        <f>113</f>
        <v>113</v>
      </c>
      <c r="B115" t="str">
        <f>INDEX('Draft Engine'!$A$3:$A$232,$M115)</f>
        <v>RB</v>
      </c>
      <c r="C115">
        <f>INDEX('Draft Engine'!$F$3:$F$232,$M115)</f>
        <v>37</v>
      </c>
      <c r="D115" t="str">
        <f>INDEX('Draft Engine'!$B$3:$B$232,$M115)</f>
        <v>Blake Corum</v>
      </c>
      <c r="E115" s="4">
        <f>INDEX('Draft Engine'!$E$3:$E$232,$M115)</f>
        <v>69.519599999999997</v>
      </c>
      <c r="F115" t="str">
        <f>INDEX('LIVE SOURCE'!$H$3:$H$232,$M115)</f>
        <v>FLEX/bench depth with upside if workload grows.</v>
      </c>
      <c r="G115" t="str">
        <f>INDEX('LIVE SOURCE'!$I$3:$I$232,$M115)</f>
        <v>He produced 7.2 PPR/FP points per game across 17 games. The workload/efficiency profile gives the model a rate-based reason to keep him here. Market price is favorable around ADP 153 versus model overall rank 123.</v>
      </c>
      <c r="H115" t="str">
        <f>INDEX('LIVE SOURCE'!$J$3:$J$232,$M115)</f>
        <v>Touchdown variance, receiving-role changes and backfield competition are the main downside paths.</v>
      </c>
      <c r="I115">
        <f>INDEX('Draft Engine'!$R$3:$R$232,$M115)</f>
        <v>122.4</v>
      </c>
      <c r="J115">
        <f>INDEX('Draft Engine'!$S$3:$S$232,$M115)</f>
        <v>9.4000000000000057</v>
      </c>
      <c r="K115" t="str">
        <f>INDEX('Draft Engine'!$T$3:$T$232,$M115)</f>
        <v>A</v>
      </c>
      <c r="L115" t="str">
        <f>INDEX('Draft Engine'!$X$3:$X$232,$M115)</f>
        <v>RATE-ADJUSTED VETERAN</v>
      </c>
      <c r="M115" s="6">
        <f>MATCH($A115,'Draft Engine'!$Q$3:$Q$232,0)</f>
        <v>69</v>
      </c>
    </row>
    <row r="116" spans="1:13" x14ac:dyDescent="0.25">
      <c r="A116">
        <f>114</f>
        <v>114</v>
      </c>
      <c r="B116" t="str">
        <f>INDEX('Draft Engine'!$A$3:$A$232,$M116)</f>
        <v>QB</v>
      </c>
      <c r="C116">
        <f>INDEX('Draft Engine'!$F$3:$F$232,$M116)</f>
        <v>18</v>
      </c>
      <c r="D116" t="str">
        <f>INDEX('Draft Engine'!$B$3:$B$232,$M116)</f>
        <v>Jordan Love</v>
      </c>
      <c r="E116" s="4">
        <f>INDEX('Draft Engine'!$E$3:$E$232,$M116)</f>
        <v>80.040800000000004</v>
      </c>
      <c r="F116" t="str">
        <f>INDEX('LIVE SOURCE'!$H$3:$H$232,$M116)</f>
        <v>QB2/streaming tier; useful when matchup and supporting cast line up.</v>
      </c>
      <c r="G116" t="str">
        <f>INDEX('LIVE SOURCE'!$I$3:$I$232,$M116)</f>
        <v>He produced 16.1 PPR/FP points per game across 15 games. The workload/efficiency profile gives the model a rate-based reason to keep him here. Market price is favorable around ADP 158 versus model overall rank 126.</v>
      </c>
      <c r="H116" t="str">
        <f>INDEX('LIVE SOURCE'!$J$3:$J$232,$M116)</f>
        <v>Passing-TD efficiency, rushing volume and supporting-cast health are the main swing factors.</v>
      </c>
      <c r="I116">
        <f>INDEX('Draft Engine'!$R$3:$R$232,$M116)</f>
        <v>150.5</v>
      </c>
      <c r="J116">
        <f>INDEX('Draft Engine'!$S$3:$S$232,$M116)</f>
        <v>36.5</v>
      </c>
      <c r="K116" t="str">
        <f>INDEX('Draft Engine'!$T$3:$T$232,$M116)</f>
        <v>A</v>
      </c>
      <c r="L116" t="str">
        <f>INDEX('Draft Engine'!$X$3:$X$232,$M116)</f>
        <v>RATE-ADJUSTED VETERAN</v>
      </c>
      <c r="M116" s="6">
        <f>MATCH($A116,'Draft Engine'!$Q$3:$Q$232,0)</f>
        <v>18</v>
      </c>
    </row>
    <row r="117" spans="1:13" x14ac:dyDescent="0.25">
      <c r="A117">
        <f>115</f>
        <v>115</v>
      </c>
      <c r="B117" t="str">
        <f>INDEX('Draft Engine'!$A$3:$A$232,$M117)</f>
        <v>WR</v>
      </c>
      <c r="C117">
        <f>INDEX('Draft Engine'!$F$3:$F$232,$M117)</f>
        <v>41</v>
      </c>
      <c r="D117" t="str">
        <f>INDEX('Draft Engine'!$B$3:$B$232,$M117)</f>
        <v>Quentin Johnston</v>
      </c>
      <c r="E117" s="4">
        <f>INDEX('Draft Engine'!$E$3:$E$232,$M117)</f>
        <v>70.19</v>
      </c>
      <c r="F117" t="str">
        <f>INDEX('LIVE SOURCE'!$H$3:$H$232,$M117)</f>
        <v>FLEX/bench receiver; needs target growth or efficiency spikes.</v>
      </c>
      <c r="G117" t="str">
        <f>INDEX('LIVE SOURCE'!$I$3:$I$232,$M117)</f>
        <v>He produced 12.2 PPR/FP points per game across 14 games. The workload/efficiency profile gives the model a rate-based reason to keep him here. Market price is favorable around ADP 171 versus model overall rank 142.</v>
      </c>
      <c r="H117" t="str">
        <f>INDEX('LIVE SOURCE'!$J$3:$J$232,$M117)</f>
        <v>Target competition, quarterback efficiency and touchdown regression are the main downside paths.</v>
      </c>
      <c r="I117">
        <f>INDEX('Draft Engine'!$R$3:$R$232,$M117)</f>
        <v>95.6</v>
      </c>
      <c r="J117">
        <f>INDEX('Draft Engine'!$S$3:$S$232,$M117)</f>
        <v>-19.400000000000006</v>
      </c>
      <c r="K117" t="str">
        <f>INDEX('Draft Engine'!$T$3:$T$232,$M117)</f>
        <v>C</v>
      </c>
      <c r="L117" t="str">
        <f>INDEX('Draft Engine'!$X$3:$X$232,$M117)</f>
        <v>HISTORY FALLBACK</v>
      </c>
      <c r="M117" s="6">
        <f>MATCH($A117,'Draft Engine'!$Q$3:$Q$232,0)</f>
        <v>128</v>
      </c>
    </row>
    <row r="118" spans="1:13" x14ac:dyDescent="0.25">
      <c r="A118">
        <f>116</f>
        <v>116</v>
      </c>
      <c r="B118" t="str">
        <f>INDEX('Draft Engine'!$A$3:$A$232,$M118)</f>
        <v>RB</v>
      </c>
      <c r="C118">
        <f>INDEX('Draft Engine'!$F$3:$F$232,$M118)</f>
        <v>38</v>
      </c>
      <c r="D118" t="str">
        <f>INDEX('Draft Engine'!$B$3:$B$232,$M118)</f>
        <v>Rachaad White</v>
      </c>
      <c r="E118" s="4">
        <f>INDEX('Draft Engine'!$E$3:$E$232,$M118)</f>
        <v>69.203699999999998</v>
      </c>
      <c r="F118" t="str">
        <f>INDEX('LIVE SOURCE'!$H$3:$H$232,$M118)</f>
        <v>FLEX/bench depth with upside if workload grows.</v>
      </c>
      <c r="G118" t="str">
        <f>INDEX('LIVE SOURCE'!$I$3:$I$232,$M118)</f>
        <v>He produced 8.5 PPR/FP points per game across 17 games. The workload/efficiency profile gives the model a rate-based reason to keep him here. Market price is favorable around ADP 157 versus model overall rank 127.</v>
      </c>
      <c r="H118" t="str">
        <f>INDEX('LIVE SOURCE'!$J$3:$J$232,$M118)</f>
        <v>Touchdown variance, receiving-role changes and backfield competition are the main downside paths.</v>
      </c>
      <c r="I118">
        <f>INDEX('Draft Engine'!$R$3:$R$232,$M118)</f>
        <v>99.9</v>
      </c>
      <c r="J118">
        <f>INDEX('Draft Engine'!$S$3:$S$232,$M118)</f>
        <v>-16.099999999999994</v>
      </c>
      <c r="K118" t="str">
        <f>INDEX('Draft Engine'!$T$3:$T$232,$M118)</f>
        <v>A</v>
      </c>
      <c r="L118" t="str">
        <f>INDEX('Draft Engine'!$X$3:$X$232,$M118)</f>
        <v>RATE-ADJUSTED VETERAN</v>
      </c>
      <c r="M118" s="6">
        <f>MATCH($A118,'Draft Engine'!$Q$3:$Q$232,0)</f>
        <v>70</v>
      </c>
    </row>
    <row r="119" spans="1:13" x14ac:dyDescent="0.25">
      <c r="A119">
        <f>117</f>
        <v>117</v>
      </c>
      <c r="B119" t="str">
        <f>INDEX('Draft Engine'!$A$3:$A$232,$M119)</f>
        <v>WR</v>
      </c>
      <c r="C119">
        <f>INDEX('Draft Engine'!$F$3:$F$232,$M119)</f>
        <v>42</v>
      </c>
      <c r="D119" t="str">
        <f>INDEX('Draft Engine'!$B$3:$B$232,$M119)</f>
        <v>DK Metcalf</v>
      </c>
      <c r="E119" s="4">
        <f>INDEX('Draft Engine'!$E$3:$E$232,$M119)</f>
        <v>69.807500000000005</v>
      </c>
      <c r="F119" t="str">
        <f>INDEX('LIVE SOURCE'!$H$3:$H$232,$M119)</f>
        <v>FLEX/bench receiver; needs target growth or efficiency spikes.</v>
      </c>
      <c r="G119" t="str">
        <f>INDEX('LIVE SOURCE'!$I$3:$I$232,$M119)</f>
        <v>He produced 12.4 PPR/FP points per game across 15 games. The workload/efficiency profile gives the model a rate-based reason to keep him here. The market is more aggressive at ADP 124 versus model overall rank 134, so price matters.</v>
      </c>
      <c r="H119" t="str">
        <f>INDEX('LIVE SOURCE'!$J$3:$J$232,$M119)</f>
        <v>Price is the biggest risk: the market currently asks you to draft him earlier than the model prefers.</v>
      </c>
      <c r="I119">
        <f>INDEX('Draft Engine'!$R$3:$R$232,$M119)</f>
        <v>65.900000000000006</v>
      </c>
      <c r="J119">
        <f>INDEX('Draft Engine'!$S$3:$S$232,$M119)</f>
        <v>-51.099999999999994</v>
      </c>
      <c r="K119" t="str">
        <f>INDEX('Draft Engine'!$T$3:$T$232,$M119)</f>
        <v>C</v>
      </c>
      <c r="L119" t="str">
        <f>INDEX('Draft Engine'!$X$3:$X$232,$M119)</f>
        <v>HISTORY FALLBACK</v>
      </c>
      <c r="M119" s="6">
        <f>MATCH($A119,'Draft Engine'!$Q$3:$Q$232,0)</f>
        <v>116</v>
      </c>
    </row>
    <row r="120" spans="1:13" x14ac:dyDescent="0.25">
      <c r="A120">
        <f>118</f>
        <v>118</v>
      </c>
      <c r="B120" t="str">
        <f>INDEX('Draft Engine'!$A$3:$A$232,$M120)</f>
        <v>QB</v>
      </c>
      <c r="C120">
        <f>INDEX('Draft Engine'!$F$3:$F$232,$M120)</f>
        <v>19</v>
      </c>
      <c r="D120" t="str">
        <f>INDEX('Draft Engine'!$B$3:$B$232,$M120)</f>
        <v>Baker Mayfield</v>
      </c>
      <c r="E120" s="4">
        <f>INDEX('Draft Engine'!$E$3:$E$232,$M120)</f>
        <v>79.825999999999993</v>
      </c>
      <c r="F120" t="str">
        <f>INDEX('LIVE SOURCE'!$H$3:$H$232,$M120)</f>
        <v>Bench/streaming option; needs matchup, rushing or TD spike weeks.</v>
      </c>
      <c r="G120" t="str">
        <f>INDEX('LIVE SOURCE'!$I$3:$I$232,$M120)</f>
        <v>He produced 16.6 PPR/FP points per game across 17 games. The workload/efficiency profile gives the model a rate-based reason to keep him here. Market price is favorable around ADP 166 versus model overall rank 130.</v>
      </c>
      <c r="H120" t="str">
        <f>INDEX('LIVE SOURCE'!$J$3:$J$232,$M120)</f>
        <v>Passing-TD efficiency, rushing volume and supporting-cast health are the main swing factors.</v>
      </c>
      <c r="I120">
        <f>INDEX('Draft Engine'!$R$3:$R$232,$M120)</f>
        <v>128.6</v>
      </c>
      <c r="J120">
        <f>INDEX('Draft Engine'!$S$3:$S$232,$M120)</f>
        <v>10.599999999999994</v>
      </c>
      <c r="K120" t="str">
        <f>INDEX('Draft Engine'!$T$3:$T$232,$M120)</f>
        <v>A</v>
      </c>
      <c r="L120" t="str">
        <f>INDEX('Draft Engine'!$X$3:$X$232,$M120)</f>
        <v>RATE-ADJUSTED VETERAN</v>
      </c>
      <c r="M120" s="6">
        <f>MATCH($A120,'Draft Engine'!$Q$3:$Q$232,0)</f>
        <v>19</v>
      </c>
    </row>
    <row r="121" spans="1:13" x14ac:dyDescent="0.25">
      <c r="A121">
        <f>119</f>
        <v>119</v>
      </c>
      <c r="B121" t="str">
        <f>INDEX('Draft Engine'!$A$3:$A$232,$M121)</f>
        <v>RB</v>
      </c>
      <c r="C121">
        <f>INDEX('Draft Engine'!$F$3:$F$232,$M121)</f>
        <v>39</v>
      </c>
      <c r="D121" t="str">
        <f>INDEX('Draft Engine'!$B$3:$B$232,$M121)</f>
        <v>Jacory Croskey-Merritt</v>
      </c>
      <c r="E121" s="4">
        <f>INDEX('Draft Engine'!$E$3:$E$232,$M121)</f>
        <v>68.992199999999997</v>
      </c>
      <c r="F121" t="str">
        <f>INDEX('LIVE SOURCE'!$H$3:$H$232,$M121)</f>
        <v>FLEX/bench depth with upside if workload grows.</v>
      </c>
      <c r="G121" t="str">
        <f>INDEX('LIVE SOURCE'!$I$3:$I$232,$M121)</f>
        <v>He produced 8.2 PPR/FP points per game across 17 games. The workload/efficiency profile gives the model a rate-based reason to keep him here. Market price is favorable around ADP 162 versus model overall rank 129.</v>
      </c>
      <c r="H121" t="str">
        <f>INDEX('LIVE SOURCE'!$J$3:$J$232,$M121)</f>
        <v>Touchdown variance, receiving-role changes and backfield competition are the main downside paths.</v>
      </c>
      <c r="I121">
        <f>INDEX('Draft Engine'!$R$3:$R$232,$M121)</f>
        <v>111.3</v>
      </c>
      <c r="J121">
        <f>INDEX('Draft Engine'!$S$3:$S$232,$M121)</f>
        <v>-7.7000000000000028</v>
      </c>
      <c r="K121" t="str">
        <f>INDEX('Draft Engine'!$T$3:$T$232,$M121)</f>
        <v>A</v>
      </c>
      <c r="L121" t="str">
        <f>INDEX('Draft Engine'!$X$3:$X$232,$M121)</f>
        <v>RATE-ADJUSTED VETERAN</v>
      </c>
      <c r="M121" s="6">
        <f>MATCH($A121,'Draft Engine'!$Q$3:$Q$232,0)</f>
        <v>71</v>
      </c>
    </row>
    <row r="122" spans="1:13" x14ac:dyDescent="0.25">
      <c r="A122">
        <f>120</f>
        <v>120</v>
      </c>
      <c r="B122" t="str">
        <f>INDEX('Draft Engine'!$A$3:$A$232,$M122)</f>
        <v>TE</v>
      </c>
      <c r="C122">
        <f>INDEX('Draft Engine'!$F$3:$F$232,$M122)</f>
        <v>20</v>
      </c>
      <c r="D122" t="str">
        <f>INDEX('Draft Engine'!$B$3:$B$232,$M122)</f>
        <v>Kenyon Sadiq</v>
      </c>
      <c r="E122" s="4">
        <f>INDEX('Draft Engine'!$E$3:$E$232,$M122)</f>
        <v>74.093800000000002</v>
      </c>
      <c r="F122" t="str">
        <f>INDEX('LIVE SOURCE'!$H$3:$H$232,$M122)</f>
        <v>Deep TE stash; needs a larger route/target role to matter in 10-team leagues.</v>
      </c>
      <c r="G122" t="str">
        <f>INDEX('LIVE SOURCE'!$I$3:$I$232,$M122)</f>
        <v>Rookie score 86.6, backed by No. 16 draft capital and a 6.46 NFL prospect grade. The 2026 role projection is strong enough to replace missing NFL history. Market price is favorable around ADP 188 versus model overall rank 135.</v>
      </c>
      <c r="H122" t="str">
        <f>INDEX('LIVE SOURCE'!$J$3:$J$232,$M122)</f>
        <v>NFL translation and exact weekly role are the main variables; preseason first-team usage can move this rating quickly.</v>
      </c>
      <c r="I122">
        <f>INDEX('Draft Engine'!$R$3:$R$232,$M122)</f>
        <v>158.80000000000001</v>
      </c>
      <c r="J122">
        <f>INDEX('Draft Engine'!$S$3:$S$232,$M122)</f>
        <v>38.800000000000011</v>
      </c>
      <c r="K122" t="str">
        <f>INDEX('Draft Engine'!$T$3:$T$232,$M122)</f>
        <v>B</v>
      </c>
      <c r="L122" t="str">
        <f>INDEX('Draft Engine'!$X$3:$X$232,$M122)</f>
        <v>ROOKIE ENGINE</v>
      </c>
      <c r="M122" s="6">
        <f>MATCH($A122,'Draft Engine'!$Q$3:$Q$232,0)</f>
        <v>178</v>
      </c>
    </row>
    <row r="123" spans="1:13" x14ac:dyDescent="0.25">
      <c r="A123">
        <f>121</f>
        <v>121</v>
      </c>
      <c r="B123" t="str">
        <f>INDEX('Draft Engine'!$A$3:$A$232,$M123)</f>
        <v>WR</v>
      </c>
      <c r="C123">
        <f>INDEX('Draft Engine'!$F$3:$F$232,$M123)</f>
        <v>43</v>
      </c>
      <c r="D123" t="str">
        <f>INDEX('Draft Engine'!$B$3:$B$232,$M123)</f>
        <v>Makai Lemon</v>
      </c>
      <c r="E123" s="4">
        <f>INDEX('Draft Engine'!$E$3:$E$232,$M123)</f>
        <v>69.2</v>
      </c>
      <c r="F123" t="str">
        <f>INDEX('LIVE SOURCE'!$H$3:$H$232,$M123)</f>
        <v>WR2/FLEX; dependable lineup option with matchup-driven ceiling.</v>
      </c>
      <c r="G123" t="str">
        <f>INDEX('LIVE SOURCE'!$I$3:$I$232,$M123)</f>
        <v>Rookie score 89.2, backed by No. 20 draft capital and a 6.47 NFL prospect grade. The 2026 role projection is strong enough to replace missing NFL history. Market price is favorable around ADP 159 versus model overall rank 145.</v>
      </c>
      <c r="H123" t="str">
        <f>INDEX('LIVE SOURCE'!$J$3:$J$232,$M123)</f>
        <v>NFL translation and exact weekly role are the main variables; preseason first-team usage can move this rating quickly.</v>
      </c>
      <c r="I123">
        <f>INDEX('Draft Engine'!$R$3:$R$232,$M123)</f>
        <v>108.5</v>
      </c>
      <c r="J123">
        <f>INDEX('Draft Engine'!$S$3:$S$232,$M123)</f>
        <v>-12.5</v>
      </c>
      <c r="K123" t="str">
        <f>INDEX('Draft Engine'!$T$3:$T$232,$M123)</f>
        <v>C</v>
      </c>
      <c r="L123" t="str">
        <f>INDEX('Draft Engine'!$X$3:$X$232,$M123)</f>
        <v>HISTORY FALLBACK</v>
      </c>
      <c r="M123" s="6">
        <f>MATCH($A123,'Draft Engine'!$Q$3:$Q$232,0)</f>
        <v>125</v>
      </c>
    </row>
    <row r="124" spans="1:13" x14ac:dyDescent="0.25">
      <c r="A124">
        <f>122</f>
        <v>122</v>
      </c>
      <c r="B124" t="str">
        <f>INDEX('Draft Engine'!$A$3:$A$232,$M124)</f>
        <v>TE</v>
      </c>
      <c r="C124">
        <f>INDEX('Draft Engine'!$F$3:$F$232,$M124)</f>
        <v>21</v>
      </c>
      <c r="D124" t="str">
        <f>INDEX('Draft Engine'!$B$3:$B$232,$M124)</f>
        <v>T.J. Hockenson</v>
      </c>
      <c r="E124" s="4">
        <f>INDEX('Draft Engine'!$E$3:$E$232,$M124)</f>
        <v>73.852699999999999</v>
      </c>
      <c r="F124" t="str">
        <f>INDEX('LIVE SOURCE'!$H$3:$H$232,$M124)</f>
        <v>Deep TE stash; needs a larger route/target role to matter in 10-team leagues.</v>
      </c>
      <c r="G124" t="str">
        <f>INDEX('LIVE SOURCE'!$I$3:$I$232,$M124)</f>
        <v>He produced 7.5 PPR/FP points per game across 15 games. The workload/efficiency profile gives the model a rate-based reason to keep him here. Market price is favorable around ADP 197 versus model overall rank 138.</v>
      </c>
      <c r="H124" t="str">
        <f>INDEX('LIVE SOURCE'!$J$3:$J$232,$M124)</f>
        <v>Route share, target volume and touchdown volatility are the main swing factors.</v>
      </c>
      <c r="I124">
        <f>INDEX('Draft Engine'!$R$3:$R$232,$M124)</f>
        <v>146.5</v>
      </c>
      <c r="J124">
        <f>INDEX('Draft Engine'!$S$3:$S$232,$M124)</f>
        <v>24.5</v>
      </c>
      <c r="K124" t="str">
        <f>INDEX('Draft Engine'!$T$3:$T$232,$M124)</f>
        <v>A</v>
      </c>
      <c r="L124" t="str">
        <f>INDEX('Draft Engine'!$X$3:$X$232,$M124)</f>
        <v>RATE-ADJUSTED VETERAN</v>
      </c>
      <c r="M124" s="6">
        <f>MATCH($A124,'Draft Engine'!$Q$3:$Q$232,0)</f>
        <v>179</v>
      </c>
    </row>
    <row r="125" spans="1:13" x14ac:dyDescent="0.25">
      <c r="A125">
        <f>123</f>
        <v>123</v>
      </c>
      <c r="B125" t="str">
        <f>INDEX('Draft Engine'!$A$3:$A$232,$M125)</f>
        <v>WR</v>
      </c>
      <c r="C125">
        <f>INDEX('Draft Engine'!$F$3:$F$232,$M125)</f>
        <v>44</v>
      </c>
      <c r="D125" t="str">
        <f>INDEX('Draft Engine'!$B$3:$B$232,$M125)</f>
        <v>Michael Wilson</v>
      </c>
      <c r="E125" s="4">
        <f>INDEX('Draft Engine'!$E$3:$E$232,$M125)</f>
        <v>68.849999999999994</v>
      </c>
      <c r="F125" t="str">
        <f>INDEX('LIVE SOURCE'!$H$3:$H$232,$M125)</f>
        <v>FLEX/bench receiver; needs target growth or efficiency spikes.</v>
      </c>
      <c r="G125" t="str">
        <f>INDEX('LIVE SOURCE'!$I$3:$I$232,$M125)</f>
        <v>He produced 13.0 PPR/FP points per game across 17 games. The workload/efficiency profile gives the model a rate-based reason to keep him here. Market price is favorable around ADP 178 versus model overall rank 153.</v>
      </c>
      <c r="H125" t="str">
        <f>INDEX('LIVE SOURCE'!$J$3:$J$232,$M125)</f>
        <v>Target competition, quarterback efficiency and touchdown regression are the main downside paths.</v>
      </c>
      <c r="I125">
        <f>INDEX('Draft Engine'!$R$3:$R$232,$M125)</f>
        <v>88.6</v>
      </c>
      <c r="J125">
        <f>INDEX('Draft Engine'!$S$3:$S$232,$M125)</f>
        <v>-34.400000000000006</v>
      </c>
      <c r="K125" t="str">
        <f>INDEX('Draft Engine'!$T$3:$T$232,$M125)</f>
        <v>C</v>
      </c>
      <c r="L125" t="str">
        <f>INDEX('Draft Engine'!$X$3:$X$232,$M125)</f>
        <v>HISTORY FALLBACK</v>
      </c>
      <c r="M125" s="6">
        <f>MATCH($A125,'Draft Engine'!$Q$3:$Q$232,0)</f>
        <v>130</v>
      </c>
    </row>
    <row r="126" spans="1:13" x14ac:dyDescent="0.25">
      <c r="A126">
        <f>124</f>
        <v>124</v>
      </c>
      <c r="B126" t="str">
        <f>INDEX('Draft Engine'!$A$3:$A$232,$M126)</f>
        <v>TE</v>
      </c>
      <c r="C126">
        <f>INDEX('Draft Engine'!$F$3:$F$232,$M126)</f>
        <v>22</v>
      </c>
      <c r="D126" t="str">
        <f>INDEX('Draft Engine'!$B$3:$B$232,$M126)</f>
        <v>Dalton Schultz</v>
      </c>
      <c r="E126" s="4">
        <f>INDEX('Draft Engine'!$E$3:$E$232,$M126)</f>
        <v>73.279499999999999</v>
      </c>
      <c r="F126" t="str">
        <f>INDEX('LIVE SOURCE'!$H$3:$H$232,$M126)</f>
        <v>Deep TE stash; needs a larger route/target role to matter in 10-team leagues.</v>
      </c>
      <c r="G126" t="str">
        <f>INDEX('LIVE SOURCE'!$I$3:$I$232,$M126)</f>
        <v>He produced 10.4 PPR/FP points per game across 17 games. The workload/efficiency profile gives the model a rate-based reason to keep him here. Market price is favorable around ADP 206 versus model overall rank 140.</v>
      </c>
      <c r="H126" t="str">
        <f>INDEX('LIVE SOURCE'!$J$3:$J$232,$M126)</f>
        <v>Route share, target volume and touchdown volatility are the main swing factors.</v>
      </c>
      <c r="I126">
        <f>INDEX('Draft Engine'!$R$3:$R$232,$M126)</f>
        <v>157.5</v>
      </c>
      <c r="J126">
        <f>INDEX('Draft Engine'!$S$3:$S$232,$M126)</f>
        <v>33.5</v>
      </c>
      <c r="K126" t="str">
        <f>INDEX('Draft Engine'!$T$3:$T$232,$M126)</f>
        <v>A</v>
      </c>
      <c r="L126" t="str">
        <f>INDEX('Draft Engine'!$X$3:$X$232,$M126)</f>
        <v>RATE-ADJUSTED VETERAN</v>
      </c>
      <c r="M126" s="6">
        <f>MATCH($A126,'Draft Engine'!$Q$3:$Q$232,0)</f>
        <v>180</v>
      </c>
    </row>
    <row r="127" spans="1:13" x14ac:dyDescent="0.25">
      <c r="A127">
        <f>125</f>
        <v>125</v>
      </c>
      <c r="B127" t="str">
        <f>INDEX('Draft Engine'!$A$3:$A$232,$M127)</f>
        <v>RB</v>
      </c>
      <c r="C127">
        <f>INDEX('Draft Engine'!$F$3:$F$232,$M127)</f>
        <v>40</v>
      </c>
      <c r="D127" t="str">
        <f>INDEX('Draft Engine'!$B$3:$B$232,$M127)</f>
        <v>Jordan Mason</v>
      </c>
      <c r="E127" s="4">
        <f>INDEX('Draft Engine'!$E$3:$E$232,$M127)</f>
        <v>67.657399999999996</v>
      </c>
      <c r="F127" t="str">
        <f>INDEX('LIVE SOURCE'!$H$3:$H$232,$M127)</f>
        <v>FLEX/bench depth with upside if workload grows.</v>
      </c>
      <c r="G127" t="str">
        <f>INDEX('LIVE SOURCE'!$I$3:$I$232,$M127)</f>
        <v>He produced 8.1 PPR/FP points per game across 16 games. The workload/efficiency profile gives the model a rate-based reason to keep him here. Market price is favorable around ADP 166 versus model overall rank 136.</v>
      </c>
      <c r="H127" t="str">
        <f>INDEX('LIVE SOURCE'!$J$3:$J$232,$M127)</f>
        <v>Touchdown variance, receiving-role changes and backfield competition are the main downside paths.</v>
      </c>
      <c r="I127">
        <f>INDEX('Draft Engine'!$R$3:$R$232,$M127)</f>
        <v>122.8</v>
      </c>
      <c r="J127">
        <f>INDEX('Draft Engine'!$S$3:$S$232,$M127)</f>
        <v>-2.2000000000000028</v>
      </c>
      <c r="K127" t="str">
        <f>INDEX('Draft Engine'!$T$3:$T$232,$M127)</f>
        <v>A</v>
      </c>
      <c r="L127" t="str">
        <f>INDEX('Draft Engine'!$X$3:$X$232,$M127)</f>
        <v>RATE-ADJUSTED VETERAN</v>
      </c>
      <c r="M127" s="6">
        <f>MATCH($A127,'Draft Engine'!$Q$3:$Q$232,0)</f>
        <v>72</v>
      </c>
    </row>
    <row r="128" spans="1:13" x14ac:dyDescent="0.25">
      <c r="A128">
        <f>126</f>
        <v>126</v>
      </c>
      <c r="B128" t="str">
        <f>INDEX('Draft Engine'!$A$3:$A$232,$M128)</f>
        <v>WR</v>
      </c>
      <c r="C128">
        <f>INDEX('Draft Engine'!$F$3:$F$232,$M128)</f>
        <v>45</v>
      </c>
      <c r="D128" t="str">
        <f>INDEX('Draft Engine'!$B$3:$B$232,$M128)</f>
        <v>Courtland Sutton</v>
      </c>
      <c r="E128" s="4">
        <f>INDEX('Draft Engine'!$E$3:$E$232,$M128)</f>
        <v>68.722499999999997</v>
      </c>
      <c r="F128" t="str">
        <f>INDEX('LIVE SOURCE'!$H$3:$H$232,$M128)</f>
        <v>FLEX/bench receiver; needs target growth or efficiency spikes.</v>
      </c>
      <c r="G128" t="str">
        <f>INDEX('LIVE SOURCE'!$I$3:$I$232,$M128)</f>
        <v>He produced 13.0 PPR/FP points per game across 17 games. The workload/efficiency profile gives the model a rate-based reason to keep him here.</v>
      </c>
      <c r="H128" t="str">
        <f>INDEX('LIVE SOURCE'!$J$3:$J$232,$M128)</f>
        <v>Target competition, quarterback efficiency and touchdown regression are the main downside paths.</v>
      </c>
      <c r="I128">
        <f>INDEX('Draft Engine'!$R$3:$R$232,$M128)</f>
        <v>59.6</v>
      </c>
      <c r="J128">
        <f>INDEX('Draft Engine'!$S$3:$S$232,$M128)</f>
        <v>-66.400000000000006</v>
      </c>
      <c r="K128" t="str">
        <f>INDEX('Draft Engine'!$T$3:$T$232,$M128)</f>
        <v>C</v>
      </c>
      <c r="L128" t="str">
        <f>INDEX('Draft Engine'!$X$3:$X$232,$M128)</f>
        <v>HISTORY FALLBACK</v>
      </c>
      <c r="M128" s="6">
        <f>MATCH($A128,'Draft Engine'!$Q$3:$Q$232,0)</f>
        <v>118</v>
      </c>
    </row>
    <row r="129" spans="1:13" x14ac:dyDescent="0.25">
      <c r="A129">
        <f>127</f>
        <v>127</v>
      </c>
      <c r="B129" t="str">
        <f>INDEX('Draft Engine'!$A$3:$A$232,$M129)</f>
        <v>TE</v>
      </c>
      <c r="C129">
        <f>INDEX('Draft Engine'!$F$3:$F$232,$M129)</f>
        <v>23</v>
      </c>
      <c r="D129" t="str">
        <f>INDEX('Draft Engine'!$B$3:$B$232,$M129)</f>
        <v>Oronde Gadsden II</v>
      </c>
      <c r="E129" s="4">
        <f>INDEX('Draft Engine'!$E$3:$E$232,$M129)</f>
        <v>72.513800000000003</v>
      </c>
      <c r="F129" t="str">
        <f>INDEX('LIVE SOURCE'!$H$3:$H$232,$M129)</f>
        <v>Deep TE stash; needs a larger route/target role to matter in 10-team leagues.</v>
      </c>
      <c r="G129" t="str">
        <f>INDEX('LIVE SOURCE'!$I$3:$I$232,$M129)</f>
        <v>He produced 8.8 PPR/FP points per game across 15 games. The workload/efficiency profile gives the model a rate-based reason to keep him here. Market price is favorable around ADP 215 versus model overall rank 146.</v>
      </c>
      <c r="H129" t="str">
        <f>INDEX('LIVE SOURCE'!$J$3:$J$232,$M129)</f>
        <v>Route share, target volume and touchdown volatility are the main swing factors.</v>
      </c>
      <c r="I129">
        <f>INDEX('Draft Engine'!$R$3:$R$232,$M129)</f>
        <v>150.69999999999999</v>
      </c>
      <c r="J129">
        <f>INDEX('Draft Engine'!$S$3:$S$232,$M129)</f>
        <v>23.699999999999989</v>
      </c>
      <c r="K129" t="str">
        <f>INDEX('Draft Engine'!$T$3:$T$232,$M129)</f>
        <v>A</v>
      </c>
      <c r="L129" t="str">
        <f>INDEX('Draft Engine'!$X$3:$X$232,$M129)</f>
        <v>RATE-ADJUSTED VETERAN</v>
      </c>
      <c r="M129" s="6">
        <f>MATCH($A129,'Draft Engine'!$Q$3:$Q$232,0)</f>
        <v>181</v>
      </c>
    </row>
    <row r="130" spans="1:13" x14ac:dyDescent="0.25">
      <c r="A130">
        <f>128</f>
        <v>128</v>
      </c>
      <c r="B130" t="str">
        <f>INDEX('Draft Engine'!$A$3:$A$232,$M130)</f>
        <v>WR</v>
      </c>
      <c r="C130">
        <f>INDEX('Draft Engine'!$F$3:$F$232,$M130)</f>
        <v>46</v>
      </c>
      <c r="D130" t="str">
        <f>INDEX('Draft Engine'!$B$3:$B$232,$M130)</f>
        <v>Xavier Worthy</v>
      </c>
      <c r="E130" s="4">
        <f>INDEX('Draft Engine'!$E$3:$E$232,$M130)</f>
        <v>68.180000000000007</v>
      </c>
      <c r="F130" t="str">
        <f>INDEX('LIVE SOURCE'!$H$3:$H$232,$M130)</f>
        <v>FLEX/bench receiver; needs target growth or efficiency spikes.</v>
      </c>
      <c r="G130" t="str">
        <f>INDEX('LIVE SOURCE'!$I$3:$I$232,$M130)</f>
        <v>He produced 7.9 PPR/FP points per game across 14 games. The workload/efficiency profile gives the model a rate-based reason to keep him here. Market price is favorable around ADP 182 versus model overall rank 155.</v>
      </c>
      <c r="H130" t="str">
        <f>INDEX('LIVE SOURCE'!$J$3:$J$232,$M130)</f>
        <v>Target competition, quarterback efficiency and touchdown regression are the main downside paths.</v>
      </c>
      <c r="I130">
        <f>INDEX('Draft Engine'!$R$3:$R$232,$M130)</f>
        <v>105.9</v>
      </c>
      <c r="J130">
        <f>INDEX('Draft Engine'!$S$3:$S$232,$M130)</f>
        <v>-22.099999999999994</v>
      </c>
      <c r="K130" t="str">
        <f>INDEX('Draft Engine'!$T$3:$T$232,$M130)</f>
        <v>C</v>
      </c>
      <c r="L130" t="str">
        <f>INDEX('Draft Engine'!$X$3:$X$232,$M130)</f>
        <v>HISTORY FALLBACK</v>
      </c>
      <c r="M130" s="6">
        <f>MATCH($A130,'Draft Engine'!$Q$3:$Q$232,0)</f>
        <v>131</v>
      </c>
    </row>
    <row r="131" spans="1:13" x14ac:dyDescent="0.25">
      <c r="A131">
        <f>129</f>
        <v>129</v>
      </c>
      <c r="B131" t="str">
        <f>INDEX('Draft Engine'!$A$3:$A$232,$M131)</f>
        <v>RB</v>
      </c>
      <c r="C131">
        <f>INDEX('Draft Engine'!$F$3:$F$232,$M131)</f>
        <v>41</v>
      </c>
      <c r="D131" t="str">
        <f>INDEX('Draft Engine'!$B$3:$B$232,$M131)</f>
        <v>Woody Marks</v>
      </c>
      <c r="E131" s="4">
        <f>INDEX('Draft Engine'!$E$3:$E$232,$M131)</f>
        <v>66.866200000000006</v>
      </c>
      <c r="F131" t="str">
        <f>INDEX('LIVE SOURCE'!$H$3:$H$232,$M131)</f>
        <v>Bench stash/handcuff profile; value is tied to role change or injury ahead.</v>
      </c>
      <c r="G131" t="str">
        <f>INDEX('LIVE SOURCE'!$I$3:$I$232,$M131)</f>
        <v>He produced 9.4 PPR/FP points per game across 16 games. The workload/efficiency profile gives the model a rate-based reason to keep him here. Market price is favorable around ADP 170 versus model overall rank 143.</v>
      </c>
      <c r="H131" t="str">
        <f>INDEX('LIVE SOURCE'!$J$3:$J$232,$M131)</f>
        <v>Touchdown variance, receiving-role changes and backfield competition are the main downside paths.</v>
      </c>
      <c r="I131">
        <f>INDEX('Draft Engine'!$R$3:$R$232,$M131)</f>
        <v>149.19999999999999</v>
      </c>
      <c r="J131">
        <f>INDEX('Draft Engine'!$S$3:$S$232,$M131)</f>
        <v>20.199999999999989</v>
      </c>
      <c r="K131" t="str">
        <f>INDEX('Draft Engine'!$T$3:$T$232,$M131)</f>
        <v>A</v>
      </c>
      <c r="L131" t="str">
        <f>INDEX('Draft Engine'!$X$3:$X$232,$M131)</f>
        <v>RATE-ADJUSTED VETERAN</v>
      </c>
      <c r="M131" s="6">
        <f>MATCH($A131,'Draft Engine'!$Q$3:$Q$232,0)</f>
        <v>73</v>
      </c>
    </row>
    <row r="132" spans="1:13" x14ac:dyDescent="0.25">
      <c r="A132">
        <f>130</f>
        <v>130</v>
      </c>
      <c r="B132" t="str">
        <f>INDEX('Draft Engine'!$A$3:$A$232,$M132)</f>
        <v>QB</v>
      </c>
      <c r="C132">
        <f>INDEX('Draft Engine'!$F$3:$F$232,$M132)</f>
        <v>20</v>
      </c>
      <c r="D132" t="str">
        <f>INDEX('Draft Engine'!$B$3:$B$232,$M132)</f>
        <v>Tyler Shough</v>
      </c>
      <c r="E132" s="4">
        <f>INDEX('Draft Engine'!$E$3:$E$232,$M132)</f>
        <v>77.365600000000001</v>
      </c>
      <c r="F132" t="str">
        <f>INDEX('LIVE SOURCE'!$H$3:$H$232,$M132)</f>
        <v>Bench/streaming option; needs matchup, rushing or TD spike weeks.</v>
      </c>
      <c r="G132" t="str">
        <f>INDEX('LIVE SOURCE'!$I$3:$I$232,$M132)</f>
        <v>He produced 14.9 PPR/FP points per game across 11 games. The workload/efficiency profile gives the model a rate-based reason to keep him here. Market price is favorable around ADP 174 versus model overall rank 144.</v>
      </c>
      <c r="H132" t="str">
        <f>INDEX('LIVE SOURCE'!$J$3:$J$232,$M132)</f>
        <v>Passing-TD efficiency, rushing volume and supporting-cast health are the main swing factors.</v>
      </c>
      <c r="I132">
        <f>INDEX('Draft Engine'!$R$3:$R$232,$M132)</f>
        <v>137.69999999999999</v>
      </c>
      <c r="J132">
        <f>INDEX('Draft Engine'!$S$3:$S$232,$M132)</f>
        <v>7.6999999999999886</v>
      </c>
      <c r="K132" t="str">
        <f>INDEX('Draft Engine'!$T$3:$T$232,$M132)</f>
        <v>B</v>
      </c>
      <c r="L132" t="str">
        <f>INDEX('Draft Engine'!$X$3:$X$232,$M132)</f>
        <v>RATE-ADJUSTED VETERAN</v>
      </c>
      <c r="M132" s="6">
        <f>MATCH($A132,'Draft Engine'!$Q$3:$Q$232,0)</f>
        <v>20</v>
      </c>
    </row>
    <row r="133" spans="1:13" x14ac:dyDescent="0.25">
      <c r="A133">
        <f>131</f>
        <v>131</v>
      </c>
      <c r="B133" t="str">
        <f>INDEX('Draft Engine'!$A$3:$A$232,$M133)</f>
        <v>DST</v>
      </c>
      <c r="C133">
        <f>INDEX('Draft Engine'!$F$3:$F$232,$M133)</f>
        <v>1</v>
      </c>
      <c r="D133" t="str">
        <f>INDEX('Draft Engine'!$B$3:$B$232,$M133)</f>
        <v>Houston Texans</v>
      </c>
      <c r="E133" s="4">
        <f>INDEX('Draft Engine'!$E$3:$E$232,$M133)</f>
        <v>93</v>
      </c>
      <c r="F133" t="str">
        <f>INDEX('LIVE SOURCE'!$H$3:$H$232,$M133)</f>
        <v>Elite DST target if available in the final rounds; otherwise streaming remains viable.</v>
      </c>
      <c r="G133" t="str">
        <f>INDEX('LIVE SOURCE'!$I$3:$I$232,$M133)</f>
        <v>The unit grades well relative to the current DST pool, but the model intentionally keeps defense behind core skill positions.</v>
      </c>
      <c r="H133" t="str">
        <f>INDEX('LIVE SOURCE'!$J$3:$J$232,$M133)</f>
        <v>DST scoring is highly opponent- and turnover-dependent, making season-long rank fragile.</v>
      </c>
      <c r="I133">
        <f>INDEX('Draft Engine'!$R$3:$R$232,$M133)</f>
        <v>160</v>
      </c>
      <c r="J133">
        <f>INDEX('Draft Engine'!$S$3:$S$232,$M133)</f>
        <v>29</v>
      </c>
      <c r="K133" t="str">
        <f>INDEX('Draft Engine'!$T$3:$T$232,$M133)</f>
        <v>B</v>
      </c>
      <c r="L133" t="str">
        <f>INDEX('Draft Engine'!$X$3:$X$232,$M133)</f>
        <v>DST MODEL</v>
      </c>
      <c r="M133" s="6">
        <f>MATCH($A133,'Draft Engine'!$Q$3:$Q$232,0)</f>
        <v>199</v>
      </c>
    </row>
    <row r="134" spans="1:13" x14ac:dyDescent="0.25">
      <c r="A134">
        <f>132</f>
        <v>132</v>
      </c>
      <c r="B134" t="str">
        <f>INDEX('Draft Engine'!$A$3:$A$232,$M134)</f>
        <v>DST</v>
      </c>
      <c r="C134">
        <f>INDEX('Draft Engine'!$F$3:$F$232,$M134)</f>
        <v>2</v>
      </c>
      <c r="D134" t="str">
        <f>INDEX('Draft Engine'!$B$3:$B$232,$M134)</f>
        <v>Denver Broncos</v>
      </c>
      <c r="E134" s="4">
        <f>INDEX('Draft Engine'!$E$3:$E$232,$M134)</f>
        <v>91.9</v>
      </c>
      <c r="F134" t="str">
        <f>INDEX('LIVE SOURCE'!$H$3:$H$232,$M134)</f>
        <v>Elite DST target if available in the final rounds; otherwise streaming remains viable.</v>
      </c>
      <c r="G134" t="str">
        <f>INDEX('LIVE SOURCE'!$I$3:$I$232,$M134)</f>
        <v>The unit grades well relative to the current DST pool, but the model intentionally keeps defense behind core skill positions.</v>
      </c>
      <c r="H134" t="str">
        <f>INDEX('LIVE SOURCE'!$J$3:$J$232,$M134)</f>
        <v>DST scoring is highly opponent- and turnover-dependent, making season-long rank fragile.</v>
      </c>
      <c r="I134">
        <f>INDEX('Draft Engine'!$R$3:$R$232,$M134)</f>
        <v>164</v>
      </c>
      <c r="J134">
        <f>INDEX('Draft Engine'!$S$3:$S$232,$M134)</f>
        <v>32</v>
      </c>
      <c r="K134" t="str">
        <f>INDEX('Draft Engine'!$T$3:$T$232,$M134)</f>
        <v>B</v>
      </c>
      <c r="L134" t="str">
        <f>INDEX('Draft Engine'!$X$3:$X$232,$M134)</f>
        <v>DST MODEL</v>
      </c>
      <c r="M134" s="6">
        <f>MATCH($A134,'Draft Engine'!$Q$3:$Q$232,0)</f>
        <v>200</v>
      </c>
    </row>
    <row r="135" spans="1:13" x14ac:dyDescent="0.25">
      <c r="A135">
        <f>133</f>
        <v>133</v>
      </c>
      <c r="B135" t="str">
        <f>INDEX('Draft Engine'!$A$3:$A$232,$M135)</f>
        <v>DST</v>
      </c>
      <c r="C135">
        <f>INDEX('Draft Engine'!$F$3:$F$232,$M135)</f>
        <v>3</v>
      </c>
      <c r="D135" t="str">
        <f>INDEX('Draft Engine'!$B$3:$B$232,$M135)</f>
        <v>Seattle Seahawks</v>
      </c>
      <c r="E135" s="4">
        <f>INDEX('Draft Engine'!$E$3:$E$232,$M135)</f>
        <v>90.8</v>
      </c>
      <c r="F135" t="str">
        <f>INDEX('LIVE SOURCE'!$H$3:$H$232,$M135)</f>
        <v>Elite DST target if available in the final rounds; otherwise streaming remains viable.</v>
      </c>
      <c r="G135" t="str">
        <f>INDEX('LIVE SOURCE'!$I$3:$I$232,$M135)</f>
        <v>The unit grades well relative to the current DST pool, but the model intentionally keeps defense behind core skill positions.</v>
      </c>
      <c r="H135" t="str">
        <f>INDEX('LIVE SOURCE'!$J$3:$J$232,$M135)</f>
        <v>DST scoring is highly opponent- and turnover-dependent, making season-long rank fragile.</v>
      </c>
      <c r="I135">
        <f>INDEX('Draft Engine'!$R$3:$R$232,$M135)</f>
        <v>168</v>
      </c>
      <c r="J135">
        <f>INDEX('Draft Engine'!$S$3:$S$232,$M135)</f>
        <v>35</v>
      </c>
      <c r="K135" t="str">
        <f>INDEX('Draft Engine'!$T$3:$T$232,$M135)</f>
        <v>B</v>
      </c>
      <c r="L135" t="str">
        <f>INDEX('Draft Engine'!$X$3:$X$232,$M135)</f>
        <v>DST MODEL</v>
      </c>
      <c r="M135" s="6">
        <f>MATCH($A135,'Draft Engine'!$Q$3:$Q$232,0)</f>
        <v>201</v>
      </c>
    </row>
    <row r="136" spans="1:13" x14ac:dyDescent="0.25">
      <c r="A136">
        <f>134</f>
        <v>134</v>
      </c>
      <c r="B136" t="str">
        <f>INDEX('Draft Engine'!$A$3:$A$232,$M136)</f>
        <v>DST</v>
      </c>
      <c r="C136">
        <f>INDEX('Draft Engine'!$F$3:$F$232,$M136)</f>
        <v>4</v>
      </c>
      <c r="D136" t="str">
        <f>INDEX('Draft Engine'!$B$3:$B$232,$M136)</f>
        <v>Los Angeles Rams</v>
      </c>
      <c r="E136" s="4">
        <f>INDEX('Draft Engine'!$E$3:$E$232,$M136)</f>
        <v>89.7</v>
      </c>
      <c r="F136" t="str">
        <f>INDEX('LIVE SOURCE'!$H$3:$H$232,$M136)</f>
        <v>Elite DST target if available in the final rounds; otherwise streaming remains viable.</v>
      </c>
      <c r="G136" t="str">
        <f>INDEX('LIVE SOURCE'!$I$3:$I$232,$M136)</f>
        <v>The unit grades well relative to the current DST pool, but the model intentionally keeps defense behind core skill positions.</v>
      </c>
      <c r="H136" t="str">
        <f>INDEX('LIVE SOURCE'!$J$3:$J$232,$M136)</f>
        <v>DST scoring is highly opponent- and turnover-dependent, making season-long rank fragile.</v>
      </c>
      <c r="I136">
        <f>INDEX('Draft Engine'!$R$3:$R$232,$M136)</f>
        <v>134.1</v>
      </c>
      <c r="J136">
        <f>INDEX('Draft Engine'!$S$3:$S$232,$M136)</f>
        <v>9.9999999999994316E-2</v>
      </c>
      <c r="K136" t="str">
        <f>INDEX('Draft Engine'!$T$3:$T$232,$M136)</f>
        <v>B</v>
      </c>
      <c r="L136" t="str">
        <f>INDEX('Draft Engine'!$X$3:$X$232,$M136)</f>
        <v>DST MODEL</v>
      </c>
      <c r="M136" s="6">
        <f>MATCH($A136,'Draft Engine'!$Q$3:$Q$232,0)</f>
        <v>202</v>
      </c>
    </row>
    <row r="137" spans="1:13" x14ac:dyDescent="0.25">
      <c r="A137">
        <f>135</f>
        <v>135</v>
      </c>
      <c r="B137" t="str">
        <f>INDEX('Draft Engine'!$A$3:$A$232,$M137)</f>
        <v>DST</v>
      </c>
      <c r="C137">
        <f>INDEX('Draft Engine'!$F$3:$F$232,$M137)</f>
        <v>5</v>
      </c>
      <c r="D137" t="str">
        <f>INDEX('Draft Engine'!$B$3:$B$232,$M137)</f>
        <v>Philadelphia Eagles</v>
      </c>
      <c r="E137" s="4">
        <f>INDEX('Draft Engine'!$E$3:$E$232,$M137)</f>
        <v>88.6</v>
      </c>
      <c r="F137" t="str">
        <f>INDEX('LIVE SOURCE'!$H$3:$H$232,$M137)</f>
        <v>Elite DST target if available in the final rounds; otherwise streaming remains viable.</v>
      </c>
      <c r="G137" t="str">
        <f>INDEX('LIVE SOURCE'!$I$3:$I$232,$M137)</f>
        <v>The unit grades well relative to the current DST pool, but the model intentionally keeps defense behind core skill positions.</v>
      </c>
      <c r="H137" t="str">
        <f>INDEX('LIVE SOURCE'!$J$3:$J$232,$M137)</f>
        <v>DST scoring is highly opponent- and turnover-dependent, making season-long rank fragile.</v>
      </c>
      <c r="I137">
        <f>INDEX('Draft Engine'!$R$3:$R$232,$M137)</f>
        <v>176</v>
      </c>
      <c r="J137">
        <f>INDEX('Draft Engine'!$S$3:$S$232,$M137)</f>
        <v>41</v>
      </c>
      <c r="K137" t="str">
        <f>INDEX('Draft Engine'!$T$3:$T$232,$M137)</f>
        <v>B</v>
      </c>
      <c r="L137" t="str">
        <f>INDEX('Draft Engine'!$X$3:$X$232,$M137)</f>
        <v>DST MODEL</v>
      </c>
      <c r="M137" s="6">
        <f>MATCH($A137,'Draft Engine'!$Q$3:$Q$232,0)</f>
        <v>203</v>
      </c>
    </row>
    <row r="138" spans="1:13" x14ac:dyDescent="0.25">
      <c r="A138">
        <f>136</f>
        <v>136</v>
      </c>
      <c r="B138" t="str">
        <f>INDEX('Draft Engine'!$A$3:$A$232,$M138)</f>
        <v>DST</v>
      </c>
      <c r="C138">
        <f>INDEX('Draft Engine'!$F$3:$F$232,$M138)</f>
        <v>6</v>
      </c>
      <c r="D138" t="str">
        <f>INDEX('Draft Engine'!$B$3:$B$232,$M138)</f>
        <v>Minnesota Vikings</v>
      </c>
      <c r="E138" s="4">
        <f>INDEX('Draft Engine'!$E$3:$E$232,$M138)</f>
        <v>87.5</v>
      </c>
      <c r="F138" t="str">
        <f>INDEX('LIVE SOURCE'!$H$3:$H$232,$M138)</f>
        <v>Streaming/late-round defense; matchup matters more than preseason rank.</v>
      </c>
      <c r="G138" t="str">
        <f>INDEX('LIVE SOURCE'!$I$3:$I$232,$M138)</f>
        <v>The unit grades well relative to the current DST pool, but the model intentionally keeps defense behind core skill positions.</v>
      </c>
      <c r="H138" t="str">
        <f>INDEX('LIVE SOURCE'!$J$3:$J$232,$M138)</f>
        <v>DST scoring is highly opponent- and turnover-dependent, making season-long rank fragile.</v>
      </c>
      <c r="I138">
        <f>INDEX('Draft Engine'!$R$3:$R$232,$M138)</f>
        <v>180</v>
      </c>
      <c r="J138">
        <f>INDEX('Draft Engine'!$S$3:$S$232,$M138)</f>
        <v>44</v>
      </c>
      <c r="K138" t="str">
        <f>INDEX('Draft Engine'!$T$3:$T$232,$M138)</f>
        <v>B</v>
      </c>
      <c r="L138" t="str">
        <f>INDEX('Draft Engine'!$X$3:$X$232,$M138)</f>
        <v>DST MODEL</v>
      </c>
      <c r="M138" s="6">
        <f>MATCH($A138,'Draft Engine'!$Q$3:$Q$232,0)</f>
        <v>204</v>
      </c>
    </row>
    <row r="139" spans="1:13" x14ac:dyDescent="0.25">
      <c r="A139">
        <f>137</f>
        <v>137</v>
      </c>
      <c r="B139" t="str">
        <f>INDEX('Draft Engine'!$A$3:$A$232,$M139)</f>
        <v>DST</v>
      </c>
      <c r="C139">
        <f>INDEX('Draft Engine'!$F$3:$F$232,$M139)</f>
        <v>7</v>
      </c>
      <c r="D139" t="str">
        <f>INDEX('Draft Engine'!$B$3:$B$232,$M139)</f>
        <v>New England Patriots</v>
      </c>
      <c r="E139" s="4">
        <f>INDEX('Draft Engine'!$E$3:$E$232,$M139)</f>
        <v>86.4</v>
      </c>
      <c r="F139" t="str">
        <f>INDEX('LIVE SOURCE'!$H$3:$H$232,$M139)</f>
        <v>Streaming/late-round defense; matchup matters more than preseason rank.</v>
      </c>
      <c r="G139" t="str">
        <f>INDEX('LIVE SOURCE'!$I$3:$I$232,$M139)</f>
        <v>The unit grades well relative to the current DST pool, but the model intentionally keeps defense behind core skill positions.</v>
      </c>
      <c r="H139" t="str">
        <f>INDEX('LIVE SOURCE'!$J$3:$J$232,$M139)</f>
        <v>DST scoring is highly opponent- and turnover-dependent, making season-long rank fragile.</v>
      </c>
      <c r="I139">
        <f>INDEX('Draft Engine'!$R$3:$R$232,$M139)</f>
        <v>184</v>
      </c>
      <c r="J139">
        <f>INDEX('Draft Engine'!$S$3:$S$232,$M139)</f>
        <v>47</v>
      </c>
      <c r="K139" t="str">
        <f>INDEX('Draft Engine'!$T$3:$T$232,$M139)</f>
        <v>B</v>
      </c>
      <c r="L139" t="str">
        <f>INDEX('Draft Engine'!$X$3:$X$232,$M139)</f>
        <v>DST MODEL</v>
      </c>
      <c r="M139" s="6">
        <f>MATCH($A139,'Draft Engine'!$Q$3:$Q$232,0)</f>
        <v>205</v>
      </c>
    </row>
    <row r="140" spans="1:13" x14ac:dyDescent="0.25">
      <c r="A140">
        <f>138</f>
        <v>138</v>
      </c>
      <c r="B140" t="str">
        <f>INDEX('Draft Engine'!$A$3:$A$232,$M140)</f>
        <v>DST</v>
      </c>
      <c r="C140">
        <f>INDEX('Draft Engine'!$F$3:$F$232,$M140)</f>
        <v>8</v>
      </c>
      <c r="D140" t="str">
        <f>INDEX('Draft Engine'!$B$3:$B$232,$M140)</f>
        <v>Jacksonville Jaguars</v>
      </c>
      <c r="E140" s="4">
        <f>INDEX('Draft Engine'!$E$3:$E$232,$M140)</f>
        <v>85.3</v>
      </c>
      <c r="F140" t="str">
        <f>INDEX('LIVE SOURCE'!$H$3:$H$232,$M140)</f>
        <v>Streaming/late-round defense; matchup matters more than preseason rank.</v>
      </c>
      <c r="G140" t="str">
        <f>INDEX('LIVE SOURCE'!$I$3:$I$232,$M140)</f>
        <v>The unit grades well relative to the current DST pool, but the model intentionally keeps defense behind core skill positions.</v>
      </c>
      <c r="H140" t="str">
        <f>INDEX('LIVE SOURCE'!$J$3:$J$232,$M140)</f>
        <v>DST scoring is highly opponent- and turnover-dependent, making season-long rank fragile.</v>
      </c>
      <c r="I140">
        <f>INDEX('Draft Engine'!$R$3:$R$232,$M140)</f>
        <v>188</v>
      </c>
      <c r="J140">
        <f>INDEX('Draft Engine'!$S$3:$S$232,$M140)</f>
        <v>50</v>
      </c>
      <c r="K140" t="str">
        <f>INDEX('Draft Engine'!$T$3:$T$232,$M140)</f>
        <v>B</v>
      </c>
      <c r="L140" t="str">
        <f>INDEX('Draft Engine'!$X$3:$X$232,$M140)</f>
        <v>DST MODEL</v>
      </c>
      <c r="M140" s="6">
        <f>MATCH($A140,'Draft Engine'!$Q$3:$Q$232,0)</f>
        <v>206</v>
      </c>
    </row>
    <row r="141" spans="1:13" x14ac:dyDescent="0.25">
      <c r="A141">
        <f>139</f>
        <v>139</v>
      </c>
      <c r="B141" t="str">
        <f>INDEX('Draft Engine'!$A$3:$A$232,$M141)</f>
        <v>DST</v>
      </c>
      <c r="C141">
        <f>INDEX('Draft Engine'!$F$3:$F$232,$M141)</f>
        <v>9</v>
      </c>
      <c r="D141" t="str">
        <f>INDEX('Draft Engine'!$B$3:$B$232,$M141)</f>
        <v>Pittsburgh Steelers</v>
      </c>
      <c r="E141" s="4">
        <f>INDEX('Draft Engine'!$E$3:$E$232,$M141)</f>
        <v>84.2</v>
      </c>
      <c r="F141" t="str">
        <f>INDEX('LIVE SOURCE'!$H$3:$H$232,$M141)</f>
        <v>Streaming/late-round defense; matchup matters more than preseason rank.</v>
      </c>
      <c r="G141" t="str">
        <f>INDEX('LIVE SOURCE'!$I$3:$I$232,$M141)</f>
        <v>The unit grades well relative to the current DST pool, but the model intentionally keeps defense behind core skill positions.</v>
      </c>
      <c r="H141" t="str">
        <f>INDEX('LIVE SOURCE'!$J$3:$J$232,$M141)</f>
        <v>DST scoring is highly opponent- and turnover-dependent, making season-long rank fragile.</v>
      </c>
      <c r="I141">
        <f>INDEX('Draft Engine'!$R$3:$R$232,$M141)</f>
        <v>192</v>
      </c>
      <c r="J141">
        <f>INDEX('Draft Engine'!$S$3:$S$232,$M141)</f>
        <v>53</v>
      </c>
      <c r="K141" t="str">
        <f>INDEX('Draft Engine'!$T$3:$T$232,$M141)</f>
        <v>B</v>
      </c>
      <c r="L141" t="str">
        <f>INDEX('Draft Engine'!$X$3:$X$232,$M141)</f>
        <v>DST MODEL</v>
      </c>
      <c r="M141" s="6">
        <f>MATCH($A141,'Draft Engine'!$Q$3:$Q$232,0)</f>
        <v>207</v>
      </c>
    </row>
    <row r="142" spans="1:13" x14ac:dyDescent="0.25">
      <c r="A142">
        <f>140</f>
        <v>140</v>
      </c>
      <c r="B142" t="str">
        <f>INDEX('Draft Engine'!$A$3:$A$232,$M142)</f>
        <v>DST</v>
      </c>
      <c r="C142">
        <f>INDEX('Draft Engine'!$F$3:$F$232,$M142)</f>
        <v>10</v>
      </c>
      <c r="D142" t="str">
        <f>INDEX('Draft Engine'!$B$3:$B$232,$M142)</f>
        <v>Los Angeles Chargers</v>
      </c>
      <c r="E142" s="4">
        <f>INDEX('Draft Engine'!$E$3:$E$232,$M142)</f>
        <v>83.1</v>
      </c>
      <c r="F142" t="str">
        <f>INDEX('LIVE SOURCE'!$H$3:$H$232,$M142)</f>
        <v>Streaming/late-round defense; matchup matters more than preseason rank.</v>
      </c>
      <c r="G142" t="str">
        <f>INDEX('LIVE SOURCE'!$I$3:$I$232,$M142)</f>
        <v>The unit grades well relative to the current DST pool, but the model intentionally keeps defense behind core skill positions.</v>
      </c>
      <c r="H142" t="str">
        <f>INDEX('LIVE SOURCE'!$J$3:$J$232,$M142)</f>
        <v>DST scoring is highly opponent- and turnover-dependent, making season-long rank fragile.</v>
      </c>
      <c r="I142">
        <f>INDEX('Draft Engine'!$R$3:$R$232,$M142)</f>
        <v>144.69999999999999</v>
      </c>
      <c r="J142">
        <f>INDEX('Draft Engine'!$S$3:$S$232,$M142)</f>
        <v>4.6999999999999886</v>
      </c>
      <c r="K142" t="str">
        <f>INDEX('Draft Engine'!$T$3:$T$232,$M142)</f>
        <v>B</v>
      </c>
      <c r="L142" t="str">
        <f>INDEX('Draft Engine'!$X$3:$X$232,$M142)</f>
        <v>DST MODEL</v>
      </c>
      <c r="M142" s="6">
        <f>MATCH($A142,'Draft Engine'!$Q$3:$Q$232,0)</f>
        <v>208</v>
      </c>
    </row>
    <row r="143" spans="1:13" x14ac:dyDescent="0.25">
      <c r="A143">
        <f>141</f>
        <v>141</v>
      </c>
      <c r="B143" t="str">
        <f>INDEX('Draft Engine'!$A$3:$A$232,$M143)</f>
        <v>K</v>
      </c>
      <c r="C143">
        <f>INDEX('Draft Engine'!$F$3:$F$232,$M143)</f>
        <v>1</v>
      </c>
      <c r="D143" t="str">
        <f>INDEX('Draft Engine'!$B$3:$B$232,$M143)</f>
        <v>Brandon Aubrey</v>
      </c>
      <c r="E143" s="4">
        <f>INDEX('Draft Engine'!$E$3:$E$232,$M143)</f>
        <v>94</v>
      </c>
      <c r="F143" t="str">
        <f>INDEX('LIVE SOURCE'!$H$3:$H$232,$M143)</f>
        <v>Top-tier kicker option, but still a final-round target.</v>
      </c>
      <c r="G143" t="str">
        <f>INDEX('LIVE SOURCE'!$I$3:$I$232,$M143)</f>
        <v>Ranks near the top of the current kicker pool, but kicker week-to-week separation is small in a 10-team league.</v>
      </c>
      <c r="H143" t="str">
        <f>INDEX('LIVE SOURCE'!$J$3:$J$232,$M143)</f>
        <v>Kicker scoring is volatile and replaceable on waivers; do not pay meaningful draft capital.</v>
      </c>
      <c r="I143">
        <f>INDEX('Draft Engine'!$R$3:$R$232,$M143)</f>
        <v>155</v>
      </c>
      <c r="J143">
        <f>INDEX('Draft Engine'!$S$3:$S$232,$M143)</f>
        <v>14</v>
      </c>
      <c r="K143" t="str">
        <f>INDEX('Draft Engine'!$T$3:$T$232,$M143)</f>
        <v>B</v>
      </c>
      <c r="L143" t="str">
        <f>INDEX('Draft Engine'!$X$3:$X$232,$M143)</f>
        <v>KICKER MODEL</v>
      </c>
      <c r="M143" s="6">
        <f>MATCH($A143,'Draft Engine'!$Q$3:$Q$232,0)</f>
        <v>187</v>
      </c>
    </row>
    <row r="144" spans="1:13" x14ac:dyDescent="0.25">
      <c r="A144">
        <f>142</f>
        <v>142</v>
      </c>
      <c r="B144" t="str">
        <f>INDEX('Draft Engine'!$A$3:$A$232,$M144)</f>
        <v>K</v>
      </c>
      <c r="C144">
        <f>INDEX('Draft Engine'!$F$3:$F$232,$M144)</f>
        <v>2</v>
      </c>
      <c r="D144" t="str">
        <f>INDEX('Draft Engine'!$B$3:$B$232,$M144)</f>
        <v>Ka'imi Fairbairn</v>
      </c>
      <c r="E144" s="4">
        <f>INDEX('Draft Engine'!$E$3:$E$232,$M144)</f>
        <v>91.8</v>
      </c>
      <c r="F144" t="str">
        <f>INDEX('LIVE SOURCE'!$H$3:$H$232,$M144)</f>
        <v>Top-tier kicker option, but still a final-round target.</v>
      </c>
      <c r="G144" t="str">
        <f>INDEX('LIVE SOURCE'!$I$3:$I$232,$M144)</f>
        <v>Ranks near the top of the current kicker pool, but kicker week-to-week separation is small in a 10-team league.</v>
      </c>
      <c r="H144" t="str">
        <f>INDEX('LIVE SOURCE'!$J$3:$J$232,$M144)</f>
        <v>Kicker scoring is volatile and replaceable on waivers; do not pay meaningful draft capital.</v>
      </c>
      <c r="I144">
        <f>INDEX('Draft Engine'!$R$3:$R$232,$M144)</f>
        <v>160</v>
      </c>
      <c r="J144">
        <f>INDEX('Draft Engine'!$S$3:$S$232,$M144)</f>
        <v>18</v>
      </c>
      <c r="K144" t="str">
        <f>INDEX('Draft Engine'!$T$3:$T$232,$M144)</f>
        <v>B</v>
      </c>
      <c r="L144" t="str">
        <f>INDEX('Draft Engine'!$X$3:$X$232,$M144)</f>
        <v>KICKER MODEL</v>
      </c>
      <c r="M144" s="6">
        <f>MATCH($A144,'Draft Engine'!$Q$3:$Q$232,0)</f>
        <v>188</v>
      </c>
    </row>
    <row r="145" spans="1:13" x14ac:dyDescent="0.25">
      <c r="A145">
        <f>143</f>
        <v>143</v>
      </c>
      <c r="B145" t="str">
        <f>INDEX('Draft Engine'!$A$3:$A$232,$M145)</f>
        <v>K</v>
      </c>
      <c r="C145">
        <f>INDEX('Draft Engine'!$F$3:$F$232,$M145)</f>
        <v>3</v>
      </c>
      <c r="D145" t="str">
        <f>INDEX('Draft Engine'!$B$3:$B$232,$M145)</f>
        <v>Cameron Dicker</v>
      </c>
      <c r="E145" s="4">
        <f>INDEX('Draft Engine'!$E$3:$E$232,$M145)</f>
        <v>89.6</v>
      </c>
      <c r="F145" t="str">
        <f>INDEX('LIVE SOURCE'!$H$3:$H$232,$M145)</f>
        <v>Top-tier kicker option, but still a final-round target.</v>
      </c>
      <c r="G145" t="str">
        <f>INDEX('LIVE SOURCE'!$I$3:$I$232,$M145)</f>
        <v>Ranks near the top of the current kicker pool, but kicker week-to-week separation is small in a 10-team league.</v>
      </c>
      <c r="H145" t="str">
        <f>INDEX('LIVE SOURCE'!$J$3:$J$232,$M145)</f>
        <v>Kicker scoring is volatile and replaceable on waivers; do not pay meaningful draft capital.</v>
      </c>
      <c r="I145">
        <f>INDEX('Draft Engine'!$R$3:$R$232,$M145)</f>
        <v>165</v>
      </c>
      <c r="J145">
        <f>INDEX('Draft Engine'!$S$3:$S$232,$M145)</f>
        <v>22</v>
      </c>
      <c r="K145" t="str">
        <f>INDEX('Draft Engine'!$T$3:$T$232,$M145)</f>
        <v>B</v>
      </c>
      <c r="L145" t="str">
        <f>INDEX('Draft Engine'!$X$3:$X$232,$M145)</f>
        <v>KICKER MODEL</v>
      </c>
      <c r="M145" s="6">
        <f>MATCH($A145,'Draft Engine'!$Q$3:$Q$232,0)</f>
        <v>189</v>
      </c>
    </row>
    <row r="146" spans="1:13" x14ac:dyDescent="0.25">
      <c r="A146">
        <f>144</f>
        <v>144</v>
      </c>
      <c r="B146" t="str">
        <f>INDEX('Draft Engine'!$A$3:$A$232,$M146)</f>
        <v>K</v>
      </c>
      <c r="C146">
        <f>INDEX('Draft Engine'!$F$3:$F$232,$M146)</f>
        <v>4</v>
      </c>
      <c r="D146" t="str">
        <f>INDEX('Draft Engine'!$B$3:$B$232,$M146)</f>
        <v>Jason Myers</v>
      </c>
      <c r="E146" s="4">
        <f>INDEX('Draft Engine'!$E$3:$E$232,$M146)</f>
        <v>87.4</v>
      </c>
      <c r="F146" t="str">
        <f>INDEX('LIVE SOURCE'!$H$3:$H$232,$M146)</f>
        <v>Top-tier kicker option, but still a final-round target.</v>
      </c>
      <c r="G146" t="str">
        <f>INDEX('LIVE SOURCE'!$I$3:$I$232,$M146)</f>
        <v>Ranks near the top of the current kicker pool, but kicker week-to-week separation is small in a 10-team league.</v>
      </c>
      <c r="H146" t="str">
        <f>INDEX('LIVE SOURCE'!$J$3:$J$232,$M146)</f>
        <v>Kicker scoring is volatile and replaceable on waivers; do not pay meaningful draft capital.</v>
      </c>
      <c r="I146">
        <f>INDEX('Draft Engine'!$R$3:$R$232,$M146)</f>
        <v>170</v>
      </c>
      <c r="J146">
        <f>INDEX('Draft Engine'!$S$3:$S$232,$M146)</f>
        <v>26</v>
      </c>
      <c r="K146" t="str">
        <f>INDEX('Draft Engine'!$T$3:$T$232,$M146)</f>
        <v>B</v>
      </c>
      <c r="L146" t="str">
        <f>INDEX('Draft Engine'!$X$3:$X$232,$M146)</f>
        <v>KICKER MODEL</v>
      </c>
      <c r="M146" s="6">
        <f>MATCH($A146,'Draft Engine'!$Q$3:$Q$232,0)</f>
        <v>190</v>
      </c>
    </row>
    <row r="147" spans="1:13" x14ac:dyDescent="0.25">
      <c r="A147">
        <f>145</f>
        <v>145</v>
      </c>
      <c r="B147" t="str">
        <f>INDEX('Draft Engine'!$A$3:$A$232,$M147)</f>
        <v>K</v>
      </c>
      <c r="C147">
        <f>INDEX('Draft Engine'!$F$3:$F$232,$M147)</f>
        <v>5</v>
      </c>
      <c r="D147" t="str">
        <f>INDEX('Draft Engine'!$B$3:$B$232,$M147)</f>
        <v>Cam Little</v>
      </c>
      <c r="E147" s="4">
        <f>INDEX('Draft Engine'!$E$3:$E$232,$M147)</f>
        <v>85.2</v>
      </c>
      <c r="F147" t="str">
        <f>INDEX('LIVE SOURCE'!$H$3:$H$232,$M147)</f>
        <v>Top-tier kicker option, but still a final-round target.</v>
      </c>
      <c r="G147" t="str">
        <f>INDEX('LIVE SOURCE'!$I$3:$I$232,$M147)</f>
        <v>Ranks near the top of the current kicker pool, but kicker week-to-week separation is small in a 10-team league.</v>
      </c>
      <c r="H147" t="str">
        <f>INDEX('LIVE SOURCE'!$J$3:$J$232,$M147)</f>
        <v>Kicker scoring is volatile and replaceable on waivers; do not pay meaningful draft capital.</v>
      </c>
      <c r="I147">
        <f>INDEX('Draft Engine'!$R$3:$R$232,$M147)</f>
        <v>175</v>
      </c>
      <c r="J147">
        <f>INDEX('Draft Engine'!$S$3:$S$232,$M147)</f>
        <v>30</v>
      </c>
      <c r="K147" t="str">
        <f>INDEX('Draft Engine'!$T$3:$T$232,$M147)</f>
        <v>B</v>
      </c>
      <c r="L147" t="str">
        <f>INDEX('Draft Engine'!$X$3:$X$232,$M147)</f>
        <v>KICKER MODEL</v>
      </c>
      <c r="M147" s="6">
        <f>MATCH($A147,'Draft Engine'!$Q$3:$Q$232,0)</f>
        <v>191</v>
      </c>
    </row>
    <row r="148" spans="1:13" x14ac:dyDescent="0.25">
      <c r="A148">
        <f>146</f>
        <v>146</v>
      </c>
      <c r="B148" t="str">
        <f>INDEX('Draft Engine'!$A$3:$A$232,$M148)</f>
        <v>K</v>
      </c>
      <c r="C148">
        <f>INDEX('Draft Engine'!$F$3:$F$232,$M148)</f>
        <v>6</v>
      </c>
      <c r="D148" t="str">
        <f>INDEX('Draft Engine'!$B$3:$B$232,$M148)</f>
        <v>Eddy Pineiro</v>
      </c>
      <c r="E148" s="4">
        <f>INDEX('Draft Engine'!$E$3:$E$232,$M148)</f>
        <v>83</v>
      </c>
      <c r="F148" t="str">
        <f>INDEX('LIVE SOURCE'!$H$3:$H$232,$M148)</f>
        <v>Late-round kicker; treat as replaceable unless scoring strongly rewards distance.</v>
      </c>
      <c r="G148" t="str">
        <f>INDEX('LIVE SOURCE'!$I$3:$I$232,$M148)</f>
        <v>Ranks near the top of the current kicker pool, but kicker week-to-week separation is small in a 10-team league.</v>
      </c>
      <c r="H148" t="str">
        <f>INDEX('LIVE SOURCE'!$J$3:$J$232,$M148)</f>
        <v>Kicker scoring is volatile and replaceable on waivers; do not pay meaningful draft capital.</v>
      </c>
      <c r="I148">
        <f>INDEX('Draft Engine'!$R$3:$R$232,$M148)</f>
        <v>180</v>
      </c>
      <c r="J148">
        <f>INDEX('Draft Engine'!$S$3:$S$232,$M148)</f>
        <v>34</v>
      </c>
      <c r="K148" t="str">
        <f>INDEX('Draft Engine'!$T$3:$T$232,$M148)</f>
        <v>B</v>
      </c>
      <c r="L148" t="str">
        <f>INDEX('Draft Engine'!$X$3:$X$232,$M148)</f>
        <v>KICKER MODEL</v>
      </c>
      <c r="M148" s="6">
        <f>MATCH($A148,'Draft Engine'!$Q$3:$Q$232,0)</f>
        <v>192</v>
      </c>
    </row>
    <row r="149" spans="1:13" x14ac:dyDescent="0.25">
      <c r="A149">
        <f>147</f>
        <v>147</v>
      </c>
      <c r="B149" t="str">
        <f>INDEX('Draft Engine'!$A$3:$A$232,$M149)</f>
        <v>K</v>
      </c>
      <c r="C149">
        <f>INDEX('Draft Engine'!$F$3:$F$232,$M149)</f>
        <v>7</v>
      </c>
      <c r="D149" t="str">
        <f>INDEX('Draft Engine'!$B$3:$B$232,$M149)</f>
        <v>Tyler Loop</v>
      </c>
      <c r="E149" s="4">
        <f>INDEX('Draft Engine'!$E$3:$E$232,$M149)</f>
        <v>80.8</v>
      </c>
      <c r="F149" t="str">
        <f>INDEX('LIVE SOURCE'!$H$3:$H$232,$M149)</f>
        <v>Late-round kicker; treat as replaceable unless scoring strongly rewards distance.</v>
      </c>
      <c r="G149" t="str">
        <f>INDEX('LIVE SOURCE'!$I$3:$I$232,$M149)</f>
        <v>Ranks near the top of the current kicker pool, but kicker week-to-week separation is small in a 10-team league.</v>
      </c>
      <c r="H149" t="str">
        <f>INDEX('LIVE SOURCE'!$J$3:$J$232,$M149)</f>
        <v>Kicker scoring is volatile and replaceable on waivers; do not pay meaningful draft capital.</v>
      </c>
      <c r="I149">
        <f>INDEX('Draft Engine'!$R$3:$R$232,$M149)</f>
        <v>185</v>
      </c>
      <c r="J149">
        <f>INDEX('Draft Engine'!$S$3:$S$232,$M149)</f>
        <v>38</v>
      </c>
      <c r="K149" t="str">
        <f>INDEX('Draft Engine'!$T$3:$T$232,$M149)</f>
        <v>B</v>
      </c>
      <c r="L149" t="str">
        <f>INDEX('Draft Engine'!$X$3:$X$232,$M149)</f>
        <v>KICKER MODEL</v>
      </c>
      <c r="M149" s="6">
        <f>MATCH($A149,'Draft Engine'!$Q$3:$Q$232,0)</f>
        <v>193</v>
      </c>
    </row>
    <row r="150" spans="1:13" x14ac:dyDescent="0.25">
      <c r="A150">
        <f>148</f>
        <v>148</v>
      </c>
      <c r="B150" t="str">
        <f>INDEX('Draft Engine'!$A$3:$A$232,$M150)</f>
        <v>K</v>
      </c>
      <c r="C150">
        <f>INDEX('Draft Engine'!$F$3:$F$232,$M150)</f>
        <v>8</v>
      </c>
      <c r="D150" t="str">
        <f>INDEX('Draft Engine'!$B$3:$B$232,$M150)</f>
        <v>Harrison Mevis</v>
      </c>
      <c r="E150" s="4">
        <f>INDEX('Draft Engine'!$E$3:$E$232,$M150)</f>
        <v>78.599999999999994</v>
      </c>
      <c r="F150" t="str">
        <f>INDEX('LIVE SOURCE'!$H$3:$H$232,$M150)</f>
        <v>Late-round kicker; treat as replaceable unless scoring strongly rewards distance.</v>
      </c>
      <c r="G150" t="str">
        <f>INDEX('LIVE SOURCE'!$I$3:$I$232,$M150)</f>
        <v>Ranks near the top of the current kicker pool, but kicker week-to-week separation is small in a 10-team league.</v>
      </c>
      <c r="H150" t="str">
        <f>INDEX('LIVE SOURCE'!$J$3:$J$232,$M150)</f>
        <v>Kicker scoring is volatile and replaceable on waivers; do not pay meaningful draft capital.</v>
      </c>
      <c r="I150">
        <f>INDEX('Draft Engine'!$R$3:$R$232,$M150)</f>
        <v>190</v>
      </c>
      <c r="J150">
        <f>INDEX('Draft Engine'!$S$3:$S$232,$M150)</f>
        <v>42</v>
      </c>
      <c r="K150" t="str">
        <f>INDEX('Draft Engine'!$T$3:$T$232,$M150)</f>
        <v>B</v>
      </c>
      <c r="L150" t="str">
        <f>INDEX('Draft Engine'!$X$3:$X$232,$M150)</f>
        <v>KICKER MODEL</v>
      </c>
      <c r="M150" s="6">
        <f>MATCH($A150,'Draft Engine'!$Q$3:$Q$232,0)</f>
        <v>194</v>
      </c>
    </row>
    <row r="151" spans="1:13" x14ac:dyDescent="0.25">
      <c r="A151">
        <f>149</f>
        <v>149</v>
      </c>
      <c r="B151" t="str">
        <f>INDEX('Draft Engine'!$A$3:$A$232,$M151)</f>
        <v>K</v>
      </c>
      <c r="C151">
        <f>INDEX('Draft Engine'!$F$3:$F$232,$M151)</f>
        <v>9</v>
      </c>
      <c r="D151" t="str">
        <f>INDEX('Draft Engine'!$B$3:$B$232,$M151)</f>
        <v>Chase McLaughlin</v>
      </c>
      <c r="E151" s="4">
        <f>INDEX('Draft Engine'!$E$3:$E$232,$M151)</f>
        <v>76.400000000000006</v>
      </c>
      <c r="F151" t="str">
        <f>INDEX('LIVE SOURCE'!$H$3:$H$232,$M151)</f>
        <v>Late-round kicker; treat as replaceable unless scoring strongly rewards distance.</v>
      </c>
      <c r="G151" t="str">
        <f>INDEX('LIVE SOURCE'!$I$3:$I$232,$M151)</f>
        <v>Ranks near the top of the current kicker pool, but kicker week-to-week separation is small in a 10-team league.</v>
      </c>
      <c r="H151" t="str">
        <f>INDEX('LIVE SOURCE'!$J$3:$J$232,$M151)</f>
        <v>Kicker scoring is volatile and replaceable on waivers; do not pay meaningful draft capital.</v>
      </c>
      <c r="I151">
        <f>INDEX('Draft Engine'!$R$3:$R$232,$M151)</f>
        <v>195</v>
      </c>
      <c r="J151">
        <f>INDEX('Draft Engine'!$S$3:$S$232,$M151)</f>
        <v>46</v>
      </c>
      <c r="K151" t="str">
        <f>INDEX('Draft Engine'!$T$3:$T$232,$M151)</f>
        <v>B</v>
      </c>
      <c r="L151" t="str">
        <f>INDEX('Draft Engine'!$X$3:$X$232,$M151)</f>
        <v>KICKER MODEL</v>
      </c>
      <c r="M151" s="6">
        <f>MATCH($A151,'Draft Engine'!$Q$3:$Q$232,0)</f>
        <v>195</v>
      </c>
    </row>
    <row r="152" spans="1:13" x14ac:dyDescent="0.25">
      <c r="A152">
        <f>150</f>
        <v>150</v>
      </c>
      <c r="B152" t="str">
        <f>INDEX('Draft Engine'!$A$3:$A$232,$M152)</f>
        <v>K</v>
      </c>
      <c r="C152">
        <f>INDEX('Draft Engine'!$F$3:$F$232,$M152)</f>
        <v>10</v>
      </c>
      <c r="D152" t="str">
        <f>INDEX('Draft Engine'!$B$3:$B$232,$M152)</f>
        <v>Cairo Santos</v>
      </c>
      <c r="E152" s="4">
        <f>INDEX('Draft Engine'!$E$3:$E$232,$M152)</f>
        <v>74.2</v>
      </c>
      <c r="F152" t="str">
        <f>INDEX('LIVE SOURCE'!$H$3:$H$232,$M152)</f>
        <v>Late-round kicker; treat as replaceable unless scoring strongly rewards distance.</v>
      </c>
      <c r="G152" t="str">
        <f>INDEX('LIVE SOURCE'!$I$3:$I$232,$M152)</f>
        <v>Ranks near the top of the current kicker pool, but kicker week-to-week separation is small in a 10-team league.</v>
      </c>
      <c r="H152" t="str">
        <f>INDEX('LIVE SOURCE'!$J$3:$J$232,$M152)</f>
        <v>Kicker scoring is volatile and replaceable on waivers; do not pay meaningful draft capital.</v>
      </c>
      <c r="I152">
        <f>INDEX('Draft Engine'!$R$3:$R$232,$M152)</f>
        <v>200</v>
      </c>
      <c r="J152">
        <f>INDEX('Draft Engine'!$S$3:$S$232,$M152)</f>
        <v>50</v>
      </c>
      <c r="K152" t="str">
        <f>INDEX('Draft Engine'!$T$3:$T$232,$M152)</f>
        <v>B</v>
      </c>
      <c r="L152" t="str">
        <f>INDEX('Draft Engine'!$X$3:$X$232,$M152)</f>
        <v>KICKER MODEL</v>
      </c>
      <c r="M152" s="6">
        <f>MATCH($A152,'Draft Engine'!$Q$3:$Q$232,0)</f>
        <v>196</v>
      </c>
    </row>
    <row r="153" spans="1:13" x14ac:dyDescent="0.25">
      <c r="A153">
        <f>151</f>
        <v>151</v>
      </c>
      <c r="B153" t="str">
        <f>INDEX('Draft Engine'!$A$3:$A$232,$M153)</f>
        <v>RB</v>
      </c>
      <c r="C153">
        <f>INDEX('Draft Engine'!$F$3:$F$232,$M153)</f>
        <v>42</v>
      </c>
      <c r="D153" t="str">
        <f>INDEX('Draft Engine'!$B$3:$B$232,$M153)</f>
        <v>Chris Rodriguez Jr.</v>
      </c>
      <c r="E153" s="4">
        <f>INDEX('Draft Engine'!$E$3:$E$232,$M153)</f>
        <v>66.537000000000006</v>
      </c>
      <c r="F153" t="str">
        <f>INDEX('LIVE SOURCE'!$H$3:$H$232,$M153)</f>
        <v>Bench stash/handcuff profile; value is tied to role change or injury ahead.</v>
      </c>
      <c r="G153" t="str">
        <f>INDEX('LIVE SOURCE'!$I$3:$I$232,$M153)</f>
        <v>He produced 7.0 PPR/FP points per game across 13 games. The workload/efficiency profile gives the model a rate-based reason to keep him here. Market price is favorable around ADP 174 versus model overall rank 147.</v>
      </c>
      <c r="H153" t="str">
        <f>INDEX('LIVE SOURCE'!$J$3:$J$232,$M153)</f>
        <v>Touchdown variance, receiving-role changes and backfield competition are the main downside paths.</v>
      </c>
      <c r="I153">
        <f>INDEX('Draft Engine'!$R$3:$R$232,$M153)</f>
        <v>163.6</v>
      </c>
      <c r="J153">
        <f>INDEX('Draft Engine'!$S$3:$S$232,$M153)</f>
        <v>12.599999999999994</v>
      </c>
      <c r="K153" t="str">
        <f>INDEX('Draft Engine'!$T$3:$T$232,$M153)</f>
        <v>A</v>
      </c>
      <c r="L153" t="str">
        <f>INDEX('Draft Engine'!$X$3:$X$232,$M153)</f>
        <v>RATE-ADJUSTED VETERAN</v>
      </c>
      <c r="M153" s="6">
        <f>MATCH($A153,'Draft Engine'!$Q$3:$Q$232,0)</f>
        <v>74</v>
      </c>
    </row>
    <row r="154" spans="1:13" x14ac:dyDescent="0.25">
      <c r="A154">
        <f>152</f>
        <v>152</v>
      </c>
      <c r="B154" t="str">
        <f>INDEX('Draft Engine'!$A$3:$A$232,$M154)</f>
        <v>WR</v>
      </c>
      <c r="C154">
        <f>INDEX('Draft Engine'!$F$3:$F$232,$M154)</f>
        <v>47</v>
      </c>
      <c r="D154" t="str">
        <f>INDEX('Draft Engine'!$B$3:$B$232,$M154)</f>
        <v>Matthew Golden</v>
      </c>
      <c r="E154" s="4">
        <f>INDEX('Draft Engine'!$E$3:$E$232,$M154)</f>
        <v>67.510000000000005</v>
      </c>
      <c r="F154" t="str">
        <f>INDEX('LIVE SOURCE'!$H$3:$H$232,$M154)</f>
        <v>FLEX/bench receiver; needs target growth or efficiency spikes.</v>
      </c>
      <c r="G154" t="str">
        <f>INDEX('LIVE SOURCE'!$I$3:$I$232,$M154)</f>
        <v>The 2026 opportunity and projection carry most of the grade because detailed 2025 rate data is incomplete. Market price is favorable around ADP 186 versus model overall rank 159.</v>
      </c>
      <c r="H154" t="str">
        <f>INDEX('LIVE SOURCE'!$J$3:$J$232,$M154)</f>
        <v>Evidence is thinner than for established veterans, so camp, depth-chart and role news can move the grade materially.</v>
      </c>
      <c r="I154">
        <f>INDEX('Draft Engine'!$R$3:$R$232,$M154)</f>
        <v>122.6</v>
      </c>
      <c r="J154">
        <f>INDEX('Draft Engine'!$S$3:$S$232,$M154)</f>
        <v>-29.400000000000006</v>
      </c>
      <c r="K154" t="str">
        <f>INDEX('Draft Engine'!$T$3:$T$232,$M154)</f>
        <v>C</v>
      </c>
      <c r="L154" t="str">
        <f>INDEX('Draft Engine'!$X$3:$X$232,$M154)</f>
        <v>HISTORY FALLBACK</v>
      </c>
      <c r="M154" s="6">
        <f>MATCH($A154,'Draft Engine'!$Q$3:$Q$232,0)</f>
        <v>132</v>
      </c>
    </row>
    <row r="155" spans="1:13" x14ac:dyDescent="0.25">
      <c r="A155">
        <f>153</f>
        <v>153</v>
      </c>
      <c r="B155" t="str">
        <f>INDEX('Draft Engine'!$A$3:$A$232,$M155)</f>
        <v>RB</v>
      </c>
      <c r="C155">
        <f>INDEX('Draft Engine'!$F$3:$F$232,$M155)</f>
        <v>43</v>
      </c>
      <c r="D155" t="str">
        <f>INDEX('Draft Engine'!$B$3:$B$232,$M155)</f>
        <v>Tyrone Tracy Jr.</v>
      </c>
      <c r="E155" s="4">
        <f>INDEX('Draft Engine'!$E$3:$E$232,$M155)</f>
        <v>66.531000000000006</v>
      </c>
      <c r="F155" t="str">
        <f>INDEX('LIVE SOURCE'!$H$3:$H$232,$M155)</f>
        <v>Bench stash/handcuff profile; value is tied to role change or injury ahead.</v>
      </c>
      <c r="G155" t="str">
        <f>INDEX('LIVE SOURCE'!$I$3:$I$232,$M155)</f>
        <v>He produced 10.7 PPR/FP points per game across 15 games. The workload/efficiency profile gives the model a rate-based reason to keep him here. Market price is favorable around ADP 178 versus model overall rank 149.</v>
      </c>
      <c r="H155" t="str">
        <f>INDEX('LIVE SOURCE'!$J$3:$J$232,$M155)</f>
        <v>Touchdown variance, receiving-role changes and backfield competition are the main downside paths.</v>
      </c>
      <c r="I155">
        <f>INDEX('Draft Engine'!$R$3:$R$232,$M155)</f>
        <v>155.80000000000001</v>
      </c>
      <c r="J155">
        <f>INDEX('Draft Engine'!$S$3:$S$232,$M155)</f>
        <v>2.8000000000000114</v>
      </c>
      <c r="K155" t="str">
        <f>INDEX('Draft Engine'!$T$3:$T$232,$M155)</f>
        <v>A</v>
      </c>
      <c r="L155" t="str">
        <f>INDEX('Draft Engine'!$X$3:$X$232,$M155)</f>
        <v>RATE-ADJUSTED VETERAN</v>
      </c>
      <c r="M155" s="6">
        <f>MATCH($A155,'Draft Engine'!$Q$3:$Q$232,0)</f>
        <v>75</v>
      </c>
    </row>
    <row r="156" spans="1:13" x14ac:dyDescent="0.25">
      <c r="A156">
        <f>154</f>
        <v>154</v>
      </c>
      <c r="B156" t="str">
        <f>INDEX('Draft Engine'!$A$3:$A$232,$M156)</f>
        <v>WR</v>
      </c>
      <c r="C156">
        <f>INDEX('Draft Engine'!$F$3:$F$232,$M156)</f>
        <v>48</v>
      </c>
      <c r="D156" t="str">
        <f>INDEX('Draft Engine'!$B$3:$B$232,$M156)</f>
        <v>Brian Thomas Jr.</v>
      </c>
      <c r="E156" s="4">
        <f>INDEX('Draft Engine'!$E$3:$E$232,$M156)</f>
        <v>66.967500000000001</v>
      </c>
      <c r="F156" t="str">
        <f>INDEX('LIVE SOURCE'!$H$3:$H$232,$M156)</f>
        <v>FLEX/bench receiver; needs target growth or efficiency spikes.</v>
      </c>
      <c r="G156" t="str">
        <f>INDEX('LIVE SOURCE'!$I$3:$I$232,$M156)</f>
        <v>The 2026 opportunity and projection carry most of the grade because detailed 2025 rate data is incomplete.</v>
      </c>
      <c r="H156" t="str">
        <f>INDEX('LIVE SOURCE'!$J$3:$J$232,$M156)</f>
        <v>Target competition, quarterback efficiency and touchdown regression are the main downside paths.</v>
      </c>
      <c r="I156">
        <f>INDEX('Draft Engine'!$R$3:$R$232,$M156)</f>
        <v>81.099999999999994</v>
      </c>
      <c r="J156">
        <f>INDEX('Draft Engine'!$S$3:$S$232,$M156)</f>
        <v>-72.900000000000006</v>
      </c>
      <c r="K156" t="str">
        <f>INDEX('Draft Engine'!$T$3:$T$232,$M156)</f>
        <v>C</v>
      </c>
      <c r="L156" t="str">
        <f>INDEX('Draft Engine'!$X$3:$X$232,$M156)</f>
        <v>HISTORY FALLBACK</v>
      </c>
      <c r="M156" s="6">
        <f>MATCH($A156,'Draft Engine'!$Q$3:$Q$232,0)</f>
        <v>124</v>
      </c>
    </row>
    <row r="157" spans="1:13" x14ac:dyDescent="0.25">
      <c r="A157">
        <f>155</f>
        <v>155</v>
      </c>
      <c r="B157" t="str">
        <f>INDEX('Draft Engine'!$A$3:$A$232,$M157)</f>
        <v>TE</v>
      </c>
      <c r="C157">
        <f>INDEX('Draft Engine'!$F$3:$F$232,$M157)</f>
        <v>24</v>
      </c>
      <c r="D157" t="str">
        <f>INDEX('Draft Engine'!$B$3:$B$232,$M157)</f>
        <v>AJ Barner</v>
      </c>
      <c r="E157" s="4">
        <f>INDEX('Draft Engine'!$E$3:$E$232,$M157)</f>
        <v>70.124499999999998</v>
      </c>
      <c r="F157" t="str">
        <f>INDEX('LIVE SOURCE'!$H$3:$H$232,$M157)</f>
        <v>Deep TE stash; needs a larger route/target role to matter in 10-team leagues.</v>
      </c>
      <c r="G157" t="str">
        <f>INDEX('LIVE SOURCE'!$I$3:$I$232,$M157)</f>
        <v>He produced 8.7 PPR/FP points per game across 17 games. The workload/efficiency profile gives the model a rate-based reason to keep him here. Market price is favorable around ADP 224 versus model overall rank 156.</v>
      </c>
      <c r="H157" t="str">
        <f>INDEX('LIVE SOURCE'!$J$3:$J$232,$M157)</f>
        <v>Route share, target volume and touchdown volatility are the main swing factors.</v>
      </c>
      <c r="I157">
        <f>INDEX('Draft Engine'!$R$3:$R$232,$M157)</f>
        <v>165.8</v>
      </c>
      <c r="J157">
        <f>INDEX('Draft Engine'!$S$3:$S$232,$M157)</f>
        <v>10.800000000000011</v>
      </c>
      <c r="K157" t="str">
        <f>INDEX('Draft Engine'!$T$3:$T$232,$M157)</f>
        <v>A</v>
      </c>
      <c r="L157" t="str">
        <f>INDEX('Draft Engine'!$X$3:$X$232,$M157)</f>
        <v>RATE-ADJUSTED VETERAN</v>
      </c>
      <c r="M157" s="6">
        <f>MATCH($A157,'Draft Engine'!$Q$3:$Q$232,0)</f>
        <v>182</v>
      </c>
    </row>
    <row r="158" spans="1:13" x14ac:dyDescent="0.25">
      <c r="A158">
        <f>156</f>
        <v>156</v>
      </c>
      <c r="B158" t="str">
        <f>INDEX('Draft Engine'!$A$3:$A$232,$M158)</f>
        <v>WR</v>
      </c>
      <c r="C158">
        <f>INDEX('Draft Engine'!$F$3:$F$232,$M158)</f>
        <v>49</v>
      </c>
      <c r="D158" t="str">
        <f>INDEX('Draft Engine'!$B$3:$B$232,$M158)</f>
        <v>Josh Downs</v>
      </c>
      <c r="E158" s="4">
        <f>INDEX('Draft Engine'!$E$3:$E$232,$M158)</f>
        <v>66.84</v>
      </c>
      <c r="F158" t="str">
        <f>INDEX('LIVE SOURCE'!$H$3:$H$232,$M158)</f>
        <v>FLEX/bench receiver; needs target growth or efficiency spikes.</v>
      </c>
      <c r="G158" t="str">
        <f>INDEX('LIVE SOURCE'!$I$3:$I$232,$M158)</f>
        <v>He produced 8.5 PPR/FP points per game across 16 games. The workload/efficiency profile gives the model a rate-based reason to keep him here. Market price is favorable around ADP 190 versus model overall rank 162.</v>
      </c>
      <c r="H158" t="str">
        <f>INDEX('LIVE SOURCE'!$J$3:$J$232,$M158)</f>
        <v>Target competition, quarterback efficiency and touchdown regression are the main downside paths.</v>
      </c>
      <c r="I158">
        <f>INDEX('Draft Engine'!$R$3:$R$232,$M158)</f>
        <v>92.1</v>
      </c>
      <c r="J158">
        <f>INDEX('Draft Engine'!$S$3:$S$232,$M158)</f>
        <v>-63.900000000000006</v>
      </c>
      <c r="K158" t="str">
        <f>INDEX('Draft Engine'!$T$3:$T$232,$M158)</f>
        <v>C</v>
      </c>
      <c r="L158" t="str">
        <f>INDEX('Draft Engine'!$X$3:$X$232,$M158)</f>
        <v>HISTORY FALLBACK</v>
      </c>
      <c r="M158" s="6">
        <f>MATCH($A158,'Draft Engine'!$Q$3:$Q$232,0)</f>
        <v>133</v>
      </c>
    </row>
    <row r="159" spans="1:13" x14ac:dyDescent="0.25">
      <c r="A159">
        <f>157</f>
        <v>157</v>
      </c>
      <c r="B159" t="str">
        <f>INDEX('Draft Engine'!$A$3:$A$232,$M159)</f>
        <v>TE</v>
      </c>
      <c r="C159">
        <f>INDEX('Draft Engine'!$F$3:$F$232,$M159)</f>
        <v>25</v>
      </c>
      <c r="D159" t="str">
        <f>INDEX('Draft Engine'!$B$3:$B$232,$M159)</f>
        <v>Pat Freiermuth</v>
      </c>
      <c r="E159" s="4">
        <f>INDEX('Draft Engine'!$E$3:$E$232,$M159)</f>
        <v>69.599999999999994</v>
      </c>
      <c r="F159" t="str">
        <f>INDEX('LIVE SOURCE'!$H$3:$H$232,$M159)</f>
        <v>Added 2026-08-12 from ESPN consensus (TE24).</v>
      </c>
      <c r="G159" t="str">
        <f>INDEX('LIVE SOURCE'!$I$3:$I$232,$M159)</f>
        <v>Not in the original model pool; rating interpolated from the players ESPN ranks directly around him, so he sits at his consensus slot on our board.</v>
      </c>
      <c r="H159" t="str">
        <f>INDEX('LIVE SOURCE'!$J$3:$J$232,$M159)</f>
        <v>No model projection behind this rating; it is market consensus only. Re-rate manually if you have a strong opinion.</v>
      </c>
      <c r="I159">
        <f>INDEX('Draft Engine'!$R$3:$R$232,$M159)</f>
        <v>228</v>
      </c>
      <c r="J159">
        <f>INDEX('Draft Engine'!$S$3:$S$232,$M159)</f>
        <v>71</v>
      </c>
      <c r="K159" t="str">
        <f>INDEX('Draft Engine'!$T$3:$T$232,$M159)</f>
        <v>C</v>
      </c>
      <c r="L159" t="str">
        <f>INDEX('Draft Engine'!$X$3:$X$232,$M159)</f>
        <v>ESPN SLOT-IN</v>
      </c>
      <c r="M159" s="6">
        <f>MATCH($A159,'Draft Engine'!$Q$3:$Q$232,0)</f>
        <v>186</v>
      </c>
    </row>
    <row r="160" spans="1:13" x14ac:dyDescent="0.25">
      <c r="A160">
        <f>158</f>
        <v>158</v>
      </c>
      <c r="B160" t="str">
        <f>INDEX('Draft Engine'!$A$3:$A$232,$M160)</f>
        <v>QB</v>
      </c>
      <c r="C160">
        <f>INDEX('Draft Engine'!$F$3:$F$232,$M160)</f>
        <v>21</v>
      </c>
      <c r="D160" t="str">
        <f>INDEX('Draft Engine'!$B$3:$B$232,$M160)</f>
        <v>C.J. Stroud</v>
      </c>
      <c r="E160" s="4">
        <f>INDEX('Draft Engine'!$E$3:$E$232,$M160)</f>
        <v>75.762100000000004</v>
      </c>
      <c r="F160" t="str">
        <f>INDEX('LIVE SOURCE'!$H$3:$H$232,$M160)</f>
        <v>Bench/streaming option; needs matchup, rushing or TD spike weeks.</v>
      </c>
      <c r="G160" t="str">
        <f>INDEX('LIVE SOURCE'!$I$3:$I$232,$M160)</f>
        <v>He produced 15.5 PPR/FP points per game across 14 games. The workload/efficiency profile gives the model a rate-based reason to keep him here. Market price is favorable around ADP 182 versus model overall rank 154.</v>
      </c>
      <c r="H160" t="str">
        <f>INDEX('LIVE SOURCE'!$J$3:$J$232,$M160)</f>
        <v>Passing-TD efficiency, rushing volume and supporting-cast health are the main swing factors.</v>
      </c>
      <c r="I160">
        <f>INDEX('Draft Engine'!$R$3:$R$232,$M160)</f>
        <v>162.5</v>
      </c>
      <c r="J160">
        <f>INDEX('Draft Engine'!$S$3:$S$232,$M160)</f>
        <v>4.5</v>
      </c>
      <c r="K160" t="str">
        <f>INDEX('Draft Engine'!$T$3:$T$232,$M160)</f>
        <v>A</v>
      </c>
      <c r="L160" t="str">
        <f>INDEX('Draft Engine'!$X$3:$X$232,$M160)</f>
        <v>RATE-ADJUSTED VETERAN</v>
      </c>
      <c r="M160" s="6">
        <f>MATCH($A160,'Draft Engine'!$Q$3:$Q$232,0)</f>
        <v>21</v>
      </c>
    </row>
    <row r="161" spans="1:13" x14ac:dyDescent="0.25">
      <c r="A161">
        <f>159</f>
        <v>159</v>
      </c>
      <c r="B161" t="str">
        <f>INDEX('Draft Engine'!$A$3:$A$232,$M161)</f>
        <v>QB</v>
      </c>
      <c r="C161">
        <f>INDEX('Draft Engine'!$F$3:$F$232,$M161)</f>
        <v>22</v>
      </c>
      <c r="D161" t="str">
        <f>INDEX('Draft Engine'!$B$3:$B$232,$M161)</f>
        <v>Sam Darnold</v>
      </c>
      <c r="E161" s="4">
        <f>INDEX('Draft Engine'!$E$3:$E$232,$M161)</f>
        <v>75.554199999999994</v>
      </c>
      <c r="F161" t="str">
        <f>INDEX('LIVE SOURCE'!$H$3:$H$232,$M161)</f>
        <v>Bench/streaming option; needs matchup, rushing or TD spike weeks.</v>
      </c>
      <c r="G161" t="str">
        <f>INDEX('LIVE SOURCE'!$I$3:$I$232,$M161)</f>
        <v>He produced 14.7 PPR/FP points per game across 17 games. The workload/efficiency profile gives the model a rate-based reason to keep him here. Market price is favorable around ADP 190 versus model overall rank 157.</v>
      </c>
      <c r="H161" t="str">
        <f>INDEX('LIVE SOURCE'!$J$3:$J$232,$M161)</f>
        <v>Passing-TD efficiency, rushing volume and supporting-cast health are the main swing factors.</v>
      </c>
      <c r="I161">
        <f>INDEX('Draft Engine'!$R$3:$R$232,$M161)</f>
        <v>142.4</v>
      </c>
      <c r="J161">
        <f>INDEX('Draft Engine'!$S$3:$S$232,$M161)</f>
        <v>-16.599999999999994</v>
      </c>
      <c r="K161" t="str">
        <f>INDEX('Draft Engine'!$T$3:$T$232,$M161)</f>
        <v>A</v>
      </c>
      <c r="L161" t="str">
        <f>INDEX('Draft Engine'!$X$3:$X$232,$M161)</f>
        <v>RATE-ADJUSTED VETERAN</v>
      </c>
      <c r="M161" s="6">
        <f>MATCH($A161,'Draft Engine'!$Q$3:$Q$232,0)</f>
        <v>22</v>
      </c>
    </row>
    <row r="162" spans="1:13" x14ac:dyDescent="0.25">
      <c r="A162">
        <f>160</f>
        <v>160</v>
      </c>
      <c r="B162" t="str">
        <f>INDEX('Draft Engine'!$A$3:$A$232,$M162)</f>
        <v>WR</v>
      </c>
      <c r="C162">
        <f>INDEX('Draft Engine'!$F$3:$F$232,$M162)</f>
        <v>50</v>
      </c>
      <c r="D162" t="str">
        <f>INDEX('Draft Engine'!$B$3:$B$232,$M162)</f>
        <v>Jayden Reed</v>
      </c>
      <c r="E162" s="4">
        <f>INDEX('Draft Engine'!$E$3:$E$232,$M162)</f>
        <v>66.17</v>
      </c>
      <c r="F162" t="str">
        <f>INDEX('LIVE SOURCE'!$H$3:$H$232,$M162)</f>
        <v>FLEX/bench receiver; needs target growth or efficiency spikes.</v>
      </c>
      <c r="G162" t="str">
        <f>INDEX('LIVE SOURCE'!$I$3:$I$232,$M162)</f>
        <v>The 2026 opportunity and projection carry most of the grade because detailed 2025 rate data is incomplete. Market price is favorable around ADP 194 versus model overall rank 167.</v>
      </c>
      <c r="H162" t="str">
        <f>INDEX('LIVE SOURCE'!$J$3:$J$232,$M162)</f>
        <v>Evidence is thinner than for established veterans, so camp, depth-chart and role news can move the grade materially.</v>
      </c>
      <c r="I162">
        <f>INDEX('Draft Engine'!$R$3:$R$232,$M162)</f>
        <v>97.2</v>
      </c>
      <c r="J162">
        <f>INDEX('Draft Engine'!$S$3:$S$232,$M162)</f>
        <v>-62.8</v>
      </c>
      <c r="K162" t="str">
        <f>INDEX('Draft Engine'!$T$3:$T$232,$M162)</f>
        <v>C</v>
      </c>
      <c r="L162" t="str">
        <f>INDEX('Draft Engine'!$X$3:$X$232,$M162)</f>
        <v>HISTORY FALLBACK</v>
      </c>
      <c r="M162" s="6">
        <f>MATCH($A162,'Draft Engine'!$Q$3:$Q$232,0)</f>
        <v>134</v>
      </c>
    </row>
    <row r="163" spans="1:13" x14ac:dyDescent="0.25">
      <c r="A163">
        <f>161</f>
        <v>161</v>
      </c>
      <c r="B163" t="str">
        <f>INDEX('Draft Engine'!$A$3:$A$232,$M163)</f>
        <v>QB</v>
      </c>
      <c r="C163">
        <f>INDEX('Draft Engine'!$F$3:$F$232,$M163)</f>
        <v>23</v>
      </c>
      <c r="D163" t="str">
        <f>INDEX('Draft Engine'!$B$3:$B$232,$M163)</f>
        <v>Daniel Jones</v>
      </c>
      <c r="E163" s="4">
        <f>INDEX('Draft Engine'!$E$3:$E$232,$M163)</f>
        <v>74.790400000000005</v>
      </c>
      <c r="F163" t="str">
        <f>INDEX('LIVE SOURCE'!$H$3:$H$232,$M163)</f>
        <v>Bench/streaming option; needs matchup, rushing or TD spike weeks.</v>
      </c>
      <c r="G163" t="str">
        <f>INDEX('LIVE SOURCE'!$I$3:$I$232,$M163)</f>
        <v>He produced 18.0 PPR/FP points per game across 13 games. The workload/efficiency profile gives the model a rate-based reason to keep him here. Market price is favorable around ADP 198 versus model overall rank 158.</v>
      </c>
      <c r="H163" t="str">
        <f>INDEX('LIVE SOURCE'!$J$3:$J$232,$M163)</f>
        <v>Passing-TD efficiency, rushing volume and supporting-cast health are the main swing factors.</v>
      </c>
      <c r="I163">
        <f>INDEX('Draft Engine'!$R$3:$R$232,$M163)</f>
        <v>143.9</v>
      </c>
      <c r="J163">
        <f>INDEX('Draft Engine'!$S$3:$S$232,$M163)</f>
        <v>-17.099999999999994</v>
      </c>
      <c r="K163" t="str">
        <f>INDEX('Draft Engine'!$T$3:$T$232,$M163)</f>
        <v>A</v>
      </c>
      <c r="L163" t="str">
        <f>INDEX('Draft Engine'!$X$3:$X$232,$M163)</f>
        <v>RATE-ADJUSTED VETERAN</v>
      </c>
      <c r="M163" s="6">
        <f>MATCH($A163,'Draft Engine'!$Q$3:$Q$232,0)</f>
        <v>23</v>
      </c>
    </row>
    <row r="164" spans="1:13" x14ac:dyDescent="0.25">
      <c r="A164">
        <f>162</f>
        <v>162</v>
      </c>
      <c r="B164" t="str">
        <f>INDEX('Draft Engine'!$A$3:$A$232,$M164)</f>
        <v>WR</v>
      </c>
      <c r="C164">
        <f>INDEX('Draft Engine'!$F$3:$F$232,$M164)</f>
        <v>51</v>
      </c>
      <c r="D164" t="str">
        <f>INDEX('Draft Engine'!$B$3:$B$232,$M164)</f>
        <v>Khalil Shakir</v>
      </c>
      <c r="E164" s="4">
        <f>INDEX('Draft Engine'!$E$3:$E$232,$M164)</f>
        <v>65.5</v>
      </c>
      <c r="F164" t="str">
        <f>INDEX('LIVE SOURCE'!$H$3:$H$232,$M164)</f>
        <v>Late-round bench upside; role growth is required for weekly relevance.</v>
      </c>
      <c r="G164" t="str">
        <f>INDEX('LIVE SOURCE'!$I$3:$I$232,$M164)</f>
        <v>He produced 10.4 PPR/FP points per game across 16 games. The workload/efficiency profile gives the model a rate-based reason to keep him here. Market price is favorable around ADP 198 versus model overall rank 171.</v>
      </c>
      <c r="H164" t="str">
        <f>INDEX('LIVE SOURCE'!$J$3:$J$232,$M164)</f>
        <v>Target competition, quarterback efficiency and touchdown regression are the main downside paths.</v>
      </c>
      <c r="I164">
        <f>INDEX('Draft Engine'!$R$3:$R$232,$M164)</f>
        <v>102</v>
      </c>
      <c r="J164">
        <f>INDEX('Draft Engine'!$S$3:$S$232,$M164)</f>
        <v>-60</v>
      </c>
      <c r="K164" t="str">
        <f>INDEX('Draft Engine'!$T$3:$T$232,$M164)</f>
        <v>C</v>
      </c>
      <c r="L164" t="str">
        <f>INDEX('Draft Engine'!$X$3:$X$232,$M164)</f>
        <v>HISTORY FALLBACK</v>
      </c>
      <c r="M164" s="6">
        <f>MATCH($A164,'Draft Engine'!$Q$3:$Q$232,0)</f>
        <v>135</v>
      </c>
    </row>
    <row r="165" spans="1:13" x14ac:dyDescent="0.25">
      <c r="A165">
        <f>163</f>
        <v>163</v>
      </c>
      <c r="B165" t="str">
        <f>INDEX('Draft Engine'!$A$3:$A$232,$M165)</f>
        <v>QB</v>
      </c>
      <c r="C165">
        <f>INDEX('Draft Engine'!$F$3:$F$232,$M165)</f>
        <v>24</v>
      </c>
      <c r="D165" t="str">
        <f>INDEX('Draft Engine'!$B$3:$B$232,$M165)</f>
        <v>Malik Willis</v>
      </c>
      <c r="E165" s="4">
        <f>INDEX('Draft Engine'!$E$3:$E$232,$M165)</f>
        <v>74.240300000000005</v>
      </c>
      <c r="F165" t="str">
        <f>INDEX('LIVE SOURCE'!$H$3:$H$232,$M165)</f>
        <v>Bench/streaming option; needs matchup, rushing or TD spike weeks.</v>
      </c>
      <c r="G165" t="str">
        <f>INDEX('LIVE SOURCE'!$I$3:$I$232,$M165)</f>
        <v>He produced 12.8 PPR/FP points per game across 4 games. The workload/efficiency profile gives the model a rate-based reason to keep him here. Market price is favorable around ADP 206 versus model overall rank 160.</v>
      </c>
      <c r="H165" t="str">
        <f>INDEX('LIVE SOURCE'!$J$3:$J$232,$M165)</f>
        <v>Availability/sample risk is elevated after only 4 games; talent is not being punished as heavily as durability.</v>
      </c>
      <c r="I165">
        <f>INDEX('Draft Engine'!$R$3:$R$232,$M165)</f>
        <v>160.4</v>
      </c>
      <c r="J165">
        <f>INDEX('Draft Engine'!$S$3:$S$232,$M165)</f>
        <v>-2.5999999999999943</v>
      </c>
      <c r="K165" t="str">
        <f>INDEX('Draft Engine'!$T$3:$T$232,$M165)</f>
        <v>B</v>
      </c>
      <c r="L165" t="str">
        <f>INDEX('Draft Engine'!$X$3:$X$232,$M165)</f>
        <v>RATE-ADJUSTED VETERAN</v>
      </c>
      <c r="M165" s="6">
        <f>MATCH($A165,'Draft Engine'!$Q$3:$Q$232,0)</f>
        <v>24</v>
      </c>
    </row>
    <row r="166" spans="1:13" x14ac:dyDescent="0.25">
      <c r="A166">
        <f>164</f>
        <v>164</v>
      </c>
      <c r="B166" t="str">
        <f>INDEX('Draft Engine'!$A$3:$A$232,$M166)</f>
        <v>WR</v>
      </c>
      <c r="C166">
        <f>INDEX('Draft Engine'!$F$3:$F$232,$M166)</f>
        <v>52</v>
      </c>
      <c r="D166" t="str">
        <f>INDEX('Draft Engine'!$B$3:$B$232,$M166)</f>
        <v>Jalin Hyatt</v>
      </c>
      <c r="E166" s="4">
        <f>INDEX('Draft Engine'!$E$3:$E$232,$M166)</f>
        <v>64.83</v>
      </c>
      <c r="F166" t="str">
        <f>INDEX('LIVE SOURCE'!$H$3:$H$232,$M166)</f>
        <v>Late-round bench upside; role growth is required for weekly relevance.</v>
      </c>
      <c r="G166" t="str">
        <f>INDEX('LIVE SOURCE'!$I$3:$I$232,$M166)</f>
        <v>The 2026 opportunity and projection carry most of the grade because detailed 2025 rate data is incomplete. Market price is favorable around ADP 202 versus model overall rank 174.</v>
      </c>
      <c r="H166" t="str">
        <f>INDEX('LIVE SOURCE'!$J$3:$J$232,$M166)</f>
        <v>Evidence is thinner than for established veterans, so camp, depth-chart and role news can move the grade materially.</v>
      </c>
      <c r="I166">
        <f>INDEX('Draft Engine'!$R$3:$R$232,$M166)</f>
        <v>201.9</v>
      </c>
      <c r="J166">
        <f>INDEX('Draft Engine'!$S$3:$S$232,$M166)</f>
        <v>37.900000000000006</v>
      </c>
      <c r="K166" t="str">
        <f>INDEX('Draft Engine'!$T$3:$T$232,$M166)</f>
        <v>C</v>
      </c>
      <c r="L166" t="str">
        <f>INDEX('Draft Engine'!$X$3:$X$232,$M166)</f>
        <v>HISTORY FALLBACK</v>
      </c>
      <c r="M166" s="6">
        <f>MATCH($A166,'Draft Engine'!$Q$3:$Q$232,0)</f>
        <v>136</v>
      </c>
    </row>
    <row r="167" spans="1:13" x14ac:dyDescent="0.25">
      <c r="A167">
        <f>165</f>
        <v>165</v>
      </c>
      <c r="B167" t="str">
        <f>INDEX('Draft Engine'!$A$3:$A$232,$M167)</f>
        <v>RB</v>
      </c>
      <c r="C167">
        <f>INDEX('Draft Engine'!$F$3:$F$232,$M167)</f>
        <v>44</v>
      </c>
      <c r="D167" t="str">
        <f>INDEX('Draft Engine'!$B$3:$B$232,$M167)</f>
        <v>Tyjae Spears</v>
      </c>
      <c r="E167" s="4">
        <f>INDEX('Draft Engine'!$E$3:$E$232,$M167)</f>
        <v>63.4</v>
      </c>
      <c r="F167" t="str">
        <f>INDEX('LIVE SOURCE'!$H$3:$H$232,$M167)</f>
        <v>Added 2026-08-12 from ESPN consensus (RB44).</v>
      </c>
      <c r="G167" t="str">
        <f>INDEX('LIVE SOURCE'!$I$3:$I$232,$M167)</f>
        <v>Not in the original model pool; rating interpolated from the players ESPN ranks directly around him, so he sits at his consensus slot on our board.</v>
      </c>
      <c r="H167" t="str">
        <f>INDEX('LIVE SOURCE'!$J$3:$J$232,$M167)</f>
        <v>No model projection behind this rating; it is market consensus only. Re-rate manually if you have a strong opinion.</v>
      </c>
      <c r="I167">
        <f>INDEX('Draft Engine'!$R$3:$R$232,$M167)</f>
        <v>129.6</v>
      </c>
      <c r="J167">
        <f>INDEX('Draft Engine'!$S$3:$S$232,$M167)</f>
        <v>-35.400000000000006</v>
      </c>
      <c r="K167" t="str">
        <f>INDEX('Draft Engine'!$T$3:$T$232,$M167)</f>
        <v>C</v>
      </c>
      <c r="L167" t="str">
        <f>INDEX('Draft Engine'!$X$3:$X$232,$M167)</f>
        <v>ESPN SLOT-IN</v>
      </c>
      <c r="M167" s="6">
        <f>MATCH($A167,'Draft Engine'!$Q$3:$Q$232,0)</f>
        <v>83</v>
      </c>
    </row>
    <row r="168" spans="1:13" x14ac:dyDescent="0.25">
      <c r="A168">
        <f>166</f>
        <v>166</v>
      </c>
      <c r="B168" t="str">
        <f>INDEX('Draft Engine'!$A$3:$A$232,$M168)</f>
        <v>TE</v>
      </c>
      <c r="C168">
        <f>INDEX('Draft Engine'!$F$3:$F$232,$M168)</f>
        <v>26</v>
      </c>
      <c r="D168" t="str">
        <f>INDEX('Draft Engine'!$B$3:$B$232,$M168)</f>
        <v>Cade Otton</v>
      </c>
      <c r="E168" s="4">
        <f>INDEX('Draft Engine'!$E$3:$E$232,$M168)</f>
        <v>66.649000000000001</v>
      </c>
      <c r="F168" t="str">
        <f>INDEX('LIVE SOURCE'!$H$3:$H$232,$M168)</f>
        <v>Deep TE stash; needs a larger route/target role to matter in 10-team leagues.</v>
      </c>
      <c r="G168" t="str">
        <f>INDEX('LIVE SOURCE'!$I$3:$I$232,$M168)</f>
        <v>He produced 7.6 PPR/FP points per game across 16 games. The workload/efficiency profile gives the model a rate-based reason to keep him here. Market price is favorable around ADP 233 versus model overall rank 165.</v>
      </c>
      <c r="H168" t="str">
        <f>INDEX('LIVE SOURCE'!$J$3:$J$232,$M168)</f>
        <v>Route share, target volume and touchdown volatility are the main swing factors.</v>
      </c>
      <c r="I168">
        <f>INDEX('Draft Engine'!$R$3:$R$232,$M168)</f>
        <v>142.6</v>
      </c>
      <c r="J168">
        <f>INDEX('Draft Engine'!$S$3:$S$232,$M168)</f>
        <v>-23.400000000000006</v>
      </c>
      <c r="K168" t="str">
        <f>INDEX('Draft Engine'!$T$3:$T$232,$M168)</f>
        <v>A</v>
      </c>
      <c r="L168" t="str">
        <f>INDEX('Draft Engine'!$X$3:$X$232,$M168)</f>
        <v>RATE-ADJUSTED VETERAN</v>
      </c>
      <c r="M168" s="6">
        <f>MATCH($A168,'Draft Engine'!$Q$3:$Q$232,0)</f>
        <v>183</v>
      </c>
    </row>
    <row r="169" spans="1:13" x14ac:dyDescent="0.25">
      <c r="A169">
        <f>167</f>
        <v>167</v>
      </c>
      <c r="B169" t="str">
        <f>INDEX('Draft Engine'!$A$3:$A$232,$M169)</f>
        <v>TE</v>
      </c>
      <c r="C169">
        <f>INDEX('Draft Engine'!$F$3:$F$232,$M169)</f>
        <v>27</v>
      </c>
      <c r="D169" t="str">
        <f>INDEX('Draft Engine'!$B$3:$B$232,$M169)</f>
        <v>Gunnar Helm</v>
      </c>
      <c r="E169" s="4">
        <f>INDEX('Draft Engine'!$E$3:$E$232,$M169)</f>
        <v>66.622299999999996</v>
      </c>
      <c r="F169" t="str">
        <f>INDEX('LIVE SOURCE'!$H$3:$H$232,$M169)</f>
        <v>Deep TE stash; needs a larger route/target role to matter in 10-team leagues.</v>
      </c>
      <c r="G169" t="str">
        <f>INDEX('LIVE SOURCE'!$I$3:$I$232,$M169)</f>
        <v>He produced 5.8 PPR/FP points per game across 16 games. The workload/efficiency profile gives the model a rate-based reason to keep him here. Market price is favorable around ADP 242 versus model overall rank 166.</v>
      </c>
      <c r="H169" t="str">
        <f>INDEX('LIVE SOURCE'!$J$3:$J$232,$M169)</f>
        <v>Route share, target volume and touchdown volatility are the main swing factors.</v>
      </c>
      <c r="I169">
        <f>INDEX('Draft Engine'!$R$3:$R$232,$M169)</f>
        <v>242</v>
      </c>
      <c r="J169">
        <f>INDEX('Draft Engine'!$S$3:$S$232,$M169)</f>
        <v>75</v>
      </c>
      <c r="K169" t="str">
        <f>INDEX('Draft Engine'!$T$3:$T$232,$M169)</f>
        <v>A</v>
      </c>
      <c r="L169" t="str">
        <f>INDEX('Draft Engine'!$X$3:$X$232,$M169)</f>
        <v>RATE-ADJUSTED VETERAN</v>
      </c>
      <c r="M169" s="6">
        <f>MATCH($A169,'Draft Engine'!$Q$3:$Q$232,0)</f>
        <v>184</v>
      </c>
    </row>
    <row r="170" spans="1:13" x14ac:dyDescent="0.25">
      <c r="A170">
        <f>168</f>
        <v>168</v>
      </c>
      <c r="B170" t="str">
        <f>INDEX('Draft Engine'!$A$3:$A$232,$M170)</f>
        <v>RB</v>
      </c>
      <c r="C170">
        <f>INDEX('Draft Engine'!$F$3:$F$232,$M170)</f>
        <v>45</v>
      </c>
      <c r="D170" t="str">
        <f>INDEX('Draft Engine'!$B$3:$B$232,$M170)</f>
        <v>Tyler Allgeier</v>
      </c>
      <c r="E170" s="4">
        <f>INDEX('Draft Engine'!$E$3:$E$232,$M170)</f>
        <v>63.032200000000003</v>
      </c>
      <c r="F170" t="str">
        <f>INDEX('LIVE SOURCE'!$H$3:$H$232,$M170)</f>
        <v>Bench stash/handcuff profile; value is tied to role change or injury ahead.</v>
      </c>
      <c r="G170" t="str">
        <f>INDEX('LIVE SOURCE'!$I$3:$I$232,$M170)</f>
        <v>He produced 7.2 PPR/FP points per game across 17 games. The workload/efficiency profile gives the model a rate-based reason to keep him here. Market price is favorable around ADP 183 versus model overall rank 168.</v>
      </c>
      <c r="H170" t="str">
        <f>INDEX('LIVE SOURCE'!$J$3:$J$232,$M170)</f>
        <v>Touchdown variance, receiving-role changes and backfield competition are the main downside paths.</v>
      </c>
      <c r="I170">
        <f>INDEX('Draft Engine'!$R$3:$R$232,$M170)</f>
        <v>164.3</v>
      </c>
      <c r="J170">
        <f>INDEX('Draft Engine'!$S$3:$S$232,$M170)</f>
        <v>-3.6999999999999886</v>
      </c>
      <c r="K170" t="str">
        <f>INDEX('Draft Engine'!$T$3:$T$232,$M170)</f>
        <v>A</v>
      </c>
      <c r="L170" t="str">
        <f>INDEX('Draft Engine'!$X$3:$X$232,$M170)</f>
        <v>RATE-ADJUSTED VETERAN</v>
      </c>
      <c r="M170" s="6">
        <f>MATCH($A170,'Draft Engine'!$Q$3:$Q$232,0)</f>
        <v>76</v>
      </c>
    </row>
    <row r="171" spans="1:13" x14ac:dyDescent="0.25">
      <c r="A171">
        <f>169</f>
        <v>169</v>
      </c>
      <c r="B171" t="str">
        <f>INDEX('Draft Engine'!$A$3:$A$232,$M171)</f>
        <v>WR</v>
      </c>
      <c r="C171">
        <f>INDEX('Draft Engine'!$F$3:$F$232,$M171)</f>
        <v>53</v>
      </c>
      <c r="D171" t="str">
        <f>INDEX('Draft Engine'!$B$3:$B$232,$M171)</f>
        <v>Romeo Doubs</v>
      </c>
      <c r="E171" s="4">
        <f>INDEX('Draft Engine'!$E$3:$E$232,$M171)</f>
        <v>64.16</v>
      </c>
      <c r="F171" t="str">
        <f>INDEX('LIVE SOURCE'!$H$3:$H$232,$M171)</f>
        <v>Late-round bench upside; role growth is required for weekly relevance.</v>
      </c>
      <c r="G171" t="str">
        <f>INDEX('LIVE SOURCE'!$I$3:$I$232,$M171)</f>
        <v>He produced 10.3 PPR/FP points per game across 16 games. The workload/efficiency profile gives the model a rate-based reason to keep him here. Market price is favorable around ADP 206 versus model overall rank 178.</v>
      </c>
      <c r="H171" t="str">
        <f>INDEX('LIVE SOURCE'!$J$3:$J$232,$M171)</f>
        <v>Target competition, quarterback efficiency and touchdown regression are the main downside paths.</v>
      </c>
      <c r="I171">
        <f>INDEX('Draft Engine'!$R$3:$R$232,$M171)</f>
        <v>116</v>
      </c>
      <c r="J171">
        <f>INDEX('Draft Engine'!$S$3:$S$232,$M171)</f>
        <v>-53</v>
      </c>
      <c r="K171" t="str">
        <f>INDEX('Draft Engine'!$T$3:$T$232,$M171)</f>
        <v>C</v>
      </c>
      <c r="L171" t="str">
        <f>INDEX('Draft Engine'!$X$3:$X$232,$M171)</f>
        <v>HISTORY FALLBACK</v>
      </c>
      <c r="M171" s="6">
        <f>MATCH($A171,'Draft Engine'!$Q$3:$Q$232,0)</f>
        <v>137</v>
      </c>
    </row>
    <row r="172" spans="1:13" x14ac:dyDescent="0.25">
      <c r="A172">
        <f>170</f>
        <v>170</v>
      </c>
      <c r="B172" t="str">
        <f>INDEX('Draft Engine'!$A$3:$A$232,$M172)</f>
        <v>QB</v>
      </c>
      <c r="C172">
        <f>INDEX('Draft Engine'!$F$3:$F$232,$M172)</f>
        <v>25</v>
      </c>
      <c r="D172" t="str">
        <f>INDEX('Draft Engine'!$B$3:$B$232,$M172)</f>
        <v>Bryce Young</v>
      </c>
      <c r="E172" s="4">
        <f>INDEX('Draft Engine'!$E$3:$E$232,$M172)</f>
        <v>72.797600000000003</v>
      </c>
      <c r="F172" t="str">
        <f>INDEX('LIVE SOURCE'!$H$3:$H$232,$M172)</f>
        <v>Deep QB2; waiver-level in a normal 10-team format.</v>
      </c>
      <c r="G172" t="str">
        <f>INDEX('LIVE SOURCE'!$I$3:$I$232,$M172)</f>
        <v>He produced 14.3 PPR/FP points per game across 16 games. The workload/efficiency profile gives the model a rate-based reason to keep him here. Market price is favorable around ADP 214 versus model overall rank 163.</v>
      </c>
      <c r="H172" t="str">
        <f>INDEX('LIVE SOURCE'!$J$3:$J$232,$M172)</f>
        <v>Passing-TD efficiency, rushing volume and supporting-cast health are the main swing factors.</v>
      </c>
      <c r="I172">
        <f>INDEX('Draft Engine'!$R$3:$R$232,$M172)</f>
        <v>174.2</v>
      </c>
      <c r="J172">
        <f>INDEX('Draft Engine'!$S$3:$S$232,$M172)</f>
        <v>4.1999999999999886</v>
      </c>
      <c r="K172" t="str">
        <f>INDEX('Draft Engine'!$T$3:$T$232,$M172)</f>
        <v>A</v>
      </c>
      <c r="L172" t="str">
        <f>INDEX('Draft Engine'!$X$3:$X$232,$M172)</f>
        <v>RATE-ADJUSTED VETERAN</v>
      </c>
      <c r="M172" s="6">
        <f>MATCH($A172,'Draft Engine'!$Q$3:$Q$232,0)</f>
        <v>25</v>
      </c>
    </row>
    <row r="173" spans="1:13" x14ac:dyDescent="0.25">
      <c r="A173">
        <f>171</f>
        <v>171</v>
      </c>
      <c r="B173" t="str">
        <f>INDEX('Draft Engine'!$A$3:$A$232,$M173)</f>
        <v>WR</v>
      </c>
      <c r="C173">
        <f>INDEX('Draft Engine'!$F$3:$F$232,$M173)</f>
        <v>54</v>
      </c>
      <c r="D173" t="str">
        <f>INDEX('Draft Engine'!$B$3:$B$232,$M173)</f>
        <v>Jalen Coker</v>
      </c>
      <c r="E173" s="4">
        <f>INDEX('Draft Engine'!$E$3:$E$232,$M173)</f>
        <v>63.49</v>
      </c>
      <c r="F173" t="str">
        <f>INDEX('LIVE SOURCE'!$H$3:$H$232,$M173)</f>
        <v>Late-round bench upside; role growth is required for weekly relevance.</v>
      </c>
      <c r="G173" t="str">
        <f>INDEX('LIVE SOURCE'!$I$3:$I$232,$M173)</f>
        <v>He produced 8.2 PPR/FP points per game across 11 games. The workload/efficiency profile gives the model a rate-based reason to keep him here. Market price is favorable around ADP 210 versus model overall rank 179.</v>
      </c>
      <c r="H173" t="str">
        <f>INDEX('LIVE SOURCE'!$J$3:$J$232,$M173)</f>
        <v>Target competition, quarterback efficiency and touchdown regression are the main downside paths.</v>
      </c>
      <c r="I173">
        <f>INDEX('Draft Engine'!$R$3:$R$232,$M173)</f>
        <v>127.3</v>
      </c>
      <c r="J173">
        <f>INDEX('Draft Engine'!$S$3:$S$232,$M173)</f>
        <v>-43.7</v>
      </c>
      <c r="K173" t="str">
        <f>INDEX('Draft Engine'!$T$3:$T$232,$M173)</f>
        <v>C</v>
      </c>
      <c r="L173" t="str">
        <f>INDEX('Draft Engine'!$X$3:$X$232,$M173)</f>
        <v>HISTORY FALLBACK</v>
      </c>
      <c r="M173" s="6">
        <f>MATCH($A173,'Draft Engine'!$Q$3:$Q$232,0)</f>
        <v>138</v>
      </c>
    </row>
    <row r="174" spans="1:13" x14ac:dyDescent="0.25">
      <c r="A174">
        <f>172</f>
        <v>172</v>
      </c>
      <c r="B174" t="str">
        <f>INDEX('Draft Engine'!$A$3:$A$232,$M174)</f>
        <v>QB</v>
      </c>
      <c r="C174">
        <f>INDEX('Draft Engine'!$F$3:$F$232,$M174)</f>
        <v>26</v>
      </c>
      <c r="D174" t="str">
        <f>INDEX('Draft Engine'!$B$3:$B$232,$M174)</f>
        <v>Cam Ward</v>
      </c>
      <c r="E174" s="4">
        <f>INDEX('Draft Engine'!$E$3:$E$232,$M174)</f>
        <v>72.664599999999993</v>
      </c>
      <c r="F174" t="str">
        <f>INDEX('LIVE SOURCE'!$H$3:$H$232,$M174)</f>
        <v>Deep QB2; waiver-level in a normal 10-team format.</v>
      </c>
      <c r="G174" t="str">
        <f>INDEX('LIVE SOURCE'!$I$3:$I$232,$M174)</f>
        <v>He produced 11.4 PPR/FP points per game across 17 games. The workload/efficiency profile gives the model a rate-based reason to keep him here. Market price is favorable around ADP 222 versus model overall rank 164.</v>
      </c>
      <c r="H174" t="str">
        <f>INDEX('LIVE SOURCE'!$J$3:$J$232,$M174)</f>
        <v>Passing-TD efficiency, rushing volume and supporting-cast health are the main swing factors.</v>
      </c>
      <c r="I174">
        <f>INDEX('Draft Engine'!$R$3:$R$232,$M174)</f>
        <v>175.6</v>
      </c>
      <c r="J174">
        <f>INDEX('Draft Engine'!$S$3:$S$232,$M174)</f>
        <v>3.5999999999999943</v>
      </c>
      <c r="K174" t="str">
        <f>INDEX('Draft Engine'!$T$3:$T$232,$M174)</f>
        <v>A</v>
      </c>
      <c r="L174" t="str">
        <f>INDEX('Draft Engine'!$X$3:$X$232,$M174)</f>
        <v>RATE-ADJUSTED VETERAN</v>
      </c>
      <c r="M174" s="6">
        <f>MATCH($A174,'Draft Engine'!$Q$3:$Q$232,0)</f>
        <v>26</v>
      </c>
    </row>
    <row r="175" spans="1:13" x14ac:dyDescent="0.25">
      <c r="A175">
        <f>173</f>
        <v>173</v>
      </c>
      <c r="B175" t="str">
        <f>INDEX('Draft Engine'!$A$3:$A$232,$M175)</f>
        <v>WR</v>
      </c>
      <c r="C175">
        <f>INDEX('Draft Engine'!$F$3:$F$232,$M175)</f>
        <v>55</v>
      </c>
      <c r="D175" t="str">
        <f>INDEX('Draft Engine'!$B$3:$B$232,$M175)</f>
        <v>Deebo Samuel</v>
      </c>
      <c r="E175" s="4">
        <f>INDEX('Draft Engine'!$E$3:$E$232,$M175)</f>
        <v>63.2</v>
      </c>
      <c r="F175" t="str">
        <f>INDEX('LIVE SOURCE'!$H$3:$H$232,$M175)</f>
        <v>Added 2026-08-12 from ESPN consensus (WR54).</v>
      </c>
      <c r="G175" t="str">
        <f>INDEX('LIVE SOURCE'!$I$3:$I$232,$M175)</f>
        <v>Not in the original model pool; rating interpolated from the players ESPN ranks directly around him, so he sits at his consensus slot on our board.</v>
      </c>
      <c r="H175" t="str">
        <f>INDEX('LIVE SOURCE'!$J$3:$J$232,$M175)</f>
        <v>No model projection behind this rating; it is market consensus only. Re-rate manually if you have a strong opinion.</v>
      </c>
      <c r="I175">
        <f>INDEX('Draft Engine'!$R$3:$R$232,$M175)</f>
        <v>96.2</v>
      </c>
      <c r="J175">
        <f>INDEX('Draft Engine'!$S$3:$S$232,$M175)</f>
        <v>-76.8</v>
      </c>
      <c r="K175" t="str">
        <f>INDEX('Draft Engine'!$T$3:$T$232,$M175)</f>
        <v>C</v>
      </c>
      <c r="L175" t="str">
        <f>INDEX('Draft Engine'!$X$3:$X$232,$M175)</f>
        <v>ESPN SLOT-IN</v>
      </c>
      <c r="M175" s="6">
        <f>MATCH($A175,'Draft Engine'!$Q$3:$Q$232,0)</f>
        <v>156</v>
      </c>
    </row>
    <row r="176" spans="1:13" x14ac:dyDescent="0.25">
      <c r="A176">
        <f>174</f>
        <v>174</v>
      </c>
      <c r="B176" t="str">
        <f>INDEX('Draft Engine'!$A$3:$A$232,$M176)</f>
        <v>RB</v>
      </c>
      <c r="C176">
        <f>INDEX('Draft Engine'!$F$3:$F$232,$M176)</f>
        <v>46</v>
      </c>
      <c r="D176" t="str">
        <f>INDEX('Draft Engine'!$B$3:$B$232,$M176)</f>
        <v>Jonathon Brooks</v>
      </c>
      <c r="E176" s="4">
        <f>INDEX('Draft Engine'!$E$3:$E$232,$M176)</f>
        <v>62.2</v>
      </c>
      <c r="F176" t="str">
        <f>INDEX('LIVE SOURCE'!$H$3:$H$232,$M176)</f>
        <v>Bench stash/handcuff profile; value is tied to role change or injury ahead.</v>
      </c>
      <c r="G176" t="str">
        <f>INDEX('LIVE SOURCE'!$I$3:$I$232,$M176)</f>
        <v>The 2026 opportunity and projection carry most of the grade because detailed 2025 rate data is incomplete. Market price is favorable around ADP 191 versus model overall rank 177.</v>
      </c>
      <c r="H176" t="str">
        <f>INDEX('LIVE SOURCE'!$J$3:$J$232,$M176)</f>
        <v>Evidence is thinner than for established veterans, so camp, depth-chart and role news can move the grade materially.</v>
      </c>
      <c r="I176">
        <f>INDEX('Draft Engine'!$R$3:$R$232,$M176)</f>
        <v>109.4</v>
      </c>
      <c r="J176">
        <f>INDEX('Draft Engine'!$S$3:$S$232,$M176)</f>
        <v>-64.599999999999994</v>
      </c>
      <c r="K176" t="str">
        <f>INDEX('Draft Engine'!$T$3:$T$232,$M176)</f>
        <v>C</v>
      </c>
      <c r="L176" t="str">
        <f>INDEX('Draft Engine'!$X$3:$X$232,$M176)</f>
        <v>HISTORY FALLBACK</v>
      </c>
      <c r="M176" s="6">
        <f>MATCH($A176,'Draft Engine'!$Q$3:$Q$232,0)</f>
        <v>78</v>
      </c>
    </row>
    <row r="177" spans="1:13" x14ac:dyDescent="0.25">
      <c r="A177">
        <f>175</f>
        <v>175</v>
      </c>
      <c r="B177" t="str">
        <f>INDEX('Draft Engine'!$A$3:$A$232,$M177)</f>
        <v>WR</v>
      </c>
      <c r="C177">
        <f>INDEX('Draft Engine'!$F$3:$F$232,$M177)</f>
        <v>56</v>
      </c>
      <c r="D177" t="str">
        <f>INDEX('Draft Engine'!$B$3:$B$232,$M177)</f>
        <v>KC Concepcion</v>
      </c>
      <c r="E177" s="4">
        <f>INDEX('Draft Engine'!$E$3:$E$232,$M177)</f>
        <v>62.82</v>
      </c>
      <c r="F177" t="str">
        <f>INDEX('LIVE SOURCE'!$H$3:$H$232,$M177)</f>
        <v>Late-round bench upside; role growth is required for weekly relevance.</v>
      </c>
      <c r="G177" t="str">
        <f>INDEX('LIVE SOURCE'!$I$3:$I$232,$M177)</f>
        <v>Rookie score 85.3, backed by No. 24 draft capital and a 6.42 NFL prospect grade. The 2026 role projection is strong enough to replace missing NFL history. Market price is favorable around ADP 214 versus model overall rank 181.</v>
      </c>
      <c r="H177" t="str">
        <f>INDEX('LIVE SOURCE'!$J$3:$J$232,$M177)</f>
        <v>NFL translation and exact weekly role are the main variables; preseason first-team usage can move this rating quickly.</v>
      </c>
      <c r="I177">
        <f>INDEX('Draft Engine'!$R$3:$R$232,$M177)</f>
        <v>130.69999999999999</v>
      </c>
      <c r="J177">
        <f>INDEX('Draft Engine'!$S$3:$S$232,$M177)</f>
        <v>-44.300000000000011</v>
      </c>
      <c r="K177" t="str">
        <f>INDEX('Draft Engine'!$T$3:$T$232,$M177)</f>
        <v>C</v>
      </c>
      <c r="L177" t="str">
        <f>INDEX('Draft Engine'!$X$3:$X$232,$M177)</f>
        <v>HISTORY FALLBACK</v>
      </c>
      <c r="M177" s="6">
        <f>MATCH($A177,'Draft Engine'!$Q$3:$Q$232,0)</f>
        <v>139</v>
      </c>
    </row>
    <row r="178" spans="1:13" x14ac:dyDescent="0.25">
      <c r="A178">
        <f>176</f>
        <v>176</v>
      </c>
      <c r="B178" t="str">
        <f>INDEX('Draft Engine'!$A$3:$A$232,$M178)</f>
        <v>RB</v>
      </c>
      <c r="C178">
        <f>INDEX('Draft Engine'!$F$3:$F$232,$M178)</f>
        <v>47</v>
      </c>
      <c r="D178" t="str">
        <f>INDEX('Draft Engine'!$B$3:$B$232,$M178)</f>
        <v>Emanuel Wilson</v>
      </c>
      <c r="E178" s="4">
        <f>INDEX('Draft Engine'!$E$3:$E$232,$M178)</f>
        <v>61.982100000000003</v>
      </c>
      <c r="F178" t="str">
        <f>INDEX('LIVE SOURCE'!$H$3:$H$232,$M178)</f>
        <v>Bench stash/handcuff profile; value is tied to role change or injury ahead.</v>
      </c>
      <c r="G178" t="str">
        <f>INDEX('LIVE SOURCE'!$I$3:$I$232,$M178)</f>
        <v>He produced 5.6 PPR/FP points per game across 17 games. The workload/efficiency profile gives the model a rate-based reason to keep him here. Market price is favorable around ADP 195 versus model overall rank 180.</v>
      </c>
      <c r="H178" t="str">
        <f>INDEX('LIVE SOURCE'!$J$3:$J$232,$M178)</f>
        <v>Touchdown variance, receiving-role changes and backfield competition are the main downside paths.</v>
      </c>
      <c r="I178">
        <f>INDEX('Draft Engine'!$R$3:$R$232,$M178)</f>
        <v>195.2</v>
      </c>
      <c r="J178">
        <f>INDEX('Draft Engine'!$S$3:$S$232,$M178)</f>
        <v>19.199999999999989</v>
      </c>
      <c r="K178" t="str">
        <f>INDEX('Draft Engine'!$T$3:$T$232,$M178)</f>
        <v>A</v>
      </c>
      <c r="L178" t="str">
        <f>INDEX('Draft Engine'!$X$3:$X$232,$M178)</f>
        <v>RATE-ADJUSTED VETERAN</v>
      </c>
      <c r="M178" s="6">
        <f>MATCH($A178,'Draft Engine'!$Q$3:$Q$232,0)</f>
        <v>79</v>
      </c>
    </row>
    <row r="179" spans="1:13" x14ac:dyDescent="0.25">
      <c r="A179">
        <f>177</f>
        <v>177</v>
      </c>
      <c r="B179" t="str">
        <f>INDEX('Draft Engine'!$A$3:$A$232,$M179)</f>
        <v>TE</v>
      </c>
      <c r="C179">
        <f>INDEX('Draft Engine'!$F$3:$F$232,$M179)</f>
        <v>28</v>
      </c>
      <c r="D179" t="str">
        <f>INDEX('Draft Engine'!$B$3:$B$232,$M179)</f>
        <v>Terrance Ferguson</v>
      </c>
      <c r="E179" s="4">
        <f>INDEX('Draft Engine'!$E$3:$E$232,$M179)</f>
        <v>64.362099999999998</v>
      </c>
      <c r="F179" t="str">
        <f>INDEX('LIVE SOURCE'!$H$3:$H$232,$M179)</f>
        <v>Deep TE stash; needs a larger route/target role to matter in 10-team leagues.</v>
      </c>
      <c r="G179" t="str">
        <f>INDEX('LIVE SOURCE'!$I$3:$I$232,$M179)</f>
        <v>He produced 4.0 PPR/FP points per game across 13 games. The workload/efficiency profile gives the model a rate-based reason to keep him here. Market price is favorable around ADP 251 versus model overall rank 175.</v>
      </c>
      <c r="H179" t="str">
        <f>INDEX('LIVE SOURCE'!$J$3:$J$232,$M179)</f>
        <v>Route share, target volume and touchdown volatility are the main swing factors.</v>
      </c>
      <c r="I179">
        <f>INDEX('Draft Engine'!$R$3:$R$232,$M179)</f>
        <v>251</v>
      </c>
      <c r="J179">
        <f>INDEX('Draft Engine'!$S$3:$S$232,$M179)</f>
        <v>74</v>
      </c>
      <c r="K179" t="str">
        <f>INDEX('Draft Engine'!$T$3:$T$232,$M179)</f>
        <v>A</v>
      </c>
      <c r="L179" t="str">
        <f>INDEX('Draft Engine'!$X$3:$X$232,$M179)</f>
        <v>RATE-ADJUSTED VETERAN</v>
      </c>
      <c r="M179" s="6">
        <f>MATCH($A179,'Draft Engine'!$Q$3:$Q$232,0)</f>
        <v>185</v>
      </c>
    </row>
    <row r="180" spans="1:13" x14ac:dyDescent="0.25">
      <c r="A180">
        <f>178</f>
        <v>178</v>
      </c>
      <c r="B180" t="str">
        <f>INDEX('Draft Engine'!$A$3:$A$232,$M180)</f>
        <v>WR</v>
      </c>
      <c r="C180">
        <f>INDEX('Draft Engine'!$F$3:$F$232,$M180)</f>
        <v>57</v>
      </c>
      <c r="D180" t="str">
        <f>INDEX('Draft Engine'!$B$3:$B$232,$M180)</f>
        <v>Rashid Shaheed</v>
      </c>
      <c r="E180" s="4">
        <f>INDEX('Draft Engine'!$E$3:$E$232,$M180)</f>
        <v>62.15</v>
      </c>
      <c r="F180" t="str">
        <f>INDEX('LIVE SOURCE'!$H$3:$H$232,$M180)</f>
        <v>Late-round bench upside; role growth is required for weekly relevance.</v>
      </c>
      <c r="G180" t="str">
        <f>INDEX('LIVE SOURCE'!$I$3:$I$232,$M180)</f>
        <v>He produced 8.7 PPR/FP points per game across 18 games. The workload/efficiency profile gives the model a rate-based reason to keep him here. Market price is favorable around ADP 218 versus model overall rank 184.</v>
      </c>
      <c r="H180" t="str">
        <f>INDEX('LIVE SOURCE'!$J$3:$J$232,$M180)</f>
        <v>Target competition, quarterback efficiency and touchdown regression are the main downside paths.</v>
      </c>
      <c r="I180">
        <f>INDEX('Draft Engine'!$R$3:$R$232,$M180)</f>
        <v>121.9</v>
      </c>
      <c r="J180">
        <f>INDEX('Draft Engine'!$S$3:$S$232,$M180)</f>
        <v>-56.099999999999994</v>
      </c>
      <c r="K180" t="str">
        <f>INDEX('Draft Engine'!$T$3:$T$232,$M180)</f>
        <v>C</v>
      </c>
      <c r="L180" t="str">
        <f>INDEX('Draft Engine'!$X$3:$X$232,$M180)</f>
        <v>HISTORY FALLBACK</v>
      </c>
      <c r="M180" s="6">
        <f>MATCH($A180,'Draft Engine'!$Q$3:$Q$232,0)</f>
        <v>140</v>
      </c>
    </row>
    <row r="181" spans="1:13" x14ac:dyDescent="0.25">
      <c r="A181">
        <f>179</f>
        <v>179</v>
      </c>
      <c r="B181" t="str">
        <f>INDEX('Draft Engine'!$A$3:$A$232,$M181)</f>
        <v>WR</v>
      </c>
      <c r="C181">
        <f>INDEX('Draft Engine'!$F$3:$F$232,$M181)</f>
        <v>58</v>
      </c>
      <c r="D181" t="str">
        <f>INDEX('Draft Engine'!$B$3:$B$232,$M181)</f>
        <v>Jayden Higgins</v>
      </c>
      <c r="E181" s="4">
        <f>INDEX('Draft Engine'!$E$3:$E$232,$M181)</f>
        <v>62.1</v>
      </c>
      <c r="F181" t="str">
        <f>INDEX('LIVE SOURCE'!$H$3:$H$232,$M181)</f>
        <v>Added 2026-08-12 from ESPN consensus (WR56).</v>
      </c>
      <c r="G181" t="str">
        <f>INDEX('LIVE SOURCE'!$I$3:$I$232,$M181)</f>
        <v>Not in the original model pool; rating interpolated from the players ESPN ranks directly around him, so he sits at his consensus slot on our board.</v>
      </c>
      <c r="H181" t="str">
        <f>INDEX('LIVE SOURCE'!$J$3:$J$232,$M181)</f>
        <v>No model projection behind this rating; it is market consensus only. Re-rate manually if you have a strong opinion.</v>
      </c>
      <c r="I181">
        <f>INDEX('Draft Engine'!$R$3:$R$232,$M181)</f>
        <v>137.1</v>
      </c>
      <c r="J181">
        <f>INDEX('Draft Engine'!$S$3:$S$232,$M181)</f>
        <v>-41.900000000000006</v>
      </c>
      <c r="K181" t="str">
        <f>INDEX('Draft Engine'!$T$3:$T$232,$M181)</f>
        <v>C</v>
      </c>
      <c r="L181" t="str">
        <f>INDEX('Draft Engine'!$X$3:$X$232,$M181)</f>
        <v>ESPN SLOT-IN</v>
      </c>
      <c r="M181" s="6">
        <f>MATCH($A181,'Draft Engine'!$Q$3:$Q$232,0)</f>
        <v>157</v>
      </c>
    </row>
    <row r="182" spans="1:13" x14ac:dyDescent="0.25">
      <c r="A182">
        <f>180</f>
        <v>180</v>
      </c>
      <c r="B182" t="str">
        <f>INDEX('Draft Engine'!$A$3:$A$232,$M182)</f>
        <v>QB</v>
      </c>
      <c r="C182">
        <f>INDEX('Draft Engine'!$F$3:$F$232,$M182)</f>
        <v>27</v>
      </c>
      <c r="D182" t="str">
        <f>INDEX('Draft Engine'!$B$3:$B$232,$M182)</f>
        <v>Jacoby Brissett</v>
      </c>
      <c r="E182" s="4">
        <f>INDEX('Draft Engine'!$E$3:$E$232,$M182)</f>
        <v>71.333399999999997</v>
      </c>
      <c r="F182" t="str">
        <f>INDEX('LIVE SOURCE'!$H$3:$H$232,$M182)</f>
        <v>Deep QB2; waiver-level in a normal 10-team format.</v>
      </c>
      <c r="G182" t="str">
        <f>INDEX('LIVE SOURCE'!$I$3:$I$232,$M182)</f>
        <v>He produced 16.8 PPR/FP points per game across 14 games. The workload/efficiency profile gives the model a rate-based reason to keep him here. Market price is favorable around ADP 230 versus model overall rank 169.</v>
      </c>
      <c r="H182" t="str">
        <f>INDEX('LIVE SOURCE'!$J$3:$J$232,$M182)</f>
        <v>Passing-TD efficiency, rushing volume and supporting-cast health are the main swing factors.</v>
      </c>
      <c r="I182">
        <f>INDEX('Draft Engine'!$R$3:$R$232,$M182)</f>
        <v>167.4</v>
      </c>
      <c r="J182">
        <f>INDEX('Draft Engine'!$S$3:$S$232,$M182)</f>
        <v>-12.599999999999994</v>
      </c>
      <c r="K182" t="str">
        <f>INDEX('Draft Engine'!$T$3:$T$232,$M182)</f>
        <v>A</v>
      </c>
      <c r="L182" t="str">
        <f>INDEX('Draft Engine'!$X$3:$X$232,$M182)</f>
        <v>RATE-ADJUSTED VETERAN</v>
      </c>
      <c r="M182" s="6">
        <f>MATCH($A182,'Draft Engine'!$Q$3:$Q$232,0)</f>
        <v>27</v>
      </c>
    </row>
    <row r="183" spans="1:13" x14ac:dyDescent="0.25">
      <c r="A183">
        <f>181</f>
        <v>181</v>
      </c>
      <c r="B183" t="str">
        <f>INDEX('Draft Engine'!$A$3:$A$232,$M183)</f>
        <v>QB</v>
      </c>
      <c r="C183">
        <f>INDEX('Draft Engine'!$F$3:$F$232,$M183)</f>
        <v>28</v>
      </c>
      <c r="D183" t="str">
        <f>INDEX('Draft Engine'!$B$3:$B$232,$M183)</f>
        <v>Geno Smith</v>
      </c>
      <c r="E183" s="4">
        <f>INDEX('Draft Engine'!$E$3:$E$232,$M183)</f>
        <v>71.098600000000005</v>
      </c>
      <c r="F183" t="str">
        <f>INDEX('LIVE SOURCE'!$H$3:$H$232,$M183)</f>
        <v>Deep QB2; waiver-level in a normal 10-team format.</v>
      </c>
      <c r="G183" t="str">
        <f>INDEX('LIVE SOURCE'!$I$3:$I$232,$M183)</f>
        <v>He produced 12.7 PPR/FP points per game across 15 games. The workload/efficiency profile gives the model a rate-based reason to keep him here. Market price is favorable around ADP 238 versus model overall rank 170.</v>
      </c>
      <c r="H183" t="str">
        <f>INDEX('LIVE SOURCE'!$J$3:$J$232,$M183)</f>
        <v>Passing-TD efficiency, rushing volume and supporting-cast health are the main swing factors.</v>
      </c>
      <c r="I183">
        <f>INDEX('Draft Engine'!$R$3:$R$232,$M183)</f>
        <v>238</v>
      </c>
      <c r="J183">
        <f>INDEX('Draft Engine'!$S$3:$S$232,$M183)</f>
        <v>57</v>
      </c>
      <c r="K183" t="str">
        <f>INDEX('Draft Engine'!$T$3:$T$232,$M183)</f>
        <v>A</v>
      </c>
      <c r="L183" t="str">
        <f>INDEX('Draft Engine'!$X$3:$X$232,$M183)</f>
        <v>RATE-ADJUSTED VETERAN</v>
      </c>
      <c r="M183" s="6">
        <f>MATCH($A183,'Draft Engine'!$Q$3:$Q$232,0)</f>
        <v>28</v>
      </c>
    </row>
    <row r="184" spans="1:13" x14ac:dyDescent="0.25">
      <c r="A184">
        <f>182</f>
        <v>182</v>
      </c>
      <c r="B184" t="str">
        <f>INDEX('Draft Engine'!$A$3:$A$232,$M184)</f>
        <v>QB</v>
      </c>
      <c r="C184">
        <f>INDEX('Draft Engine'!$F$3:$F$232,$M184)</f>
        <v>29</v>
      </c>
      <c r="D184" t="str">
        <f>INDEX('Draft Engine'!$B$3:$B$232,$M184)</f>
        <v>Aaron Rodgers</v>
      </c>
      <c r="E184" s="4">
        <f>INDEX('Draft Engine'!$E$3:$E$232,$M184)</f>
        <v>70.884799999999998</v>
      </c>
      <c r="F184" t="str">
        <f>INDEX('LIVE SOURCE'!$H$3:$H$232,$M184)</f>
        <v>Deep QB2; waiver-level in a normal 10-team format.</v>
      </c>
      <c r="G184" t="str">
        <f>INDEX('LIVE SOURCE'!$I$3:$I$232,$M184)</f>
        <v>He produced 14.6 PPR/FP points per game across 16 games. The workload/efficiency profile gives the model a rate-based reason to keep him here. Market price is favorable around ADP 246 versus model overall rank 172.</v>
      </c>
      <c r="H184" t="str">
        <f>INDEX('LIVE SOURCE'!$J$3:$J$232,$M184)</f>
        <v>Passing-TD efficiency, rushing volume and supporting-cast health are the main swing factors.</v>
      </c>
      <c r="I184">
        <f>INDEX('Draft Engine'!$R$3:$R$232,$M184)</f>
        <v>168.1</v>
      </c>
      <c r="J184">
        <f>INDEX('Draft Engine'!$S$3:$S$232,$M184)</f>
        <v>-13.900000000000006</v>
      </c>
      <c r="K184" t="str">
        <f>INDEX('Draft Engine'!$T$3:$T$232,$M184)</f>
        <v>A</v>
      </c>
      <c r="L184" t="str">
        <f>INDEX('Draft Engine'!$X$3:$X$232,$M184)</f>
        <v>RATE-ADJUSTED VETERAN</v>
      </c>
      <c r="M184" s="6">
        <f>MATCH($A184,'Draft Engine'!$Q$3:$Q$232,0)</f>
        <v>29</v>
      </c>
    </row>
    <row r="185" spans="1:13" x14ac:dyDescent="0.25">
      <c r="A185">
        <f>183</f>
        <v>183</v>
      </c>
      <c r="B185" t="str">
        <f>INDEX('Draft Engine'!$A$3:$A$232,$M185)</f>
        <v>WR</v>
      </c>
      <c r="C185">
        <f>INDEX('Draft Engine'!$F$3:$F$232,$M185)</f>
        <v>59</v>
      </c>
      <c r="D185" t="str">
        <f>INDEX('Draft Engine'!$B$3:$B$232,$M185)</f>
        <v>Calvin Ridley</v>
      </c>
      <c r="E185" s="4">
        <f>INDEX('Draft Engine'!$E$3:$E$232,$M185)</f>
        <v>61.48</v>
      </c>
      <c r="F185" t="str">
        <f>INDEX('LIVE SOURCE'!$H$3:$H$232,$M185)</f>
        <v>Late-round bench upside; role growth is required for weekly relevance.</v>
      </c>
      <c r="G185" t="str">
        <f>INDEX('LIVE SOURCE'!$I$3:$I$232,$M185)</f>
        <v>The 2026 opportunity and projection carry most of the grade because detailed 2025 rate data is incomplete. Market price is favorable around ADP 221 versus model overall rank 185.</v>
      </c>
      <c r="H185" t="str">
        <f>INDEX('LIVE SOURCE'!$J$3:$J$232,$M185)</f>
        <v>Evidence is thinner than for established veterans, so camp, depth-chart and role news can move the grade materially.</v>
      </c>
      <c r="I185">
        <f>INDEX('Draft Engine'!$R$3:$R$232,$M185)</f>
        <v>132.80000000000001</v>
      </c>
      <c r="J185">
        <f>INDEX('Draft Engine'!$S$3:$S$232,$M185)</f>
        <v>-50.199999999999989</v>
      </c>
      <c r="K185" t="str">
        <f>INDEX('Draft Engine'!$T$3:$T$232,$M185)</f>
        <v>C</v>
      </c>
      <c r="L185" t="str">
        <f>INDEX('Draft Engine'!$X$3:$X$232,$M185)</f>
        <v>HISTORY FALLBACK</v>
      </c>
      <c r="M185" s="6">
        <f>MATCH($A185,'Draft Engine'!$Q$3:$Q$232,0)</f>
        <v>141</v>
      </c>
    </row>
    <row r="186" spans="1:13" x14ac:dyDescent="0.25">
      <c r="A186">
        <f>184</f>
        <v>184</v>
      </c>
      <c r="B186" t="str">
        <f>INDEX('Draft Engine'!$A$3:$A$232,$M186)</f>
        <v>WR</v>
      </c>
      <c r="C186">
        <f>INDEX('Draft Engine'!$F$3:$F$232,$M186)</f>
        <v>60</v>
      </c>
      <c r="D186" t="str">
        <f>INDEX('Draft Engine'!$B$3:$B$232,$M186)</f>
        <v>Omar Cooper Jr.</v>
      </c>
      <c r="E186" s="4">
        <f>INDEX('Draft Engine'!$E$3:$E$232,$M186)</f>
        <v>60.81</v>
      </c>
      <c r="F186" t="str">
        <f>INDEX('LIVE SOURCE'!$H$3:$H$232,$M186)</f>
        <v>Late-round bench upside; role growth is required for weekly relevance.</v>
      </c>
      <c r="G186" t="str">
        <f>INDEX('LIVE SOURCE'!$I$3:$I$232,$M186)</f>
        <v>Rookie score 82.1, backed by No. 30 draft capital and a 6.39 NFL prospect grade. The 2026 role projection is strong enough to replace missing NFL history. Market price is favorable around ADP 225 versus model overall rank 186.</v>
      </c>
      <c r="H186" t="str">
        <f>INDEX('LIVE SOURCE'!$J$3:$J$232,$M186)</f>
        <v>NFL translation and exact weekly role are the main variables; preseason first-team usage can move this rating quickly.</v>
      </c>
      <c r="I186">
        <f>INDEX('Draft Engine'!$R$3:$R$232,$M186)</f>
        <v>165.4</v>
      </c>
      <c r="J186">
        <f>INDEX('Draft Engine'!$S$3:$S$232,$M186)</f>
        <v>-18.599999999999994</v>
      </c>
      <c r="K186" t="str">
        <f>INDEX('Draft Engine'!$T$3:$T$232,$M186)</f>
        <v>C</v>
      </c>
      <c r="L186" t="str">
        <f>INDEX('Draft Engine'!$X$3:$X$232,$M186)</f>
        <v>HISTORY FALLBACK</v>
      </c>
      <c r="M186" s="6">
        <f>MATCH($A186,'Draft Engine'!$Q$3:$Q$232,0)</f>
        <v>142</v>
      </c>
    </row>
    <row r="187" spans="1:13" x14ac:dyDescent="0.25">
      <c r="A187">
        <f>185</f>
        <v>185</v>
      </c>
      <c r="B187" t="str">
        <f>INDEX('Draft Engine'!$A$3:$A$232,$M187)</f>
        <v>RB</v>
      </c>
      <c r="C187">
        <f>INDEX('Draft Engine'!$F$3:$F$232,$M187)</f>
        <v>48</v>
      </c>
      <c r="D187" t="str">
        <f>INDEX('Draft Engine'!$B$3:$B$232,$M187)</f>
        <v>Isiah Pacheco</v>
      </c>
      <c r="E187" s="4">
        <f>INDEX('Draft Engine'!$E$3:$E$232,$M187)</f>
        <v>60.0092</v>
      </c>
      <c r="F187" t="str">
        <f>INDEX('LIVE SOURCE'!$H$3:$H$232,$M187)</f>
        <v>Bench stash/handcuff profile; value is tied to role change or injury ahead.</v>
      </c>
      <c r="G187" t="str">
        <f>INDEX('LIVE SOURCE'!$I$3:$I$232,$M187)</f>
        <v>The 2026 opportunity and projection carry most of the grade because detailed 2025 rate data is incomplete. Market price is favorable around ADP 199 versus model overall rank 187.</v>
      </c>
      <c r="H187" t="str">
        <f>INDEX('LIVE SOURCE'!$J$3:$J$232,$M187)</f>
        <v>Touchdown variance, receiving-role changes and backfield competition are the main downside paths.</v>
      </c>
      <c r="I187">
        <f>INDEX('Draft Engine'!$R$3:$R$232,$M187)</f>
        <v>147.69999999999999</v>
      </c>
      <c r="J187">
        <f>INDEX('Draft Engine'!$S$3:$S$232,$M187)</f>
        <v>-37.300000000000011</v>
      </c>
      <c r="K187" t="str">
        <f>INDEX('Draft Engine'!$T$3:$T$232,$M187)</f>
        <v>B</v>
      </c>
      <c r="L187" t="str">
        <f>INDEX('Draft Engine'!$X$3:$X$232,$M187)</f>
        <v>HISTORY FALLBACK</v>
      </c>
      <c r="M187" s="6">
        <f>MATCH($A187,'Draft Engine'!$Q$3:$Q$232,0)</f>
        <v>80</v>
      </c>
    </row>
    <row r="188" spans="1:13" x14ac:dyDescent="0.25">
      <c r="A188">
        <f>186</f>
        <v>186</v>
      </c>
      <c r="B188" t="str">
        <f>INDEX('Draft Engine'!$A$3:$A$232,$M188)</f>
        <v>WR</v>
      </c>
      <c r="C188">
        <f>INDEX('Draft Engine'!$F$3:$F$232,$M188)</f>
        <v>61</v>
      </c>
      <c r="D188" t="str">
        <f>INDEX('Draft Engine'!$B$3:$B$232,$M188)</f>
        <v>Jerry Jeudy</v>
      </c>
      <c r="E188" s="4">
        <f>INDEX('Draft Engine'!$E$3:$E$232,$M188)</f>
        <v>60.14</v>
      </c>
      <c r="F188" t="str">
        <f>INDEX('LIVE SOURCE'!$H$3:$H$232,$M188)</f>
        <v>Late-round bench upside; role growth is required for weekly relevance.</v>
      </c>
      <c r="G188" t="str">
        <f>INDEX('LIVE SOURCE'!$I$3:$I$232,$M188)</f>
        <v>He produced 7.1 PPR/FP points per game across 17 games. The workload/efficiency profile gives the model a rate-based reason to keep him here. Market price is favorable around ADP 229 versus model overall rank 189.</v>
      </c>
      <c r="H188" t="str">
        <f>INDEX('LIVE SOURCE'!$J$3:$J$232,$M188)</f>
        <v>Target competition, quarterback efficiency and touchdown regression are the main downside paths.</v>
      </c>
      <c r="I188">
        <f>INDEX('Draft Engine'!$R$3:$R$232,$M188)</f>
        <v>134.69999999999999</v>
      </c>
      <c r="J188">
        <f>INDEX('Draft Engine'!$S$3:$S$232,$M188)</f>
        <v>-51.300000000000011</v>
      </c>
      <c r="K188" t="str">
        <f>INDEX('Draft Engine'!$T$3:$T$232,$M188)</f>
        <v>C</v>
      </c>
      <c r="L188" t="str">
        <f>INDEX('Draft Engine'!$X$3:$X$232,$M188)</f>
        <v>HISTORY FALLBACK</v>
      </c>
      <c r="M188" s="6">
        <f>MATCH($A188,'Draft Engine'!$Q$3:$Q$232,0)</f>
        <v>143</v>
      </c>
    </row>
    <row r="189" spans="1:13" x14ac:dyDescent="0.25">
      <c r="A189">
        <f>187</f>
        <v>187</v>
      </c>
      <c r="B189" t="str">
        <f>INDEX('Draft Engine'!$A$3:$A$232,$M189)</f>
        <v>WR</v>
      </c>
      <c r="C189">
        <f>INDEX('Draft Engine'!$F$3:$F$232,$M189)</f>
        <v>62</v>
      </c>
      <c r="D189" t="str">
        <f>INDEX('Draft Engine'!$B$3:$B$232,$M189)</f>
        <v>Tank Dell</v>
      </c>
      <c r="E189" s="4">
        <f>INDEX('Draft Engine'!$E$3:$E$232,$M189)</f>
        <v>60.1</v>
      </c>
      <c r="F189" t="str">
        <f>INDEX('LIVE SOURCE'!$H$3:$H$232,$M189)</f>
        <v>Added 2026-08-12 from ESPN consensus (WR56).</v>
      </c>
      <c r="G189" t="str">
        <f>INDEX('LIVE SOURCE'!$I$3:$I$232,$M189)</f>
        <v>Not in the original model pool; rating interpolated from the players ESPN ranks directly around him, so he sits at his consensus slot on our board.</v>
      </c>
      <c r="H189" t="str">
        <f>INDEX('LIVE SOURCE'!$J$3:$J$232,$M189)</f>
        <v>No model projection behind this rating; it is market consensus only. Re-rate manually if you have a strong opinion.</v>
      </c>
      <c r="I189">
        <f>INDEX('Draft Engine'!$R$3:$R$232,$M189)</f>
        <v>146.6</v>
      </c>
      <c r="J189">
        <f>INDEX('Draft Engine'!$S$3:$S$232,$M189)</f>
        <v>-40.400000000000006</v>
      </c>
      <c r="K189" t="str">
        <f>INDEX('Draft Engine'!$T$3:$T$232,$M189)</f>
        <v>C</v>
      </c>
      <c r="L189" t="str">
        <f>INDEX('Draft Engine'!$X$3:$X$232,$M189)</f>
        <v>ESPN SLOT-IN</v>
      </c>
      <c r="M189" s="6">
        <f>MATCH($A189,'Draft Engine'!$Q$3:$Q$232,0)</f>
        <v>158</v>
      </c>
    </row>
    <row r="190" spans="1:13" x14ac:dyDescent="0.25">
      <c r="A190">
        <f>188</f>
        <v>188</v>
      </c>
      <c r="B190" t="str">
        <f>INDEX('Draft Engine'!$A$3:$A$232,$M190)</f>
        <v>WR</v>
      </c>
      <c r="C190">
        <f>INDEX('Draft Engine'!$F$3:$F$232,$M190)</f>
        <v>63</v>
      </c>
      <c r="D190" t="str">
        <f>INDEX('Draft Engine'!$B$3:$B$232,$M190)</f>
        <v>Jalen Nailor</v>
      </c>
      <c r="E190" s="4">
        <f>INDEX('Draft Engine'!$E$3:$E$232,$M190)</f>
        <v>59.47</v>
      </c>
      <c r="F190" t="str">
        <f>INDEX('LIVE SOURCE'!$H$3:$H$232,$M190)</f>
        <v>Late-round bench upside; role growth is required for weekly relevance.</v>
      </c>
      <c r="G190" t="str">
        <f>INDEX('LIVE SOURCE'!$I$3:$I$232,$M190)</f>
        <v>He produced 5.9 PPR/FP points per game across 17 games. The workload/efficiency profile gives the model a rate-based reason to keep him here. Market price is favorable around ADP 233 versus model overall rank 190.</v>
      </c>
      <c r="H190" t="str">
        <f>INDEX('LIVE SOURCE'!$J$3:$J$232,$M190)</f>
        <v>Target competition, quarterback efficiency and touchdown regression are the main downside paths.</v>
      </c>
      <c r="I190">
        <f>INDEX('Draft Engine'!$R$3:$R$232,$M190)</f>
        <v>160.6</v>
      </c>
      <c r="J190">
        <f>INDEX('Draft Engine'!$S$3:$S$232,$M190)</f>
        <v>-27.400000000000006</v>
      </c>
      <c r="K190" t="str">
        <f>INDEX('Draft Engine'!$T$3:$T$232,$M190)</f>
        <v>C</v>
      </c>
      <c r="L190" t="str">
        <f>INDEX('Draft Engine'!$X$3:$X$232,$M190)</f>
        <v>HISTORY FALLBACK</v>
      </c>
      <c r="M190" s="6">
        <f>MATCH($A190,'Draft Engine'!$Q$3:$Q$232,0)</f>
        <v>144</v>
      </c>
    </row>
    <row r="191" spans="1:13" x14ac:dyDescent="0.25">
      <c r="A191">
        <f>189</f>
        <v>189</v>
      </c>
      <c r="B191" t="str">
        <f>INDEX('Draft Engine'!$A$3:$A$232,$M191)</f>
        <v>RB</v>
      </c>
      <c r="C191">
        <f>INDEX('Draft Engine'!$F$3:$F$232,$M191)</f>
        <v>49</v>
      </c>
      <c r="D191" t="str">
        <f>INDEX('Draft Engine'!$B$3:$B$232,$M191)</f>
        <v>Alvin Kamara</v>
      </c>
      <c r="E191" s="4">
        <f>INDEX('Draft Engine'!$E$3:$E$232,$M191)</f>
        <v>59.15</v>
      </c>
      <c r="F191" t="str">
        <f>INDEX('LIVE SOURCE'!$H$3:$H$232,$M191)</f>
        <v>Bench stash/handcuff profile; value is tied to role change or injury ahead.</v>
      </c>
      <c r="G191" t="str">
        <f>INDEX('LIVE SOURCE'!$I$3:$I$232,$M191)</f>
        <v>The 2026 opportunity and projection carry most of the grade because detailed 2025 rate data is incomplete. Market price is favorable around ADP 204 versus model overall rank 191.</v>
      </c>
      <c r="H191" t="str">
        <f>INDEX('LIVE SOURCE'!$J$3:$J$232,$M191)</f>
        <v>Touchdown variance, receiving-role changes and backfield competition are the main downside paths.</v>
      </c>
      <c r="I191">
        <f>INDEX('Draft Engine'!$R$3:$R$232,$M191)</f>
        <v>134.1</v>
      </c>
      <c r="J191">
        <f>INDEX('Draft Engine'!$S$3:$S$232,$M191)</f>
        <v>-54.900000000000006</v>
      </c>
      <c r="K191" t="str">
        <f>INDEX('Draft Engine'!$T$3:$T$232,$M191)</f>
        <v>B</v>
      </c>
      <c r="L191" t="str">
        <f>INDEX('Draft Engine'!$X$3:$X$232,$M191)</f>
        <v>HISTORY FALLBACK</v>
      </c>
      <c r="M191" s="6">
        <f>MATCH($A191,'Draft Engine'!$Q$3:$Q$232,0)</f>
        <v>81</v>
      </c>
    </row>
    <row r="192" spans="1:13" x14ac:dyDescent="0.25">
      <c r="A192">
        <f>190</f>
        <v>190</v>
      </c>
      <c r="B192" t="str">
        <f>INDEX('Draft Engine'!$A$3:$A$232,$M192)</f>
        <v>RB</v>
      </c>
      <c r="C192">
        <f>INDEX('Draft Engine'!$F$3:$F$232,$M192)</f>
        <v>50</v>
      </c>
      <c r="D192" t="str">
        <f>INDEX('Draft Engine'!$B$3:$B$232,$M192)</f>
        <v>Keaton Mitchell</v>
      </c>
      <c r="E192" s="4">
        <f>INDEX('Draft Engine'!$E$3:$E$232,$M192)</f>
        <v>59</v>
      </c>
      <c r="F192" t="str">
        <f>INDEX('LIVE SOURCE'!$H$3:$H$232,$M192)</f>
        <v>Added 2026-08-12 from ESPN consensus (RB46).</v>
      </c>
      <c r="G192" t="str">
        <f>INDEX('LIVE SOURCE'!$I$3:$I$232,$M192)</f>
        <v>Not in the original model pool; rating interpolated from the players ESPN ranks directly around him, so he sits at his consensus slot on our board.</v>
      </c>
      <c r="H192" t="str">
        <f>INDEX('LIVE SOURCE'!$J$3:$J$232,$M192)</f>
        <v>No model projection behind this rating; it is market consensus only. Re-rate manually if you have a strong opinion.</v>
      </c>
      <c r="I192">
        <f>INDEX('Draft Engine'!$R$3:$R$232,$M192)</f>
        <v>160.19999999999999</v>
      </c>
      <c r="J192">
        <f>INDEX('Draft Engine'!$S$3:$S$232,$M192)</f>
        <v>-29.800000000000011</v>
      </c>
      <c r="K192" t="str">
        <f>INDEX('Draft Engine'!$T$3:$T$232,$M192)</f>
        <v>C</v>
      </c>
      <c r="L192" t="str">
        <f>INDEX('Draft Engine'!$X$3:$X$232,$M192)</f>
        <v>ESPN SLOT-IN</v>
      </c>
      <c r="M192" s="6">
        <f>MATCH($A192,'Draft Engine'!$Q$3:$Q$232,0)</f>
        <v>84</v>
      </c>
    </row>
    <row r="193" spans="1:13" x14ac:dyDescent="0.25">
      <c r="A193">
        <f>191</f>
        <v>191</v>
      </c>
      <c r="B193" t="str">
        <f>INDEX('Draft Engine'!$A$3:$A$232,$M193)</f>
        <v>WR</v>
      </c>
      <c r="C193">
        <f>INDEX('Draft Engine'!$F$3:$F$232,$M193)</f>
        <v>64</v>
      </c>
      <c r="D193" t="str">
        <f>INDEX('Draft Engine'!$B$3:$B$232,$M193)</f>
        <v>Jalen McMillan</v>
      </c>
      <c r="E193" s="4">
        <f>INDEX('Draft Engine'!$E$3:$E$232,$M193)</f>
        <v>58.8</v>
      </c>
      <c r="F193" t="str">
        <f>INDEX('LIVE SOURCE'!$H$3:$H$232,$M193)</f>
        <v>Late-round bench upside; role growth is required for weekly relevance.</v>
      </c>
      <c r="G193" t="str">
        <f>INDEX('LIVE SOURCE'!$I$3:$I$232,$M193)</f>
        <v>The 2026 opportunity and projection carry most of the grade because detailed 2025 rate data is incomplete. Market price is favorable around ADP 237 versus model overall rank 192.</v>
      </c>
      <c r="H193" t="str">
        <f>INDEX('LIVE SOURCE'!$J$3:$J$232,$M193)</f>
        <v>Evidence is thinner than for established veterans, so camp, depth-chart and role news can move the grade materially.</v>
      </c>
      <c r="I193">
        <f>INDEX('Draft Engine'!$R$3:$R$232,$M193)</f>
        <v>152.80000000000001</v>
      </c>
      <c r="J193">
        <f>INDEX('Draft Engine'!$S$3:$S$232,$M193)</f>
        <v>-38.199999999999989</v>
      </c>
      <c r="K193" t="str">
        <f>INDEX('Draft Engine'!$T$3:$T$232,$M193)</f>
        <v>C</v>
      </c>
      <c r="L193" t="str">
        <f>INDEX('Draft Engine'!$X$3:$X$232,$M193)</f>
        <v>HISTORY FALLBACK</v>
      </c>
      <c r="M193" s="6">
        <f>MATCH($A193,'Draft Engine'!$Q$3:$Q$232,0)</f>
        <v>145</v>
      </c>
    </row>
    <row r="194" spans="1:13" x14ac:dyDescent="0.25">
      <c r="A194">
        <f>192</f>
        <v>192</v>
      </c>
      <c r="B194" t="str">
        <f>INDEX('Draft Engine'!$A$3:$A$232,$M194)</f>
        <v>QB</v>
      </c>
      <c r="C194">
        <f>INDEX('Draft Engine'!$F$3:$F$232,$M194)</f>
        <v>30</v>
      </c>
      <c r="D194" t="str">
        <f>INDEX('Draft Engine'!$B$3:$B$232,$M194)</f>
        <v>Tua Tagovailoa</v>
      </c>
      <c r="E194" s="4">
        <f>INDEX('Draft Engine'!$E$3:$E$232,$M194)</f>
        <v>67.851200000000006</v>
      </c>
      <c r="F194" t="str">
        <f>INDEX('LIVE SOURCE'!$H$3:$H$232,$M194)</f>
        <v>Deep QB2; waiver-level in a normal 10-team format.</v>
      </c>
      <c r="G194" t="str">
        <f>INDEX('LIVE SOURCE'!$I$3:$I$232,$M194)</f>
        <v>He produced 12.5 PPR/FP points per game across 14 games. The workload/efficiency profile gives the model a rate-based reason to keep him here. Market price is favorable around ADP 254 versus model overall rank 183.</v>
      </c>
      <c r="H194" t="str">
        <f>INDEX('LIVE SOURCE'!$J$3:$J$232,$M194)</f>
        <v>Passing-TD efficiency, rushing volume and supporting-cast health are the main swing factors.</v>
      </c>
      <c r="I194">
        <f>INDEX('Draft Engine'!$R$3:$R$232,$M194)</f>
        <v>254</v>
      </c>
      <c r="J194">
        <f>INDEX('Draft Engine'!$S$3:$S$232,$M194)</f>
        <v>62</v>
      </c>
      <c r="K194" t="str">
        <f>INDEX('Draft Engine'!$T$3:$T$232,$M194)</f>
        <v>A</v>
      </c>
      <c r="L194" t="str">
        <f>INDEX('Draft Engine'!$X$3:$X$232,$M194)</f>
        <v>RATE-ADJUSTED VETERAN</v>
      </c>
      <c r="M194" s="6">
        <f>MATCH($A194,'Draft Engine'!$Q$3:$Q$232,0)</f>
        <v>30</v>
      </c>
    </row>
    <row r="195" spans="1:13" x14ac:dyDescent="0.25">
      <c r="A195">
        <f>193</f>
        <v>193</v>
      </c>
      <c r="B195" t="str">
        <f>INDEX('Draft Engine'!$A$3:$A$232,$M195)</f>
        <v>WR</v>
      </c>
      <c r="C195">
        <f>INDEX('Draft Engine'!$F$3:$F$232,$M195)</f>
        <v>65</v>
      </c>
      <c r="D195" t="str">
        <f>INDEX('Draft Engine'!$B$3:$B$232,$M195)</f>
        <v>Adonai Mitchell</v>
      </c>
      <c r="E195" s="4">
        <f>INDEX('Draft Engine'!$E$3:$E$232,$M195)</f>
        <v>58.13</v>
      </c>
      <c r="F195" t="str">
        <f>INDEX('LIVE SOURCE'!$H$3:$H$232,$M195)</f>
        <v>Late-round bench upside; role growth is required for weekly relevance.</v>
      </c>
      <c r="G195" t="str">
        <f>INDEX('LIVE SOURCE'!$I$3:$I$232,$M195)</f>
        <v>The 2026 opportunity and projection carry most of the grade because detailed 2025 rate data is incomplete. Market price is favorable around ADP 241 versus model overall rank 193.</v>
      </c>
      <c r="H195" t="str">
        <f>INDEX('LIVE SOURCE'!$J$3:$J$232,$M195)</f>
        <v>Evidence is thinner than for established veterans, so camp, depth-chart and role news can move the grade materially.</v>
      </c>
      <c r="I195">
        <f>INDEX('Draft Engine'!$R$3:$R$232,$M195)</f>
        <v>163.1</v>
      </c>
      <c r="J195">
        <f>INDEX('Draft Engine'!$S$3:$S$232,$M195)</f>
        <v>-29.900000000000006</v>
      </c>
      <c r="K195" t="str">
        <f>INDEX('Draft Engine'!$T$3:$T$232,$M195)</f>
        <v>C</v>
      </c>
      <c r="L195" t="str">
        <f>INDEX('Draft Engine'!$X$3:$X$232,$M195)</f>
        <v>HISTORY FALLBACK</v>
      </c>
      <c r="M195" s="6">
        <f>MATCH($A195,'Draft Engine'!$Q$3:$Q$232,0)</f>
        <v>146</v>
      </c>
    </row>
    <row r="196" spans="1:13" x14ac:dyDescent="0.25">
      <c r="A196">
        <f>194</f>
        <v>194</v>
      </c>
      <c r="B196" t="str">
        <f>INDEX('Draft Engine'!$A$3:$A$232,$M196)</f>
        <v>WR</v>
      </c>
      <c r="C196">
        <f>INDEX('Draft Engine'!$F$3:$F$232,$M196)</f>
        <v>66</v>
      </c>
      <c r="D196" t="str">
        <f>INDEX('Draft Engine'!$B$3:$B$232,$M196)</f>
        <v>Isaac TeSlaa</v>
      </c>
      <c r="E196" s="4">
        <f>INDEX('Draft Engine'!$E$3:$E$232,$M196)</f>
        <v>57.46</v>
      </c>
      <c r="F196" t="str">
        <f>INDEX('LIVE SOURCE'!$H$3:$H$232,$M196)</f>
        <v>Late-round bench upside; role growth is required for weekly relevance.</v>
      </c>
      <c r="G196" t="str">
        <f>INDEX('LIVE SOURCE'!$I$3:$I$232,$M196)</f>
        <v>He produced 4.4 PPR/FP points per game across 17 games. The workload/efficiency profile gives the model a rate-based reason to keep him here. Market price is favorable around ADP 245 versus model overall rank 194.</v>
      </c>
      <c r="H196" t="str">
        <f>INDEX('LIVE SOURCE'!$J$3:$J$232,$M196)</f>
        <v>Target competition, quarterback efficiency and touchdown regression are the main downside paths.</v>
      </c>
      <c r="I196">
        <f>INDEX('Draft Engine'!$R$3:$R$232,$M196)</f>
        <v>176.3</v>
      </c>
      <c r="J196">
        <f>INDEX('Draft Engine'!$S$3:$S$232,$M196)</f>
        <v>-17.699999999999989</v>
      </c>
      <c r="K196" t="str">
        <f>INDEX('Draft Engine'!$T$3:$T$232,$M196)</f>
        <v>C</v>
      </c>
      <c r="L196" t="str">
        <f>INDEX('Draft Engine'!$X$3:$X$232,$M196)</f>
        <v>HISTORY FALLBACK</v>
      </c>
      <c r="M196" s="6">
        <f>MATCH($A196,'Draft Engine'!$Q$3:$Q$232,0)</f>
        <v>147</v>
      </c>
    </row>
    <row r="197" spans="1:13" x14ac:dyDescent="0.25">
      <c r="A197">
        <f>195</f>
        <v>195</v>
      </c>
      <c r="B197" t="str">
        <f>INDEX('Draft Engine'!$A$3:$A$232,$M197)</f>
        <v>WR</v>
      </c>
      <c r="C197">
        <f>INDEX('Draft Engine'!$F$3:$F$232,$M197)</f>
        <v>67</v>
      </c>
      <c r="D197" t="str">
        <f>INDEX('Draft Engine'!$B$3:$B$232,$M197)</f>
        <v>Denzel Boston</v>
      </c>
      <c r="E197" s="4">
        <f>INDEX('Draft Engine'!$E$3:$E$232,$M197)</f>
        <v>56.79</v>
      </c>
      <c r="F197" t="str">
        <f>INDEX('LIVE SOURCE'!$H$3:$H$232,$M197)</f>
        <v>Late-round bench upside; role growth is required for weekly relevance.</v>
      </c>
      <c r="G197" t="str">
        <f>INDEX('LIVE SOURCE'!$I$3:$I$232,$M197)</f>
        <v>Rookie score 79.3, backed by No. 39 draft capital and a 6.40 NFL prospect grade. The 2026 role projection is strong enough to replace missing NFL history. Market price is favorable around ADP 249 versus model overall rank 196.</v>
      </c>
      <c r="H197" t="str">
        <f>INDEX('LIVE SOURCE'!$J$3:$J$232,$M197)</f>
        <v>NFL translation and exact weekly role are the main variables; preseason first-team usage can move this rating quickly.</v>
      </c>
      <c r="I197">
        <f>INDEX('Draft Engine'!$R$3:$R$232,$M197)</f>
        <v>155.69999999999999</v>
      </c>
      <c r="J197">
        <f>INDEX('Draft Engine'!$S$3:$S$232,$M197)</f>
        <v>-39.300000000000011</v>
      </c>
      <c r="K197" t="str">
        <f>INDEX('Draft Engine'!$T$3:$T$232,$M197)</f>
        <v>C</v>
      </c>
      <c r="L197" t="str">
        <f>INDEX('Draft Engine'!$X$3:$X$232,$M197)</f>
        <v>HISTORY FALLBACK</v>
      </c>
      <c r="M197" s="6">
        <f>MATCH($A197,'Draft Engine'!$Q$3:$Q$232,0)</f>
        <v>148</v>
      </c>
    </row>
    <row r="198" spans="1:13" x14ac:dyDescent="0.25">
      <c r="A198">
        <f>196</f>
        <v>196</v>
      </c>
      <c r="B198" t="str">
        <f>INDEX('Draft Engine'!$A$3:$A$232,$M198)</f>
        <v>QB</v>
      </c>
      <c r="C198">
        <f>INDEX('Draft Engine'!$F$3:$F$232,$M198)</f>
        <v>31</v>
      </c>
      <c r="D198" t="str">
        <f>INDEX('Draft Engine'!$B$3:$B$232,$M198)</f>
        <v>Kirk Cousins</v>
      </c>
      <c r="E198" s="4">
        <f>INDEX('Draft Engine'!$E$3:$E$232,$M198)</f>
        <v>65.792900000000003</v>
      </c>
      <c r="F198" t="str">
        <f>INDEX('LIVE SOURCE'!$H$3:$H$232,$M198)</f>
        <v>Deep QB2; waiver-level in a normal 10-team format.</v>
      </c>
      <c r="G198" t="str">
        <f>INDEX('LIVE SOURCE'!$I$3:$I$232,$M198)</f>
        <v>He produced 10.9 PPR/FP points per game across 10 games. The workload/efficiency profile gives the model a rate-based reason to keep him here. Market price is favorable around ADP 262 versus model overall rank 188.</v>
      </c>
      <c r="H198" t="str">
        <f>INDEX('LIVE SOURCE'!$J$3:$J$232,$M198)</f>
        <v>Passing-TD efficiency, rushing volume and supporting-cast health are the main swing factors.</v>
      </c>
      <c r="I198">
        <f>INDEX('Draft Engine'!$R$3:$R$232,$M198)</f>
        <v>262</v>
      </c>
      <c r="J198">
        <f>INDEX('Draft Engine'!$S$3:$S$232,$M198)</f>
        <v>66</v>
      </c>
      <c r="K198" t="str">
        <f>INDEX('Draft Engine'!$T$3:$T$232,$M198)</f>
        <v>B</v>
      </c>
      <c r="L198" t="str">
        <f>INDEX('Draft Engine'!$X$3:$X$232,$M198)</f>
        <v>RATE-ADJUSTED VETERAN</v>
      </c>
      <c r="M198" s="6">
        <f>MATCH($A198,'Draft Engine'!$Q$3:$Q$232,0)</f>
        <v>31</v>
      </c>
    </row>
    <row r="199" spans="1:13" x14ac:dyDescent="0.25">
      <c r="A199">
        <f>197</f>
        <v>197</v>
      </c>
      <c r="B199" t="str">
        <f>INDEX('Draft Engine'!$A$3:$A$232,$M199)</f>
        <v>WR</v>
      </c>
      <c r="C199">
        <f>INDEX('Draft Engine'!$F$3:$F$232,$M199)</f>
        <v>68</v>
      </c>
      <c r="D199" t="str">
        <f>INDEX('Draft Engine'!$B$3:$B$232,$M199)</f>
        <v>Tre Tucker</v>
      </c>
      <c r="E199" s="4">
        <f>INDEX('Draft Engine'!$E$3:$E$232,$M199)</f>
        <v>56.12</v>
      </c>
      <c r="F199" t="str">
        <f>INDEX('LIVE SOURCE'!$H$3:$H$232,$M199)</f>
        <v>Late-round bench upside; role growth is required for weekly relevance.</v>
      </c>
      <c r="G199" t="str">
        <f>INDEX('LIVE SOURCE'!$I$3:$I$232,$M199)</f>
        <v>He produced 9.6 PPR/FP points per game across 17 games. The workload/efficiency profile gives the model a rate-based reason to keep him here. Market price is favorable around ADP 253 versus model overall rank 197.</v>
      </c>
      <c r="H199" t="str">
        <f>INDEX('LIVE SOURCE'!$J$3:$J$232,$M199)</f>
        <v>Target competition, quarterback efficiency and touchdown regression are the main downside paths.</v>
      </c>
      <c r="I199">
        <f>INDEX('Draft Engine'!$R$3:$R$232,$M199)</f>
        <v>135.5</v>
      </c>
      <c r="J199">
        <f>INDEX('Draft Engine'!$S$3:$S$232,$M199)</f>
        <v>-61.5</v>
      </c>
      <c r="K199" t="str">
        <f>INDEX('Draft Engine'!$T$3:$T$232,$M199)</f>
        <v>C</v>
      </c>
      <c r="L199" t="str">
        <f>INDEX('Draft Engine'!$X$3:$X$232,$M199)</f>
        <v>HISTORY FALLBACK</v>
      </c>
      <c r="M199" s="6">
        <f>MATCH($A199,'Draft Engine'!$Q$3:$Q$232,0)</f>
        <v>149</v>
      </c>
    </row>
    <row r="200" spans="1:13" x14ac:dyDescent="0.25">
      <c r="A200">
        <f>198</f>
        <v>198</v>
      </c>
      <c r="B200" t="str">
        <f>INDEX('Draft Engine'!$A$3:$A$232,$M200)</f>
        <v>WR</v>
      </c>
      <c r="C200">
        <f>INDEX('Draft Engine'!$F$3:$F$232,$M200)</f>
        <v>69</v>
      </c>
      <c r="D200" t="str">
        <f>INDEX('Draft Engine'!$B$3:$B$232,$M200)</f>
        <v>Antonio Williams</v>
      </c>
      <c r="E200" s="4">
        <f>INDEX('Draft Engine'!$E$3:$E$232,$M200)</f>
        <v>55.45</v>
      </c>
      <c r="F200" t="str">
        <f>INDEX('LIVE SOURCE'!$H$3:$H$232,$M200)</f>
        <v>Late-round bench upside; role growth is required for weekly relevance.</v>
      </c>
      <c r="G200" t="str">
        <f>INDEX('LIVE SOURCE'!$I$3:$I$232,$M200)</f>
        <v>The 2026 opportunity and projection carry most of the grade because detailed 2025 rate data is incomplete. Market price is favorable around ADP 256 versus model overall rank 198.</v>
      </c>
      <c r="H200" t="str">
        <f>INDEX('LIVE SOURCE'!$J$3:$J$232,$M200)</f>
        <v>Evidence is thinner than for established veterans, so camp, depth-chart and role news can move the grade materially.</v>
      </c>
      <c r="I200">
        <f>INDEX('Draft Engine'!$R$3:$R$232,$M200)</f>
        <v>159.6</v>
      </c>
      <c r="J200">
        <f>INDEX('Draft Engine'!$S$3:$S$232,$M200)</f>
        <v>-38.400000000000006</v>
      </c>
      <c r="K200" t="str">
        <f>INDEX('Draft Engine'!$T$3:$T$232,$M200)</f>
        <v>C</v>
      </c>
      <c r="L200" t="str">
        <f>INDEX('Draft Engine'!$X$3:$X$232,$M200)</f>
        <v>HISTORY FALLBACK</v>
      </c>
      <c r="M200" s="6">
        <f>MATCH($A200,'Draft Engine'!$Q$3:$Q$232,0)</f>
        <v>150</v>
      </c>
    </row>
    <row r="201" spans="1:13" x14ac:dyDescent="0.25">
      <c r="A201">
        <f>199</f>
        <v>199</v>
      </c>
      <c r="B201" t="str">
        <f>INDEX('Draft Engine'!$A$3:$A$232,$M201)</f>
        <v>RB</v>
      </c>
      <c r="C201">
        <f>INDEX('Draft Engine'!$F$3:$F$232,$M201)</f>
        <v>51</v>
      </c>
      <c r="D201" t="str">
        <f>INDEX('Draft Engine'!$B$3:$B$232,$M201)</f>
        <v>Justice Hill</v>
      </c>
      <c r="E201" s="4">
        <f>INDEX('Draft Engine'!$E$3:$E$232,$M201)</f>
        <v>54.88</v>
      </c>
      <c r="F201" t="str">
        <f>INDEX('LIVE SOURCE'!$H$3:$H$232,$M201)</f>
        <v>Bench stash/handcuff profile; value is tied to role change or injury ahead.</v>
      </c>
      <c r="G201" t="str">
        <f>INDEX('LIVE SOURCE'!$I$3:$I$232,$M201)</f>
        <v>The 2026 opportunity and projection carry most of the grade because detailed 2025 rate data is incomplete.</v>
      </c>
      <c r="H201" t="str">
        <f>INDEX('LIVE SOURCE'!$J$3:$J$232,$M201)</f>
        <v>Touchdown variance, receiving-role changes and backfield competition are the main downside paths.</v>
      </c>
      <c r="I201">
        <f>INDEX('Draft Engine'!$R$3:$R$232,$M201)</f>
        <v>165.6</v>
      </c>
      <c r="J201">
        <f>INDEX('Draft Engine'!$S$3:$S$232,$M201)</f>
        <v>-33.400000000000006</v>
      </c>
      <c r="K201" t="str">
        <f>INDEX('Draft Engine'!$T$3:$T$232,$M201)</f>
        <v>B</v>
      </c>
      <c r="L201" t="str">
        <f>INDEX('Draft Engine'!$X$3:$X$232,$M201)</f>
        <v>HISTORY FALLBACK</v>
      </c>
      <c r="M201" s="6">
        <f>MATCH($A201,'Draft Engine'!$Q$3:$Q$232,0)</f>
        <v>82</v>
      </c>
    </row>
    <row r="202" spans="1:13" x14ac:dyDescent="0.25">
      <c r="A202">
        <f>200</f>
        <v>200</v>
      </c>
      <c r="B202" t="str">
        <f>INDEX('Draft Engine'!$A$3:$A$232,$M202)</f>
        <v>WR</v>
      </c>
      <c r="C202">
        <f>INDEX('Draft Engine'!$F$3:$F$232,$M202)</f>
        <v>70</v>
      </c>
      <c r="D202" t="str">
        <f>INDEX('Draft Engine'!$B$3:$B$232,$M202)</f>
        <v>Travis Hunter</v>
      </c>
      <c r="E202" s="4">
        <f>INDEX('Draft Engine'!$E$3:$E$232,$M202)</f>
        <v>54.78</v>
      </c>
      <c r="F202" t="str">
        <f>INDEX('LIVE SOURCE'!$H$3:$H$232,$M202)</f>
        <v>Late-round bench upside; role growth is required for weekly relevance.</v>
      </c>
      <c r="G202" t="str">
        <f>INDEX('LIVE SOURCE'!$I$3:$I$232,$M202)</f>
        <v>The 2026 opportunity and projection carry most of the grade because detailed 2025 rate data is incomplete. Market price is favorable around ADP 260 versus model overall rank 201.</v>
      </c>
      <c r="H202" t="str">
        <f>INDEX('LIVE SOURCE'!$J$3:$J$232,$M202)</f>
        <v>Evidence is thinner than for established veterans, so camp, depth-chart and role news can move the grade materially.</v>
      </c>
      <c r="I202">
        <f>INDEX('Draft Engine'!$R$3:$R$232,$M202)</f>
        <v>164.4</v>
      </c>
      <c r="J202">
        <f>INDEX('Draft Engine'!$S$3:$S$232,$M202)</f>
        <v>-35.599999999999994</v>
      </c>
      <c r="K202" t="str">
        <f>INDEX('Draft Engine'!$T$3:$T$232,$M202)</f>
        <v>C</v>
      </c>
      <c r="L202" t="str">
        <f>INDEX('Draft Engine'!$X$3:$X$232,$M202)</f>
        <v>HISTORY FALLBACK</v>
      </c>
      <c r="M202" s="6">
        <f>MATCH($A202,'Draft Engine'!$Q$3:$Q$232,0)</f>
        <v>151</v>
      </c>
    </row>
    <row r="203" spans="1:13" x14ac:dyDescent="0.25">
      <c r="A203">
        <f>201</f>
        <v>201</v>
      </c>
      <c r="B203" t="str">
        <f>INDEX('Draft Engine'!$A$3:$A$232,$M203)</f>
        <v>QB</v>
      </c>
      <c r="C203">
        <f>INDEX('Draft Engine'!$F$3:$F$232,$M203)</f>
        <v>32</v>
      </c>
      <c r="D203" t="str">
        <f>INDEX('Draft Engine'!$B$3:$B$232,$M203)</f>
        <v>Deshaun Watson</v>
      </c>
      <c r="E203" s="4">
        <f>INDEX('Draft Engine'!$E$3:$E$232,$M203)</f>
        <v>60.25</v>
      </c>
      <c r="F203" t="str">
        <f>INDEX('LIVE SOURCE'!$H$3:$H$232,$M203)</f>
        <v>Deep QB2; waiver-level in a normal 10-team format.</v>
      </c>
      <c r="G203" t="str">
        <f>INDEX('LIVE SOURCE'!$I$3:$I$232,$M203)</f>
        <v>The 2026 opportunity and projection carry most of the grade because detailed 2025 rate data is incomplete. Market price is favorable around ADP 270 versus model overall rank 200.</v>
      </c>
      <c r="H203" t="str">
        <f>INDEX('LIVE SOURCE'!$J$3:$J$232,$M203)</f>
        <v>Evidence is thinner than for established veterans, so camp, depth-chart and role news can move the grade materially.</v>
      </c>
      <c r="I203">
        <f>INDEX('Draft Engine'!$R$3:$R$232,$M203)</f>
        <v>270</v>
      </c>
      <c r="J203">
        <f>INDEX('Draft Engine'!$S$3:$S$232,$M203)</f>
        <v>69</v>
      </c>
      <c r="K203" t="str">
        <f>INDEX('Draft Engine'!$T$3:$T$232,$M203)</f>
        <v>C</v>
      </c>
      <c r="L203" t="str">
        <f>INDEX('Draft Engine'!$X$3:$X$232,$M203)</f>
        <v>HISTORY FALLBACK</v>
      </c>
      <c r="M203" s="6">
        <f>MATCH($A203,'Draft Engine'!$Q$3:$Q$232,0)</f>
        <v>32</v>
      </c>
    </row>
    <row r="204" spans="1:13" x14ac:dyDescent="0.25">
      <c r="A204">
        <f>202</f>
        <v>202</v>
      </c>
      <c r="B204" t="str">
        <f>INDEX('Draft Engine'!$A$3:$A$232,$M204)</f>
        <v>WR</v>
      </c>
      <c r="C204">
        <f>INDEX('Draft Engine'!$F$3:$F$232,$M204)</f>
        <v>71</v>
      </c>
      <c r="D204" t="str">
        <f>INDEX('Draft Engine'!$B$3:$B$232,$M204)</f>
        <v>Ryan Flournoy</v>
      </c>
      <c r="E204" s="4">
        <f>INDEX('Draft Engine'!$E$3:$E$232,$M204)</f>
        <v>54.11</v>
      </c>
      <c r="F204" t="str">
        <f>INDEX('LIVE SOURCE'!$H$3:$H$232,$M204)</f>
        <v>Late-round bench upside; role growth is required for weekly relevance.</v>
      </c>
      <c r="G204" t="str">
        <f>INDEX('LIVE SOURCE'!$I$3:$I$232,$M204)</f>
        <v>He produced 7.6 PPR/FP points per game across 15 games. The workload/efficiency profile gives the model a rate-based reason to keep him here. Market price is favorable around ADP 264 versus model overall rank 202.</v>
      </c>
      <c r="H204" t="str">
        <f>INDEX('LIVE SOURCE'!$J$3:$J$232,$M204)</f>
        <v>Target competition, quarterback efficiency and touchdown regression are the main downside paths.</v>
      </c>
      <c r="I204">
        <f>INDEX('Draft Engine'!$R$3:$R$232,$M204)</f>
        <v>176.7</v>
      </c>
      <c r="J204">
        <f>INDEX('Draft Engine'!$S$3:$S$232,$M204)</f>
        <v>-25.300000000000011</v>
      </c>
      <c r="K204" t="str">
        <f>INDEX('Draft Engine'!$T$3:$T$232,$M204)</f>
        <v>C</v>
      </c>
      <c r="L204" t="str">
        <f>INDEX('Draft Engine'!$X$3:$X$232,$M204)</f>
        <v>HISTORY FALLBACK</v>
      </c>
      <c r="M204" s="6">
        <f>MATCH($A204,'Draft Engine'!$Q$3:$Q$232,0)</f>
        <v>152</v>
      </c>
    </row>
    <row r="205" spans="1:13" x14ac:dyDescent="0.25">
      <c r="A205">
        <f>203</f>
        <v>203</v>
      </c>
      <c r="B205" t="str">
        <f>INDEX('Draft Engine'!$A$3:$A$232,$M205)</f>
        <v>WR</v>
      </c>
      <c r="C205">
        <f>INDEX('Draft Engine'!$F$3:$F$232,$M205)</f>
        <v>72</v>
      </c>
      <c r="D205" t="str">
        <f>INDEX('Draft Engine'!$B$3:$B$232,$M205)</f>
        <v>Jauan Jennings</v>
      </c>
      <c r="E205" s="4">
        <f>INDEX('Draft Engine'!$E$3:$E$232,$M205)</f>
        <v>53.44</v>
      </c>
      <c r="F205" t="str">
        <f>INDEX('LIVE SOURCE'!$H$3:$H$232,$M205)</f>
        <v>Late-round bench upside; role growth is required for weekly relevance.</v>
      </c>
      <c r="G205" t="str">
        <f>INDEX('LIVE SOURCE'!$I$3:$I$232,$M205)</f>
        <v>He produced 11.6 PPR/FP points per game across 15 games. The workload/efficiency profile gives the model a rate-based reason to keep him here. Market price is favorable around ADP 268 versus model overall rank 204.</v>
      </c>
      <c r="H205" t="str">
        <f>INDEX('LIVE SOURCE'!$J$3:$J$232,$M205)</f>
        <v>Target competition, quarterback efficiency and touchdown regression are the main downside paths.</v>
      </c>
      <c r="I205">
        <f>INDEX('Draft Engine'!$R$3:$R$232,$M205)</f>
        <v>147.69999999999999</v>
      </c>
      <c r="J205">
        <f>INDEX('Draft Engine'!$S$3:$S$232,$M205)</f>
        <v>-55.300000000000011</v>
      </c>
      <c r="K205" t="str">
        <f>INDEX('Draft Engine'!$T$3:$T$232,$M205)</f>
        <v>C</v>
      </c>
      <c r="L205" t="str">
        <f>INDEX('Draft Engine'!$X$3:$X$232,$M205)</f>
        <v>HISTORY FALLBACK</v>
      </c>
      <c r="M205" s="6">
        <f>MATCH($A205,'Draft Engine'!$Q$3:$Q$232,0)</f>
        <v>153</v>
      </c>
    </row>
    <row r="206" spans="1:13" x14ac:dyDescent="0.25">
      <c r="A206">
        <f>204</f>
        <v>204</v>
      </c>
      <c r="B206" t="str">
        <f>INDEX('Draft Engine'!$A$3:$A$232,$M206)</f>
        <v>WR</v>
      </c>
      <c r="C206">
        <f>INDEX('Draft Engine'!$F$3:$F$232,$M206)</f>
        <v>73</v>
      </c>
      <c r="D206" t="str">
        <f>INDEX('Draft Engine'!$B$3:$B$232,$M206)</f>
        <v>Darnell Mooney</v>
      </c>
      <c r="E206" s="4">
        <f>INDEX('Draft Engine'!$E$3:$E$232,$M206)</f>
        <v>52.77</v>
      </c>
      <c r="F206" t="str">
        <f>INDEX('LIVE SOURCE'!$H$3:$H$232,$M206)</f>
        <v>Late-round bench upside; role growth is required for weekly relevance.</v>
      </c>
      <c r="G206" t="str">
        <f>INDEX('LIVE SOURCE'!$I$3:$I$232,$M206)</f>
        <v>The 2026 opportunity and projection carry most of the grade because detailed 2025 rate data is incomplete. Market price is favorable around ADP 272 versus model overall rank 205.</v>
      </c>
      <c r="H206" t="str">
        <f>INDEX('LIVE SOURCE'!$J$3:$J$232,$M206)</f>
        <v>Evidence is thinner than for established veterans, so camp, depth-chart and role news can move the grade materially.</v>
      </c>
      <c r="I206">
        <f>INDEX('Draft Engine'!$R$3:$R$232,$M206)</f>
        <v>185.2</v>
      </c>
      <c r="J206">
        <f>INDEX('Draft Engine'!$S$3:$S$232,$M206)</f>
        <v>-18.800000000000011</v>
      </c>
      <c r="K206" t="str">
        <f>INDEX('Draft Engine'!$T$3:$T$232,$M206)</f>
        <v>C</v>
      </c>
      <c r="L206" t="str">
        <f>INDEX('Draft Engine'!$X$3:$X$232,$M206)</f>
        <v>HISTORY FALLBACK</v>
      </c>
      <c r="M206" s="6">
        <f>MATCH($A206,'Draft Engine'!$Q$3:$Q$232,0)</f>
        <v>154</v>
      </c>
    </row>
    <row r="207" spans="1:13" x14ac:dyDescent="0.25">
      <c r="A207">
        <f>205</f>
        <v>205</v>
      </c>
      <c r="B207" t="str">
        <f>INDEX('Draft Engine'!$A$3:$A$232,$M207)</f>
        <v>RB</v>
      </c>
      <c r="C207">
        <f>INDEX('Draft Engine'!$F$3:$F$232,$M207)</f>
        <v>52</v>
      </c>
      <c r="D207" t="str">
        <f>INDEX('Draft Engine'!$B$3:$B$232,$M207)</f>
        <v>Zach Charbonnet</v>
      </c>
      <c r="E207" s="4">
        <f>INDEX('Draft Engine'!$E$3:$E$232,$M207)</f>
        <v>40</v>
      </c>
      <c r="F207" t="str">
        <f>INDEX('LIVE SOURCE'!$H$3:$H$232,$M207)</f>
        <v>Bench stash/handcuff profile; value is tied to role change or injury ahead.</v>
      </c>
      <c r="G207" t="str">
        <f>INDEX('LIVE SOURCE'!$I$3:$I$232,$M207)</f>
        <v>He produced 11.3 PPR/FP points per game across 16 games. The workload/efficiency profile gives the model a rate-based reason to keep him here. Market price is favorable around ADP 187 versus model overall rank 173.</v>
      </c>
      <c r="H207" t="str">
        <f>INDEX('LIVE SOURCE'!$J$3:$J$232,$M207)</f>
        <v>Touchdown variance, receiving-role changes and backfield competition are the main downside paths.</v>
      </c>
      <c r="I207">
        <f>INDEX('Draft Engine'!$R$3:$R$232,$M207)</f>
        <v>139.80000000000001</v>
      </c>
      <c r="J207">
        <f>INDEX('Draft Engine'!$S$3:$S$232,$M207)</f>
        <v>-65.199999999999989</v>
      </c>
      <c r="K207" t="str">
        <f>INDEX('Draft Engine'!$T$3:$T$232,$M207)</f>
        <v>A</v>
      </c>
      <c r="L207" t="str">
        <f>INDEX('Draft Engine'!$X$3:$X$232,$M207)</f>
        <v>RATE-ADJUSTED VETERAN</v>
      </c>
      <c r="M207" s="6">
        <f>MATCH($A207,'Draft Engine'!$Q$3:$Q$232,0)</f>
        <v>77</v>
      </c>
    </row>
    <row r="208" spans="1:13" x14ac:dyDescent="0.25">
      <c r="A208">
        <f>206</f>
        <v>206</v>
      </c>
      <c r="B208" t="str">
        <f>INDEX('Draft Engine'!$A$3:$A$232,$M208)</f>
        <v>WR</v>
      </c>
      <c r="C208">
        <f>INDEX('Draft Engine'!$F$3:$F$232,$M208)</f>
        <v>74</v>
      </c>
      <c r="D208" t="str">
        <f>INDEX('Draft Engine'!$B$3:$B$232,$M208)</f>
        <v>Ricky Pearsall</v>
      </c>
      <c r="E208" s="4">
        <f>INDEX('Draft Engine'!$E$3:$E$232,$M208)</f>
        <v>40</v>
      </c>
      <c r="F208" t="str">
        <f>INDEX('LIVE SOURCE'!$H$3:$H$232,$M208)</f>
        <v>FLEX/bench receiver; needs target growth or efficiency spikes.</v>
      </c>
      <c r="G208" t="str">
        <f>INDEX('LIVE SOURCE'!$I$3:$I$232,$M208)</f>
        <v>The 2026 opportunity and projection carry most of the grade because detailed 2025 rate data is incomplete. Market price is favorable around ADP 175 versus model overall rank 150.</v>
      </c>
      <c r="H208" t="str">
        <f>INDEX('LIVE SOURCE'!$J$3:$J$232,$M208)</f>
        <v>Evidence is thinner than for established veterans, so camp, depth-chart and role news can move the grade materially.</v>
      </c>
      <c r="I208">
        <f>INDEX('Draft Engine'!$R$3:$R$232,$M208)</f>
        <v>112.3</v>
      </c>
      <c r="J208">
        <f>INDEX('Draft Engine'!$S$3:$S$232,$M208)</f>
        <v>-93.7</v>
      </c>
      <c r="K208" t="str">
        <f>INDEX('Draft Engine'!$T$3:$T$232,$M208)</f>
        <v>C</v>
      </c>
      <c r="L208" t="str">
        <f>INDEX('Draft Engine'!$X$3:$X$232,$M208)</f>
        <v>HISTORY FALLBACK</v>
      </c>
      <c r="M208" s="6">
        <f>MATCH($A208,'Draft Engine'!$Q$3:$Q$232,0)</f>
        <v>129</v>
      </c>
    </row>
    <row r="209" spans="1:13" x14ac:dyDescent="0.25">
      <c r="A209">
        <f>207</f>
        <v>207</v>
      </c>
      <c r="B209" t="str">
        <f>INDEX('Draft Engine'!$A$3:$A$232,$M209)</f>
        <v>DST</v>
      </c>
      <c r="C209">
        <f>INDEX('Draft Engine'!$F$3:$F$232,$M209)</f>
        <v>11</v>
      </c>
      <c r="D209" t="str">
        <f>INDEX('Draft Engine'!$B$3:$B$232,$M209)</f>
        <v>Baltimore Ravens</v>
      </c>
      <c r="E209" s="4">
        <f>INDEX('Draft Engine'!$E$3:$E$232,$M209)</f>
        <v>82</v>
      </c>
      <c r="F209" t="str">
        <f>INDEX('LIVE SOURCE'!$H$3:$H$232,$M209)</f>
        <v>Streaming/late-round defense; matchup matters more than preseason rank.</v>
      </c>
      <c r="G209" t="str">
        <f>INDEX('LIVE SOURCE'!$I$3:$I$232,$M209)</f>
        <v>The unit grades well relative to the current DST pool, but the model intentionally keeps defense behind core skill positions.</v>
      </c>
      <c r="H209" t="str">
        <f>INDEX('LIVE SOURCE'!$J$3:$J$232,$M209)</f>
        <v>DST scoring is highly opponent- and turnover-dependent, making season-long rank fragile.</v>
      </c>
      <c r="I209">
        <f>INDEX('Draft Engine'!$R$3:$R$232,$M209)</f>
        <v>200</v>
      </c>
      <c r="J209">
        <f>INDEX('Draft Engine'!$S$3:$S$232,$M209)</f>
        <v>-7</v>
      </c>
      <c r="K209" t="str">
        <f>INDEX('Draft Engine'!$T$3:$T$232,$M209)</f>
        <v>B</v>
      </c>
      <c r="L209" t="str">
        <f>INDEX('Draft Engine'!$X$3:$X$232,$M209)</f>
        <v>DST MODEL</v>
      </c>
      <c r="M209" s="6">
        <f>MATCH($A209,'Draft Engine'!$Q$3:$Q$232,0)</f>
        <v>209</v>
      </c>
    </row>
    <row r="210" spans="1:13" x14ac:dyDescent="0.25">
      <c r="A210">
        <f>208</f>
        <v>208</v>
      </c>
      <c r="B210" t="str">
        <f>INDEX('Draft Engine'!$A$3:$A$232,$M210)</f>
        <v>DST</v>
      </c>
      <c r="C210">
        <f>INDEX('Draft Engine'!$F$3:$F$232,$M210)</f>
        <v>12</v>
      </c>
      <c r="D210" t="str">
        <f>INDEX('Draft Engine'!$B$3:$B$232,$M210)</f>
        <v>Green Bay Packers</v>
      </c>
      <c r="E210" s="4">
        <f>INDEX('Draft Engine'!$E$3:$E$232,$M210)</f>
        <v>80.900000000000006</v>
      </c>
      <c r="F210" t="str">
        <f>INDEX('LIVE SOURCE'!$H$3:$H$232,$M210)</f>
        <v>Streaming/late-round defense; matchup matters more than preseason rank.</v>
      </c>
      <c r="G210" t="str">
        <f>INDEX('LIVE SOURCE'!$I$3:$I$232,$M210)</f>
        <v>The unit grades well relative to the current DST pool, but the model intentionally keeps defense behind core skill positions.</v>
      </c>
      <c r="H210" t="str">
        <f>INDEX('LIVE SOURCE'!$J$3:$J$232,$M210)</f>
        <v>DST scoring is highly opponent- and turnover-dependent, making season-long rank fragile.</v>
      </c>
      <c r="I210">
        <f>INDEX('Draft Engine'!$R$3:$R$232,$M210)</f>
        <v>204</v>
      </c>
      <c r="J210">
        <f>INDEX('Draft Engine'!$S$3:$S$232,$M210)</f>
        <v>-4</v>
      </c>
      <c r="K210" t="str">
        <f>INDEX('Draft Engine'!$T$3:$T$232,$M210)</f>
        <v>B</v>
      </c>
      <c r="L210" t="str">
        <f>INDEX('Draft Engine'!$X$3:$X$232,$M210)</f>
        <v>DST MODEL</v>
      </c>
      <c r="M210" s="6">
        <f>MATCH($A210,'Draft Engine'!$Q$3:$Q$232,0)</f>
        <v>210</v>
      </c>
    </row>
    <row r="211" spans="1:13" x14ac:dyDescent="0.25">
      <c r="A211">
        <f>209</f>
        <v>209</v>
      </c>
      <c r="B211" t="str">
        <f>INDEX('Draft Engine'!$A$3:$A$232,$M211)</f>
        <v>DST</v>
      </c>
      <c r="C211">
        <f>INDEX('Draft Engine'!$F$3:$F$232,$M211)</f>
        <v>13</v>
      </c>
      <c r="D211" t="str">
        <f>INDEX('Draft Engine'!$B$3:$B$232,$M211)</f>
        <v>Detroit Lions</v>
      </c>
      <c r="E211" s="4">
        <f>INDEX('Draft Engine'!$E$3:$E$232,$M211)</f>
        <v>79.8</v>
      </c>
      <c r="F211" t="str">
        <f>INDEX('LIVE SOURCE'!$H$3:$H$232,$M211)</f>
        <v>Streaming/late-round defense; matchup matters more than preseason rank.</v>
      </c>
      <c r="G211" t="str">
        <f>INDEX('LIVE SOURCE'!$I$3:$I$232,$M211)</f>
        <v>The unit grades well relative to the current DST pool, but the model intentionally keeps defense behind core skill positions.</v>
      </c>
      <c r="H211" t="str">
        <f>INDEX('LIVE SOURCE'!$J$3:$J$232,$M211)</f>
        <v>DST scoring is highly opponent- and turnover-dependent, making season-long rank fragile.</v>
      </c>
      <c r="I211">
        <f>INDEX('Draft Engine'!$R$3:$R$232,$M211)</f>
        <v>208</v>
      </c>
      <c r="J211">
        <f>INDEX('Draft Engine'!$S$3:$S$232,$M211)</f>
        <v>-1</v>
      </c>
      <c r="K211" t="str">
        <f>INDEX('Draft Engine'!$T$3:$T$232,$M211)</f>
        <v>B</v>
      </c>
      <c r="L211" t="str">
        <f>INDEX('Draft Engine'!$X$3:$X$232,$M211)</f>
        <v>DST MODEL</v>
      </c>
      <c r="M211" s="6">
        <f>MATCH($A211,'Draft Engine'!$Q$3:$Q$232,0)</f>
        <v>211</v>
      </c>
    </row>
    <row r="212" spans="1:13" x14ac:dyDescent="0.25">
      <c r="A212">
        <f>210</f>
        <v>210</v>
      </c>
      <c r="B212" t="str">
        <f>INDEX('Draft Engine'!$A$3:$A$232,$M212)</f>
        <v>DST</v>
      </c>
      <c r="C212">
        <f>INDEX('Draft Engine'!$F$3:$F$232,$M212)</f>
        <v>14</v>
      </c>
      <c r="D212" t="str">
        <f>INDEX('Draft Engine'!$B$3:$B$232,$M212)</f>
        <v>Buffalo Bills</v>
      </c>
      <c r="E212" s="4">
        <f>INDEX('Draft Engine'!$E$3:$E$232,$M212)</f>
        <v>78.7</v>
      </c>
      <c r="F212" t="str">
        <f>INDEX('LIVE SOURCE'!$H$3:$H$232,$M212)</f>
        <v>Streaming/late-round defense; matchup matters more than preseason rank.</v>
      </c>
      <c r="G212" t="str">
        <f>INDEX('LIVE SOURCE'!$I$3:$I$232,$M212)</f>
        <v>The unit grades well relative to the current DST pool, but the model intentionally keeps defense behind core skill positions.</v>
      </c>
      <c r="H212" t="str">
        <f>INDEX('LIVE SOURCE'!$J$3:$J$232,$M212)</f>
        <v>DST scoring is highly opponent- and turnover-dependent, making season-long rank fragile.</v>
      </c>
      <c r="I212">
        <f>INDEX('Draft Engine'!$R$3:$R$232,$M212)</f>
        <v>212</v>
      </c>
      <c r="J212">
        <f>INDEX('Draft Engine'!$S$3:$S$232,$M212)</f>
        <v>2</v>
      </c>
      <c r="K212" t="str">
        <f>INDEX('Draft Engine'!$T$3:$T$232,$M212)</f>
        <v>B</v>
      </c>
      <c r="L212" t="str">
        <f>INDEX('Draft Engine'!$X$3:$X$232,$M212)</f>
        <v>DST MODEL</v>
      </c>
      <c r="M212" s="6">
        <f>MATCH($A212,'Draft Engine'!$Q$3:$Q$232,0)</f>
        <v>212</v>
      </c>
    </row>
    <row r="213" spans="1:13" x14ac:dyDescent="0.25">
      <c r="A213">
        <f>211</f>
        <v>211</v>
      </c>
      <c r="B213" t="str">
        <f>INDEX('Draft Engine'!$A$3:$A$232,$M213)</f>
        <v>DST</v>
      </c>
      <c r="C213">
        <f>INDEX('Draft Engine'!$F$3:$F$232,$M213)</f>
        <v>15</v>
      </c>
      <c r="D213" t="str">
        <f>INDEX('Draft Engine'!$B$3:$B$232,$M213)</f>
        <v>Kansas City Chiefs</v>
      </c>
      <c r="E213" s="4">
        <f>INDEX('Draft Engine'!$E$3:$E$232,$M213)</f>
        <v>77.599999999999994</v>
      </c>
      <c r="F213" t="str">
        <f>INDEX('LIVE SOURCE'!$H$3:$H$232,$M213)</f>
        <v>Streaming/late-round defense; matchup matters more than preseason rank.</v>
      </c>
      <c r="G213" t="str">
        <f>INDEX('LIVE SOURCE'!$I$3:$I$232,$M213)</f>
        <v>The unit grades well relative to the current DST pool, but the model intentionally keeps defense behind core skill positions.</v>
      </c>
      <c r="H213" t="str">
        <f>INDEX('LIVE SOURCE'!$J$3:$J$232,$M213)</f>
        <v>DST scoring is highly opponent- and turnover-dependent, making season-long rank fragile.</v>
      </c>
      <c r="I213">
        <f>INDEX('Draft Engine'!$R$3:$R$232,$M213)</f>
        <v>216</v>
      </c>
      <c r="J213">
        <f>INDEX('Draft Engine'!$S$3:$S$232,$M213)</f>
        <v>5</v>
      </c>
      <c r="K213" t="str">
        <f>INDEX('Draft Engine'!$T$3:$T$232,$M213)</f>
        <v>B</v>
      </c>
      <c r="L213" t="str">
        <f>INDEX('Draft Engine'!$X$3:$X$232,$M213)</f>
        <v>DST MODEL</v>
      </c>
      <c r="M213" s="6">
        <f>MATCH($A213,'Draft Engine'!$Q$3:$Q$232,0)</f>
        <v>213</v>
      </c>
    </row>
    <row r="214" spans="1:13" x14ac:dyDescent="0.25">
      <c r="A214">
        <f>212</f>
        <v>212</v>
      </c>
      <c r="B214" t="str">
        <f>INDEX('Draft Engine'!$A$3:$A$232,$M214)</f>
        <v>DST</v>
      </c>
      <c r="C214">
        <f>INDEX('Draft Engine'!$F$3:$F$232,$M214)</f>
        <v>16</v>
      </c>
      <c r="D214" t="str">
        <f>INDEX('Draft Engine'!$B$3:$B$232,$M214)</f>
        <v>Cleveland Browns</v>
      </c>
      <c r="E214" s="4">
        <f>INDEX('Draft Engine'!$E$3:$E$232,$M214)</f>
        <v>76.5</v>
      </c>
      <c r="F214" t="str">
        <f>INDEX('LIVE SOURCE'!$H$3:$H$232,$M214)</f>
        <v>Streaming/late-round defense; matchup matters more than preseason rank.</v>
      </c>
      <c r="G214" t="str">
        <f>INDEX('LIVE SOURCE'!$I$3:$I$232,$M214)</f>
        <v>The unit grades well relative to the current DST pool, but the model intentionally keeps defense behind core skill positions.</v>
      </c>
      <c r="H214" t="str">
        <f>INDEX('LIVE SOURCE'!$J$3:$J$232,$M214)</f>
        <v>DST scoring is highly opponent- and turnover-dependent, making season-long rank fragile.</v>
      </c>
      <c r="I214">
        <f>INDEX('Draft Engine'!$R$3:$R$232,$M214)</f>
        <v>220</v>
      </c>
      <c r="J214">
        <f>INDEX('Draft Engine'!$S$3:$S$232,$M214)</f>
        <v>8</v>
      </c>
      <c r="K214" t="str">
        <f>INDEX('Draft Engine'!$T$3:$T$232,$M214)</f>
        <v>B</v>
      </c>
      <c r="L214" t="str">
        <f>INDEX('Draft Engine'!$X$3:$X$232,$M214)</f>
        <v>DST MODEL</v>
      </c>
      <c r="M214" s="6">
        <f>MATCH($A214,'Draft Engine'!$Q$3:$Q$232,0)</f>
        <v>214</v>
      </c>
    </row>
    <row r="215" spans="1:13" x14ac:dyDescent="0.25">
      <c r="A215">
        <f>213</f>
        <v>213</v>
      </c>
      <c r="B215" t="str">
        <f>INDEX('Draft Engine'!$A$3:$A$232,$M215)</f>
        <v>DST</v>
      </c>
      <c r="C215">
        <f>INDEX('Draft Engine'!$F$3:$F$232,$M215)</f>
        <v>17</v>
      </c>
      <c r="D215" t="str">
        <f>INDEX('Draft Engine'!$B$3:$B$232,$M215)</f>
        <v>San Francisco 49ers</v>
      </c>
      <c r="E215" s="4">
        <f>INDEX('Draft Engine'!$E$3:$E$232,$M215)</f>
        <v>75.400000000000006</v>
      </c>
      <c r="F215" t="str">
        <f>INDEX('LIVE SOURCE'!$H$3:$H$232,$M215)</f>
        <v>Streaming/late-round defense; matchup matters more than preseason rank.</v>
      </c>
      <c r="G215" t="str">
        <f>INDEX('LIVE SOURCE'!$I$3:$I$232,$M215)</f>
        <v>The unit grades well relative to the current DST pool, but the model intentionally keeps defense behind core skill positions.</v>
      </c>
      <c r="H215" t="str">
        <f>INDEX('LIVE SOURCE'!$J$3:$J$232,$M215)</f>
        <v>DST scoring is highly opponent- and turnover-dependent, making season-long rank fragile.</v>
      </c>
      <c r="I215">
        <f>INDEX('Draft Engine'!$R$3:$R$232,$M215)</f>
        <v>224</v>
      </c>
      <c r="J215">
        <f>INDEX('Draft Engine'!$S$3:$S$232,$M215)</f>
        <v>11</v>
      </c>
      <c r="K215" t="str">
        <f>INDEX('Draft Engine'!$T$3:$T$232,$M215)</f>
        <v>B</v>
      </c>
      <c r="L215" t="str">
        <f>INDEX('Draft Engine'!$X$3:$X$232,$M215)</f>
        <v>DST MODEL</v>
      </c>
      <c r="M215" s="6">
        <f>MATCH($A215,'Draft Engine'!$Q$3:$Q$232,0)</f>
        <v>215</v>
      </c>
    </row>
    <row r="216" spans="1:13" x14ac:dyDescent="0.25">
      <c r="A216">
        <f>214</f>
        <v>214</v>
      </c>
      <c r="B216" t="str">
        <f>INDEX('Draft Engine'!$A$3:$A$232,$M216)</f>
        <v>DST</v>
      </c>
      <c r="C216">
        <f>INDEX('Draft Engine'!$F$3:$F$232,$M216)</f>
        <v>18</v>
      </c>
      <c r="D216" t="str">
        <f>INDEX('Draft Engine'!$B$3:$B$232,$M216)</f>
        <v>New Orleans Saints</v>
      </c>
      <c r="E216" s="4">
        <f>INDEX('Draft Engine'!$E$3:$E$232,$M216)</f>
        <v>74.3</v>
      </c>
      <c r="F216" t="str">
        <f>INDEX('LIVE SOURCE'!$H$3:$H$232,$M216)</f>
        <v>Streaming/late-round defense; matchup matters more than preseason rank.</v>
      </c>
      <c r="G216" t="str">
        <f>INDEX('LIVE SOURCE'!$I$3:$I$232,$M216)</f>
        <v>The unit grades well relative to the current DST pool, but the model intentionally keeps defense behind core skill positions.</v>
      </c>
      <c r="H216" t="str">
        <f>INDEX('LIVE SOURCE'!$J$3:$J$232,$M216)</f>
        <v>DST scoring is highly opponent- and turnover-dependent, making season-long rank fragile.</v>
      </c>
      <c r="I216">
        <f>INDEX('Draft Engine'!$R$3:$R$232,$M216)</f>
        <v>228</v>
      </c>
      <c r="J216">
        <f>INDEX('Draft Engine'!$S$3:$S$232,$M216)</f>
        <v>14</v>
      </c>
      <c r="K216" t="str">
        <f>INDEX('Draft Engine'!$T$3:$T$232,$M216)</f>
        <v>B</v>
      </c>
      <c r="L216" t="str">
        <f>INDEX('Draft Engine'!$X$3:$X$232,$M216)</f>
        <v>DST MODEL</v>
      </c>
      <c r="M216" s="6">
        <f>MATCH($A216,'Draft Engine'!$Q$3:$Q$232,0)</f>
        <v>216</v>
      </c>
    </row>
    <row r="217" spans="1:13" x14ac:dyDescent="0.25">
      <c r="A217">
        <f>215</f>
        <v>215</v>
      </c>
      <c r="B217" t="str">
        <f>INDEX('Draft Engine'!$A$3:$A$232,$M217)</f>
        <v>DST</v>
      </c>
      <c r="C217">
        <f>INDEX('Draft Engine'!$F$3:$F$232,$M217)</f>
        <v>19</v>
      </c>
      <c r="D217" t="str">
        <f>INDEX('Draft Engine'!$B$3:$B$232,$M217)</f>
        <v>Atlanta Falcons</v>
      </c>
      <c r="E217" s="4">
        <f>INDEX('Draft Engine'!$E$3:$E$232,$M217)</f>
        <v>73.2</v>
      </c>
      <c r="F217" t="str">
        <f>INDEX('LIVE SOURCE'!$H$3:$H$232,$M217)</f>
        <v>Streaming/late-round defense; matchup matters more than preseason rank.</v>
      </c>
      <c r="G217" t="str">
        <f>INDEX('LIVE SOURCE'!$I$3:$I$232,$M217)</f>
        <v>The unit grades well relative to the current DST pool, but the model intentionally keeps defense behind core skill positions.</v>
      </c>
      <c r="H217" t="str">
        <f>INDEX('LIVE SOURCE'!$J$3:$J$232,$M217)</f>
        <v>DST scoring is highly opponent- and turnover-dependent, making season-long rank fragile.</v>
      </c>
      <c r="I217">
        <f>INDEX('Draft Engine'!$R$3:$R$232,$M217)</f>
        <v>232</v>
      </c>
      <c r="J217">
        <f>INDEX('Draft Engine'!$S$3:$S$232,$M217)</f>
        <v>17</v>
      </c>
      <c r="K217" t="str">
        <f>INDEX('Draft Engine'!$T$3:$T$232,$M217)</f>
        <v>B</v>
      </c>
      <c r="L217" t="str">
        <f>INDEX('Draft Engine'!$X$3:$X$232,$M217)</f>
        <v>DST MODEL</v>
      </c>
      <c r="M217" s="6">
        <f>MATCH($A217,'Draft Engine'!$Q$3:$Q$232,0)</f>
        <v>217</v>
      </c>
    </row>
    <row r="218" spans="1:13" x14ac:dyDescent="0.25">
      <c r="A218">
        <f>216</f>
        <v>216</v>
      </c>
      <c r="B218" t="str">
        <f>INDEX('Draft Engine'!$A$3:$A$232,$M218)</f>
        <v>DST</v>
      </c>
      <c r="C218">
        <f>INDEX('Draft Engine'!$F$3:$F$232,$M218)</f>
        <v>20</v>
      </c>
      <c r="D218" t="str">
        <f>INDEX('Draft Engine'!$B$3:$B$232,$M218)</f>
        <v>Chicago Bears</v>
      </c>
      <c r="E218" s="4">
        <f>INDEX('Draft Engine'!$E$3:$E$232,$M218)</f>
        <v>72.099999999999994</v>
      </c>
      <c r="F218" t="str">
        <f>INDEX('LIVE SOURCE'!$H$3:$H$232,$M218)</f>
        <v>Streaming/late-round defense; matchup matters more than preseason rank.</v>
      </c>
      <c r="G218" t="str">
        <f>INDEX('LIVE SOURCE'!$I$3:$I$232,$M218)</f>
        <v>The unit grades well relative to the current DST pool, but the model intentionally keeps defense behind core skill positions.</v>
      </c>
      <c r="H218" t="str">
        <f>INDEX('LIVE SOURCE'!$J$3:$J$232,$M218)</f>
        <v>DST scoring is highly opponent- and turnover-dependent, making season-long rank fragile.</v>
      </c>
      <c r="I218">
        <f>INDEX('Draft Engine'!$R$3:$R$232,$M218)</f>
        <v>236</v>
      </c>
      <c r="J218">
        <f>INDEX('Draft Engine'!$S$3:$S$232,$M218)</f>
        <v>20</v>
      </c>
      <c r="K218" t="str">
        <f>INDEX('Draft Engine'!$T$3:$T$232,$M218)</f>
        <v>B</v>
      </c>
      <c r="L218" t="str">
        <f>INDEX('Draft Engine'!$X$3:$X$232,$M218)</f>
        <v>DST MODEL</v>
      </c>
      <c r="M218" s="6">
        <f>MATCH($A218,'Draft Engine'!$Q$3:$Q$232,0)</f>
        <v>218</v>
      </c>
    </row>
    <row r="219" spans="1:13" x14ac:dyDescent="0.25">
      <c r="A219">
        <f>217</f>
        <v>217</v>
      </c>
      <c r="B219" t="str">
        <f>INDEX('Draft Engine'!$A$3:$A$232,$M219)</f>
        <v>DST</v>
      </c>
      <c r="C219">
        <f>INDEX('Draft Engine'!$F$3:$F$232,$M219)</f>
        <v>21</v>
      </c>
      <c r="D219" t="str">
        <f>INDEX('Draft Engine'!$B$3:$B$232,$M219)</f>
        <v>Indianapolis Colts</v>
      </c>
      <c r="E219" s="4">
        <f>INDEX('Draft Engine'!$E$3:$E$232,$M219)</f>
        <v>71</v>
      </c>
      <c r="F219" t="str">
        <f>INDEX('LIVE SOURCE'!$H$3:$H$232,$M219)</f>
        <v>Streaming/late-round defense; matchup matters more than preseason rank.</v>
      </c>
      <c r="G219" t="str">
        <f>INDEX('LIVE SOURCE'!$I$3:$I$232,$M219)</f>
        <v>The unit grades well relative to the current DST pool, but the model intentionally keeps defense behind core skill positions.</v>
      </c>
      <c r="H219" t="str">
        <f>INDEX('LIVE SOURCE'!$J$3:$J$232,$M219)</f>
        <v>DST scoring is highly opponent- and turnover-dependent, making season-long rank fragile.</v>
      </c>
      <c r="I219">
        <f>INDEX('Draft Engine'!$R$3:$R$232,$M219)</f>
        <v>240</v>
      </c>
      <c r="J219">
        <f>INDEX('Draft Engine'!$S$3:$S$232,$M219)</f>
        <v>23</v>
      </c>
      <c r="K219" t="str">
        <f>INDEX('Draft Engine'!$T$3:$T$232,$M219)</f>
        <v>B</v>
      </c>
      <c r="L219" t="str">
        <f>INDEX('Draft Engine'!$X$3:$X$232,$M219)</f>
        <v>DST MODEL</v>
      </c>
      <c r="M219" s="6">
        <f>MATCH($A219,'Draft Engine'!$Q$3:$Q$232,0)</f>
        <v>219</v>
      </c>
    </row>
    <row r="220" spans="1:13" x14ac:dyDescent="0.25">
      <c r="A220">
        <f>218</f>
        <v>218</v>
      </c>
      <c r="B220" t="str">
        <f>INDEX('Draft Engine'!$A$3:$A$232,$M220)</f>
        <v>DST</v>
      </c>
      <c r="C220">
        <f>INDEX('Draft Engine'!$F$3:$F$232,$M220)</f>
        <v>22</v>
      </c>
      <c r="D220" t="str">
        <f>INDEX('Draft Engine'!$B$3:$B$232,$M220)</f>
        <v>New York Giants</v>
      </c>
      <c r="E220" s="4">
        <f>INDEX('Draft Engine'!$E$3:$E$232,$M220)</f>
        <v>69.900000000000006</v>
      </c>
      <c r="F220" t="str">
        <f>INDEX('LIVE SOURCE'!$H$3:$H$232,$M220)</f>
        <v>Streaming/late-round defense; matchup matters more than preseason rank.</v>
      </c>
      <c r="G220" t="str">
        <f>INDEX('LIVE SOURCE'!$I$3:$I$232,$M220)</f>
        <v>The unit grades well relative to the current DST pool, but the model intentionally keeps defense behind core skill positions.</v>
      </c>
      <c r="H220" t="str">
        <f>INDEX('LIVE SOURCE'!$J$3:$J$232,$M220)</f>
        <v>DST scoring is highly opponent- and turnover-dependent, making season-long rank fragile.</v>
      </c>
      <c r="I220">
        <f>INDEX('Draft Engine'!$R$3:$R$232,$M220)</f>
        <v>166.7</v>
      </c>
      <c r="J220">
        <f>INDEX('Draft Engine'!$S$3:$S$232,$M220)</f>
        <v>-51.300000000000011</v>
      </c>
      <c r="K220" t="str">
        <f>INDEX('Draft Engine'!$T$3:$T$232,$M220)</f>
        <v>B</v>
      </c>
      <c r="L220" t="str">
        <f>INDEX('Draft Engine'!$X$3:$X$232,$M220)</f>
        <v>DST MODEL</v>
      </c>
      <c r="M220" s="6">
        <f>MATCH($A220,'Draft Engine'!$Q$3:$Q$232,0)</f>
        <v>220</v>
      </c>
    </row>
    <row r="221" spans="1:13" x14ac:dyDescent="0.25">
      <c r="A221">
        <f>219</f>
        <v>219</v>
      </c>
      <c r="B221" t="str">
        <f>INDEX('Draft Engine'!$A$3:$A$232,$M221)</f>
        <v>DST</v>
      </c>
      <c r="C221">
        <f>INDEX('Draft Engine'!$F$3:$F$232,$M221)</f>
        <v>23</v>
      </c>
      <c r="D221" t="str">
        <f>INDEX('Draft Engine'!$B$3:$B$232,$M221)</f>
        <v>Tampa Bay Buccaneers</v>
      </c>
      <c r="E221" s="4">
        <f>INDEX('Draft Engine'!$E$3:$E$232,$M221)</f>
        <v>68.8</v>
      </c>
      <c r="F221" t="str">
        <f>INDEX('LIVE SOURCE'!$H$3:$H$232,$M221)</f>
        <v>Streaming/late-round defense; matchup matters more than preseason rank.</v>
      </c>
      <c r="G221" t="str">
        <f>INDEX('LIVE SOURCE'!$I$3:$I$232,$M221)</f>
        <v>The unit grades well relative to the current DST pool, but the model intentionally keeps defense behind core skill positions.</v>
      </c>
      <c r="H221" t="str">
        <f>INDEX('LIVE SOURCE'!$J$3:$J$232,$M221)</f>
        <v>DST scoring is highly opponent- and turnover-dependent, making season-long rank fragile.</v>
      </c>
      <c r="I221">
        <f>INDEX('Draft Engine'!$R$3:$R$232,$M221)</f>
        <v>248</v>
      </c>
      <c r="J221">
        <f>INDEX('Draft Engine'!$S$3:$S$232,$M221)</f>
        <v>29</v>
      </c>
      <c r="K221" t="str">
        <f>INDEX('Draft Engine'!$T$3:$T$232,$M221)</f>
        <v>B</v>
      </c>
      <c r="L221" t="str">
        <f>INDEX('Draft Engine'!$X$3:$X$232,$M221)</f>
        <v>DST MODEL</v>
      </c>
      <c r="M221" s="6">
        <f>MATCH($A221,'Draft Engine'!$Q$3:$Q$232,0)</f>
        <v>221</v>
      </c>
    </row>
    <row r="222" spans="1:13" x14ac:dyDescent="0.25">
      <c r="A222">
        <f>220</f>
        <v>220</v>
      </c>
      <c r="B222" t="str">
        <f>INDEX('Draft Engine'!$A$3:$A$232,$M222)</f>
        <v>DST</v>
      </c>
      <c r="C222">
        <f>INDEX('Draft Engine'!$F$3:$F$232,$M222)</f>
        <v>24</v>
      </c>
      <c r="D222" t="str">
        <f>INDEX('Draft Engine'!$B$3:$B$232,$M222)</f>
        <v>Dallas Cowboys</v>
      </c>
      <c r="E222" s="4">
        <f>INDEX('Draft Engine'!$E$3:$E$232,$M222)</f>
        <v>67.7</v>
      </c>
      <c r="F222" t="str">
        <f>INDEX('LIVE SOURCE'!$H$3:$H$232,$M222)</f>
        <v>Streaming/late-round defense; matchup matters more than preseason rank.</v>
      </c>
      <c r="G222" t="str">
        <f>INDEX('LIVE SOURCE'!$I$3:$I$232,$M222)</f>
        <v>The unit grades well relative to the current DST pool, but the model intentionally keeps defense behind core skill positions.</v>
      </c>
      <c r="H222" t="str">
        <f>INDEX('LIVE SOURCE'!$J$3:$J$232,$M222)</f>
        <v>DST scoring is highly opponent- and turnover-dependent, making season-long rank fragile.</v>
      </c>
      <c r="I222">
        <f>INDEX('Draft Engine'!$R$3:$R$232,$M222)</f>
        <v>252</v>
      </c>
      <c r="J222">
        <f>INDEX('Draft Engine'!$S$3:$S$232,$M222)</f>
        <v>32</v>
      </c>
      <c r="K222" t="str">
        <f>INDEX('Draft Engine'!$T$3:$T$232,$M222)</f>
        <v>B</v>
      </c>
      <c r="L222" t="str">
        <f>INDEX('Draft Engine'!$X$3:$X$232,$M222)</f>
        <v>DST MODEL</v>
      </c>
      <c r="M222" s="6">
        <f>MATCH($A222,'Draft Engine'!$Q$3:$Q$232,0)</f>
        <v>222</v>
      </c>
    </row>
    <row r="223" spans="1:13" x14ac:dyDescent="0.25">
      <c r="A223">
        <f>221</f>
        <v>221</v>
      </c>
      <c r="B223" t="str">
        <f>INDEX('Draft Engine'!$A$3:$A$232,$M223)</f>
        <v>DST</v>
      </c>
      <c r="C223">
        <f>INDEX('Draft Engine'!$F$3:$F$232,$M223)</f>
        <v>25</v>
      </c>
      <c r="D223" t="str">
        <f>INDEX('Draft Engine'!$B$3:$B$232,$M223)</f>
        <v>Carolina Panthers</v>
      </c>
      <c r="E223" s="4">
        <f>INDEX('Draft Engine'!$E$3:$E$232,$M223)</f>
        <v>66.599999999999994</v>
      </c>
      <c r="F223" t="str">
        <f>INDEX('LIVE SOURCE'!$H$3:$H$232,$M223)</f>
        <v>Streaming/late-round defense; matchup matters more than preseason rank.</v>
      </c>
      <c r="G223" t="str">
        <f>INDEX('LIVE SOURCE'!$I$3:$I$232,$M223)</f>
        <v>The unit grades well relative to the current DST pool, but the model intentionally keeps defense behind core skill positions.</v>
      </c>
      <c r="H223" t="str">
        <f>INDEX('LIVE SOURCE'!$J$3:$J$232,$M223)</f>
        <v>DST scoring is highly opponent- and turnover-dependent, making season-long rank fragile.</v>
      </c>
      <c r="I223">
        <f>INDEX('Draft Engine'!$R$3:$R$232,$M223)</f>
        <v>256</v>
      </c>
      <c r="J223">
        <f>INDEX('Draft Engine'!$S$3:$S$232,$M223)</f>
        <v>35</v>
      </c>
      <c r="K223" t="str">
        <f>INDEX('Draft Engine'!$T$3:$T$232,$M223)</f>
        <v>B</v>
      </c>
      <c r="L223" t="str">
        <f>INDEX('Draft Engine'!$X$3:$X$232,$M223)</f>
        <v>DST MODEL</v>
      </c>
      <c r="M223" s="6">
        <f>MATCH($A223,'Draft Engine'!$Q$3:$Q$232,0)</f>
        <v>223</v>
      </c>
    </row>
    <row r="224" spans="1:13" x14ac:dyDescent="0.25">
      <c r="A224">
        <f>222</f>
        <v>222</v>
      </c>
      <c r="B224" t="str">
        <f>INDEX('Draft Engine'!$A$3:$A$232,$M224)</f>
        <v>DST</v>
      </c>
      <c r="C224">
        <f>INDEX('Draft Engine'!$F$3:$F$232,$M224)</f>
        <v>26</v>
      </c>
      <c r="D224" t="str">
        <f>INDEX('Draft Engine'!$B$3:$B$232,$M224)</f>
        <v>Tennessee Titans</v>
      </c>
      <c r="E224" s="4">
        <f>INDEX('Draft Engine'!$E$3:$E$232,$M224)</f>
        <v>65.5</v>
      </c>
      <c r="F224" t="str">
        <f>INDEX('LIVE SOURCE'!$H$3:$H$232,$M224)</f>
        <v>Streaming/late-round defense; matchup matters more than preseason rank.</v>
      </c>
      <c r="G224" t="str">
        <f>INDEX('LIVE SOURCE'!$I$3:$I$232,$M224)</f>
        <v>The unit grades well relative to the current DST pool, but the model intentionally keeps defense behind core skill positions.</v>
      </c>
      <c r="H224" t="str">
        <f>INDEX('LIVE SOURCE'!$J$3:$J$232,$M224)</f>
        <v>DST scoring is highly opponent- and turnover-dependent, making season-long rank fragile.</v>
      </c>
      <c r="I224">
        <f>INDEX('Draft Engine'!$R$3:$R$232,$M224)</f>
        <v>260</v>
      </c>
      <c r="J224">
        <f>INDEX('Draft Engine'!$S$3:$S$232,$M224)</f>
        <v>38</v>
      </c>
      <c r="K224" t="str">
        <f>INDEX('Draft Engine'!$T$3:$T$232,$M224)</f>
        <v>B</v>
      </c>
      <c r="L224" t="str">
        <f>INDEX('Draft Engine'!$X$3:$X$232,$M224)</f>
        <v>DST MODEL</v>
      </c>
      <c r="M224" s="6">
        <f>MATCH($A224,'Draft Engine'!$Q$3:$Q$232,0)</f>
        <v>224</v>
      </c>
    </row>
    <row r="225" spans="1:13" x14ac:dyDescent="0.25">
      <c r="A225">
        <f>223</f>
        <v>223</v>
      </c>
      <c r="B225" t="str">
        <f>INDEX('Draft Engine'!$A$3:$A$232,$M225)</f>
        <v>DST</v>
      </c>
      <c r="C225">
        <f>INDEX('Draft Engine'!$F$3:$F$232,$M225)</f>
        <v>27</v>
      </c>
      <c r="D225" t="str">
        <f>INDEX('Draft Engine'!$B$3:$B$232,$M225)</f>
        <v>Miami Dolphins</v>
      </c>
      <c r="E225" s="4">
        <f>INDEX('Draft Engine'!$E$3:$E$232,$M225)</f>
        <v>64.400000000000006</v>
      </c>
      <c r="F225" t="str">
        <f>INDEX('LIVE SOURCE'!$H$3:$H$232,$M225)</f>
        <v>Streaming/late-round defense; matchup matters more than preseason rank.</v>
      </c>
      <c r="G225" t="str">
        <f>INDEX('LIVE SOURCE'!$I$3:$I$232,$M225)</f>
        <v>The unit grades well relative to the current DST pool, but the model intentionally keeps defense behind core skill positions.</v>
      </c>
      <c r="H225" t="str">
        <f>INDEX('LIVE SOURCE'!$J$3:$J$232,$M225)</f>
        <v>DST scoring is highly opponent- and turnover-dependent, making season-long rank fragile.</v>
      </c>
      <c r="I225">
        <f>INDEX('Draft Engine'!$R$3:$R$232,$M225)</f>
        <v>264</v>
      </c>
      <c r="J225">
        <f>INDEX('Draft Engine'!$S$3:$S$232,$M225)</f>
        <v>41</v>
      </c>
      <c r="K225" t="str">
        <f>INDEX('Draft Engine'!$T$3:$T$232,$M225)</f>
        <v>B</v>
      </c>
      <c r="L225" t="str">
        <f>INDEX('Draft Engine'!$X$3:$X$232,$M225)</f>
        <v>DST MODEL</v>
      </c>
      <c r="M225" s="6">
        <f>MATCH($A225,'Draft Engine'!$Q$3:$Q$232,0)</f>
        <v>225</v>
      </c>
    </row>
    <row r="226" spans="1:13" x14ac:dyDescent="0.25">
      <c r="A226">
        <f>224</f>
        <v>224</v>
      </c>
      <c r="B226" t="str">
        <f>INDEX('Draft Engine'!$A$3:$A$232,$M226)</f>
        <v>DST</v>
      </c>
      <c r="C226">
        <f>INDEX('Draft Engine'!$F$3:$F$232,$M226)</f>
        <v>28</v>
      </c>
      <c r="D226" t="str">
        <f>INDEX('Draft Engine'!$B$3:$B$232,$M226)</f>
        <v>Washington Commanders</v>
      </c>
      <c r="E226" s="4">
        <f>INDEX('Draft Engine'!$E$3:$E$232,$M226)</f>
        <v>63.3</v>
      </c>
      <c r="F226" t="str">
        <f>INDEX('LIVE SOURCE'!$H$3:$H$232,$M226)</f>
        <v>Streaming/late-round defense; matchup matters more than preseason rank.</v>
      </c>
      <c r="G226" t="str">
        <f>INDEX('LIVE SOURCE'!$I$3:$I$232,$M226)</f>
        <v>The unit grades well relative to the current DST pool, but the model intentionally keeps defense behind core skill positions.</v>
      </c>
      <c r="H226" t="str">
        <f>INDEX('LIVE SOURCE'!$J$3:$J$232,$M226)</f>
        <v>DST scoring is highly opponent- and turnover-dependent, making season-long rank fragile.</v>
      </c>
      <c r="I226">
        <f>INDEX('Draft Engine'!$R$3:$R$232,$M226)</f>
        <v>268</v>
      </c>
      <c r="J226">
        <f>INDEX('Draft Engine'!$S$3:$S$232,$M226)</f>
        <v>44</v>
      </c>
      <c r="K226" t="str">
        <f>INDEX('Draft Engine'!$T$3:$T$232,$M226)</f>
        <v>B</v>
      </c>
      <c r="L226" t="str">
        <f>INDEX('Draft Engine'!$X$3:$X$232,$M226)</f>
        <v>DST MODEL</v>
      </c>
      <c r="M226" s="6">
        <f>MATCH($A226,'Draft Engine'!$Q$3:$Q$232,0)</f>
        <v>226</v>
      </c>
    </row>
    <row r="227" spans="1:13" x14ac:dyDescent="0.25">
      <c r="A227">
        <f>225</f>
        <v>225</v>
      </c>
      <c r="B227" t="str">
        <f>INDEX('Draft Engine'!$A$3:$A$232,$M227)</f>
        <v>DST</v>
      </c>
      <c r="C227">
        <f>INDEX('Draft Engine'!$F$3:$F$232,$M227)</f>
        <v>29</v>
      </c>
      <c r="D227" t="str">
        <f>INDEX('Draft Engine'!$B$3:$B$232,$M227)</f>
        <v>New York Jets</v>
      </c>
      <c r="E227" s="4">
        <f>INDEX('Draft Engine'!$E$3:$E$232,$M227)</f>
        <v>62.2</v>
      </c>
      <c r="F227" t="str">
        <f>INDEX('LIVE SOURCE'!$H$3:$H$232,$M227)</f>
        <v>Streaming/late-round defense; matchup matters more than preseason rank.</v>
      </c>
      <c r="G227" t="str">
        <f>INDEX('LIVE SOURCE'!$I$3:$I$232,$M227)</f>
        <v>The unit grades well relative to the current DST pool, but the model intentionally keeps defense behind core skill positions.</v>
      </c>
      <c r="H227" t="str">
        <f>INDEX('LIVE SOURCE'!$J$3:$J$232,$M227)</f>
        <v>DST scoring is highly opponent- and turnover-dependent, making season-long rank fragile.</v>
      </c>
      <c r="I227">
        <f>INDEX('Draft Engine'!$R$3:$R$232,$M227)</f>
        <v>149.9</v>
      </c>
      <c r="J227">
        <f>INDEX('Draft Engine'!$S$3:$S$232,$M227)</f>
        <v>-75.099999999999994</v>
      </c>
      <c r="K227" t="str">
        <f>INDEX('Draft Engine'!$T$3:$T$232,$M227)</f>
        <v>B</v>
      </c>
      <c r="L227" t="str">
        <f>INDEX('Draft Engine'!$X$3:$X$232,$M227)</f>
        <v>DST MODEL</v>
      </c>
      <c r="M227" s="6">
        <f>MATCH($A227,'Draft Engine'!$Q$3:$Q$232,0)</f>
        <v>227</v>
      </c>
    </row>
    <row r="228" spans="1:13" x14ac:dyDescent="0.25">
      <c r="A228">
        <f>226</f>
        <v>226</v>
      </c>
      <c r="B228" t="str">
        <f>INDEX('Draft Engine'!$A$3:$A$232,$M228)</f>
        <v>DST</v>
      </c>
      <c r="C228">
        <f>INDEX('Draft Engine'!$F$3:$F$232,$M228)</f>
        <v>30</v>
      </c>
      <c r="D228" t="str">
        <f>INDEX('Draft Engine'!$B$3:$B$232,$M228)</f>
        <v>Arizona Cardinals</v>
      </c>
      <c r="E228" s="4">
        <f>INDEX('Draft Engine'!$E$3:$E$232,$M228)</f>
        <v>61.1</v>
      </c>
      <c r="F228" t="str">
        <f>INDEX('LIVE SOURCE'!$H$3:$H$232,$M228)</f>
        <v>Streaming/late-round defense; matchup matters more than preseason rank.</v>
      </c>
      <c r="G228" t="str">
        <f>INDEX('LIVE SOURCE'!$I$3:$I$232,$M228)</f>
        <v>The unit grades well relative to the current DST pool, but the model intentionally keeps defense behind core skill positions.</v>
      </c>
      <c r="H228" t="str">
        <f>INDEX('LIVE SOURCE'!$J$3:$J$232,$M228)</f>
        <v>DST scoring is highly opponent- and turnover-dependent, making season-long rank fragile.</v>
      </c>
      <c r="I228">
        <f>INDEX('Draft Engine'!$R$3:$R$232,$M228)</f>
        <v>276</v>
      </c>
      <c r="J228">
        <f>INDEX('Draft Engine'!$S$3:$S$232,$M228)</f>
        <v>50</v>
      </c>
      <c r="K228" t="str">
        <f>INDEX('Draft Engine'!$T$3:$T$232,$M228)</f>
        <v>B</v>
      </c>
      <c r="L228" t="str">
        <f>INDEX('Draft Engine'!$X$3:$X$232,$M228)</f>
        <v>DST MODEL</v>
      </c>
      <c r="M228" s="6">
        <f>MATCH($A228,'Draft Engine'!$Q$3:$Q$232,0)</f>
        <v>228</v>
      </c>
    </row>
    <row r="229" spans="1:13" x14ac:dyDescent="0.25">
      <c r="A229">
        <f>227</f>
        <v>227</v>
      </c>
      <c r="B229" t="str">
        <f>INDEX('Draft Engine'!$A$3:$A$232,$M229)</f>
        <v>DST</v>
      </c>
      <c r="C229">
        <f>INDEX('Draft Engine'!$F$3:$F$232,$M229)</f>
        <v>31</v>
      </c>
      <c r="D229" t="str">
        <f>INDEX('Draft Engine'!$B$3:$B$232,$M229)</f>
        <v>Cincinnati Bengals</v>
      </c>
      <c r="E229" s="4">
        <f>INDEX('Draft Engine'!$E$3:$E$232,$M229)</f>
        <v>60</v>
      </c>
      <c r="F229" t="str">
        <f>INDEX('LIVE SOURCE'!$H$3:$H$232,$M229)</f>
        <v>Streaming/late-round defense; matchup matters more than preseason rank.</v>
      </c>
      <c r="G229" t="str">
        <f>INDEX('LIVE SOURCE'!$I$3:$I$232,$M229)</f>
        <v>The unit grades well relative to the current DST pool, but the model intentionally keeps defense behind core skill positions.</v>
      </c>
      <c r="H229" t="str">
        <f>INDEX('LIVE SOURCE'!$J$3:$J$232,$M229)</f>
        <v>DST scoring is highly opponent- and turnover-dependent, making season-long rank fragile.</v>
      </c>
      <c r="I229">
        <f>INDEX('Draft Engine'!$R$3:$R$232,$M229)</f>
        <v>280</v>
      </c>
      <c r="J229">
        <f>INDEX('Draft Engine'!$S$3:$S$232,$M229)</f>
        <v>53</v>
      </c>
      <c r="K229" t="str">
        <f>INDEX('Draft Engine'!$T$3:$T$232,$M229)</f>
        <v>B</v>
      </c>
      <c r="L229" t="str">
        <f>INDEX('Draft Engine'!$X$3:$X$232,$M229)</f>
        <v>DST MODEL</v>
      </c>
      <c r="M229" s="6">
        <f>MATCH($A229,'Draft Engine'!$Q$3:$Q$232,0)</f>
        <v>229</v>
      </c>
    </row>
    <row r="230" spans="1:13" x14ac:dyDescent="0.25">
      <c r="A230">
        <f>228</f>
        <v>228</v>
      </c>
      <c r="B230" t="str">
        <f>INDEX('Draft Engine'!$A$3:$A$232,$M230)</f>
        <v>DST</v>
      </c>
      <c r="C230">
        <f>INDEX('Draft Engine'!$F$3:$F$232,$M230)</f>
        <v>32</v>
      </c>
      <c r="D230" t="str">
        <f>INDEX('Draft Engine'!$B$3:$B$232,$M230)</f>
        <v>Las Vegas Raiders</v>
      </c>
      <c r="E230" s="4">
        <f>INDEX('Draft Engine'!$E$3:$E$232,$M230)</f>
        <v>58.9</v>
      </c>
      <c r="F230" t="str">
        <f>INDEX('LIVE SOURCE'!$H$3:$H$232,$M230)</f>
        <v>Streaming/late-round defense; matchup matters more than preseason rank.</v>
      </c>
      <c r="G230" t="str">
        <f>INDEX('LIVE SOURCE'!$I$3:$I$232,$M230)</f>
        <v>The unit grades well relative to the current DST pool, but the model intentionally keeps defense behind core skill positions.</v>
      </c>
      <c r="H230" t="str">
        <f>INDEX('LIVE SOURCE'!$J$3:$J$232,$M230)</f>
        <v>DST scoring is highly opponent- and turnover-dependent, making season-long rank fragile.</v>
      </c>
      <c r="I230">
        <f>INDEX('Draft Engine'!$R$3:$R$232,$M230)</f>
        <v>284</v>
      </c>
      <c r="J230">
        <f>INDEX('Draft Engine'!$S$3:$S$232,$M230)</f>
        <v>56</v>
      </c>
      <c r="K230" t="str">
        <f>INDEX('Draft Engine'!$T$3:$T$232,$M230)</f>
        <v>B</v>
      </c>
      <c r="L230" t="str">
        <f>INDEX('Draft Engine'!$X$3:$X$232,$M230)</f>
        <v>DST MODEL</v>
      </c>
      <c r="M230" s="6">
        <f>MATCH($A230,'Draft Engine'!$Q$3:$Q$232,0)</f>
        <v>230</v>
      </c>
    </row>
    <row r="231" spans="1:13" x14ac:dyDescent="0.25">
      <c r="A231">
        <f>229</f>
        <v>229</v>
      </c>
      <c r="B231" t="str">
        <f>INDEX('Draft Engine'!$A$3:$A$232,$M231)</f>
        <v>K</v>
      </c>
      <c r="C231">
        <f>INDEX('Draft Engine'!$F$3:$F$232,$M231)</f>
        <v>11</v>
      </c>
      <c r="D231" t="str">
        <f>INDEX('Draft Engine'!$B$3:$B$232,$M231)</f>
        <v>Andy Borregales</v>
      </c>
      <c r="E231" s="4">
        <f>INDEX('Draft Engine'!$E$3:$E$232,$M231)</f>
        <v>72</v>
      </c>
      <c r="F231" t="str">
        <f>INDEX('LIVE SOURCE'!$H$3:$H$232,$M231)</f>
        <v>Late-round kicker; treat as replaceable unless scoring strongly rewards distance.</v>
      </c>
      <c r="G231" t="str">
        <f>INDEX('LIVE SOURCE'!$I$3:$I$232,$M231)</f>
        <v>Ranks near the top of the current kicker pool, but kicker week-to-week separation is small in a 10-team league.</v>
      </c>
      <c r="H231" t="str">
        <f>INDEX('LIVE SOURCE'!$J$3:$J$232,$M231)</f>
        <v>Kicker scoring is volatile and replaceable on waivers; do not pay meaningful draft capital.</v>
      </c>
      <c r="I231">
        <f>INDEX('Draft Engine'!$R$3:$R$232,$M231)</f>
        <v>205</v>
      </c>
      <c r="J231">
        <f>INDEX('Draft Engine'!$S$3:$S$232,$M231)</f>
        <v>-24</v>
      </c>
      <c r="K231" t="str">
        <f>INDEX('Draft Engine'!$T$3:$T$232,$M231)</f>
        <v>B</v>
      </c>
      <c r="L231" t="str">
        <f>INDEX('Draft Engine'!$X$3:$X$232,$M231)</f>
        <v>KICKER MODEL</v>
      </c>
      <c r="M231" s="6">
        <f>MATCH($A231,'Draft Engine'!$Q$3:$Q$232,0)</f>
        <v>197</v>
      </c>
    </row>
    <row r="232" spans="1:13" x14ac:dyDescent="0.25">
      <c r="A232">
        <f>230</f>
        <v>230</v>
      </c>
      <c r="B232" t="str">
        <f>INDEX('Draft Engine'!$A$3:$A$232,$M232)</f>
        <v>K</v>
      </c>
      <c r="C232">
        <f>INDEX('Draft Engine'!$F$3:$F$232,$M232)</f>
        <v>12</v>
      </c>
      <c r="D232" t="str">
        <f>INDEX('Draft Engine'!$B$3:$B$232,$M232)</f>
        <v>Evan McPherson</v>
      </c>
      <c r="E232" s="4">
        <f>INDEX('Draft Engine'!$E$3:$E$232,$M232)</f>
        <v>69.8</v>
      </c>
      <c r="F232" t="str">
        <f>INDEX('LIVE SOURCE'!$H$3:$H$232,$M232)</f>
        <v>Late-round kicker; treat as replaceable unless scoring strongly rewards distance.</v>
      </c>
      <c r="G232" t="str">
        <f>INDEX('LIVE SOURCE'!$I$3:$I$232,$M232)</f>
        <v>Ranks near the top of the current kicker pool, but kicker week-to-week separation is small in a 10-team league.</v>
      </c>
      <c r="H232" t="str">
        <f>INDEX('LIVE SOURCE'!$J$3:$J$232,$M232)</f>
        <v>Kicker scoring is volatile and replaceable on waivers; do not pay meaningful draft capital.</v>
      </c>
      <c r="I232">
        <f>INDEX('Draft Engine'!$R$3:$R$232,$M232)</f>
        <v>210</v>
      </c>
      <c r="J232">
        <f>INDEX('Draft Engine'!$S$3:$S$232,$M232)</f>
        <v>-20</v>
      </c>
      <c r="K232" t="str">
        <f>INDEX('Draft Engine'!$T$3:$T$232,$M232)</f>
        <v>B</v>
      </c>
      <c r="L232" t="str">
        <f>INDEX('Draft Engine'!$X$3:$X$232,$M232)</f>
        <v>KICKER MODEL</v>
      </c>
      <c r="M232" s="6">
        <f>MATCH($A232,'Draft Engine'!$Q$3:$Q$232,0)</f>
        <v>198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A1:D34"/>
  <sheetViews>
    <sheetView workbookViewId="0"/>
  </sheetViews>
  <sheetFormatPr defaultRowHeight="15" x14ac:dyDescent="0.25"/>
  <cols>
    <col min="1" max="1" width="44" customWidth="1"/>
    <col min="2" max="2" width="10" customWidth="1"/>
    <col min="3" max="3" width="12" customWidth="1"/>
    <col min="4" max="4" width="20" customWidth="1"/>
  </cols>
  <sheetData>
    <row r="1" spans="1:4" ht="18.75" x14ac:dyDescent="0.3">
      <c r="A1" s="1" t="s">
        <v>643</v>
      </c>
    </row>
    <row r="3" spans="1:4" x14ac:dyDescent="0.25">
      <c r="A3" s="7" t="s">
        <v>644</v>
      </c>
      <c r="B3" s="7" t="s">
        <v>645</v>
      </c>
      <c r="C3" s="7" t="s">
        <v>646</v>
      </c>
      <c r="D3" s="7" t="s">
        <v>615</v>
      </c>
    </row>
    <row r="4" spans="1:4" x14ac:dyDescent="0.25">
      <c r="A4" t="s">
        <v>647</v>
      </c>
      <c r="B4">
        <v>230</v>
      </c>
      <c r="C4">
        <f>COUNTA('LIVE SOURCE'!$B$3:$B$232)</f>
        <v>230</v>
      </c>
      <c r="D4" t="str">
        <f t="shared" ref="D4:D16" si="0">IF($C4=$B4,"PASS","FAIL")</f>
        <v>PASS</v>
      </c>
    </row>
    <row r="5" spans="1:4" x14ac:dyDescent="0.25">
      <c r="A5" t="s">
        <v>648</v>
      </c>
      <c r="B5">
        <v>0</v>
      </c>
      <c r="C5">
        <f>SUMPRODUCT(--('LIVE SOURCE'!$B$3:$B$232&lt;&gt;'Draft Engine'!$B$3:$B$232))</f>
        <v>0</v>
      </c>
      <c r="D5" t="str">
        <f t="shared" si="0"/>
        <v>PASS</v>
      </c>
    </row>
    <row r="6" spans="1:4" x14ac:dyDescent="0.25">
      <c r="A6" t="s">
        <v>649</v>
      </c>
      <c r="B6">
        <v>0</v>
      </c>
      <c r="C6">
        <f>SUMPRODUCT(--('LIVE SOURCE'!$B$3:$B$232&lt;&gt;'Manual Adjustments'!$B$3:$B$232))</f>
        <v>0</v>
      </c>
      <c r="D6" t="str">
        <f t="shared" si="0"/>
        <v>PASS</v>
      </c>
    </row>
    <row r="7" spans="1:4" x14ac:dyDescent="0.25">
      <c r="A7" t="s">
        <v>650</v>
      </c>
      <c r="B7">
        <v>0</v>
      </c>
      <c r="C7">
        <f>IFERROR(230-SUMPRODUCT(1/COUNTIF('FINAL Master'!$D$3:$D$232,'FINAL Master'!$D$3:$D$232)),999)+SUMPRODUCT(--ISERROR('FINAL Master'!$A$3:$P$232))</f>
        <v>0</v>
      </c>
      <c r="D7" t="str">
        <f t="shared" si="0"/>
        <v>PASS</v>
      </c>
    </row>
    <row r="8" spans="1:4" x14ac:dyDescent="0.25">
      <c r="A8" t="s">
        <v>651</v>
      </c>
      <c r="B8">
        <v>0</v>
      </c>
      <c r="C8">
        <f>IFERROR(200-SUMPRODUCT(1/COUNTIF('Top 200'!$D$3:$D$202,'Top 200'!$D$3:$D$202)),999)+SUMPRODUCT(--ISERROR('Top 200'!$A$3:$O$202))</f>
        <v>0</v>
      </c>
      <c r="D8" t="str">
        <f t="shared" si="0"/>
        <v>PASS</v>
      </c>
    </row>
    <row r="9" spans="1:4" x14ac:dyDescent="0.25">
      <c r="A9" t="s">
        <v>652</v>
      </c>
      <c r="B9">
        <v>0</v>
      </c>
      <c r="C9">
        <f>SUMPRODUCT(--(COUNTIFS('Draft Engine'!$A$3:$A$232,'Draft Engine'!$A$3:$A$232,'Draft Engine'!$F$3:$F$232,'Draft Engine'!$F$3:$F$232)&gt;1))</f>
        <v>0</v>
      </c>
      <c r="D9" t="str">
        <f t="shared" si="0"/>
        <v>PASS</v>
      </c>
    </row>
    <row r="10" spans="1:4" x14ac:dyDescent="0.25">
      <c r="A10" t="s">
        <v>653</v>
      </c>
      <c r="B10">
        <v>0</v>
      </c>
      <c r="C10">
        <f>SUMPRODUCT(--(COUNTIF('Draft Engine'!$Q$3:$Q$232,'Draft Engine'!$Q$3:$Q$232)&gt;1))</f>
        <v>0</v>
      </c>
      <c r="D10" t="str">
        <f t="shared" si="0"/>
        <v>PASS</v>
      </c>
    </row>
    <row r="11" spans="1:4" x14ac:dyDescent="0.25">
      <c r="A11" t="s">
        <v>654</v>
      </c>
      <c r="B11">
        <v>131</v>
      </c>
      <c r="C11">
        <f>SUMPRODUCT(('Draft Engine'!$A$3:$A$232="DST")*('Draft Engine'!$F$3:$F$232=1)*'Draft Engine'!$Q$3:$Q$232)</f>
        <v>131</v>
      </c>
      <c r="D11" t="str">
        <f t="shared" si="0"/>
        <v>PASS</v>
      </c>
    </row>
    <row r="12" spans="1:4" x14ac:dyDescent="0.25">
      <c r="A12" t="s">
        <v>655</v>
      </c>
      <c r="B12">
        <v>140</v>
      </c>
      <c r="C12">
        <f>SUMPRODUCT(('Draft Engine'!$A$3:$A$232="DST")*('Draft Engine'!$F$3:$F$232=10)*'Draft Engine'!$Q$3:$Q$232)</f>
        <v>140</v>
      </c>
      <c r="D12" t="str">
        <f t="shared" si="0"/>
        <v>PASS</v>
      </c>
    </row>
    <row r="13" spans="1:4" x14ac:dyDescent="0.25">
      <c r="A13" t="s">
        <v>656</v>
      </c>
      <c r="B13">
        <v>141</v>
      </c>
      <c r="C13">
        <f>SUMPRODUCT(('Draft Engine'!$A$3:$A$232="K")*('Draft Engine'!$F$3:$F$232=1)*'Draft Engine'!$Q$3:$Q$232)</f>
        <v>141</v>
      </c>
      <c r="D13" t="str">
        <f t="shared" si="0"/>
        <v>PASS</v>
      </c>
    </row>
    <row r="14" spans="1:4" x14ac:dyDescent="0.25">
      <c r="A14" t="s">
        <v>657</v>
      </c>
      <c r="B14">
        <v>150</v>
      </c>
      <c r="C14">
        <f>SUMPRODUCT(('Draft Engine'!$A$3:$A$232="K")*('Draft Engine'!$F$3:$F$232=10)*'Draft Engine'!$Q$3:$Q$232)</f>
        <v>150</v>
      </c>
      <c r="D14" t="str">
        <f t="shared" si="0"/>
        <v>PASS</v>
      </c>
    </row>
    <row r="15" spans="1:4" x14ac:dyDescent="0.25">
      <c r="A15" t="s">
        <v>658</v>
      </c>
      <c r="B15">
        <v>0</v>
      </c>
      <c r="C15">
        <f>SUMPRODUCT(--(ABS('Draft Engine'!$J$3:$J$232-('Draft Engine'!$G$3:$G$232-'Draft Engine'!$I$3:$I$232))&gt;0.06))</f>
        <v>0</v>
      </c>
      <c r="D15" t="str">
        <f t="shared" si="0"/>
        <v>PASS</v>
      </c>
    </row>
    <row r="16" spans="1:4" x14ac:dyDescent="0.25">
      <c r="A16" t="s">
        <v>659</v>
      </c>
      <c r="B16">
        <v>0</v>
      </c>
      <c r="C16">
        <f>SUMPRODUCT(--ISERROR('Draft Engine'!$A$3:$Z$232))+SUMPRODUCT(--ISERROR('FINAL Master'!$A$3:$P$232))+SUMPRODUCT(--ISERROR('Top 200'!$A$3:$O$202))+SUMPRODUCT(--ISERROR('Player Summaries'!$A$3:$M$232))+SUMPRODUCT(--ISERROR('League Config'!$F$4:$L$9))+SUMPRODUCT(--ISERROR('Manual Adjustments'!$A$3:$J$232))+SUMPRODUCT(--ISERROR('FINAL QB'!$A$3:$N$34))+SUMPRODUCT(--ISERROR('FINAL RB'!$A$3:$N$54))+SUMPRODUCT(--ISERROR('FINAL WR'!$A$3:$N$76))+SUMPRODUCT(--ISERROR('FINAL TE'!$A$3:$N$30))+SUMPRODUCT(--ISERROR(K!$A$3:$O$14))+SUMPRODUCT(--ISERROR(DST!$A$3:$O$34))+SUMPRODUCT(--ISERROR('Draft Room'!$A$5:$G$42))+SUMPRODUCT(--ISERROR('Draft Board'!$A$3:$M$232))</f>
        <v>0</v>
      </c>
      <c r="D16" t="str">
        <f t="shared" si="0"/>
        <v>PASS</v>
      </c>
    </row>
    <row r="18" spans="1:4" ht="15.75" x14ac:dyDescent="0.25">
      <c r="A18" s="11" t="s">
        <v>660</v>
      </c>
      <c r="D18" s="11" t="str">
        <f>IF(COUNTIF($D$4:$D$16,"FAIL")=0,"ALL CHECKS PASS",COUNTIF($D$4:$D$16,"FAIL")&amp;" CHECKS FAILING")</f>
        <v>ALL CHECKS PASS</v>
      </c>
    </row>
    <row r="20" spans="1:4" x14ac:dyDescent="0.25">
      <c r="A20" s="10" t="s">
        <v>661</v>
      </c>
    </row>
    <row r="21" spans="1:4" x14ac:dyDescent="0.25">
      <c r="A21" t="s">
        <v>662</v>
      </c>
      <c r="C21">
        <f>SUMPRODUCT(--ISERROR('Draft Engine'!$A$3:$Z$232))</f>
        <v>0</v>
      </c>
    </row>
    <row r="22" spans="1:4" x14ac:dyDescent="0.25">
      <c r="A22" t="s">
        <v>663</v>
      </c>
      <c r="C22">
        <f>SUMPRODUCT(--ISERROR('FINAL Master'!$A$3:$P$232))</f>
        <v>0</v>
      </c>
    </row>
    <row r="23" spans="1:4" x14ac:dyDescent="0.25">
      <c r="A23" t="s">
        <v>664</v>
      </c>
      <c r="C23">
        <f>SUMPRODUCT(--ISERROR('Top 200'!$A$3:$O$202))</f>
        <v>0</v>
      </c>
    </row>
    <row r="24" spans="1:4" x14ac:dyDescent="0.25">
      <c r="A24" t="s">
        <v>665</v>
      </c>
      <c r="C24">
        <f>SUMPRODUCT(--ISERROR('Player Summaries'!$A$3:$M$232))</f>
        <v>0</v>
      </c>
    </row>
    <row r="25" spans="1:4" x14ac:dyDescent="0.25">
      <c r="A25" t="s">
        <v>666</v>
      </c>
      <c r="C25">
        <f>SUMPRODUCT(--ISERROR('League Config'!$F$4:$L$9))</f>
        <v>0</v>
      </c>
    </row>
    <row r="26" spans="1:4" x14ac:dyDescent="0.25">
      <c r="A26" t="s">
        <v>667</v>
      </c>
      <c r="C26">
        <f>SUMPRODUCT(--ISERROR('Manual Adjustments'!$A$3:$J$232))</f>
        <v>0</v>
      </c>
    </row>
    <row r="27" spans="1:4" x14ac:dyDescent="0.25">
      <c r="A27" t="s">
        <v>668</v>
      </c>
      <c r="C27">
        <f>SUMPRODUCT(--ISERROR('FINAL QB'!$A$3:$N$34))</f>
        <v>0</v>
      </c>
    </row>
    <row r="28" spans="1:4" x14ac:dyDescent="0.25">
      <c r="A28" t="s">
        <v>669</v>
      </c>
      <c r="C28">
        <f>SUMPRODUCT(--ISERROR('FINAL RB'!$A$3:$N$54))</f>
        <v>0</v>
      </c>
    </row>
    <row r="29" spans="1:4" x14ac:dyDescent="0.25">
      <c r="A29" t="s">
        <v>670</v>
      </c>
      <c r="C29">
        <f>SUMPRODUCT(--ISERROR('FINAL WR'!$A$3:$N$76))</f>
        <v>0</v>
      </c>
    </row>
    <row r="30" spans="1:4" x14ac:dyDescent="0.25">
      <c r="A30" t="s">
        <v>671</v>
      </c>
      <c r="C30">
        <f>SUMPRODUCT(--ISERROR('FINAL TE'!$A$3:$N$30))</f>
        <v>0</v>
      </c>
    </row>
    <row r="31" spans="1:4" x14ac:dyDescent="0.25">
      <c r="A31" t="s">
        <v>42</v>
      </c>
      <c r="C31">
        <f>SUMPRODUCT(--ISERROR(K!$A$3:$O$14))</f>
        <v>0</v>
      </c>
    </row>
    <row r="32" spans="1:4" x14ac:dyDescent="0.25">
      <c r="A32" t="s">
        <v>44</v>
      </c>
      <c r="C32">
        <f>SUMPRODUCT(--ISERROR(DST!$A$3:$O$34))</f>
        <v>0</v>
      </c>
    </row>
    <row r="33" spans="1:3" x14ac:dyDescent="0.25">
      <c r="A33" t="s">
        <v>672</v>
      </c>
      <c r="C33">
        <f>SUMPRODUCT(--ISERROR('Draft Room'!$A$5:$G$42))</f>
        <v>0</v>
      </c>
    </row>
    <row r="34" spans="1:3" x14ac:dyDescent="0.25">
      <c r="A34" t="s">
        <v>673</v>
      </c>
      <c r="C34">
        <f>SUMPRODUCT(--ISERROR('Draft Board'!$A$3:$M$232))</f>
        <v>0</v>
      </c>
    </row>
  </sheetData>
  <conditionalFormatting sqref="D4:D18">
    <cfRule type="cellIs" dxfId="2" priority="1" operator="equal">
      <formula>"PASS"</formula>
    </cfRule>
    <cfRule type="cellIs" dxfId="1" priority="2" operator="notEqual">
      <formula>"PASS"</formula>
    </cfRule>
  </conditionalFormatting>
  <conditionalFormatting sqref="D18">
    <cfRule type="cellIs" dxfId="0" priority="3" operator="equal">
      <formula>"ALL CHECKS PASS"</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3966-2B63-48C2-866A-D3DE3FDFF645}">
  <dimension ref="A1:A40"/>
  <sheetViews>
    <sheetView showGridLines="0" workbookViewId="0"/>
  </sheetViews>
  <sheetFormatPr defaultRowHeight="15" x14ac:dyDescent="0.25"/>
  <cols>
    <col min="1" max="1" width="110.7109375" customWidth="1"/>
  </cols>
  <sheetData>
    <row r="1" spans="1:1" ht="21" x14ac:dyDescent="0.35">
      <c r="A1" s="12" t="s">
        <v>674</v>
      </c>
    </row>
    <row r="2" spans="1:1" x14ac:dyDescent="0.25">
      <c r="A2" s="13" t="s">
        <v>675</v>
      </c>
    </row>
    <row r="4" spans="1:1" ht="15.75" x14ac:dyDescent="0.25">
      <c r="A4" s="14" t="s">
        <v>676</v>
      </c>
    </row>
    <row r="5" spans="1:1" ht="75" x14ac:dyDescent="0.25">
      <c r="A5" s="16" t="s">
        <v>677</v>
      </c>
    </row>
    <row r="7" spans="1:1" ht="15.75" x14ac:dyDescent="0.25">
      <c r="A7" s="14" t="s">
        <v>678</v>
      </c>
    </row>
    <row r="8" spans="1:1" ht="45" x14ac:dyDescent="0.25">
      <c r="A8" s="16" t="s">
        <v>679</v>
      </c>
    </row>
    <row r="10" spans="1:1" ht="15.75" x14ac:dyDescent="0.25">
      <c r="A10" s="14" t="s">
        <v>680</v>
      </c>
    </row>
    <row r="11" spans="1:1" ht="60" x14ac:dyDescent="0.25">
      <c r="A11" s="16" t="s">
        <v>681</v>
      </c>
    </row>
    <row r="13" spans="1:1" ht="15.75" x14ac:dyDescent="0.25">
      <c r="A13" s="14" t="s">
        <v>682</v>
      </c>
    </row>
    <row r="14" spans="1:1" ht="30" x14ac:dyDescent="0.25">
      <c r="A14" s="16" t="s">
        <v>683</v>
      </c>
    </row>
    <row r="16" spans="1:1" ht="15.75" x14ac:dyDescent="0.25">
      <c r="A16" s="14" t="s">
        <v>684</v>
      </c>
    </row>
    <row r="17" spans="1:1" ht="75" x14ac:dyDescent="0.25">
      <c r="A17" s="16" t="s">
        <v>685</v>
      </c>
    </row>
    <row r="19" spans="1:1" ht="15.75" x14ac:dyDescent="0.25">
      <c r="A19" s="14" t="s">
        <v>686</v>
      </c>
    </row>
    <row r="20" spans="1:1" ht="90" x14ac:dyDescent="0.25">
      <c r="A20" s="16" t="s">
        <v>687</v>
      </c>
    </row>
    <row r="22" spans="1:1" ht="15.75" x14ac:dyDescent="0.25">
      <c r="A22" s="14" t="s">
        <v>688</v>
      </c>
    </row>
    <row r="23" spans="1:1" ht="45" x14ac:dyDescent="0.25">
      <c r="A23" s="16" t="s">
        <v>689</v>
      </c>
    </row>
    <row r="25" spans="1:1" ht="15.75" x14ac:dyDescent="0.25">
      <c r="A25" s="14" t="s">
        <v>690</v>
      </c>
    </row>
    <row r="26" spans="1:1" ht="30" x14ac:dyDescent="0.25">
      <c r="A26" s="16" t="s">
        <v>691</v>
      </c>
    </row>
    <row r="28" spans="1:1" ht="15.75" x14ac:dyDescent="0.25">
      <c r="A28" s="14" t="s">
        <v>692</v>
      </c>
    </row>
    <row r="29" spans="1:1" ht="45" x14ac:dyDescent="0.25">
      <c r="A29" s="16" t="s">
        <v>693</v>
      </c>
    </row>
    <row r="31" spans="1:1" ht="15.75" x14ac:dyDescent="0.25">
      <c r="A31" s="14" t="s">
        <v>694</v>
      </c>
    </row>
    <row r="32" spans="1:1" ht="60" x14ac:dyDescent="0.25">
      <c r="A32" s="16" t="s">
        <v>695</v>
      </c>
    </row>
    <row r="34" spans="1:1" ht="15.75" x14ac:dyDescent="0.25">
      <c r="A34" s="14" t="s">
        <v>696</v>
      </c>
    </row>
    <row r="35" spans="1:1" ht="60" x14ac:dyDescent="0.25">
      <c r="A35" s="16" t="s">
        <v>697</v>
      </c>
    </row>
    <row r="37" spans="1:1" ht="15.75" x14ac:dyDescent="0.25">
      <c r="A37" s="14" t="s">
        <v>698</v>
      </c>
    </row>
    <row r="38" spans="1:1" ht="195" x14ac:dyDescent="0.25">
      <c r="A38" s="16" t="s">
        <v>700</v>
      </c>
    </row>
    <row r="40" spans="1:1" ht="30" x14ac:dyDescent="0.25">
      <c r="A40" s="15" t="s">
        <v>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Draft Board</vt:lpstr>
      <vt:lpstr>League Config</vt:lpstr>
      <vt:lpstr>Manual Adjustments</vt:lpstr>
      <vt:lpstr>LIVE SOURCE</vt:lpstr>
      <vt:lpstr>FINAL Master</vt:lpstr>
      <vt:lpstr>Top 200</vt:lpstr>
      <vt:lpstr>FINAL QB</vt:lpstr>
      <vt:lpstr>FINAL RB</vt:lpstr>
      <vt:lpstr>FINAL WR</vt:lpstr>
      <vt:lpstr>FINAL TE</vt:lpstr>
      <vt:lpstr>K</vt:lpstr>
      <vt:lpstr>DST</vt:lpstr>
      <vt:lpstr>Draft Engine</vt:lpstr>
      <vt:lpstr>Draft Room</vt:lpstr>
      <vt:lpstr>Player Summaries</vt:lpstr>
      <vt:lpstr>QA Checks</vt:lpstr>
      <vt:lpstr>How It Works</vt:lpstr>
      <vt:lpstr>DstStart</vt:lpstr>
      <vt:lpstr>GateSize</vt:lpstr>
      <vt:lpstr>KStart</vt:lpstr>
      <vt:lpstr>NDst</vt:lpstr>
      <vt:lpstr>NSkill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Derek Bobola</cp:lastModifiedBy>
  <dcterms:created xsi:type="dcterms:W3CDTF">2026-08-12T12:59:28Z</dcterms:created>
  <dcterms:modified xsi:type="dcterms:W3CDTF">2026-08-12T15:21:12Z</dcterms:modified>
</cp:coreProperties>
</file>