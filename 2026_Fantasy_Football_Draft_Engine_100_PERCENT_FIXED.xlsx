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aft Board" sheetId="1" state="visible" r:id="rId1"/>
    <sheet name="League Config" sheetId="2" state="visible" r:id="rId2"/>
    <sheet name="Manual Adjustments" sheetId="3" state="visible" r:id="rId3"/>
    <sheet name="LIVE SOURCE" sheetId="4" state="visible" r:id="rId4"/>
    <sheet name="Player Detail" sheetId="5" state="visible" r:id="rId5"/>
    <sheet name="FINAL Master" sheetId="6" state="visible" r:id="rId6"/>
    <sheet name="Top 200" sheetId="7" state="visible" r:id="rId7"/>
    <sheet name="FINAL QB" sheetId="8" state="visible" r:id="rId8"/>
    <sheet name="FINAL RB" sheetId="9" state="visible" r:id="rId9"/>
    <sheet name="FINAL WR" sheetId="10" state="visible" r:id="rId10"/>
    <sheet name="FINAL TE" sheetId="11" state="visible" r:id="rId11"/>
    <sheet name="K" sheetId="12" state="visible" r:id="rId12"/>
    <sheet name="DST" sheetId="13" state="visible" r:id="rId13"/>
    <sheet name="Draft Engine" sheetId="14" state="visible" r:id="rId14"/>
    <sheet name="Draft Room" sheetId="15" state="visible" r:id="rId15"/>
    <sheet name="Player Summaries" sheetId="16" state="visible" r:id="rId16"/>
    <sheet name="QA Checks" sheetId="17" state="visible" r:id="rId17"/>
  </sheets>
  <definedNames>
    <definedName name="DstStart">'League Config'!$B$17</definedName>
    <definedName name="KStart">'League Config'!$B$18</definedName>
    <definedName name="GateSize">'League Config'!$B$19</definedName>
    <definedName name="NSkill">'League Config'!$B$21</definedName>
    <definedName name="NDst">'League Config'!$B$22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b val="1"/>
      <color rgb="001F3352"/>
      <sz val="14"/>
    </font>
    <font>
      <i val="1"/>
      <color rgb="008A8F98"/>
      <sz val="9"/>
    </font>
    <font>
      <b val="1"/>
      <color rgb="00FFFFFF"/>
      <sz val="10"/>
    </font>
    <font>
      <color rgb="008A8F98"/>
      <sz val="8"/>
    </font>
    <font>
      <b val="1"/>
      <color rgb="001F3352"/>
      <sz val="1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352"/>
      </patternFill>
    </fill>
    <fill>
      <patternFill patternType="solid">
        <fgColor rgb="00DCE9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164" fontId="0" fillId="0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2" borderId="0" pivotButton="0" quotePrefix="0" xfId="0"/>
    <xf numFmtId="164" fontId="0" fillId="3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ont>
        <strike val="1"/>
        <color rgb="008A8F98"/>
      </font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1" customWidth="1" min="7" max="7"/>
    <col width="10" customWidth="1" min="8" max="8"/>
    <col width="9" customWidth="1" min="9" max="9"/>
    <col width="12" customWidth="1" min="10" max="10"/>
    <col width="9" customWidth="1" min="11" max="11"/>
    <col width="70" customWidth="1" min="12" max="12"/>
    <col width="6" customWidth="1" min="13" max="13"/>
    <col width="6" customWidth="1" min="14" max="14"/>
  </cols>
  <sheetData>
    <row r="1">
      <c r="A1" s="1" t="inlineStr">
        <is>
          <t>Draft Board: go in order, mark every pick in the Pick column. Marked rows cross out.</t>
        </is>
      </c>
      <c r="P1" s="2" t="inlineStr">
        <is>
          <t>Freeze adjustments once the draft starts: picks attach to board slots, so do not edit Manual Adjustments mid-draft.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Draft Score</t>
        </is>
      </c>
      <c r="H2" s="3" t="inlineStr">
        <is>
          <t>Market ADP</t>
        </is>
      </c>
      <c r="I2" s="3" t="inlineStr">
        <is>
          <t>Draft Edge</t>
        </is>
      </c>
      <c r="J2" s="3" t="inlineStr">
        <is>
          <t>Pick</t>
        </is>
      </c>
      <c r="K2" s="3" t="inlineStr">
        <is>
          <t>Avail Rank</t>
        </is>
      </c>
      <c r="L2" s="3" t="inlineStr">
        <is>
          <t>2026 Expectation</t>
        </is>
      </c>
      <c r="M2" s="3" t="inlineStr">
        <is>
          <t>Src</t>
        </is>
      </c>
      <c r="N2" s="3" t="inlineStr">
        <is>
          <t>Bye</t>
        </is>
      </c>
    </row>
    <row r="3">
      <c r="A3" t="n">
        <v>1</v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Engine'!$N$3:$N$232,$M3)</f>
        <v/>
      </c>
      <c r="H3" s="4">
        <f>INDEX('Draft Engine'!$R$3:$R$232,$M3)</f>
        <v/>
      </c>
      <c r="I3" s="4">
        <f>INDEX('Draft Engine'!$S$3:$S$232,$M3)</f>
        <v/>
      </c>
      <c r="J3" s="5" t="n"/>
      <c r="K3">
        <f>INDEX('Draft Engine'!$Z$3:$Z$232,$M3)</f>
        <v/>
      </c>
      <c r="L3">
        <f>INDEX('LIVE SOURCE'!$H$3:$H$232,$M3)</f>
        <v/>
      </c>
      <c r="M3" s="6">
        <f>MATCH($A3,'Draft Engine'!$Q$3:$Q$232,0)</f>
        <v/>
      </c>
      <c r="N3">
        <f>INDEX('LIVE SOURCE'!$L$3:$L$232,$M3)</f>
        <v/>
      </c>
    </row>
    <row r="4">
      <c r="A4" t="n">
        <v>2</v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Engine'!$N$3:$N$232,$M4)</f>
        <v/>
      </c>
      <c r="H4" s="4">
        <f>INDEX('Draft Engine'!$R$3:$R$232,$M4)</f>
        <v/>
      </c>
      <c r="I4" s="4">
        <f>INDEX('Draft Engine'!$S$3:$S$232,$M4)</f>
        <v/>
      </c>
      <c r="J4" s="5" t="n"/>
      <c r="K4">
        <f>INDEX('Draft Engine'!$Z$3:$Z$232,$M4)</f>
        <v/>
      </c>
      <c r="L4">
        <f>INDEX('LIVE SOURCE'!$H$3:$H$232,$M4)</f>
        <v/>
      </c>
      <c r="M4" s="6">
        <f>MATCH($A4,'Draft Engine'!$Q$3:$Q$232,0)</f>
        <v/>
      </c>
      <c r="N4">
        <f>INDEX('LIVE SOURCE'!$L$3:$L$232,$M4)</f>
        <v/>
      </c>
    </row>
    <row r="5">
      <c r="A5" t="n">
        <v>3</v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Engine'!$N$3:$N$232,$M5)</f>
        <v/>
      </c>
      <c r="H5" s="4">
        <f>INDEX('Draft Engine'!$R$3:$R$232,$M5)</f>
        <v/>
      </c>
      <c r="I5" s="4">
        <f>INDEX('Draft Engine'!$S$3:$S$232,$M5)</f>
        <v/>
      </c>
      <c r="J5" s="5" t="n"/>
      <c r="K5">
        <f>INDEX('Draft Engine'!$Z$3:$Z$232,$M5)</f>
        <v/>
      </c>
      <c r="L5">
        <f>INDEX('LIVE SOURCE'!$H$3:$H$232,$M5)</f>
        <v/>
      </c>
      <c r="M5" s="6">
        <f>MATCH($A5,'Draft Engine'!$Q$3:$Q$232,0)</f>
        <v/>
      </c>
      <c r="N5">
        <f>INDEX('LIVE SOURCE'!$L$3:$L$232,$M5)</f>
        <v/>
      </c>
    </row>
    <row r="6">
      <c r="A6" t="n">
        <v>4</v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Engine'!$N$3:$N$232,$M6)</f>
        <v/>
      </c>
      <c r="H6" s="4">
        <f>INDEX('Draft Engine'!$R$3:$R$232,$M6)</f>
        <v/>
      </c>
      <c r="I6" s="4">
        <f>INDEX('Draft Engine'!$S$3:$S$232,$M6)</f>
        <v/>
      </c>
      <c r="J6" s="5" t="n"/>
      <c r="K6">
        <f>INDEX('Draft Engine'!$Z$3:$Z$232,$M6)</f>
        <v/>
      </c>
      <c r="L6">
        <f>INDEX('LIVE SOURCE'!$H$3:$H$232,$M6)</f>
        <v/>
      </c>
      <c r="M6" s="6">
        <f>MATCH($A6,'Draft Engine'!$Q$3:$Q$232,0)</f>
        <v/>
      </c>
      <c r="N6">
        <f>INDEX('LIVE SOURCE'!$L$3:$L$232,$M6)</f>
        <v/>
      </c>
    </row>
    <row r="7">
      <c r="A7" t="n">
        <v>5</v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Engine'!$N$3:$N$232,$M7)</f>
        <v/>
      </c>
      <c r="H7" s="4">
        <f>INDEX('Draft Engine'!$R$3:$R$232,$M7)</f>
        <v/>
      </c>
      <c r="I7" s="4">
        <f>INDEX('Draft Engine'!$S$3:$S$232,$M7)</f>
        <v/>
      </c>
      <c r="J7" s="5" t="n"/>
      <c r="K7">
        <f>INDEX('Draft Engine'!$Z$3:$Z$232,$M7)</f>
        <v/>
      </c>
      <c r="L7">
        <f>INDEX('LIVE SOURCE'!$H$3:$H$232,$M7)</f>
        <v/>
      </c>
      <c r="M7" s="6">
        <f>MATCH($A7,'Draft Engine'!$Q$3:$Q$232,0)</f>
        <v/>
      </c>
      <c r="N7">
        <f>INDEX('LIVE SOURCE'!$L$3:$L$232,$M7)</f>
        <v/>
      </c>
    </row>
    <row r="8">
      <c r="A8" t="n">
        <v>6</v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Engine'!$N$3:$N$232,$M8)</f>
        <v/>
      </c>
      <c r="H8" s="4">
        <f>INDEX('Draft Engine'!$R$3:$R$232,$M8)</f>
        <v/>
      </c>
      <c r="I8" s="4">
        <f>INDEX('Draft Engine'!$S$3:$S$232,$M8)</f>
        <v/>
      </c>
      <c r="J8" s="5" t="n"/>
      <c r="K8">
        <f>INDEX('Draft Engine'!$Z$3:$Z$232,$M8)</f>
        <v/>
      </c>
      <c r="L8">
        <f>INDEX('LIVE SOURCE'!$H$3:$H$232,$M8)</f>
        <v/>
      </c>
      <c r="M8" s="6">
        <f>MATCH($A8,'Draft Engine'!$Q$3:$Q$232,0)</f>
        <v/>
      </c>
      <c r="N8">
        <f>INDEX('LIVE SOURCE'!$L$3:$L$232,$M8)</f>
        <v/>
      </c>
    </row>
    <row r="9">
      <c r="A9" t="n">
        <v>7</v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Engine'!$N$3:$N$232,$M9)</f>
        <v/>
      </c>
      <c r="H9" s="4">
        <f>INDEX('Draft Engine'!$R$3:$R$232,$M9)</f>
        <v/>
      </c>
      <c r="I9" s="4">
        <f>INDEX('Draft Engine'!$S$3:$S$232,$M9)</f>
        <v/>
      </c>
      <c r="J9" s="5" t="n"/>
      <c r="K9">
        <f>INDEX('Draft Engine'!$Z$3:$Z$232,$M9)</f>
        <v/>
      </c>
      <c r="L9">
        <f>INDEX('LIVE SOURCE'!$H$3:$H$232,$M9)</f>
        <v/>
      </c>
      <c r="M9" s="6">
        <f>MATCH($A9,'Draft Engine'!$Q$3:$Q$232,0)</f>
        <v/>
      </c>
      <c r="N9">
        <f>INDEX('LIVE SOURCE'!$L$3:$L$232,$M9)</f>
        <v/>
      </c>
    </row>
    <row r="10">
      <c r="A10" t="n">
        <v>8</v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Engine'!$N$3:$N$232,$M10)</f>
        <v/>
      </c>
      <c r="H10" s="4">
        <f>INDEX('Draft Engine'!$R$3:$R$232,$M10)</f>
        <v/>
      </c>
      <c r="I10" s="4">
        <f>INDEX('Draft Engine'!$S$3:$S$232,$M10)</f>
        <v/>
      </c>
      <c r="J10" s="5" t="n"/>
      <c r="K10">
        <f>INDEX('Draft Engine'!$Z$3:$Z$232,$M10)</f>
        <v/>
      </c>
      <c r="L10">
        <f>INDEX('LIVE SOURCE'!$H$3:$H$232,$M10)</f>
        <v/>
      </c>
      <c r="M10" s="6">
        <f>MATCH($A10,'Draft Engine'!$Q$3:$Q$232,0)</f>
        <v/>
      </c>
      <c r="N10">
        <f>INDEX('LIVE SOURCE'!$L$3:$L$232,$M10)</f>
        <v/>
      </c>
    </row>
    <row r="11">
      <c r="A11" t="n">
        <v>9</v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Engine'!$N$3:$N$232,$M11)</f>
        <v/>
      </c>
      <c r="H11" s="4">
        <f>INDEX('Draft Engine'!$R$3:$R$232,$M11)</f>
        <v/>
      </c>
      <c r="I11" s="4">
        <f>INDEX('Draft Engine'!$S$3:$S$232,$M11)</f>
        <v/>
      </c>
      <c r="J11" s="5" t="n"/>
      <c r="K11">
        <f>INDEX('Draft Engine'!$Z$3:$Z$232,$M11)</f>
        <v/>
      </c>
      <c r="L11">
        <f>INDEX('LIVE SOURCE'!$H$3:$H$232,$M11)</f>
        <v/>
      </c>
      <c r="M11" s="6">
        <f>MATCH($A11,'Draft Engine'!$Q$3:$Q$232,0)</f>
        <v/>
      </c>
      <c r="N11">
        <f>INDEX('LIVE SOURCE'!$L$3:$L$232,$M11)</f>
        <v/>
      </c>
    </row>
    <row r="12">
      <c r="A12" t="n">
        <v>10</v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Engine'!$N$3:$N$232,$M12)</f>
        <v/>
      </c>
      <c r="H12" s="4">
        <f>INDEX('Draft Engine'!$R$3:$R$232,$M12)</f>
        <v/>
      </c>
      <c r="I12" s="4">
        <f>INDEX('Draft Engine'!$S$3:$S$232,$M12)</f>
        <v/>
      </c>
      <c r="J12" s="5" t="n"/>
      <c r="K12">
        <f>INDEX('Draft Engine'!$Z$3:$Z$232,$M12)</f>
        <v/>
      </c>
      <c r="L12">
        <f>INDEX('LIVE SOURCE'!$H$3:$H$232,$M12)</f>
        <v/>
      </c>
      <c r="M12" s="6">
        <f>MATCH($A12,'Draft Engine'!$Q$3:$Q$232,0)</f>
        <v/>
      </c>
      <c r="N12">
        <f>INDEX('LIVE SOURCE'!$L$3:$L$232,$M12)</f>
        <v/>
      </c>
    </row>
    <row r="13">
      <c r="A13" t="n">
        <v>11</v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Engine'!$N$3:$N$232,$M13)</f>
        <v/>
      </c>
      <c r="H13" s="4">
        <f>INDEX('Draft Engine'!$R$3:$R$232,$M13)</f>
        <v/>
      </c>
      <c r="I13" s="4">
        <f>INDEX('Draft Engine'!$S$3:$S$232,$M13)</f>
        <v/>
      </c>
      <c r="J13" s="5" t="n"/>
      <c r="K13">
        <f>INDEX('Draft Engine'!$Z$3:$Z$232,$M13)</f>
        <v/>
      </c>
      <c r="L13">
        <f>INDEX('LIVE SOURCE'!$H$3:$H$232,$M13)</f>
        <v/>
      </c>
      <c r="M13" s="6">
        <f>MATCH($A13,'Draft Engine'!$Q$3:$Q$232,0)</f>
        <v/>
      </c>
      <c r="N13">
        <f>INDEX('LIVE SOURCE'!$L$3:$L$232,$M13)</f>
        <v/>
      </c>
    </row>
    <row r="14">
      <c r="A14" t="n">
        <v>12</v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Engine'!$N$3:$N$232,$M14)</f>
        <v/>
      </c>
      <c r="H14" s="4">
        <f>INDEX('Draft Engine'!$R$3:$R$232,$M14)</f>
        <v/>
      </c>
      <c r="I14" s="4">
        <f>INDEX('Draft Engine'!$S$3:$S$232,$M14)</f>
        <v/>
      </c>
      <c r="J14" s="5" t="n"/>
      <c r="K14">
        <f>INDEX('Draft Engine'!$Z$3:$Z$232,$M14)</f>
        <v/>
      </c>
      <c r="L14">
        <f>INDEX('LIVE SOURCE'!$H$3:$H$232,$M14)</f>
        <v/>
      </c>
      <c r="M14" s="6">
        <f>MATCH($A14,'Draft Engine'!$Q$3:$Q$232,0)</f>
        <v/>
      </c>
      <c r="N14">
        <f>INDEX('LIVE SOURCE'!$L$3:$L$232,$M14)</f>
        <v/>
      </c>
    </row>
    <row r="15">
      <c r="A15" t="n">
        <v>13</v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Engine'!$N$3:$N$232,$M15)</f>
        <v/>
      </c>
      <c r="H15" s="4">
        <f>INDEX('Draft Engine'!$R$3:$R$232,$M15)</f>
        <v/>
      </c>
      <c r="I15" s="4">
        <f>INDEX('Draft Engine'!$S$3:$S$232,$M15)</f>
        <v/>
      </c>
      <c r="J15" s="5" t="n"/>
      <c r="K15">
        <f>INDEX('Draft Engine'!$Z$3:$Z$232,$M15)</f>
        <v/>
      </c>
      <c r="L15">
        <f>INDEX('LIVE SOURCE'!$H$3:$H$232,$M15)</f>
        <v/>
      </c>
      <c r="M15" s="6">
        <f>MATCH($A15,'Draft Engine'!$Q$3:$Q$232,0)</f>
        <v/>
      </c>
      <c r="N15">
        <f>INDEX('LIVE SOURCE'!$L$3:$L$232,$M15)</f>
        <v/>
      </c>
    </row>
    <row r="16">
      <c r="A16" t="n">
        <v>14</v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Engine'!$N$3:$N$232,$M16)</f>
        <v/>
      </c>
      <c r="H16" s="4">
        <f>INDEX('Draft Engine'!$R$3:$R$232,$M16)</f>
        <v/>
      </c>
      <c r="I16" s="4">
        <f>INDEX('Draft Engine'!$S$3:$S$232,$M16)</f>
        <v/>
      </c>
      <c r="J16" s="5" t="n"/>
      <c r="K16">
        <f>INDEX('Draft Engine'!$Z$3:$Z$232,$M16)</f>
        <v/>
      </c>
      <c r="L16">
        <f>INDEX('LIVE SOURCE'!$H$3:$H$232,$M16)</f>
        <v/>
      </c>
      <c r="M16" s="6">
        <f>MATCH($A16,'Draft Engine'!$Q$3:$Q$232,0)</f>
        <v/>
      </c>
      <c r="N16">
        <f>INDEX('LIVE SOURCE'!$L$3:$L$232,$M16)</f>
        <v/>
      </c>
    </row>
    <row r="17">
      <c r="A17" t="n">
        <v>15</v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Engine'!$N$3:$N$232,$M17)</f>
        <v/>
      </c>
      <c r="H17" s="4">
        <f>INDEX('Draft Engine'!$R$3:$R$232,$M17)</f>
        <v/>
      </c>
      <c r="I17" s="4">
        <f>INDEX('Draft Engine'!$S$3:$S$232,$M17)</f>
        <v/>
      </c>
      <c r="J17" s="5" t="n"/>
      <c r="K17">
        <f>INDEX('Draft Engine'!$Z$3:$Z$232,$M17)</f>
        <v/>
      </c>
      <c r="L17">
        <f>INDEX('LIVE SOURCE'!$H$3:$H$232,$M17)</f>
        <v/>
      </c>
      <c r="M17" s="6">
        <f>MATCH($A17,'Draft Engine'!$Q$3:$Q$232,0)</f>
        <v/>
      </c>
      <c r="N17">
        <f>INDEX('LIVE SOURCE'!$L$3:$L$232,$M17)</f>
        <v/>
      </c>
    </row>
    <row r="18">
      <c r="A18" t="n">
        <v>16</v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Engine'!$N$3:$N$232,$M18)</f>
        <v/>
      </c>
      <c r="H18" s="4">
        <f>INDEX('Draft Engine'!$R$3:$R$232,$M18)</f>
        <v/>
      </c>
      <c r="I18" s="4">
        <f>INDEX('Draft Engine'!$S$3:$S$232,$M18)</f>
        <v/>
      </c>
      <c r="J18" s="5" t="n"/>
      <c r="K18">
        <f>INDEX('Draft Engine'!$Z$3:$Z$232,$M18)</f>
        <v/>
      </c>
      <c r="L18">
        <f>INDEX('LIVE SOURCE'!$H$3:$H$232,$M18)</f>
        <v/>
      </c>
      <c r="M18" s="6">
        <f>MATCH($A18,'Draft Engine'!$Q$3:$Q$232,0)</f>
        <v/>
      </c>
      <c r="N18">
        <f>INDEX('LIVE SOURCE'!$L$3:$L$232,$M18)</f>
        <v/>
      </c>
    </row>
    <row r="19">
      <c r="A19" t="n">
        <v>17</v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Engine'!$N$3:$N$232,$M19)</f>
        <v/>
      </c>
      <c r="H19" s="4">
        <f>INDEX('Draft Engine'!$R$3:$R$232,$M19)</f>
        <v/>
      </c>
      <c r="I19" s="4">
        <f>INDEX('Draft Engine'!$S$3:$S$232,$M19)</f>
        <v/>
      </c>
      <c r="J19" s="5" t="n"/>
      <c r="K19">
        <f>INDEX('Draft Engine'!$Z$3:$Z$232,$M19)</f>
        <v/>
      </c>
      <c r="L19">
        <f>INDEX('LIVE SOURCE'!$H$3:$H$232,$M19)</f>
        <v/>
      </c>
      <c r="M19" s="6">
        <f>MATCH($A19,'Draft Engine'!$Q$3:$Q$232,0)</f>
        <v/>
      </c>
      <c r="N19">
        <f>INDEX('LIVE SOURCE'!$L$3:$L$232,$M19)</f>
        <v/>
      </c>
    </row>
    <row r="20">
      <c r="A20" t="n">
        <v>18</v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Engine'!$N$3:$N$232,$M20)</f>
        <v/>
      </c>
      <c r="H20" s="4">
        <f>INDEX('Draft Engine'!$R$3:$R$232,$M20)</f>
        <v/>
      </c>
      <c r="I20" s="4">
        <f>INDEX('Draft Engine'!$S$3:$S$232,$M20)</f>
        <v/>
      </c>
      <c r="J20" s="5" t="n"/>
      <c r="K20">
        <f>INDEX('Draft Engine'!$Z$3:$Z$232,$M20)</f>
        <v/>
      </c>
      <c r="L20">
        <f>INDEX('LIVE SOURCE'!$H$3:$H$232,$M20)</f>
        <v/>
      </c>
      <c r="M20" s="6">
        <f>MATCH($A20,'Draft Engine'!$Q$3:$Q$232,0)</f>
        <v/>
      </c>
      <c r="N20">
        <f>INDEX('LIVE SOURCE'!$L$3:$L$232,$M20)</f>
        <v/>
      </c>
    </row>
    <row r="21">
      <c r="A21" t="n">
        <v>19</v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Engine'!$N$3:$N$232,$M21)</f>
        <v/>
      </c>
      <c r="H21" s="4">
        <f>INDEX('Draft Engine'!$R$3:$R$232,$M21)</f>
        <v/>
      </c>
      <c r="I21" s="4">
        <f>INDEX('Draft Engine'!$S$3:$S$232,$M21)</f>
        <v/>
      </c>
      <c r="J21" s="5" t="n"/>
      <c r="K21">
        <f>INDEX('Draft Engine'!$Z$3:$Z$232,$M21)</f>
        <v/>
      </c>
      <c r="L21">
        <f>INDEX('LIVE SOURCE'!$H$3:$H$232,$M21)</f>
        <v/>
      </c>
      <c r="M21" s="6">
        <f>MATCH($A21,'Draft Engine'!$Q$3:$Q$232,0)</f>
        <v/>
      </c>
      <c r="N21">
        <f>INDEX('LIVE SOURCE'!$L$3:$L$232,$M21)</f>
        <v/>
      </c>
    </row>
    <row r="22">
      <c r="A22" t="n">
        <v>20</v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Engine'!$N$3:$N$232,$M22)</f>
        <v/>
      </c>
      <c r="H22" s="4">
        <f>INDEX('Draft Engine'!$R$3:$R$232,$M22)</f>
        <v/>
      </c>
      <c r="I22" s="4">
        <f>INDEX('Draft Engine'!$S$3:$S$232,$M22)</f>
        <v/>
      </c>
      <c r="J22" s="5" t="n"/>
      <c r="K22">
        <f>INDEX('Draft Engine'!$Z$3:$Z$232,$M22)</f>
        <v/>
      </c>
      <c r="L22">
        <f>INDEX('LIVE SOURCE'!$H$3:$H$232,$M22)</f>
        <v/>
      </c>
      <c r="M22" s="6">
        <f>MATCH($A22,'Draft Engine'!$Q$3:$Q$232,0)</f>
        <v/>
      </c>
      <c r="N22">
        <f>INDEX('LIVE SOURCE'!$L$3:$L$232,$M22)</f>
        <v/>
      </c>
    </row>
    <row r="23">
      <c r="A23" t="n">
        <v>21</v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Engine'!$N$3:$N$232,$M23)</f>
        <v/>
      </c>
      <c r="H23" s="4">
        <f>INDEX('Draft Engine'!$R$3:$R$232,$M23)</f>
        <v/>
      </c>
      <c r="I23" s="4">
        <f>INDEX('Draft Engine'!$S$3:$S$232,$M23)</f>
        <v/>
      </c>
      <c r="J23" s="5" t="n"/>
      <c r="K23">
        <f>INDEX('Draft Engine'!$Z$3:$Z$232,$M23)</f>
        <v/>
      </c>
      <c r="L23">
        <f>INDEX('LIVE SOURCE'!$H$3:$H$232,$M23)</f>
        <v/>
      </c>
      <c r="M23" s="6">
        <f>MATCH($A23,'Draft Engine'!$Q$3:$Q$232,0)</f>
        <v/>
      </c>
      <c r="N23">
        <f>INDEX('LIVE SOURCE'!$L$3:$L$232,$M23)</f>
        <v/>
      </c>
    </row>
    <row r="24">
      <c r="A24" t="n">
        <v>22</v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Engine'!$N$3:$N$232,$M24)</f>
        <v/>
      </c>
      <c r="H24" s="4">
        <f>INDEX('Draft Engine'!$R$3:$R$232,$M24)</f>
        <v/>
      </c>
      <c r="I24" s="4">
        <f>INDEX('Draft Engine'!$S$3:$S$232,$M24)</f>
        <v/>
      </c>
      <c r="J24" s="5" t="n"/>
      <c r="K24">
        <f>INDEX('Draft Engine'!$Z$3:$Z$232,$M24)</f>
        <v/>
      </c>
      <c r="L24">
        <f>INDEX('LIVE SOURCE'!$H$3:$H$232,$M24)</f>
        <v/>
      </c>
      <c r="M24" s="6">
        <f>MATCH($A24,'Draft Engine'!$Q$3:$Q$232,0)</f>
        <v/>
      </c>
      <c r="N24">
        <f>INDEX('LIVE SOURCE'!$L$3:$L$232,$M24)</f>
        <v/>
      </c>
    </row>
    <row r="25">
      <c r="A25" t="n">
        <v>23</v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Engine'!$N$3:$N$232,$M25)</f>
        <v/>
      </c>
      <c r="H25" s="4">
        <f>INDEX('Draft Engine'!$R$3:$R$232,$M25)</f>
        <v/>
      </c>
      <c r="I25" s="4">
        <f>INDEX('Draft Engine'!$S$3:$S$232,$M25)</f>
        <v/>
      </c>
      <c r="J25" s="5" t="n"/>
      <c r="K25">
        <f>INDEX('Draft Engine'!$Z$3:$Z$232,$M25)</f>
        <v/>
      </c>
      <c r="L25">
        <f>INDEX('LIVE SOURCE'!$H$3:$H$232,$M25)</f>
        <v/>
      </c>
      <c r="M25" s="6">
        <f>MATCH($A25,'Draft Engine'!$Q$3:$Q$232,0)</f>
        <v/>
      </c>
      <c r="N25">
        <f>INDEX('LIVE SOURCE'!$L$3:$L$232,$M25)</f>
        <v/>
      </c>
    </row>
    <row r="26">
      <c r="A26" t="n">
        <v>24</v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Engine'!$N$3:$N$232,$M26)</f>
        <v/>
      </c>
      <c r="H26" s="4">
        <f>INDEX('Draft Engine'!$R$3:$R$232,$M26)</f>
        <v/>
      </c>
      <c r="I26" s="4">
        <f>INDEX('Draft Engine'!$S$3:$S$232,$M26)</f>
        <v/>
      </c>
      <c r="J26" s="5" t="n"/>
      <c r="K26">
        <f>INDEX('Draft Engine'!$Z$3:$Z$232,$M26)</f>
        <v/>
      </c>
      <c r="L26">
        <f>INDEX('LIVE SOURCE'!$H$3:$H$232,$M26)</f>
        <v/>
      </c>
      <c r="M26" s="6">
        <f>MATCH($A26,'Draft Engine'!$Q$3:$Q$232,0)</f>
        <v/>
      </c>
      <c r="N26">
        <f>INDEX('LIVE SOURCE'!$L$3:$L$232,$M26)</f>
        <v/>
      </c>
    </row>
    <row r="27">
      <c r="A27" t="n">
        <v>25</v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Engine'!$N$3:$N$232,$M27)</f>
        <v/>
      </c>
      <c r="H27" s="4">
        <f>INDEX('Draft Engine'!$R$3:$R$232,$M27)</f>
        <v/>
      </c>
      <c r="I27" s="4">
        <f>INDEX('Draft Engine'!$S$3:$S$232,$M27)</f>
        <v/>
      </c>
      <c r="J27" s="5" t="n"/>
      <c r="K27">
        <f>INDEX('Draft Engine'!$Z$3:$Z$232,$M27)</f>
        <v/>
      </c>
      <c r="L27">
        <f>INDEX('LIVE SOURCE'!$H$3:$H$232,$M27)</f>
        <v/>
      </c>
      <c r="M27" s="6">
        <f>MATCH($A27,'Draft Engine'!$Q$3:$Q$232,0)</f>
        <v/>
      </c>
      <c r="N27">
        <f>INDEX('LIVE SOURCE'!$L$3:$L$232,$M27)</f>
        <v/>
      </c>
    </row>
    <row r="28">
      <c r="A28" t="n">
        <v>26</v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Engine'!$N$3:$N$232,$M28)</f>
        <v/>
      </c>
      <c r="H28" s="4">
        <f>INDEX('Draft Engine'!$R$3:$R$232,$M28)</f>
        <v/>
      </c>
      <c r="I28" s="4">
        <f>INDEX('Draft Engine'!$S$3:$S$232,$M28)</f>
        <v/>
      </c>
      <c r="J28" s="5" t="n"/>
      <c r="K28">
        <f>INDEX('Draft Engine'!$Z$3:$Z$232,$M28)</f>
        <v/>
      </c>
      <c r="L28">
        <f>INDEX('LIVE SOURCE'!$H$3:$H$232,$M28)</f>
        <v/>
      </c>
      <c r="M28" s="6">
        <f>MATCH($A28,'Draft Engine'!$Q$3:$Q$232,0)</f>
        <v/>
      </c>
      <c r="N28">
        <f>INDEX('LIVE SOURCE'!$L$3:$L$232,$M28)</f>
        <v/>
      </c>
    </row>
    <row r="29">
      <c r="A29" t="n">
        <v>27</v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Engine'!$N$3:$N$232,$M29)</f>
        <v/>
      </c>
      <c r="H29" s="4">
        <f>INDEX('Draft Engine'!$R$3:$R$232,$M29)</f>
        <v/>
      </c>
      <c r="I29" s="4">
        <f>INDEX('Draft Engine'!$S$3:$S$232,$M29)</f>
        <v/>
      </c>
      <c r="J29" s="5" t="n"/>
      <c r="K29">
        <f>INDEX('Draft Engine'!$Z$3:$Z$232,$M29)</f>
        <v/>
      </c>
      <c r="L29">
        <f>INDEX('LIVE SOURCE'!$H$3:$H$232,$M29)</f>
        <v/>
      </c>
      <c r="M29" s="6">
        <f>MATCH($A29,'Draft Engine'!$Q$3:$Q$232,0)</f>
        <v/>
      </c>
      <c r="N29">
        <f>INDEX('LIVE SOURCE'!$L$3:$L$232,$M29)</f>
        <v/>
      </c>
    </row>
    <row r="30">
      <c r="A30" t="n">
        <v>28</v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Engine'!$N$3:$N$232,$M30)</f>
        <v/>
      </c>
      <c r="H30" s="4">
        <f>INDEX('Draft Engine'!$R$3:$R$232,$M30)</f>
        <v/>
      </c>
      <c r="I30" s="4">
        <f>INDEX('Draft Engine'!$S$3:$S$232,$M30)</f>
        <v/>
      </c>
      <c r="J30" s="5" t="n"/>
      <c r="K30">
        <f>INDEX('Draft Engine'!$Z$3:$Z$232,$M30)</f>
        <v/>
      </c>
      <c r="L30">
        <f>INDEX('LIVE SOURCE'!$H$3:$H$232,$M30)</f>
        <v/>
      </c>
      <c r="M30" s="6">
        <f>MATCH($A30,'Draft Engine'!$Q$3:$Q$232,0)</f>
        <v/>
      </c>
      <c r="N30">
        <f>INDEX('LIVE SOURCE'!$L$3:$L$232,$M30)</f>
        <v/>
      </c>
    </row>
    <row r="31">
      <c r="A31" t="n">
        <v>29</v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Engine'!$N$3:$N$232,$M31)</f>
        <v/>
      </c>
      <c r="H31" s="4">
        <f>INDEX('Draft Engine'!$R$3:$R$232,$M31)</f>
        <v/>
      </c>
      <c r="I31" s="4">
        <f>INDEX('Draft Engine'!$S$3:$S$232,$M31)</f>
        <v/>
      </c>
      <c r="J31" s="5" t="n"/>
      <c r="K31">
        <f>INDEX('Draft Engine'!$Z$3:$Z$232,$M31)</f>
        <v/>
      </c>
      <c r="L31">
        <f>INDEX('LIVE SOURCE'!$H$3:$H$232,$M31)</f>
        <v/>
      </c>
      <c r="M31" s="6">
        <f>MATCH($A31,'Draft Engine'!$Q$3:$Q$232,0)</f>
        <v/>
      </c>
      <c r="N31">
        <f>INDEX('LIVE SOURCE'!$L$3:$L$232,$M31)</f>
        <v/>
      </c>
    </row>
    <row r="32">
      <c r="A32" t="n">
        <v>30</v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Engine'!$N$3:$N$232,$M32)</f>
        <v/>
      </c>
      <c r="H32" s="4">
        <f>INDEX('Draft Engine'!$R$3:$R$232,$M32)</f>
        <v/>
      </c>
      <c r="I32" s="4">
        <f>INDEX('Draft Engine'!$S$3:$S$232,$M32)</f>
        <v/>
      </c>
      <c r="J32" s="5" t="n"/>
      <c r="K32">
        <f>INDEX('Draft Engine'!$Z$3:$Z$232,$M32)</f>
        <v/>
      </c>
      <c r="L32">
        <f>INDEX('LIVE SOURCE'!$H$3:$H$232,$M32)</f>
        <v/>
      </c>
      <c r="M32" s="6">
        <f>MATCH($A32,'Draft Engine'!$Q$3:$Q$232,0)</f>
        <v/>
      </c>
      <c r="N32">
        <f>INDEX('LIVE SOURCE'!$L$3:$L$232,$M32)</f>
        <v/>
      </c>
    </row>
    <row r="33">
      <c r="A33" t="n">
        <v>31</v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Engine'!$N$3:$N$232,$M33)</f>
        <v/>
      </c>
      <c r="H33" s="4">
        <f>INDEX('Draft Engine'!$R$3:$R$232,$M33)</f>
        <v/>
      </c>
      <c r="I33" s="4">
        <f>INDEX('Draft Engine'!$S$3:$S$232,$M33)</f>
        <v/>
      </c>
      <c r="J33" s="5" t="n"/>
      <c r="K33">
        <f>INDEX('Draft Engine'!$Z$3:$Z$232,$M33)</f>
        <v/>
      </c>
      <c r="L33">
        <f>INDEX('LIVE SOURCE'!$H$3:$H$232,$M33)</f>
        <v/>
      </c>
      <c r="M33" s="6">
        <f>MATCH($A33,'Draft Engine'!$Q$3:$Q$232,0)</f>
        <v/>
      </c>
      <c r="N33">
        <f>INDEX('LIVE SOURCE'!$L$3:$L$232,$M33)</f>
        <v/>
      </c>
    </row>
    <row r="34">
      <c r="A34" t="n">
        <v>32</v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Engine'!$N$3:$N$232,$M34)</f>
        <v/>
      </c>
      <c r="H34" s="4">
        <f>INDEX('Draft Engine'!$R$3:$R$232,$M34)</f>
        <v/>
      </c>
      <c r="I34" s="4">
        <f>INDEX('Draft Engine'!$S$3:$S$232,$M34)</f>
        <v/>
      </c>
      <c r="J34" s="5" t="n"/>
      <c r="K34">
        <f>INDEX('Draft Engine'!$Z$3:$Z$232,$M34)</f>
        <v/>
      </c>
      <c r="L34">
        <f>INDEX('LIVE SOURCE'!$H$3:$H$232,$M34)</f>
        <v/>
      </c>
      <c r="M34" s="6">
        <f>MATCH($A34,'Draft Engine'!$Q$3:$Q$232,0)</f>
        <v/>
      </c>
      <c r="N34">
        <f>INDEX('LIVE SOURCE'!$L$3:$L$232,$M34)</f>
        <v/>
      </c>
    </row>
    <row r="35">
      <c r="A35" t="n">
        <v>33</v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Engine'!$N$3:$N$232,$M35)</f>
        <v/>
      </c>
      <c r="H35" s="4">
        <f>INDEX('Draft Engine'!$R$3:$R$232,$M35)</f>
        <v/>
      </c>
      <c r="I35" s="4">
        <f>INDEX('Draft Engine'!$S$3:$S$232,$M35)</f>
        <v/>
      </c>
      <c r="J35" s="5" t="n"/>
      <c r="K35">
        <f>INDEX('Draft Engine'!$Z$3:$Z$232,$M35)</f>
        <v/>
      </c>
      <c r="L35">
        <f>INDEX('LIVE SOURCE'!$H$3:$H$232,$M35)</f>
        <v/>
      </c>
      <c r="M35" s="6">
        <f>MATCH($A35,'Draft Engine'!$Q$3:$Q$232,0)</f>
        <v/>
      </c>
      <c r="N35">
        <f>INDEX('LIVE SOURCE'!$L$3:$L$232,$M35)</f>
        <v/>
      </c>
    </row>
    <row r="36">
      <c r="A36" t="n">
        <v>34</v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Engine'!$N$3:$N$232,$M36)</f>
        <v/>
      </c>
      <c r="H36" s="4">
        <f>INDEX('Draft Engine'!$R$3:$R$232,$M36)</f>
        <v/>
      </c>
      <c r="I36" s="4">
        <f>INDEX('Draft Engine'!$S$3:$S$232,$M36)</f>
        <v/>
      </c>
      <c r="J36" s="5" t="n"/>
      <c r="K36">
        <f>INDEX('Draft Engine'!$Z$3:$Z$232,$M36)</f>
        <v/>
      </c>
      <c r="L36">
        <f>INDEX('LIVE SOURCE'!$H$3:$H$232,$M36)</f>
        <v/>
      </c>
      <c r="M36" s="6">
        <f>MATCH($A36,'Draft Engine'!$Q$3:$Q$232,0)</f>
        <v/>
      </c>
      <c r="N36">
        <f>INDEX('LIVE SOURCE'!$L$3:$L$232,$M36)</f>
        <v/>
      </c>
    </row>
    <row r="37">
      <c r="A37" t="n">
        <v>35</v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Engine'!$N$3:$N$232,$M37)</f>
        <v/>
      </c>
      <c r="H37" s="4">
        <f>INDEX('Draft Engine'!$R$3:$R$232,$M37)</f>
        <v/>
      </c>
      <c r="I37" s="4">
        <f>INDEX('Draft Engine'!$S$3:$S$232,$M37)</f>
        <v/>
      </c>
      <c r="J37" s="5" t="n"/>
      <c r="K37">
        <f>INDEX('Draft Engine'!$Z$3:$Z$232,$M37)</f>
        <v/>
      </c>
      <c r="L37">
        <f>INDEX('LIVE SOURCE'!$H$3:$H$232,$M37)</f>
        <v/>
      </c>
      <c r="M37" s="6">
        <f>MATCH($A37,'Draft Engine'!$Q$3:$Q$232,0)</f>
        <v/>
      </c>
      <c r="N37">
        <f>INDEX('LIVE SOURCE'!$L$3:$L$232,$M37)</f>
        <v/>
      </c>
    </row>
    <row r="38">
      <c r="A38" t="n">
        <v>36</v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Engine'!$N$3:$N$232,$M38)</f>
        <v/>
      </c>
      <c r="H38" s="4">
        <f>INDEX('Draft Engine'!$R$3:$R$232,$M38)</f>
        <v/>
      </c>
      <c r="I38" s="4">
        <f>INDEX('Draft Engine'!$S$3:$S$232,$M38)</f>
        <v/>
      </c>
      <c r="J38" s="5" t="n"/>
      <c r="K38">
        <f>INDEX('Draft Engine'!$Z$3:$Z$232,$M38)</f>
        <v/>
      </c>
      <c r="L38">
        <f>INDEX('LIVE SOURCE'!$H$3:$H$232,$M38)</f>
        <v/>
      </c>
      <c r="M38" s="6">
        <f>MATCH($A38,'Draft Engine'!$Q$3:$Q$232,0)</f>
        <v/>
      </c>
      <c r="N38">
        <f>INDEX('LIVE SOURCE'!$L$3:$L$232,$M38)</f>
        <v/>
      </c>
    </row>
    <row r="39">
      <c r="A39" t="n">
        <v>37</v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Engine'!$N$3:$N$232,$M39)</f>
        <v/>
      </c>
      <c r="H39" s="4">
        <f>INDEX('Draft Engine'!$R$3:$R$232,$M39)</f>
        <v/>
      </c>
      <c r="I39" s="4">
        <f>INDEX('Draft Engine'!$S$3:$S$232,$M39)</f>
        <v/>
      </c>
      <c r="J39" s="5" t="n"/>
      <c r="K39">
        <f>INDEX('Draft Engine'!$Z$3:$Z$232,$M39)</f>
        <v/>
      </c>
      <c r="L39">
        <f>INDEX('LIVE SOURCE'!$H$3:$H$232,$M39)</f>
        <v/>
      </c>
      <c r="M39" s="6">
        <f>MATCH($A39,'Draft Engine'!$Q$3:$Q$232,0)</f>
        <v/>
      </c>
      <c r="N39">
        <f>INDEX('LIVE SOURCE'!$L$3:$L$232,$M39)</f>
        <v/>
      </c>
    </row>
    <row r="40">
      <c r="A40" t="n">
        <v>38</v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Engine'!$N$3:$N$232,$M40)</f>
        <v/>
      </c>
      <c r="H40" s="4">
        <f>INDEX('Draft Engine'!$R$3:$R$232,$M40)</f>
        <v/>
      </c>
      <c r="I40" s="4">
        <f>INDEX('Draft Engine'!$S$3:$S$232,$M40)</f>
        <v/>
      </c>
      <c r="J40" s="5" t="n"/>
      <c r="K40">
        <f>INDEX('Draft Engine'!$Z$3:$Z$232,$M40)</f>
        <v/>
      </c>
      <c r="L40">
        <f>INDEX('LIVE SOURCE'!$H$3:$H$232,$M40)</f>
        <v/>
      </c>
      <c r="M40" s="6">
        <f>MATCH($A40,'Draft Engine'!$Q$3:$Q$232,0)</f>
        <v/>
      </c>
      <c r="N40">
        <f>INDEX('LIVE SOURCE'!$L$3:$L$232,$M40)</f>
        <v/>
      </c>
    </row>
    <row r="41">
      <c r="A41" t="n">
        <v>39</v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Engine'!$N$3:$N$232,$M41)</f>
        <v/>
      </c>
      <c r="H41" s="4">
        <f>INDEX('Draft Engine'!$R$3:$R$232,$M41)</f>
        <v/>
      </c>
      <c r="I41" s="4">
        <f>INDEX('Draft Engine'!$S$3:$S$232,$M41)</f>
        <v/>
      </c>
      <c r="J41" s="5" t="n"/>
      <c r="K41">
        <f>INDEX('Draft Engine'!$Z$3:$Z$232,$M41)</f>
        <v/>
      </c>
      <c r="L41">
        <f>INDEX('LIVE SOURCE'!$H$3:$H$232,$M41)</f>
        <v/>
      </c>
      <c r="M41" s="6">
        <f>MATCH($A41,'Draft Engine'!$Q$3:$Q$232,0)</f>
        <v/>
      </c>
      <c r="N41">
        <f>INDEX('LIVE SOURCE'!$L$3:$L$232,$M41)</f>
        <v/>
      </c>
    </row>
    <row r="42">
      <c r="A42" t="n">
        <v>40</v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Engine'!$N$3:$N$232,$M42)</f>
        <v/>
      </c>
      <c r="H42" s="4">
        <f>INDEX('Draft Engine'!$R$3:$R$232,$M42)</f>
        <v/>
      </c>
      <c r="I42" s="4">
        <f>INDEX('Draft Engine'!$S$3:$S$232,$M42)</f>
        <v/>
      </c>
      <c r="J42" s="5" t="n"/>
      <c r="K42">
        <f>INDEX('Draft Engine'!$Z$3:$Z$232,$M42)</f>
        <v/>
      </c>
      <c r="L42">
        <f>INDEX('LIVE SOURCE'!$H$3:$H$232,$M42)</f>
        <v/>
      </c>
      <c r="M42" s="6">
        <f>MATCH($A42,'Draft Engine'!$Q$3:$Q$232,0)</f>
        <v/>
      </c>
      <c r="N42">
        <f>INDEX('LIVE SOURCE'!$L$3:$L$232,$M42)</f>
        <v/>
      </c>
    </row>
    <row r="43">
      <c r="A43" t="n">
        <v>41</v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Engine'!$N$3:$N$232,$M43)</f>
        <v/>
      </c>
      <c r="H43" s="4">
        <f>INDEX('Draft Engine'!$R$3:$R$232,$M43)</f>
        <v/>
      </c>
      <c r="I43" s="4">
        <f>INDEX('Draft Engine'!$S$3:$S$232,$M43)</f>
        <v/>
      </c>
      <c r="J43" s="5" t="n"/>
      <c r="K43">
        <f>INDEX('Draft Engine'!$Z$3:$Z$232,$M43)</f>
        <v/>
      </c>
      <c r="L43">
        <f>INDEX('LIVE SOURCE'!$H$3:$H$232,$M43)</f>
        <v/>
      </c>
      <c r="M43" s="6">
        <f>MATCH($A43,'Draft Engine'!$Q$3:$Q$232,0)</f>
        <v/>
      </c>
      <c r="N43">
        <f>INDEX('LIVE SOURCE'!$L$3:$L$232,$M43)</f>
        <v/>
      </c>
    </row>
    <row r="44">
      <c r="A44" t="n">
        <v>42</v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Engine'!$N$3:$N$232,$M44)</f>
        <v/>
      </c>
      <c r="H44" s="4">
        <f>INDEX('Draft Engine'!$R$3:$R$232,$M44)</f>
        <v/>
      </c>
      <c r="I44" s="4">
        <f>INDEX('Draft Engine'!$S$3:$S$232,$M44)</f>
        <v/>
      </c>
      <c r="J44" s="5" t="n"/>
      <c r="K44">
        <f>INDEX('Draft Engine'!$Z$3:$Z$232,$M44)</f>
        <v/>
      </c>
      <c r="L44">
        <f>INDEX('LIVE SOURCE'!$H$3:$H$232,$M44)</f>
        <v/>
      </c>
      <c r="M44" s="6">
        <f>MATCH($A44,'Draft Engine'!$Q$3:$Q$232,0)</f>
        <v/>
      </c>
      <c r="N44">
        <f>INDEX('LIVE SOURCE'!$L$3:$L$232,$M44)</f>
        <v/>
      </c>
    </row>
    <row r="45">
      <c r="A45" t="n">
        <v>43</v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Engine'!$N$3:$N$232,$M45)</f>
        <v/>
      </c>
      <c r="H45" s="4">
        <f>INDEX('Draft Engine'!$R$3:$R$232,$M45)</f>
        <v/>
      </c>
      <c r="I45" s="4">
        <f>INDEX('Draft Engine'!$S$3:$S$232,$M45)</f>
        <v/>
      </c>
      <c r="J45" s="5" t="n"/>
      <c r="K45">
        <f>INDEX('Draft Engine'!$Z$3:$Z$232,$M45)</f>
        <v/>
      </c>
      <c r="L45">
        <f>INDEX('LIVE SOURCE'!$H$3:$H$232,$M45)</f>
        <v/>
      </c>
      <c r="M45" s="6">
        <f>MATCH($A45,'Draft Engine'!$Q$3:$Q$232,0)</f>
        <v/>
      </c>
      <c r="N45">
        <f>INDEX('LIVE SOURCE'!$L$3:$L$232,$M45)</f>
        <v/>
      </c>
    </row>
    <row r="46">
      <c r="A46" t="n">
        <v>44</v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Engine'!$N$3:$N$232,$M46)</f>
        <v/>
      </c>
      <c r="H46" s="4">
        <f>INDEX('Draft Engine'!$R$3:$R$232,$M46)</f>
        <v/>
      </c>
      <c r="I46" s="4">
        <f>INDEX('Draft Engine'!$S$3:$S$232,$M46)</f>
        <v/>
      </c>
      <c r="J46" s="5" t="n"/>
      <c r="K46">
        <f>INDEX('Draft Engine'!$Z$3:$Z$232,$M46)</f>
        <v/>
      </c>
      <c r="L46">
        <f>INDEX('LIVE SOURCE'!$H$3:$H$232,$M46)</f>
        <v/>
      </c>
      <c r="M46" s="6">
        <f>MATCH($A46,'Draft Engine'!$Q$3:$Q$232,0)</f>
        <v/>
      </c>
      <c r="N46">
        <f>INDEX('LIVE SOURCE'!$L$3:$L$232,$M46)</f>
        <v/>
      </c>
    </row>
    <row r="47">
      <c r="A47" t="n">
        <v>45</v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Engine'!$N$3:$N$232,$M47)</f>
        <v/>
      </c>
      <c r="H47" s="4">
        <f>INDEX('Draft Engine'!$R$3:$R$232,$M47)</f>
        <v/>
      </c>
      <c r="I47" s="4">
        <f>INDEX('Draft Engine'!$S$3:$S$232,$M47)</f>
        <v/>
      </c>
      <c r="J47" s="5" t="n"/>
      <c r="K47">
        <f>INDEX('Draft Engine'!$Z$3:$Z$232,$M47)</f>
        <v/>
      </c>
      <c r="L47">
        <f>INDEX('LIVE SOURCE'!$H$3:$H$232,$M47)</f>
        <v/>
      </c>
      <c r="M47" s="6">
        <f>MATCH($A47,'Draft Engine'!$Q$3:$Q$232,0)</f>
        <v/>
      </c>
      <c r="N47">
        <f>INDEX('LIVE SOURCE'!$L$3:$L$232,$M47)</f>
        <v/>
      </c>
    </row>
    <row r="48">
      <c r="A48" t="n">
        <v>46</v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Engine'!$N$3:$N$232,$M48)</f>
        <v/>
      </c>
      <c r="H48" s="4">
        <f>INDEX('Draft Engine'!$R$3:$R$232,$M48)</f>
        <v/>
      </c>
      <c r="I48" s="4">
        <f>INDEX('Draft Engine'!$S$3:$S$232,$M48)</f>
        <v/>
      </c>
      <c r="J48" s="5" t="n"/>
      <c r="K48">
        <f>INDEX('Draft Engine'!$Z$3:$Z$232,$M48)</f>
        <v/>
      </c>
      <c r="L48">
        <f>INDEX('LIVE SOURCE'!$H$3:$H$232,$M48)</f>
        <v/>
      </c>
      <c r="M48" s="6">
        <f>MATCH($A48,'Draft Engine'!$Q$3:$Q$232,0)</f>
        <v/>
      </c>
      <c r="N48">
        <f>INDEX('LIVE SOURCE'!$L$3:$L$232,$M48)</f>
        <v/>
      </c>
    </row>
    <row r="49">
      <c r="A49" t="n">
        <v>47</v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Engine'!$N$3:$N$232,$M49)</f>
        <v/>
      </c>
      <c r="H49" s="4">
        <f>INDEX('Draft Engine'!$R$3:$R$232,$M49)</f>
        <v/>
      </c>
      <c r="I49" s="4">
        <f>INDEX('Draft Engine'!$S$3:$S$232,$M49)</f>
        <v/>
      </c>
      <c r="J49" s="5" t="n"/>
      <c r="K49">
        <f>INDEX('Draft Engine'!$Z$3:$Z$232,$M49)</f>
        <v/>
      </c>
      <c r="L49">
        <f>INDEX('LIVE SOURCE'!$H$3:$H$232,$M49)</f>
        <v/>
      </c>
      <c r="M49" s="6">
        <f>MATCH($A49,'Draft Engine'!$Q$3:$Q$232,0)</f>
        <v/>
      </c>
      <c r="N49">
        <f>INDEX('LIVE SOURCE'!$L$3:$L$232,$M49)</f>
        <v/>
      </c>
    </row>
    <row r="50">
      <c r="A50" t="n">
        <v>48</v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Engine'!$N$3:$N$232,$M50)</f>
        <v/>
      </c>
      <c r="H50" s="4">
        <f>INDEX('Draft Engine'!$R$3:$R$232,$M50)</f>
        <v/>
      </c>
      <c r="I50" s="4">
        <f>INDEX('Draft Engine'!$S$3:$S$232,$M50)</f>
        <v/>
      </c>
      <c r="J50" s="5" t="n"/>
      <c r="K50">
        <f>INDEX('Draft Engine'!$Z$3:$Z$232,$M50)</f>
        <v/>
      </c>
      <c r="L50">
        <f>INDEX('LIVE SOURCE'!$H$3:$H$232,$M50)</f>
        <v/>
      </c>
      <c r="M50" s="6">
        <f>MATCH($A50,'Draft Engine'!$Q$3:$Q$232,0)</f>
        <v/>
      </c>
      <c r="N50">
        <f>INDEX('LIVE SOURCE'!$L$3:$L$232,$M50)</f>
        <v/>
      </c>
    </row>
    <row r="51">
      <c r="A51" t="n">
        <v>49</v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Engine'!$N$3:$N$232,$M51)</f>
        <v/>
      </c>
      <c r="H51" s="4">
        <f>INDEX('Draft Engine'!$R$3:$R$232,$M51)</f>
        <v/>
      </c>
      <c r="I51" s="4">
        <f>INDEX('Draft Engine'!$S$3:$S$232,$M51)</f>
        <v/>
      </c>
      <c r="J51" s="5" t="n"/>
      <c r="K51">
        <f>INDEX('Draft Engine'!$Z$3:$Z$232,$M51)</f>
        <v/>
      </c>
      <c r="L51">
        <f>INDEX('LIVE SOURCE'!$H$3:$H$232,$M51)</f>
        <v/>
      </c>
      <c r="M51" s="6">
        <f>MATCH($A51,'Draft Engine'!$Q$3:$Q$232,0)</f>
        <v/>
      </c>
      <c r="N51">
        <f>INDEX('LIVE SOURCE'!$L$3:$L$232,$M51)</f>
        <v/>
      </c>
    </row>
    <row r="52">
      <c r="A52" t="n">
        <v>50</v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Engine'!$N$3:$N$232,$M52)</f>
        <v/>
      </c>
      <c r="H52" s="4">
        <f>INDEX('Draft Engine'!$R$3:$R$232,$M52)</f>
        <v/>
      </c>
      <c r="I52" s="4">
        <f>INDEX('Draft Engine'!$S$3:$S$232,$M52)</f>
        <v/>
      </c>
      <c r="J52" s="5" t="n"/>
      <c r="K52">
        <f>INDEX('Draft Engine'!$Z$3:$Z$232,$M52)</f>
        <v/>
      </c>
      <c r="L52">
        <f>INDEX('LIVE SOURCE'!$H$3:$H$232,$M52)</f>
        <v/>
      </c>
      <c r="M52" s="6">
        <f>MATCH($A52,'Draft Engine'!$Q$3:$Q$232,0)</f>
        <v/>
      </c>
      <c r="N52">
        <f>INDEX('LIVE SOURCE'!$L$3:$L$232,$M52)</f>
        <v/>
      </c>
    </row>
    <row r="53">
      <c r="A53" t="n">
        <v>51</v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Engine'!$N$3:$N$232,$M53)</f>
        <v/>
      </c>
      <c r="H53" s="4">
        <f>INDEX('Draft Engine'!$R$3:$R$232,$M53)</f>
        <v/>
      </c>
      <c r="I53" s="4">
        <f>INDEX('Draft Engine'!$S$3:$S$232,$M53)</f>
        <v/>
      </c>
      <c r="J53" s="5" t="n"/>
      <c r="K53">
        <f>INDEX('Draft Engine'!$Z$3:$Z$232,$M53)</f>
        <v/>
      </c>
      <c r="L53">
        <f>INDEX('LIVE SOURCE'!$H$3:$H$232,$M53)</f>
        <v/>
      </c>
      <c r="M53" s="6">
        <f>MATCH($A53,'Draft Engine'!$Q$3:$Q$232,0)</f>
        <v/>
      </c>
      <c r="N53">
        <f>INDEX('LIVE SOURCE'!$L$3:$L$232,$M53)</f>
        <v/>
      </c>
    </row>
    <row r="54">
      <c r="A54" t="n">
        <v>52</v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Engine'!$N$3:$N$232,$M54)</f>
        <v/>
      </c>
      <c r="H54" s="4">
        <f>INDEX('Draft Engine'!$R$3:$R$232,$M54)</f>
        <v/>
      </c>
      <c r="I54" s="4">
        <f>INDEX('Draft Engine'!$S$3:$S$232,$M54)</f>
        <v/>
      </c>
      <c r="J54" s="5" t="n"/>
      <c r="K54">
        <f>INDEX('Draft Engine'!$Z$3:$Z$232,$M54)</f>
        <v/>
      </c>
      <c r="L54">
        <f>INDEX('LIVE SOURCE'!$H$3:$H$232,$M54)</f>
        <v/>
      </c>
      <c r="M54" s="6">
        <f>MATCH($A54,'Draft Engine'!$Q$3:$Q$232,0)</f>
        <v/>
      </c>
      <c r="N54">
        <f>INDEX('LIVE SOURCE'!$L$3:$L$232,$M54)</f>
        <v/>
      </c>
    </row>
    <row r="55">
      <c r="A55" t="n">
        <v>53</v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Engine'!$N$3:$N$232,$M55)</f>
        <v/>
      </c>
      <c r="H55" s="4">
        <f>INDEX('Draft Engine'!$R$3:$R$232,$M55)</f>
        <v/>
      </c>
      <c r="I55" s="4">
        <f>INDEX('Draft Engine'!$S$3:$S$232,$M55)</f>
        <v/>
      </c>
      <c r="J55" s="5" t="n"/>
      <c r="K55">
        <f>INDEX('Draft Engine'!$Z$3:$Z$232,$M55)</f>
        <v/>
      </c>
      <c r="L55">
        <f>INDEX('LIVE SOURCE'!$H$3:$H$232,$M55)</f>
        <v/>
      </c>
      <c r="M55" s="6">
        <f>MATCH($A55,'Draft Engine'!$Q$3:$Q$232,0)</f>
        <v/>
      </c>
      <c r="N55">
        <f>INDEX('LIVE SOURCE'!$L$3:$L$232,$M55)</f>
        <v/>
      </c>
    </row>
    <row r="56">
      <c r="A56" t="n">
        <v>54</v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Engine'!$N$3:$N$232,$M56)</f>
        <v/>
      </c>
      <c r="H56" s="4">
        <f>INDEX('Draft Engine'!$R$3:$R$232,$M56)</f>
        <v/>
      </c>
      <c r="I56" s="4">
        <f>INDEX('Draft Engine'!$S$3:$S$232,$M56)</f>
        <v/>
      </c>
      <c r="J56" s="5" t="n"/>
      <c r="K56">
        <f>INDEX('Draft Engine'!$Z$3:$Z$232,$M56)</f>
        <v/>
      </c>
      <c r="L56">
        <f>INDEX('LIVE SOURCE'!$H$3:$H$232,$M56)</f>
        <v/>
      </c>
      <c r="M56" s="6">
        <f>MATCH($A56,'Draft Engine'!$Q$3:$Q$232,0)</f>
        <v/>
      </c>
      <c r="N56">
        <f>INDEX('LIVE SOURCE'!$L$3:$L$232,$M56)</f>
        <v/>
      </c>
    </row>
    <row r="57">
      <c r="A57" t="n">
        <v>55</v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Engine'!$N$3:$N$232,$M57)</f>
        <v/>
      </c>
      <c r="H57" s="4">
        <f>INDEX('Draft Engine'!$R$3:$R$232,$M57)</f>
        <v/>
      </c>
      <c r="I57" s="4">
        <f>INDEX('Draft Engine'!$S$3:$S$232,$M57)</f>
        <v/>
      </c>
      <c r="J57" s="5" t="n"/>
      <c r="K57">
        <f>INDEX('Draft Engine'!$Z$3:$Z$232,$M57)</f>
        <v/>
      </c>
      <c r="L57">
        <f>INDEX('LIVE SOURCE'!$H$3:$H$232,$M57)</f>
        <v/>
      </c>
      <c r="M57" s="6">
        <f>MATCH($A57,'Draft Engine'!$Q$3:$Q$232,0)</f>
        <v/>
      </c>
      <c r="N57">
        <f>INDEX('LIVE SOURCE'!$L$3:$L$232,$M57)</f>
        <v/>
      </c>
    </row>
    <row r="58">
      <c r="A58" t="n">
        <v>56</v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Engine'!$N$3:$N$232,$M58)</f>
        <v/>
      </c>
      <c r="H58" s="4">
        <f>INDEX('Draft Engine'!$R$3:$R$232,$M58)</f>
        <v/>
      </c>
      <c r="I58" s="4">
        <f>INDEX('Draft Engine'!$S$3:$S$232,$M58)</f>
        <v/>
      </c>
      <c r="J58" s="5" t="n"/>
      <c r="K58">
        <f>INDEX('Draft Engine'!$Z$3:$Z$232,$M58)</f>
        <v/>
      </c>
      <c r="L58">
        <f>INDEX('LIVE SOURCE'!$H$3:$H$232,$M58)</f>
        <v/>
      </c>
      <c r="M58" s="6">
        <f>MATCH($A58,'Draft Engine'!$Q$3:$Q$232,0)</f>
        <v/>
      </c>
      <c r="N58">
        <f>INDEX('LIVE SOURCE'!$L$3:$L$232,$M58)</f>
        <v/>
      </c>
    </row>
    <row r="59">
      <c r="A59" t="n">
        <v>57</v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Engine'!$N$3:$N$232,$M59)</f>
        <v/>
      </c>
      <c r="H59" s="4">
        <f>INDEX('Draft Engine'!$R$3:$R$232,$M59)</f>
        <v/>
      </c>
      <c r="I59" s="4">
        <f>INDEX('Draft Engine'!$S$3:$S$232,$M59)</f>
        <v/>
      </c>
      <c r="J59" s="5" t="n"/>
      <c r="K59">
        <f>INDEX('Draft Engine'!$Z$3:$Z$232,$M59)</f>
        <v/>
      </c>
      <c r="L59">
        <f>INDEX('LIVE SOURCE'!$H$3:$H$232,$M59)</f>
        <v/>
      </c>
      <c r="M59" s="6">
        <f>MATCH($A59,'Draft Engine'!$Q$3:$Q$232,0)</f>
        <v/>
      </c>
      <c r="N59">
        <f>INDEX('LIVE SOURCE'!$L$3:$L$232,$M59)</f>
        <v/>
      </c>
    </row>
    <row r="60">
      <c r="A60" t="n">
        <v>58</v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Engine'!$N$3:$N$232,$M60)</f>
        <v/>
      </c>
      <c r="H60" s="4">
        <f>INDEX('Draft Engine'!$R$3:$R$232,$M60)</f>
        <v/>
      </c>
      <c r="I60" s="4">
        <f>INDEX('Draft Engine'!$S$3:$S$232,$M60)</f>
        <v/>
      </c>
      <c r="J60" s="5" t="n"/>
      <c r="K60">
        <f>INDEX('Draft Engine'!$Z$3:$Z$232,$M60)</f>
        <v/>
      </c>
      <c r="L60">
        <f>INDEX('LIVE SOURCE'!$H$3:$H$232,$M60)</f>
        <v/>
      </c>
      <c r="M60" s="6">
        <f>MATCH($A60,'Draft Engine'!$Q$3:$Q$232,0)</f>
        <v/>
      </c>
      <c r="N60">
        <f>INDEX('LIVE SOURCE'!$L$3:$L$232,$M60)</f>
        <v/>
      </c>
    </row>
    <row r="61">
      <c r="A61" t="n">
        <v>59</v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Engine'!$N$3:$N$232,$M61)</f>
        <v/>
      </c>
      <c r="H61" s="4">
        <f>INDEX('Draft Engine'!$R$3:$R$232,$M61)</f>
        <v/>
      </c>
      <c r="I61" s="4">
        <f>INDEX('Draft Engine'!$S$3:$S$232,$M61)</f>
        <v/>
      </c>
      <c r="J61" s="5" t="n"/>
      <c r="K61">
        <f>INDEX('Draft Engine'!$Z$3:$Z$232,$M61)</f>
        <v/>
      </c>
      <c r="L61">
        <f>INDEX('LIVE SOURCE'!$H$3:$H$232,$M61)</f>
        <v/>
      </c>
      <c r="M61" s="6">
        <f>MATCH($A61,'Draft Engine'!$Q$3:$Q$232,0)</f>
        <v/>
      </c>
      <c r="N61">
        <f>INDEX('LIVE SOURCE'!$L$3:$L$232,$M61)</f>
        <v/>
      </c>
    </row>
    <row r="62">
      <c r="A62" t="n">
        <v>60</v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Engine'!$N$3:$N$232,$M62)</f>
        <v/>
      </c>
      <c r="H62" s="4">
        <f>INDEX('Draft Engine'!$R$3:$R$232,$M62)</f>
        <v/>
      </c>
      <c r="I62" s="4">
        <f>INDEX('Draft Engine'!$S$3:$S$232,$M62)</f>
        <v/>
      </c>
      <c r="J62" s="5" t="n"/>
      <c r="K62">
        <f>INDEX('Draft Engine'!$Z$3:$Z$232,$M62)</f>
        <v/>
      </c>
      <c r="L62">
        <f>INDEX('LIVE SOURCE'!$H$3:$H$232,$M62)</f>
        <v/>
      </c>
      <c r="M62" s="6">
        <f>MATCH($A62,'Draft Engine'!$Q$3:$Q$232,0)</f>
        <v/>
      </c>
      <c r="N62">
        <f>INDEX('LIVE SOURCE'!$L$3:$L$232,$M62)</f>
        <v/>
      </c>
    </row>
    <row r="63">
      <c r="A63" t="n">
        <v>61</v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Engine'!$N$3:$N$232,$M63)</f>
        <v/>
      </c>
      <c r="H63" s="4">
        <f>INDEX('Draft Engine'!$R$3:$R$232,$M63)</f>
        <v/>
      </c>
      <c r="I63" s="4">
        <f>INDEX('Draft Engine'!$S$3:$S$232,$M63)</f>
        <v/>
      </c>
      <c r="J63" s="5" t="n"/>
      <c r="K63">
        <f>INDEX('Draft Engine'!$Z$3:$Z$232,$M63)</f>
        <v/>
      </c>
      <c r="L63">
        <f>INDEX('LIVE SOURCE'!$H$3:$H$232,$M63)</f>
        <v/>
      </c>
      <c r="M63" s="6">
        <f>MATCH($A63,'Draft Engine'!$Q$3:$Q$232,0)</f>
        <v/>
      </c>
      <c r="N63">
        <f>INDEX('LIVE SOURCE'!$L$3:$L$232,$M63)</f>
        <v/>
      </c>
    </row>
    <row r="64">
      <c r="A64" t="n">
        <v>62</v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Engine'!$N$3:$N$232,$M64)</f>
        <v/>
      </c>
      <c r="H64" s="4">
        <f>INDEX('Draft Engine'!$R$3:$R$232,$M64)</f>
        <v/>
      </c>
      <c r="I64" s="4">
        <f>INDEX('Draft Engine'!$S$3:$S$232,$M64)</f>
        <v/>
      </c>
      <c r="J64" s="5" t="n"/>
      <c r="K64">
        <f>INDEX('Draft Engine'!$Z$3:$Z$232,$M64)</f>
        <v/>
      </c>
      <c r="L64">
        <f>INDEX('LIVE SOURCE'!$H$3:$H$232,$M64)</f>
        <v/>
      </c>
      <c r="M64" s="6">
        <f>MATCH($A64,'Draft Engine'!$Q$3:$Q$232,0)</f>
        <v/>
      </c>
      <c r="N64">
        <f>INDEX('LIVE SOURCE'!$L$3:$L$232,$M64)</f>
        <v/>
      </c>
    </row>
    <row r="65">
      <c r="A65" t="n">
        <v>63</v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Engine'!$N$3:$N$232,$M65)</f>
        <v/>
      </c>
      <c r="H65" s="4">
        <f>INDEX('Draft Engine'!$R$3:$R$232,$M65)</f>
        <v/>
      </c>
      <c r="I65" s="4">
        <f>INDEX('Draft Engine'!$S$3:$S$232,$M65)</f>
        <v/>
      </c>
      <c r="J65" s="5" t="n"/>
      <c r="K65">
        <f>INDEX('Draft Engine'!$Z$3:$Z$232,$M65)</f>
        <v/>
      </c>
      <c r="L65">
        <f>INDEX('LIVE SOURCE'!$H$3:$H$232,$M65)</f>
        <v/>
      </c>
      <c r="M65" s="6">
        <f>MATCH($A65,'Draft Engine'!$Q$3:$Q$232,0)</f>
        <v/>
      </c>
      <c r="N65">
        <f>INDEX('LIVE SOURCE'!$L$3:$L$232,$M65)</f>
        <v/>
      </c>
    </row>
    <row r="66">
      <c r="A66" t="n">
        <v>64</v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Engine'!$N$3:$N$232,$M66)</f>
        <v/>
      </c>
      <c r="H66" s="4">
        <f>INDEX('Draft Engine'!$R$3:$R$232,$M66)</f>
        <v/>
      </c>
      <c r="I66" s="4">
        <f>INDEX('Draft Engine'!$S$3:$S$232,$M66)</f>
        <v/>
      </c>
      <c r="J66" s="5" t="n"/>
      <c r="K66">
        <f>INDEX('Draft Engine'!$Z$3:$Z$232,$M66)</f>
        <v/>
      </c>
      <c r="L66">
        <f>INDEX('LIVE SOURCE'!$H$3:$H$232,$M66)</f>
        <v/>
      </c>
      <c r="M66" s="6">
        <f>MATCH($A66,'Draft Engine'!$Q$3:$Q$232,0)</f>
        <v/>
      </c>
      <c r="N66">
        <f>INDEX('LIVE SOURCE'!$L$3:$L$232,$M66)</f>
        <v/>
      </c>
    </row>
    <row r="67">
      <c r="A67" t="n">
        <v>65</v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Engine'!$N$3:$N$232,$M67)</f>
        <v/>
      </c>
      <c r="H67" s="4">
        <f>INDEX('Draft Engine'!$R$3:$R$232,$M67)</f>
        <v/>
      </c>
      <c r="I67" s="4">
        <f>INDEX('Draft Engine'!$S$3:$S$232,$M67)</f>
        <v/>
      </c>
      <c r="J67" s="5" t="n"/>
      <c r="K67">
        <f>INDEX('Draft Engine'!$Z$3:$Z$232,$M67)</f>
        <v/>
      </c>
      <c r="L67">
        <f>INDEX('LIVE SOURCE'!$H$3:$H$232,$M67)</f>
        <v/>
      </c>
      <c r="M67" s="6">
        <f>MATCH($A67,'Draft Engine'!$Q$3:$Q$232,0)</f>
        <v/>
      </c>
      <c r="N67">
        <f>INDEX('LIVE SOURCE'!$L$3:$L$232,$M67)</f>
        <v/>
      </c>
    </row>
    <row r="68">
      <c r="A68" t="n">
        <v>66</v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Engine'!$N$3:$N$232,$M68)</f>
        <v/>
      </c>
      <c r="H68" s="4">
        <f>INDEX('Draft Engine'!$R$3:$R$232,$M68)</f>
        <v/>
      </c>
      <c r="I68" s="4">
        <f>INDEX('Draft Engine'!$S$3:$S$232,$M68)</f>
        <v/>
      </c>
      <c r="J68" s="5" t="n"/>
      <c r="K68">
        <f>INDEX('Draft Engine'!$Z$3:$Z$232,$M68)</f>
        <v/>
      </c>
      <c r="L68">
        <f>INDEX('LIVE SOURCE'!$H$3:$H$232,$M68)</f>
        <v/>
      </c>
      <c r="M68" s="6">
        <f>MATCH($A68,'Draft Engine'!$Q$3:$Q$232,0)</f>
        <v/>
      </c>
      <c r="N68">
        <f>INDEX('LIVE SOURCE'!$L$3:$L$232,$M68)</f>
        <v/>
      </c>
    </row>
    <row r="69">
      <c r="A69" t="n">
        <v>67</v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Engine'!$N$3:$N$232,$M69)</f>
        <v/>
      </c>
      <c r="H69" s="4">
        <f>INDEX('Draft Engine'!$R$3:$R$232,$M69)</f>
        <v/>
      </c>
      <c r="I69" s="4">
        <f>INDEX('Draft Engine'!$S$3:$S$232,$M69)</f>
        <v/>
      </c>
      <c r="J69" s="5" t="n"/>
      <c r="K69">
        <f>INDEX('Draft Engine'!$Z$3:$Z$232,$M69)</f>
        <v/>
      </c>
      <c r="L69">
        <f>INDEX('LIVE SOURCE'!$H$3:$H$232,$M69)</f>
        <v/>
      </c>
      <c r="M69" s="6">
        <f>MATCH($A69,'Draft Engine'!$Q$3:$Q$232,0)</f>
        <v/>
      </c>
      <c r="N69">
        <f>INDEX('LIVE SOURCE'!$L$3:$L$232,$M69)</f>
        <v/>
      </c>
    </row>
    <row r="70">
      <c r="A70" t="n">
        <v>68</v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Engine'!$N$3:$N$232,$M70)</f>
        <v/>
      </c>
      <c r="H70" s="4">
        <f>INDEX('Draft Engine'!$R$3:$R$232,$M70)</f>
        <v/>
      </c>
      <c r="I70" s="4">
        <f>INDEX('Draft Engine'!$S$3:$S$232,$M70)</f>
        <v/>
      </c>
      <c r="J70" s="5" t="n"/>
      <c r="K70">
        <f>INDEX('Draft Engine'!$Z$3:$Z$232,$M70)</f>
        <v/>
      </c>
      <c r="L70">
        <f>INDEX('LIVE SOURCE'!$H$3:$H$232,$M70)</f>
        <v/>
      </c>
      <c r="M70" s="6">
        <f>MATCH($A70,'Draft Engine'!$Q$3:$Q$232,0)</f>
        <v/>
      </c>
      <c r="N70">
        <f>INDEX('LIVE SOURCE'!$L$3:$L$232,$M70)</f>
        <v/>
      </c>
    </row>
    <row r="71">
      <c r="A71" t="n">
        <v>69</v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Engine'!$N$3:$N$232,$M71)</f>
        <v/>
      </c>
      <c r="H71" s="4">
        <f>INDEX('Draft Engine'!$R$3:$R$232,$M71)</f>
        <v/>
      </c>
      <c r="I71" s="4">
        <f>INDEX('Draft Engine'!$S$3:$S$232,$M71)</f>
        <v/>
      </c>
      <c r="J71" s="5" t="n"/>
      <c r="K71">
        <f>INDEX('Draft Engine'!$Z$3:$Z$232,$M71)</f>
        <v/>
      </c>
      <c r="L71">
        <f>INDEX('LIVE SOURCE'!$H$3:$H$232,$M71)</f>
        <v/>
      </c>
      <c r="M71" s="6">
        <f>MATCH($A71,'Draft Engine'!$Q$3:$Q$232,0)</f>
        <v/>
      </c>
      <c r="N71">
        <f>INDEX('LIVE SOURCE'!$L$3:$L$232,$M71)</f>
        <v/>
      </c>
    </row>
    <row r="72">
      <c r="A72" t="n">
        <v>70</v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Engine'!$N$3:$N$232,$M72)</f>
        <v/>
      </c>
      <c r="H72" s="4">
        <f>INDEX('Draft Engine'!$R$3:$R$232,$M72)</f>
        <v/>
      </c>
      <c r="I72" s="4">
        <f>INDEX('Draft Engine'!$S$3:$S$232,$M72)</f>
        <v/>
      </c>
      <c r="J72" s="5" t="n"/>
      <c r="K72">
        <f>INDEX('Draft Engine'!$Z$3:$Z$232,$M72)</f>
        <v/>
      </c>
      <c r="L72">
        <f>INDEX('LIVE SOURCE'!$H$3:$H$232,$M72)</f>
        <v/>
      </c>
      <c r="M72" s="6">
        <f>MATCH($A72,'Draft Engine'!$Q$3:$Q$232,0)</f>
        <v/>
      </c>
      <c r="N72">
        <f>INDEX('LIVE SOURCE'!$L$3:$L$232,$M72)</f>
        <v/>
      </c>
    </row>
    <row r="73">
      <c r="A73" t="n">
        <v>71</v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Engine'!$N$3:$N$232,$M73)</f>
        <v/>
      </c>
      <c r="H73" s="4">
        <f>INDEX('Draft Engine'!$R$3:$R$232,$M73)</f>
        <v/>
      </c>
      <c r="I73" s="4">
        <f>INDEX('Draft Engine'!$S$3:$S$232,$M73)</f>
        <v/>
      </c>
      <c r="J73" s="5" t="n"/>
      <c r="K73">
        <f>INDEX('Draft Engine'!$Z$3:$Z$232,$M73)</f>
        <v/>
      </c>
      <c r="L73">
        <f>INDEX('LIVE SOURCE'!$H$3:$H$232,$M73)</f>
        <v/>
      </c>
      <c r="M73" s="6">
        <f>MATCH($A73,'Draft Engine'!$Q$3:$Q$232,0)</f>
        <v/>
      </c>
      <c r="N73">
        <f>INDEX('LIVE SOURCE'!$L$3:$L$232,$M73)</f>
        <v/>
      </c>
    </row>
    <row r="74">
      <c r="A74" t="n">
        <v>72</v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Engine'!$N$3:$N$232,$M74)</f>
        <v/>
      </c>
      <c r="H74" s="4">
        <f>INDEX('Draft Engine'!$R$3:$R$232,$M74)</f>
        <v/>
      </c>
      <c r="I74" s="4">
        <f>INDEX('Draft Engine'!$S$3:$S$232,$M74)</f>
        <v/>
      </c>
      <c r="J74" s="5" t="n"/>
      <c r="K74">
        <f>INDEX('Draft Engine'!$Z$3:$Z$232,$M74)</f>
        <v/>
      </c>
      <c r="L74">
        <f>INDEX('LIVE SOURCE'!$H$3:$H$232,$M74)</f>
        <v/>
      </c>
      <c r="M74" s="6">
        <f>MATCH($A74,'Draft Engine'!$Q$3:$Q$232,0)</f>
        <v/>
      </c>
      <c r="N74">
        <f>INDEX('LIVE SOURCE'!$L$3:$L$232,$M74)</f>
        <v/>
      </c>
    </row>
    <row r="75">
      <c r="A75" t="n">
        <v>73</v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Engine'!$N$3:$N$232,$M75)</f>
        <v/>
      </c>
      <c r="H75" s="4">
        <f>INDEX('Draft Engine'!$R$3:$R$232,$M75)</f>
        <v/>
      </c>
      <c r="I75" s="4">
        <f>INDEX('Draft Engine'!$S$3:$S$232,$M75)</f>
        <v/>
      </c>
      <c r="J75" s="5" t="n"/>
      <c r="K75">
        <f>INDEX('Draft Engine'!$Z$3:$Z$232,$M75)</f>
        <v/>
      </c>
      <c r="L75">
        <f>INDEX('LIVE SOURCE'!$H$3:$H$232,$M75)</f>
        <v/>
      </c>
      <c r="M75" s="6">
        <f>MATCH($A75,'Draft Engine'!$Q$3:$Q$232,0)</f>
        <v/>
      </c>
      <c r="N75">
        <f>INDEX('LIVE SOURCE'!$L$3:$L$232,$M75)</f>
        <v/>
      </c>
    </row>
    <row r="76">
      <c r="A76" t="n">
        <v>74</v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Engine'!$N$3:$N$232,$M76)</f>
        <v/>
      </c>
      <c r="H76" s="4">
        <f>INDEX('Draft Engine'!$R$3:$R$232,$M76)</f>
        <v/>
      </c>
      <c r="I76" s="4">
        <f>INDEX('Draft Engine'!$S$3:$S$232,$M76)</f>
        <v/>
      </c>
      <c r="J76" s="5" t="n"/>
      <c r="K76">
        <f>INDEX('Draft Engine'!$Z$3:$Z$232,$M76)</f>
        <v/>
      </c>
      <c r="L76">
        <f>INDEX('LIVE SOURCE'!$H$3:$H$232,$M76)</f>
        <v/>
      </c>
      <c r="M76" s="6">
        <f>MATCH($A76,'Draft Engine'!$Q$3:$Q$232,0)</f>
        <v/>
      </c>
      <c r="N76">
        <f>INDEX('LIVE SOURCE'!$L$3:$L$232,$M76)</f>
        <v/>
      </c>
    </row>
    <row r="77">
      <c r="A77" t="n">
        <v>75</v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Engine'!$N$3:$N$232,$M77)</f>
        <v/>
      </c>
      <c r="H77" s="4">
        <f>INDEX('Draft Engine'!$R$3:$R$232,$M77)</f>
        <v/>
      </c>
      <c r="I77" s="4">
        <f>INDEX('Draft Engine'!$S$3:$S$232,$M77)</f>
        <v/>
      </c>
      <c r="J77" s="5" t="n"/>
      <c r="K77">
        <f>INDEX('Draft Engine'!$Z$3:$Z$232,$M77)</f>
        <v/>
      </c>
      <c r="L77">
        <f>INDEX('LIVE SOURCE'!$H$3:$H$232,$M77)</f>
        <v/>
      </c>
      <c r="M77" s="6">
        <f>MATCH($A77,'Draft Engine'!$Q$3:$Q$232,0)</f>
        <v/>
      </c>
      <c r="N77">
        <f>INDEX('LIVE SOURCE'!$L$3:$L$232,$M77)</f>
        <v/>
      </c>
    </row>
    <row r="78">
      <c r="A78" t="n">
        <v>76</v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Engine'!$N$3:$N$232,$M78)</f>
        <v/>
      </c>
      <c r="H78" s="4">
        <f>INDEX('Draft Engine'!$R$3:$R$232,$M78)</f>
        <v/>
      </c>
      <c r="I78" s="4">
        <f>INDEX('Draft Engine'!$S$3:$S$232,$M78)</f>
        <v/>
      </c>
      <c r="J78" s="5" t="n"/>
      <c r="K78">
        <f>INDEX('Draft Engine'!$Z$3:$Z$232,$M78)</f>
        <v/>
      </c>
      <c r="L78">
        <f>INDEX('LIVE SOURCE'!$H$3:$H$232,$M78)</f>
        <v/>
      </c>
      <c r="M78" s="6">
        <f>MATCH($A78,'Draft Engine'!$Q$3:$Q$232,0)</f>
        <v/>
      </c>
      <c r="N78">
        <f>INDEX('LIVE SOURCE'!$L$3:$L$232,$M78)</f>
        <v/>
      </c>
    </row>
    <row r="79">
      <c r="A79" t="n">
        <v>77</v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Engine'!$N$3:$N$232,$M79)</f>
        <v/>
      </c>
      <c r="H79" s="4">
        <f>INDEX('Draft Engine'!$R$3:$R$232,$M79)</f>
        <v/>
      </c>
      <c r="I79" s="4">
        <f>INDEX('Draft Engine'!$S$3:$S$232,$M79)</f>
        <v/>
      </c>
      <c r="J79" s="5" t="n"/>
      <c r="K79">
        <f>INDEX('Draft Engine'!$Z$3:$Z$232,$M79)</f>
        <v/>
      </c>
      <c r="L79">
        <f>INDEX('LIVE SOURCE'!$H$3:$H$232,$M79)</f>
        <v/>
      </c>
      <c r="M79" s="6">
        <f>MATCH($A79,'Draft Engine'!$Q$3:$Q$232,0)</f>
        <v/>
      </c>
      <c r="N79">
        <f>INDEX('LIVE SOURCE'!$L$3:$L$232,$M79)</f>
        <v/>
      </c>
    </row>
    <row r="80">
      <c r="A80" t="n">
        <v>78</v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Engine'!$N$3:$N$232,$M80)</f>
        <v/>
      </c>
      <c r="H80" s="4">
        <f>INDEX('Draft Engine'!$R$3:$R$232,$M80)</f>
        <v/>
      </c>
      <c r="I80" s="4">
        <f>INDEX('Draft Engine'!$S$3:$S$232,$M80)</f>
        <v/>
      </c>
      <c r="J80" s="5" t="n"/>
      <c r="K80">
        <f>INDEX('Draft Engine'!$Z$3:$Z$232,$M80)</f>
        <v/>
      </c>
      <c r="L80">
        <f>INDEX('LIVE SOURCE'!$H$3:$H$232,$M80)</f>
        <v/>
      </c>
      <c r="M80" s="6">
        <f>MATCH($A80,'Draft Engine'!$Q$3:$Q$232,0)</f>
        <v/>
      </c>
      <c r="N80">
        <f>INDEX('LIVE SOURCE'!$L$3:$L$232,$M80)</f>
        <v/>
      </c>
    </row>
    <row r="81">
      <c r="A81" t="n">
        <v>79</v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Engine'!$N$3:$N$232,$M81)</f>
        <v/>
      </c>
      <c r="H81" s="4">
        <f>INDEX('Draft Engine'!$R$3:$R$232,$M81)</f>
        <v/>
      </c>
      <c r="I81" s="4">
        <f>INDEX('Draft Engine'!$S$3:$S$232,$M81)</f>
        <v/>
      </c>
      <c r="J81" s="5" t="n"/>
      <c r="K81">
        <f>INDEX('Draft Engine'!$Z$3:$Z$232,$M81)</f>
        <v/>
      </c>
      <c r="L81">
        <f>INDEX('LIVE SOURCE'!$H$3:$H$232,$M81)</f>
        <v/>
      </c>
      <c r="M81" s="6">
        <f>MATCH($A81,'Draft Engine'!$Q$3:$Q$232,0)</f>
        <v/>
      </c>
      <c r="N81">
        <f>INDEX('LIVE SOURCE'!$L$3:$L$232,$M81)</f>
        <v/>
      </c>
    </row>
    <row r="82">
      <c r="A82" t="n">
        <v>80</v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Engine'!$N$3:$N$232,$M82)</f>
        <v/>
      </c>
      <c r="H82" s="4">
        <f>INDEX('Draft Engine'!$R$3:$R$232,$M82)</f>
        <v/>
      </c>
      <c r="I82" s="4">
        <f>INDEX('Draft Engine'!$S$3:$S$232,$M82)</f>
        <v/>
      </c>
      <c r="J82" s="5" t="n"/>
      <c r="K82">
        <f>INDEX('Draft Engine'!$Z$3:$Z$232,$M82)</f>
        <v/>
      </c>
      <c r="L82">
        <f>INDEX('LIVE SOURCE'!$H$3:$H$232,$M82)</f>
        <v/>
      </c>
      <c r="M82" s="6">
        <f>MATCH($A82,'Draft Engine'!$Q$3:$Q$232,0)</f>
        <v/>
      </c>
      <c r="N82">
        <f>INDEX('LIVE SOURCE'!$L$3:$L$232,$M82)</f>
        <v/>
      </c>
    </row>
    <row r="83">
      <c r="A83" t="n">
        <v>81</v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Engine'!$N$3:$N$232,$M83)</f>
        <v/>
      </c>
      <c r="H83" s="4">
        <f>INDEX('Draft Engine'!$R$3:$R$232,$M83)</f>
        <v/>
      </c>
      <c r="I83" s="4">
        <f>INDEX('Draft Engine'!$S$3:$S$232,$M83)</f>
        <v/>
      </c>
      <c r="J83" s="5" t="n"/>
      <c r="K83">
        <f>INDEX('Draft Engine'!$Z$3:$Z$232,$M83)</f>
        <v/>
      </c>
      <c r="L83">
        <f>INDEX('LIVE SOURCE'!$H$3:$H$232,$M83)</f>
        <v/>
      </c>
      <c r="M83" s="6">
        <f>MATCH($A83,'Draft Engine'!$Q$3:$Q$232,0)</f>
        <v/>
      </c>
      <c r="N83">
        <f>INDEX('LIVE SOURCE'!$L$3:$L$232,$M83)</f>
        <v/>
      </c>
    </row>
    <row r="84">
      <c r="A84" t="n">
        <v>82</v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Engine'!$N$3:$N$232,$M84)</f>
        <v/>
      </c>
      <c r="H84" s="4">
        <f>INDEX('Draft Engine'!$R$3:$R$232,$M84)</f>
        <v/>
      </c>
      <c r="I84" s="4">
        <f>INDEX('Draft Engine'!$S$3:$S$232,$M84)</f>
        <v/>
      </c>
      <c r="J84" s="5" t="n"/>
      <c r="K84">
        <f>INDEX('Draft Engine'!$Z$3:$Z$232,$M84)</f>
        <v/>
      </c>
      <c r="L84">
        <f>INDEX('LIVE SOURCE'!$H$3:$H$232,$M84)</f>
        <v/>
      </c>
      <c r="M84" s="6">
        <f>MATCH($A84,'Draft Engine'!$Q$3:$Q$232,0)</f>
        <v/>
      </c>
      <c r="N84">
        <f>INDEX('LIVE SOURCE'!$L$3:$L$232,$M84)</f>
        <v/>
      </c>
    </row>
    <row r="85">
      <c r="A85" t="n">
        <v>83</v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Engine'!$N$3:$N$232,$M85)</f>
        <v/>
      </c>
      <c r="H85" s="4">
        <f>INDEX('Draft Engine'!$R$3:$R$232,$M85)</f>
        <v/>
      </c>
      <c r="I85" s="4">
        <f>INDEX('Draft Engine'!$S$3:$S$232,$M85)</f>
        <v/>
      </c>
      <c r="J85" s="5" t="n"/>
      <c r="K85">
        <f>INDEX('Draft Engine'!$Z$3:$Z$232,$M85)</f>
        <v/>
      </c>
      <c r="L85">
        <f>INDEX('LIVE SOURCE'!$H$3:$H$232,$M85)</f>
        <v/>
      </c>
      <c r="M85" s="6">
        <f>MATCH($A85,'Draft Engine'!$Q$3:$Q$232,0)</f>
        <v/>
      </c>
      <c r="N85">
        <f>INDEX('LIVE SOURCE'!$L$3:$L$232,$M85)</f>
        <v/>
      </c>
    </row>
    <row r="86">
      <c r="A86" t="n">
        <v>84</v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Engine'!$N$3:$N$232,$M86)</f>
        <v/>
      </c>
      <c r="H86" s="4">
        <f>INDEX('Draft Engine'!$R$3:$R$232,$M86)</f>
        <v/>
      </c>
      <c r="I86" s="4">
        <f>INDEX('Draft Engine'!$S$3:$S$232,$M86)</f>
        <v/>
      </c>
      <c r="J86" s="5" t="n"/>
      <c r="K86">
        <f>INDEX('Draft Engine'!$Z$3:$Z$232,$M86)</f>
        <v/>
      </c>
      <c r="L86">
        <f>INDEX('LIVE SOURCE'!$H$3:$H$232,$M86)</f>
        <v/>
      </c>
      <c r="M86" s="6">
        <f>MATCH($A86,'Draft Engine'!$Q$3:$Q$232,0)</f>
        <v/>
      </c>
      <c r="N86">
        <f>INDEX('LIVE SOURCE'!$L$3:$L$232,$M86)</f>
        <v/>
      </c>
    </row>
    <row r="87">
      <c r="A87" t="n">
        <v>85</v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Engine'!$N$3:$N$232,$M87)</f>
        <v/>
      </c>
      <c r="H87" s="4">
        <f>INDEX('Draft Engine'!$R$3:$R$232,$M87)</f>
        <v/>
      </c>
      <c r="I87" s="4">
        <f>INDEX('Draft Engine'!$S$3:$S$232,$M87)</f>
        <v/>
      </c>
      <c r="J87" s="5" t="n"/>
      <c r="K87">
        <f>INDEX('Draft Engine'!$Z$3:$Z$232,$M87)</f>
        <v/>
      </c>
      <c r="L87">
        <f>INDEX('LIVE SOURCE'!$H$3:$H$232,$M87)</f>
        <v/>
      </c>
      <c r="M87" s="6">
        <f>MATCH($A87,'Draft Engine'!$Q$3:$Q$232,0)</f>
        <v/>
      </c>
      <c r="N87">
        <f>INDEX('LIVE SOURCE'!$L$3:$L$232,$M87)</f>
        <v/>
      </c>
    </row>
    <row r="88">
      <c r="A88" t="n">
        <v>86</v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Engine'!$N$3:$N$232,$M88)</f>
        <v/>
      </c>
      <c r="H88" s="4">
        <f>INDEX('Draft Engine'!$R$3:$R$232,$M88)</f>
        <v/>
      </c>
      <c r="I88" s="4">
        <f>INDEX('Draft Engine'!$S$3:$S$232,$M88)</f>
        <v/>
      </c>
      <c r="J88" s="5" t="n"/>
      <c r="K88">
        <f>INDEX('Draft Engine'!$Z$3:$Z$232,$M88)</f>
        <v/>
      </c>
      <c r="L88">
        <f>INDEX('LIVE SOURCE'!$H$3:$H$232,$M88)</f>
        <v/>
      </c>
      <c r="M88" s="6">
        <f>MATCH($A88,'Draft Engine'!$Q$3:$Q$232,0)</f>
        <v/>
      </c>
      <c r="N88">
        <f>INDEX('LIVE SOURCE'!$L$3:$L$232,$M88)</f>
        <v/>
      </c>
    </row>
    <row r="89">
      <c r="A89" t="n">
        <v>87</v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Engine'!$N$3:$N$232,$M89)</f>
        <v/>
      </c>
      <c r="H89" s="4">
        <f>INDEX('Draft Engine'!$R$3:$R$232,$M89)</f>
        <v/>
      </c>
      <c r="I89" s="4">
        <f>INDEX('Draft Engine'!$S$3:$S$232,$M89)</f>
        <v/>
      </c>
      <c r="J89" s="5" t="n"/>
      <c r="K89">
        <f>INDEX('Draft Engine'!$Z$3:$Z$232,$M89)</f>
        <v/>
      </c>
      <c r="L89">
        <f>INDEX('LIVE SOURCE'!$H$3:$H$232,$M89)</f>
        <v/>
      </c>
      <c r="M89" s="6">
        <f>MATCH($A89,'Draft Engine'!$Q$3:$Q$232,0)</f>
        <v/>
      </c>
      <c r="N89">
        <f>INDEX('LIVE SOURCE'!$L$3:$L$232,$M89)</f>
        <v/>
      </c>
    </row>
    <row r="90">
      <c r="A90" t="n">
        <v>88</v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Engine'!$N$3:$N$232,$M90)</f>
        <v/>
      </c>
      <c r="H90" s="4">
        <f>INDEX('Draft Engine'!$R$3:$R$232,$M90)</f>
        <v/>
      </c>
      <c r="I90" s="4">
        <f>INDEX('Draft Engine'!$S$3:$S$232,$M90)</f>
        <v/>
      </c>
      <c r="J90" s="5" t="n"/>
      <c r="K90">
        <f>INDEX('Draft Engine'!$Z$3:$Z$232,$M90)</f>
        <v/>
      </c>
      <c r="L90">
        <f>INDEX('LIVE SOURCE'!$H$3:$H$232,$M90)</f>
        <v/>
      </c>
      <c r="M90" s="6">
        <f>MATCH($A90,'Draft Engine'!$Q$3:$Q$232,0)</f>
        <v/>
      </c>
      <c r="N90">
        <f>INDEX('LIVE SOURCE'!$L$3:$L$232,$M90)</f>
        <v/>
      </c>
    </row>
    <row r="91">
      <c r="A91" t="n">
        <v>89</v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Engine'!$N$3:$N$232,$M91)</f>
        <v/>
      </c>
      <c r="H91" s="4">
        <f>INDEX('Draft Engine'!$R$3:$R$232,$M91)</f>
        <v/>
      </c>
      <c r="I91" s="4">
        <f>INDEX('Draft Engine'!$S$3:$S$232,$M91)</f>
        <v/>
      </c>
      <c r="J91" s="5" t="n"/>
      <c r="K91">
        <f>INDEX('Draft Engine'!$Z$3:$Z$232,$M91)</f>
        <v/>
      </c>
      <c r="L91">
        <f>INDEX('LIVE SOURCE'!$H$3:$H$232,$M91)</f>
        <v/>
      </c>
      <c r="M91" s="6">
        <f>MATCH($A91,'Draft Engine'!$Q$3:$Q$232,0)</f>
        <v/>
      </c>
      <c r="N91">
        <f>INDEX('LIVE SOURCE'!$L$3:$L$232,$M91)</f>
        <v/>
      </c>
    </row>
    <row r="92">
      <c r="A92" t="n">
        <v>90</v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Engine'!$N$3:$N$232,$M92)</f>
        <v/>
      </c>
      <c r="H92" s="4">
        <f>INDEX('Draft Engine'!$R$3:$R$232,$M92)</f>
        <v/>
      </c>
      <c r="I92" s="4">
        <f>INDEX('Draft Engine'!$S$3:$S$232,$M92)</f>
        <v/>
      </c>
      <c r="J92" s="5" t="n"/>
      <c r="K92">
        <f>INDEX('Draft Engine'!$Z$3:$Z$232,$M92)</f>
        <v/>
      </c>
      <c r="L92">
        <f>INDEX('LIVE SOURCE'!$H$3:$H$232,$M92)</f>
        <v/>
      </c>
      <c r="M92" s="6">
        <f>MATCH($A92,'Draft Engine'!$Q$3:$Q$232,0)</f>
        <v/>
      </c>
      <c r="N92">
        <f>INDEX('LIVE SOURCE'!$L$3:$L$232,$M92)</f>
        <v/>
      </c>
    </row>
    <row r="93">
      <c r="A93" t="n">
        <v>91</v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Engine'!$N$3:$N$232,$M93)</f>
        <v/>
      </c>
      <c r="H93" s="4">
        <f>INDEX('Draft Engine'!$R$3:$R$232,$M93)</f>
        <v/>
      </c>
      <c r="I93" s="4">
        <f>INDEX('Draft Engine'!$S$3:$S$232,$M93)</f>
        <v/>
      </c>
      <c r="J93" s="5" t="n"/>
      <c r="K93">
        <f>INDEX('Draft Engine'!$Z$3:$Z$232,$M93)</f>
        <v/>
      </c>
      <c r="L93">
        <f>INDEX('LIVE SOURCE'!$H$3:$H$232,$M93)</f>
        <v/>
      </c>
      <c r="M93" s="6">
        <f>MATCH($A93,'Draft Engine'!$Q$3:$Q$232,0)</f>
        <v/>
      </c>
      <c r="N93">
        <f>INDEX('LIVE SOURCE'!$L$3:$L$232,$M93)</f>
        <v/>
      </c>
    </row>
    <row r="94">
      <c r="A94" t="n">
        <v>92</v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Engine'!$N$3:$N$232,$M94)</f>
        <v/>
      </c>
      <c r="H94" s="4">
        <f>INDEX('Draft Engine'!$R$3:$R$232,$M94)</f>
        <v/>
      </c>
      <c r="I94" s="4">
        <f>INDEX('Draft Engine'!$S$3:$S$232,$M94)</f>
        <v/>
      </c>
      <c r="J94" s="5" t="n"/>
      <c r="K94">
        <f>INDEX('Draft Engine'!$Z$3:$Z$232,$M94)</f>
        <v/>
      </c>
      <c r="L94">
        <f>INDEX('LIVE SOURCE'!$H$3:$H$232,$M94)</f>
        <v/>
      </c>
      <c r="M94" s="6">
        <f>MATCH($A94,'Draft Engine'!$Q$3:$Q$232,0)</f>
        <v/>
      </c>
      <c r="N94">
        <f>INDEX('LIVE SOURCE'!$L$3:$L$232,$M94)</f>
        <v/>
      </c>
    </row>
    <row r="95">
      <c r="A95" t="n">
        <v>93</v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Engine'!$N$3:$N$232,$M95)</f>
        <v/>
      </c>
      <c r="H95" s="4">
        <f>INDEX('Draft Engine'!$R$3:$R$232,$M95)</f>
        <v/>
      </c>
      <c r="I95" s="4">
        <f>INDEX('Draft Engine'!$S$3:$S$232,$M95)</f>
        <v/>
      </c>
      <c r="J95" s="5" t="n"/>
      <c r="K95">
        <f>INDEX('Draft Engine'!$Z$3:$Z$232,$M95)</f>
        <v/>
      </c>
      <c r="L95">
        <f>INDEX('LIVE SOURCE'!$H$3:$H$232,$M95)</f>
        <v/>
      </c>
      <c r="M95" s="6">
        <f>MATCH($A95,'Draft Engine'!$Q$3:$Q$232,0)</f>
        <v/>
      </c>
      <c r="N95">
        <f>INDEX('LIVE SOURCE'!$L$3:$L$232,$M95)</f>
        <v/>
      </c>
    </row>
    <row r="96">
      <c r="A96" t="n">
        <v>94</v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Engine'!$N$3:$N$232,$M96)</f>
        <v/>
      </c>
      <c r="H96" s="4">
        <f>INDEX('Draft Engine'!$R$3:$R$232,$M96)</f>
        <v/>
      </c>
      <c r="I96" s="4">
        <f>INDEX('Draft Engine'!$S$3:$S$232,$M96)</f>
        <v/>
      </c>
      <c r="J96" s="5" t="n"/>
      <c r="K96">
        <f>INDEX('Draft Engine'!$Z$3:$Z$232,$M96)</f>
        <v/>
      </c>
      <c r="L96">
        <f>INDEX('LIVE SOURCE'!$H$3:$H$232,$M96)</f>
        <v/>
      </c>
      <c r="M96" s="6">
        <f>MATCH($A96,'Draft Engine'!$Q$3:$Q$232,0)</f>
        <v/>
      </c>
      <c r="N96">
        <f>INDEX('LIVE SOURCE'!$L$3:$L$232,$M96)</f>
        <v/>
      </c>
    </row>
    <row r="97">
      <c r="A97" t="n">
        <v>95</v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Engine'!$N$3:$N$232,$M97)</f>
        <v/>
      </c>
      <c r="H97" s="4">
        <f>INDEX('Draft Engine'!$R$3:$R$232,$M97)</f>
        <v/>
      </c>
      <c r="I97" s="4">
        <f>INDEX('Draft Engine'!$S$3:$S$232,$M97)</f>
        <v/>
      </c>
      <c r="J97" s="5" t="n"/>
      <c r="K97">
        <f>INDEX('Draft Engine'!$Z$3:$Z$232,$M97)</f>
        <v/>
      </c>
      <c r="L97">
        <f>INDEX('LIVE SOURCE'!$H$3:$H$232,$M97)</f>
        <v/>
      </c>
      <c r="M97" s="6">
        <f>MATCH($A97,'Draft Engine'!$Q$3:$Q$232,0)</f>
        <v/>
      </c>
      <c r="N97">
        <f>INDEX('LIVE SOURCE'!$L$3:$L$232,$M97)</f>
        <v/>
      </c>
    </row>
    <row r="98">
      <c r="A98" t="n">
        <v>96</v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Engine'!$N$3:$N$232,$M98)</f>
        <v/>
      </c>
      <c r="H98" s="4">
        <f>INDEX('Draft Engine'!$R$3:$R$232,$M98)</f>
        <v/>
      </c>
      <c r="I98" s="4">
        <f>INDEX('Draft Engine'!$S$3:$S$232,$M98)</f>
        <v/>
      </c>
      <c r="J98" s="5" t="n"/>
      <c r="K98">
        <f>INDEX('Draft Engine'!$Z$3:$Z$232,$M98)</f>
        <v/>
      </c>
      <c r="L98">
        <f>INDEX('LIVE SOURCE'!$H$3:$H$232,$M98)</f>
        <v/>
      </c>
      <c r="M98" s="6">
        <f>MATCH($A98,'Draft Engine'!$Q$3:$Q$232,0)</f>
        <v/>
      </c>
      <c r="N98">
        <f>INDEX('LIVE SOURCE'!$L$3:$L$232,$M98)</f>
        <v/>
      </c>
    </row>
    <row r="99">
      <c r="A99" t="n">
        <v>97</v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Engine'!$N$3:$N$232,$M99)</f>
        <v/>
      </c>
      <c r="H99" s="4">
        <f>INDEX('Draft Engine'!$R$3:$R$232,$M99)</f>
        <v/>
      </c>
      <c r="I99" s="4">
        <f>INDEX('Draft Engine'!$S$3:$S$232,$M99)</f>
        <v/>
      </c>
      <c r="J99" s="5" t="n"/>
      <c r="K99">
        <f>INDEX('Draft Engine'!$Z$3:$Z$232,$M99)</f>
        <v/>
      </c>
      <c r="L99">
        <f>INDEX('LIVE SOURCE'!$H$3:$H$232,$M99)</f>
        <v/>
      </c>
      <c r="M99" s="6">
        <f>MATCH($A99,'Draft Engine'!$Q$3:$Q$232,0)</f>
        <v/>
      </c>
      <c r="N99">
        <f>INDEX('LIVE SOURCE'!$L$3:$L$232,$M99)</f>
        <v/>
      </c>
    </row>
    <row r="100">
      <c r="A100" t="n">
        <v>98</v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Engine'!$N$3:$N$232,$M100)</f>
        <v/>
      </c>
      <c r="H100" s="4">
        <f>INDEX('Draft Engine'!$R$3:$R$232,$M100)</f>
        <v/>
      </c>
      <c r="I100" s="4">
        <f>INDEX('Draft Engine'!$S$3:$S$232,$M100)</f>
        <v/>
      </c>
      <c r="J100" s="5" t="n"/>
      <c r="K100">
        <f>INDEX('Draft Engine'!$Z$3:$Z$232,$M100)</f>
        <v/>
      </c>
      <c r="L100">
        <f>INDEX('LIVE SOURCE'!$H$3:$H$232,$M100)</f>
        <v/>
      </c>
      <c r="M100" s="6">
        <f>MATCH($A100,'Draft Engine'!$Q$3:$Q$232,0)</f>
        <v/>
      </c>
      <c r="N100">
        <f>INDEX('LIVE SOURCE'!$L$3:$L$232,$M100)</f>
        <v/>
      </c>
    </row>
    <row r="101">
      <c r="A101" t="n">
        <v>99</v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Engine'!$N$3:$N$232,$M101)</f>
        <v/>
      </c>
      <c r="H101" s="4">
        <f>INDEX('Draft Engine'!$R$3:$R$232,$M101)</f>
        <v/>
      </c>
      <c r="I101" s="4">
        <f>INDEX('Draft Engine'!$S$3:$S$232,$M101)</f>
        <v/>
      </c>
      <c r="J101" s="5" t="n"/>
      <c r="K101">
        <f>INDEX('Draft Engine'!$Z$3:$Z$232,$M101)</f>
        <v/>
      </c>
      <c r="L101">
        <f>INDEX('LIVE SOURCE'!$H$3:$H$232,$M101)</f>
        <v/>
      </c>
      <c r="M101" s="6">
        <f>MATCH($A101,'Draft Engine'!$Q$3:$Q$232,0)</f>
        <v/>
      </c>
      <c r="N101">
        <f>INDEX('LIVE SOURCE'!$L$3:$L$232,$M101)</f>
        <v/>
      </c>
    </row>
    <row r="102">
      <c r="A102" t="n">
        <v>100</v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Engine'!$N$3:$N$232,$M102)</f>
        <v/>
      </c>
      <c r="H102" s="4">
        <f>INDEX('Draft Engine'!$R$3:$R$232,$M102)</f>
        <v/>
      </c>
      <c r="I102" s="4">
        <f>INDEX('Draft Engine'!$S$3:$S$232,$M102)</f>
        <v/>
      </c>
      <c r="J102" s="5" t="n"/>
      <c r="K102">
        <f>INDEX('Draft Engine'!$Z$3:$Z$232,$M102)</f>
        <v/>
      </c>
      <c r="L102">
        <f>INDEX('LIVE SOURCE'!$H$3:$H$232,$M102)</f>
        <v/>
      </c>
      <c r="M102" s="6">
        <f>MATCH($A102,'Draft Engine'!$Q$3:$Q$232,0)</f>
        <v/>
      </c>
      <c r="N102">
        <f>INDEX('LIVE SOURCE'!$L$3:$L$232,$M102)</f>
        <v/>
      </c>
    </row>
    <row r="103">
      <c r="A103" t="n">
        <v>101</v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Engine'!$N$3:$N$232,$M103)</f>
        <v/>
      </c>
      <c r="H103" s="4">
        <f>INDEX('Draft Engine'!$R$3:$R$232,$M103)</f>
        <v/>
      </c>
      <c r="I103" s="4">
        <f>INDEX('Draft Engine'!$S$3:$S$232,$M103)</f>
        <v/>
      </c>
      <c r="J103" s="5" t="n"/>
      <c r="K103">
        <f>INDEX('Draft Engine'!$Z$3:$Z$232,$M103)</f>
        <v/>
      </c>
      <c r="L103">
        <f>INDEX('LIVE SOURCE'!$H$3:$H$232,$M103)</f>
        <v/>
      </c>
      <c r="M103" s="6">
        <f>MATCH($A103,'Draft Engine'!$Q$3:$Q$232,0)</f>
        <v/>
      </c>
      <c r="N103">
        <f>INDEX('LIVE SOURCE'!$L$3:$L$232,$M103)</f>
        <v/>
      </c>
    </row>
    <row r="104">
      <c r="A104" t="n">
        <v>102</v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Engine'!$N$3:$N$232,$M104)</f>
        <v/>
      </c>
      <c r="H104" s="4">
        <f>INDEX('Draft Engine'!$R$3:$R$232,$M104)</f>
        <v/>
      </c>
      <c r="I104" s="4">
        <f>INDEX('Draft Engine'!$S$3:$S$232,$M104)</f>
        <v/>
      </c>
      <c r="J104" s="5" t="n"/>
      <c r="K104">
        <f>INDEX('Draft Engine'!$Z$3:$Z$232,$M104)</f>
        <v/>
      </c>
      <c r="L104">
        <f>INDEX('LIVE SOURCE'!$H$3:$H$232,$M104)</f>
        <v/>
      </c>
      <c r="M104" s="6">
        <f>MATCH($A104,'Draft Engine'!$Q$3:$Q$232,0)</f>
        <v/>
      </c>
      <c r="N104">
        <f>INDEX('LIVE SOURCE'!$L$3:$L$232,$M104)</f>
        <v/>
      </c>
    </row>
    <row r="105">
      <c r="A105" t="n">
        <v>103</v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Engine'!$N$3:$N$232,$M105)</f>
        <v/>
      </c>
      <c r="H105" s="4">
        <f>INDEX('Draft Engine'!$R$3:$R$232,$M105)</f>
        <v/>
      </c>
      <c r="I105" s="4">
        <f>INDEX('Draft Engine'!$S$3:$S$232,$M105)</f>
        <v/>
      </c>
      <c r="J105" s="5" t="n"/>
      <c r="K105">
        <f>INDEX('Draft Engine'!$Z$3:$Z$232,$M105)</f>
        <v/>
      </c>
      <c r="L105">
        <f>INDEX('LIVE SOURCE'!$H$3:$H$232,$M105)</f>
        <v/>
      </c>
      <c r="M105" s="6">
        <f>MATCH($A105,'Draft Engine'!$Q$3:$Q$232,0)</f>
        <v/>
      </c>
      <c r="N105">
        <f>INDEX('LIVE SOURCE'!$L$3:$L$232,$M105)</f>
        <v/>
      </c>
    </row>
    <row r="106">
      <c r="A106" t="n">
        <v>104</v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Engine'!$N$3:$N$232,$M106)</f>
        <v/>
      </c>
      <c r="H106" s="4">
        <f>INDEX('Draft Engine'!$R$3:$R$232,$M106)</f>
        <v/>
      </c>
      <c r="I106" s="4">
        <f>INDEX('Draft Engine'!$S$3:$S$232,$M106)</f>
        <v/>
      </c>
      <c r="J106" s="5" t="n"/>
      <c r="K106">
        <f>INDEX('Draft Engine'!$Z$3:$Z$232,$M106)</f>
        <v/>
      </c>
      <c r="L106">
        <f>INDEX('LIVE SOURCE'!$H$3:$H$232,$M106)</f>
        <v/>
      </c>
      <c r="M106" s="6">
        <f>MATCH($A106,'Draft Engine'!$Q$3:$Q$232,0)</f>
        <v/>
      </c>
      <c r="N106">
        <f>INDEX('LIVE SOURCE'!$L$3:$L$232,$M106)</f>
        <v/>
      </c>
    </row>
    <row r="107">
      <c r="A107" t="n">
        <v>105</v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Engine'!$N$3:$N$232,$M107)</f>
        <v/>
      </c>
      <c r="H107" s="4">
        <f>INDEX('Draft Engine'!$R$3:$R$232,$M107)</f>
        <v/>
      </c>
      <c r="I107" s="4">
        <f>INDEX('Draft Engine'!$S$3:$S$232,$M107)</f>
        <v/>
      </c>
      <c r="J107" s="5" t="n"/>
      <c r="K107">
        <f>INDEX('Draft Engine'!$Z$3:$Z$232,$M107)</f>
        <v/>
      </c>
      <c r="L107">
        <f>INDEX('LIVE SOURCE'!$H$3:$H$232,$M107)</f>
        <v/>
      </c>
      <c r="M107" s="6">
        <f>MATCH($A107,'Draft Engine'!$Q$3:$Q$232,0)</f>
        <v/>
      </c>
      <c r="N107">
        <f>INDEX('LIVE SOURCE'!$L$3:$L$232,$M107)</f>
        <v/>
      </c>
    </row>
    <row r="108">
      <c r="A108" t="n">
        <v>106</v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Engine'!$N$3:$N$232,$M108)</f>
        <v/>
      </c>
      <c r="H108" s="4">
        <f>INDEX('Draft Engine'!$R$3:$R$232,$M108)</f>
        <v/>
      </c>
      <c r="I108" s="4">
        <f>INDEX('Draft Engine'!$S$3:$S$232,$M108)</f>
        <v/>
      </c>
      <c r="J108" s="5" t="n"/>
      <c r="K108">
        <f>INDEX('Draft Engine'!$Z$3:$Z$232,$M108)</f>
        <v/>
      </c>
      <c r="L108">
        <f>INDEX('LIVE SOURCE'!$H$3:$H$232,$M108)</f>
        <v/>
      </c>
      <c r="M108" s="6">
        <f>MATCH($A108,'Draft Engine'!$Q$3:$Q$232,0)</f>
        <v/>
      </c>
      <c r="N108">
        <f>INDEX('LIVE SOURCE'!$L$3:$L$232,$M108)</f>
        <v/>
      </c>
    </row>
    <row r="109">
      <c r="A109" t="n">
        <v>107</v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Engine'!$N$3:$N$232,$M109)</f>
        <v/>
      </c>
      <c r="H109" s="4">
        <f>INDEX('Draft Engine'!$R$3:$R$232,$M109)</f>
        <v/>
      </c>
      <c r="I109" s="4">
        <f>INDEX('Draft Engine'!$S$3:$S$232,$M109)</f>
        <v/>
      </c>
      <c r="J109" s="5" t="n"/>
      <c r="K109">
        <f>INDEX('Draft Engine'!$Z$3:$Z$232,$M109)</f>
        <v/>
      </c>
      <c r="L109">
        <f>INDEX('LIVE SOURCE'!$H$3:$H$232,$M109)</f>
        <v/>
      </c>
      <c r="M109" s="6">
        <f>MATCH($A109,'Draft Engine'!$Q$3:$Q$232,0)</f>
        <v/>
      </c>
      <c r="N109">
        <f>INDEX('LIVE SOURCE'!$L$3:$L$232,$M109)</f>
        <v/>
      </c>
    </row>
    <row r="110">
      <c r="A110" t="n">
        <v>108</v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Engine'!$N$3:$N$232,$M110)</f>
        <v/>
      </c>
      <c r="H110" s="4">
        <f>INDEX('Draft Engine'!$R$3:$R$232,$M110)</f>
        <v/>
      </c>
      <c r="I110" s="4">
        <f>INDEX('Draft Engine'!$S$3:$S$232,$M110)</f>
        <v/>
      </c>
      <c r="J110" s="5" t="n"/>
      <c r="K110">
        <f>INDEX('Draft Engine'!$Z$3:$Z$232,$M110)</f>
        <v/>
      </c>
      <c r="L110">
        <f>INDEX('LIVE SOURCE'!$H$3:$H$232,$M110)</f>
        <v/>
      </c>
      <c r="M110" s="6">
        <f>MATCH($A110,'Draft Engine'!$Q$3:$Q$232,0)</f>
        <v/>
      </c>
      <c r="N110">
        <f>INDEX('LIVE SOURCE'!$L$3:$L$232,$M110)</f>
        <v/>
      </c>
    </row>
    <row r="111">
      <c r="A111" t="n">
        <v>109</v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Engine'!$N$3:$N$232,$M111)</f>
        <v/>
      </c>
      <c r="H111" s="4">
        <f>INDEX('Draft Engine'!$R$3:$R$232,$M111)</f>
        <v/>
      </c>
      <c r="I111" s="4">
        <f>INDEX('Draft Engine'!$S$3:$S$232,$M111)</f>
        <v/>
      </c>
      <c r="J111" s="5" t="n"/>
      <c r="K111">
        <f>INDEX('Draft Engine'!$Z$3:$Z$232,$M111)</f>
        <v/>
      </c>
      <c r="L111">
        <f>INDEX('LIVE SOURCE'!$H$3:$H$232,$M111)</f>
        <v/>
      </c>
      <c r="M111" s="6">
        <f>MATCH($A111,'Draft Engine'!$Q$3:$Q$232,0)</f>
        <v/>
      </c>
      <c r="N111">
        <f>INDEX('LIVE SOURCE'!$L$3:$L$232,$M111)</f>
        <v/>
      </c>
    </row>
    <row r="112">
      <c r="A112" t="n">
        <v>110</v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Engine'!$N$3:$N$232,$M112)</f>
        <v/>
      </c>
      <c r="H112" s="4">
        <f>INDEX('Draft Engine'!$R$3:$R$232,$M112)</f>
        <v/>
      </c>
      <c r="I112" s="4">
        <f>INDEX('Draft Engine'!$S$3:$S$232,$M112)</f>
        <v/>
      </c>
      <c r="J112" s="5" t="n"/>
      <c r="K112">
        <f>INDEX('Draft Engine'!$Z$3:$Z$232,$M112)</f>
        <v/>
      </c>
      <c r="L112">
        <f>INDEX('LIVE SOURCE'!$H$3:$H$232,$M112)</f>
        <v/>
      </c>
      <c r="M112" s="6">
        <f>MATCH($A112,'Draft Engine'!$Q$3:$Q$232,0)</f>
        <v/>
      </c>
      <c r="N112">
        <f>INDEX('LIVE SOURCE'!$L$3:$L$232,$M112)</f>
        <v/>
      </c>
    </row>
    <row r="113">
      <c r="A113" t="n">
        <v>111</v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Engine'!$N$3:$N$232,$M113)</f>
        <v/>
      </c>
      <c r="H113" s="4">
        <f>INDEX('Draft Engine'!$R$3:$R$232,$M113)</f>
        <v/>
      </c>
      <c r="I113" s="4">
        <f>INDEX('Draft Engine'!$S$3:$S$232,$M113)</f>
        <v/>
      </c>
      <c r="J113" s="5" t="n"/>
      <c r="K113">
        <f>INDEX('Draft Engine'!$Z$3:$Z$232,$M113)</f>
        <v/>
      </c>
      <c r="L113">
        <f>INDEX('LIVE SOURCE'!$H$3:$H$232,$M113)</f>
        <v/>
      </c>
      <c r="M113" s="6">
        <f>MATCH($A113,'Draft Engine'!$Q$3:$Q$232,0)</f>
        <v/>
      </c>
      <c r="N113">
        <f>INDEX('LIVE SOURCE'!$L$3:$L$232,$M113)</f>
        <v/>
      </c>
    </row>
    <row r="114">
      <c r="A114" t="n">
        <v>112</v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Engine'!$N$3:$N$232,$M114)</f>
        <v/>
      </c>
      <c r="H114" s="4">
        <f>INDEX('Draft Engine'!$R$3:$R$232,$M114)</f>
        <v/>
      </c>
      <c r="I114" s="4">
        <f>INDEX('Draft Engine'!$S$3:$S$232,$M114)</f>
        <v/>
      </c>
      <c r="J114" s="5" t="n"/>
      <c r="K114">
        <f>INDEX('Draft Engine'!$Z$3:$Z$232,$M114)</f>
        <v/>
      </c>
      <c r="L114">
        <f>INDEX('LIVE SOURCE'!$H$3:$H$232,$M114)</f>
        <v/>
      </c>
      <c r="M114" s="6">
        <f>MATCH($A114,'Draft Engine'!$Q$3:$Q$232,0)</f>
        <v/>
      </c>
      <c r="N114">
        <f>INDEX('LIVE SOURCE'!$L$3:$L$232,$M114)</f>
        <v/>
      </c>
    </row>
    <row r="115">
      <c r="A115" t="n">
        <v>113</v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Engine'!$N$3:$N$232,$M115)</f>
        <v/>
      </c>
      <c r="H115" s="4">
        <f>INDEX('Draft Engine'!$R$3:$R$232,$M115)</f>
        <v/>
      </c>
      <c r="I115" s="4">
        <f>INDEX('Draft Engine'!$S$3:$S$232,$M115)</f>
        <v/>
      </c>
      <c r="J115" s="5" t="n"/>
      <c r="K115">
        <f>INDEX('Draft Engine'!$Z$3:$Z$232,$M115)</f>
        <v/>
      </c>
      <c r="L115">
        <f>INDEX('LIVE SOURCE'!$H$3:$H$232,$M115)</f>
        <v/>
      </c>
      <c r="M115" s="6">
        <f>MATCH($A115,'Draft Engine'!$Q$3:$Q$232,0)</f>
        <v/>
      </c>
      <c r="N115">
        <f>INDEX('LIVE SOURCE'!$L$3:$L$232,$M115)</f>
        <v/>
      </c>
    </row>
    <row r="116">
      <c r="A116" t="n">
        <v>114</v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Engine'!$N$3:$N$232,$M116)</f>
        <v/>
      </c>
      <c r="H116" s="4">
        <f>INDEX('Draft Engine'!$R$3:$R$232,$M116)</f>
        <v/>
      </c>
      <c r="I116" s="4">
        <f>INDEX('Draft Engine'!$S$3:$S$232,$M116)</f>
        <v/>
      </c>
      <c r="J116" s="5" t="n"/>
      <c r="K116">
        <f>INDEX('Draft Engine'!$Z$3:$Z$232,$M116)</f>
        <v/>
      </c>
      <c r="L116">
        <f>INDEX('LIVE SOURCE'!$H$3:$H$232,$M116)</f>
        <v/>
      </c>
      <c r="M116" s="6">
        <f>MATCH($A116,'Draft Engine'!$Q$3:$Q$232,0)</f>
        <v/>
      </c>
      <c r="N116">
        <f>INDEX('LIVE SOURCE'!$L$3:$L$232,$M116)</f>
        <v/>
      </c>
    </row>
    <row r="117">
      <c r="A117" t="n">
        <v>115</v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Engine'!$N$3:$N$232,$M117)</f>
        <v/>
      </c>
      <c r="H117" s="4">
        <f>INDEX('Draft Engine'!$R$3:$R$232,$M117)</f>
        <v/>
      </c>
      <c r="I117" s="4">
        <f>INDEX('Draft Engine'!$S$3:$S$232,$M117)</f>
        <v/>
      </c>
      <c r="J117" s="5" t="n"/>
      <c r="K117">
        <f>INDEX('Draft Engine'!$Z$3:$Z$232,$M117)</f>
        <v/>
      </c>
      <c r="L117">
        <f>INDEX('LIVE SOURCE'!$H$3:$H$232,$M117)</f>
        <v/>
      </c>
      <c r="M117" s="6">
        <f>MATCH($A117,'Draft Engine'!$Q$3:$Q$232,0)</f>
        <v/>
      </c>
      <c r="N117">
        <f>INDEX('LIVE SOURCE'!$L$3:$L$232,$M117)</f>
        <v/>
      </c>
    </row>
    <row r="118">
      <c r="A118" t="n">
        <v>116</v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Engine'!$N$3:$N$232,$M118)</f>
        <v/>
      </c>
      <c r="H118" s="4">
        <f>INDEX('Draft Engine'!$R$3:$R$232,$M118)</f>
        <v/>
      </c>
      <c r="I118" s="4">
        <f>INDEX('Draft Engine'!$S$3:$S$232,$M118)</f>
        <v/>
      </c>
      <c r="J118" s="5" t="n"/>
      <c r="K118">
        <f>INDEX('Draft Engine'!$Z$3:$Z$232,$M118)</f>
        <v/>
      </c>
      <c r="L118">
        <f>INDEX('LIVE SOURCE'!$H$3:$H$232,$M118)</f>
        <v/>
      </c>
      <c r="M118" s="6">
        <f>MATCH($A118,'Draft Engine'!$Q$3:$Q$232,0)</f>
        <v/>
      </c>
      <c r="N118">
        <f>INDEX('LIVE SOURCE'!$L$3:$L$232,$M118)</f>
        <v/>
      </c>
    </row>
    <row r="119">
      <c r="A119" t="n">
        <v>117</v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Engine'!$N$3:$N$232,$M119)</f>
        <v/>
      </c>
      <c r="H119" s="4">
        <f>INDEX('Draft Engine'!$R$3:$R$232,$M119)</f>
        <v/>
      </c>
      <c r="I119" s="4">
        <f>INDEX('Draft Engine'!$S$3:$S$232,$M119)</f>
        <v/>
      </c>
      <c r="J119" s="5" t="n"/>
      <c r="K119">
        <f>INDEX('Draft Engine'!$Z$3:$Z$232,$M119)</f>
        <v/>
      </c>
      <c r="L119">
        <f>INDEX('LIVE SOURCE'!$H$3:$H$232,$M119)</f>
        <v/>
      </c>
      <c r="M119" s="6">
        <f>MATCH($A119,'Draft Engine'!$Q$3:$Q$232,0)</f>
        <v/>
      </c>
      <c r="N119">
        <f>INDEX('LIVE SOURCE'!$L$3:$L$232,$M119)</f>
        <v/>
      </c>
    </row>
    <row r="120">
      <c r="A120" t="n">
        <v>118</v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Engine'!$N$3:$N$232,$M120)</f>
        <v/>
      </c>
      <c r="H120" s="4">
        <f>INDEX('Draft Engine'!$R$3:$R$232,$M120)</f>
        <v/>
      </c>
      <c r="I120" s="4">
        <f>INDEX('Draft Engine'!$S$3:$S$232,$M120)</f>
        <v/>
      </c>
      <c r="J120" s="5" t="n"/>
      <c r="K120">
        <f>INDEX('Draft Engine'!$Z$3:$Z$232,$M120)</f>
        <v/>
      </c>
      <c r="L120">
        <f>INDEX('LIVE SOURCE'!$H$3:$H$232,$M120)</f>
        <v/>
      </c>
      <c r="M120" s="6">
        <f>MATCH($A120,'Draft Engine'!$Q$3:$Q$232,0)</f>
        <v/>
      </c>
      <c r="N120">
        <f>INDEX('LIVE SOURCE'!$L$3:$L$232,$M120)</f>
        <v/>
      </c>
    </row>
    <row r="121">
      <c r="A121" t="n">
        <v>119</v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Engine'!$N$3:$N$232,$M121)</f>
        <v/>
      </c>
      <c r="H121" s="4">
        <f>INDEX('Draft Engine'!$R$3:$R$232,$M121)</f>
        <v/>
      </c>
      <c r="I121" s="4">
        <f>INDEX('Draft Engine'!$S$3:$S$232,$M121)</f>
        <v/>
      </c>
      <c r="J121" s="5" t="n"/>
      <c r="K121">
        <f>INDEX('Draft Engine'!$Z$3:$Z$232,$M121)</f>
        <v/>
      </c>
      <c r="L121">
        <f>INDEX('LIVE SOURCE'!$H$3:$H$232,$M121)</f>
        <v/>
      </c>
      <c r="M121" s="6">
        <f>MATCH($A121,'Draft Engine'!$Q$3:$Q$232,0)</f>
        <v/>
      </c>
      <c r="N121">
        <f>INDEX('LIVE SOURCE'!$L$3:$L$232,$M121)</f>
        <v/>
      </c>
    </row>
    <row r="122">
      <c r="A122" t="n">
        <v>120</v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Engine'!$N$3:$N$232,$M122)</f>
        <v/>
      </c>
      <c r="H122" s="4">
        <f>INDEX('Draft Engine'!$R$3:$R$232,$M122)</f>
        <v/>
      </c>
      <c r="I122" s="4">
        <f>INDEX('Draft Engine'!$S$3:$S$232,$M122)</f>
        <v/>
      </c>
      <c r="J122" s="5" t="n"/>
      <c r="K122">
        <f>INDEX('Draft Engine'!$Z$3:$Z$232,$M122)</f>
        <v/>
      </c>
      <c r="L122">
        <f>INDEX('LIVE SOURCE'!$H$3:$H$232,$M122)</f>
        <v/>
      </c>
      <c r="M122" s="6">
        <f>MATCH($A122,'Draft Engine'!$Q$3:$Q$232,0)</f>
        <v/>
      </c>
      <c r="N122">
        <f>INDEX('LIVE SOURCE'!$L$3:$L$232,$M122)</f>
        <v/>
      </c>
    </row>
    <row r="123">
      <c r="A123" t="n">
        <v>121</v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Engine'!$N$3:$N$232,$M123)</f>
        <v/>
      </c>
      <c r="H123" s="4">
        <f>INDEX('Draft Engine'!$R$3:$R$232,$M123)</f>
        <v/>
      </c>
      <c r="I123" s="4">
        <f>INDEX('Draft Engine'!$S$3:$S$232,$M123)</f>
        <v/>
      </c>
      <c r="J123" s="5" t="n"/>
      <c r="K123">
        <f>INDEX('Draft Engine'!$Z$3:$Z$232,$M123)</f>
        <v/>
      </c>
      <c r="L123">
        <f>INDEX('LIVE SOURCE'!$H$3:$H$232,$M123)</f>
        <v/>
      </c>
      <c r="M123" s="6">
        <f>MATCH($A123,'Draft Engine'!$Q$3:$Q$232,0)</f>
        <v/>
      </c>
      <c r="N123">
        <f>INDEX('LIVE SOURCE'!$L$3:$L$232,$M123)</f>
        <v/>
      </c>
    </row>
    <row r="124">
      <c r="A124" t="n">
        <v>122</v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Engine'!$N$3:$N$232,$M124)</f>
        <v/>
      </c>
      <c r="H124" s="4">
        <f>INDEX('Draft Engine'!$R$3:$R$232,$M124)</f>
        <v/>
      </c>
      <c r="I124" s="4">
        <f>INDEX('Draft Engine'!$S$3:$S$232,$M124)</f>
        <v/>
      </c>
      <c r="J124" s="5" t="n"/>
      <c r="K124">
        <f>INDEX('Draft Engine'!$Z$3:$Z$232,$M124)</f>
        <v/>
      </c>
      <c r="L124">
        <f>INDEX('LIVE SOURCE'!$H$3:$H$232,$M124)</f>
        <v/>
      </c>
      <c r="M124" s="6">
        <f>MATCH($A124,'Draft Engine'!$Q$3:$Q$232,0)</f>
        <v/>
      </c>
      <c r="N124">
        <f>INDEX('LIVE SOURCE'!$L$3:$L$232,$M124)</f>
        <v/>
      </c>
    </row>
    <row r="125">
      <c r="A125" t="n">
        <v>123</v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Engine'!$N$3:$N$232,$M125)</f>
        <v/>
      </c>
      <c r="H125" s="4">
        <f>INDEX('Draft Engine'!$R$3:$R$232,$M125)</f>
        <v/>
      </c>
      <c r="I125" s="4">
        <f>INDEX('Draft Engine'!$S$3:$S$232,$M125)</f>
        <v/>
      </c>
      <c r="J125" s="5" t="n"/>
      <c r="K125">
        <f>INDEX('Draft Engine'!$Z$3:$Z$232,$M125)</f>
        <v/>
      </c>
      <c r="L125">
        <f>INDEX('LIVE SOURCE'!$H$3:$H$232,$M125)</f>
        <v/>
      </c>
      <c r="M125" s="6">
        <f>MATCH($A125,'Draft Engine'!$Q$3:$Q$232,0)</f>
        <v/>
      </c>
      <c r="N125">
        <f>INDEX('LIVE SOURCE'!$L$3:$L$232,$M125)</f>
        <v/>
      </c>
    </row>
    <row r="126">
      <c r="A126" t="n">
        <v>124</v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Engine'!$N$3:$N$232,$M126)</f>
        <v/>
      </c>
      <c r="H126" s="4">
        <f>INDEX('Draft Engine'!$R$3:$R$232,$M126)</f>
        <v/>
      </c>
      <c r="I126" s="4">
        <f>INDEX('Draft Engine'!$S$3:$S$232,$M126)</f>
        <v/>
      </c>
      <c r="J126" s="5" t="n"/>
      <c r="K126">
        <f>INDEX('Draft Engine'!$Z$3:$Z$232,$M126)</f>
        <v/>
      </c>
      <c r="L126">
        <f>INDEX('LIVE SOURCE'!$H$3:$H$232,$M126)</f>
        <v/>
      </c>
      <c r="M126" s="6">
        <f>MATCH($A126,'Draft Engine'!$Q$3:$Q$232,0)</f>
        <v/>
      </c>
      <c r="N126">
        <f>INDEX('LIVE SOURCE'!$L$3:$L$232,$M126)</f>
        <v/>
      </c>
    </row>
    <row r="127">
      <c r="A127" t="n">
        <v>125</v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Engine'!$N$3:$N$232,$M127)</f>
        <v/>
      </c>
      <c r="H127" s="4">
        <f>INDEX('Draft Engine'!$R$3:$R$232,$M127)</f>
        <v/>
      </c>
      <c r="I127" s="4">
        <f>INDEX('Draft Engine'!$S$3:$S$232,$M127)</f>
        <v/>
      </c>
      <c r="J127" s="5" t="n"/>
      <c r="K127">
        <f>INDEX('Draft Engine'!$Z$3:$Z$232,$M127)</f>
        <v/>
      </c>
      <c r="L127">
        <f>INDEX('LIVE SOURCE'!$H$3:$H$232,$M127)</f>
        <v/>
      </c>
      <c r="M127" s="6">
        <f>MATCH($A127,'Draft Engine'!$Q$3:$Q$232,0)</f>
        <v/>
      </c>
      <c r="N127">
        <f>INDEX('LIVE SOURCE'!$L$3:$L$232,$M127)</f>
        <v/>
      </c>
    </row>
    <row r="128">
      <c r="A128" t="n">
        <v>126</v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Engine'!$N$3:$N$232,$M128)</f>
        <v/>
      </c>
      <c r="H128" s="4">
        <f>INDEX('Draft Engine'!$R$3:$R$232,$M128)</f>
        <v/>
      </c>
      <c r="I128" s="4">
        <f>INDEX('Draft Engine'!$S$3:$S$232,$M128)</f>
        <v/>
      </c>
      <c r="J128" s="5" t="n"/>
      <c r="K128">
        <f>INDEX('Draft Engine'!$Z$3:$Z$232,$M128)</f>
        <v/>
      </c>
      <c r="L128">
        <f>INDEX('LIVE SOURCE'!$H$3:$H$232,$M128)</f>
        <v/>
      </c>
      <c r="M128" s="6">
        <f>MATCH($A128,'Draft Engine'!$Q$3:$Q$232,0)</f>
        <v/>
      </c>
      <c r="N128">
        <f>INDEX('LIVE SOURCE'!$L$3:$L$232,$M128)</f>
        <v/>
      </c>
    </row>
    <row r="129">
      <c r="A129" t="n">
        <v>127</v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Engine'!$N$3:$N$232,$M129)</f>
        <v/>
      </c>
      <c r="H129" s="4">
        <f>INDEX('Draft Engine'!$R$3:$R$232,$M129)</f>
        <v/>
      </c>
      <c r="I129" s="4">
        <f>INDEX('Draft Engine'!$S$3:$S$232,$M129)</f>
        <v/>
      </c>
      <c r="J129" s="5" t="n"/>
      <c r="K129">
        <f>INDEX('Draft Engine'!$Z$3:$Z$232,$M129)</f>
        <v/>
      </c>
      <c r="L129">
        <f>INDEX('LIVE SOURCE'!$H$3:$H$232,$M129)</f>
        <v/>
      </c>
      <c r="M129" s="6">
        <f>MATCH($A129,'Draft Engine'!$Q$3:$Q$232,0)</f>
        <v/>
      </c>
      <c r="N129">
        <f>INDEX('LIVE SOURCE'!$L$3:$L$232,$M129)</f>
        <v/>
      </c>
    </row>
    <row r="130">
      <c r="A130" t="n">
        <v>128</v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Engine'!$N$3:$N$232,$M130)</f>
        <v/>
      </c>
      <c r="H130" s="4">
        <f>INDEX('Draft Engine'!$R$3:$R$232,$M130)</f>
        <v/>
      </c>
      <c r="I130" s="4">
        <f>INDEX('Draft Engine'!$S$3:$S$232,$M130)</f>
        <v/>
      </c>
      <c r="J130" s="5" t="n"/>
      <c r="K130">
        <f>INDEX('Draft Engine'!$Z$3:$Z$232,$M130)</f>
        <v/>
      </c>
      <c r="L130">
        <f>INDEX('LIVE SOURCE'!$H$3:$H$232,$M130)</f>
        <v/>
      </c>
      <c r="M130" s="6">
        <f>MATCH($A130,'Draft Engine'!$Q$3:$Q$232,0)</f>
        <v/>
      </c>
      <c r="N130">
        <f>INDEX('LIVE SOURCE'!$L$3:$L$232,$M130)</f>
        <v/>
      </c>
    </row>
    <row r="131">
      <c r="A131" t="n">
        <v>129</v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Engine'!$N$3:$N$232,$M131)</f>
        <v/>
      </c>
      <c r="H131" s="4">
        <f>INDEX('Draft Engine'!$R$3:$R$232,$M131)</f>
        <v/>
      </c>
      <c r="I131" s="4">
        <f>INDEX('Draft Engine'!$S$3:$S$232,$M131)</f>
        <v/>
      </c>
      <c r="J131" s="5" t="n"/>
      <c r="K131">
        <f>INDEX('Draft Engine'!$Z$3:$Z$232,$M131)</f>
        <v/>
      </c>
      <c r="L131">
        <f>INDEX('LIVE SOURCE'!$H$3:$H$232,$M131)</f>
        <v/>
      </c>
      <c r="M131" s="6">
        <f>MATCH($A131,'Draft Engine'!$Q$3:$Q$232,0)</f>
        <v/>
      </c>
      <c r="N131">
        <f>INDEX('LIVE SOURCE'!$L$3:$L$232,$M131)</f>
        <v/>
      </c>
    </row>
    <row r="132">
      <c r="A132" t="n">
        <v>130</v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Engine'!$N$3:$N$232,$M132)</f>
        <v/>
      </c>
      <c r="H132" s="4">
        <f>INDEX('Draft Engine'!$R$3:$R$232,$M132)</f>
        <v/>
      </c>
      <c r="I132" s="4">
        <f>INDEX('Draft Engine'!$S$3:$S$232,$M132)</f>
        <v/>
      </c>
      <c r="J132" s="5" t="n"/>
      <c r="K132">
        <f>INDEX('Draft Engine'!$Z$3:$Z$232,$M132)</f>
        <v/>
      </c>
      <c r="L132">
        <f>INDEX('LIVE SOURCE'!$H$3:$H$232,$M132)</f>
        <v/>
      </c>
      <c r="M132" s="6">
        <f>MATCH($A132,'Draft Engine'!$Q$3:$Q$232,0)</f>
        <v/>
      </c>
      <c r="N132">
        <f>INDEX('LIVE SOURCE'!$L$3:$L$232,$M132)</f>
        <v/>
      </c>
    </row>
    <row r="133">
      <c r="A133" t="n">
        <v>131</v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Engine'!$N$3:$N$232,$M133)</f>
        <v/>
      </c>
      <c r="H133" s="4">
        <f>INDEX('Draft Engine'!$R$3:$R$232,$M133)</f>
        <v/>
      </c>
      <c r="I133" s="4">
        <f>INDEX('Draft Engine'!$S$3:$S$232,$M133)</f>
        <v/>
      </c>
      <c r="J133" s="5" t="n"/>
      <c r="K133">
        <f>INDEX('Draft Engine'!$Z$3:$Z$232,$M133)</f>
        <v/>
      </c>
      <c r="L133">
        <f>INDEX('LIVE SOURCE'!$H$3:$H$232,$M133)</f>
        <v/>
      </c>
      <c r="M133" s="6">
        <f>MATCH($A133,'Draft Engine'!$Q$3:$Q$232,0)</f>
        <v/>
      </c>
      <c r="N133">
        <f>INDEX('LIVE SOURCE'!$L$3:$L$232,$M133)</f>
        <v/>
      </c>
    </row>
    <row r="134">
      <c r="A134" t="n">
        <v>132</v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Engine'!$N$3:$N$232,$M134)</f>
        <v/>
      </c>
      <c r="H134" s="4">
        <f>INDEX('Draft Engine'!$R$3:$R$232,$M134)</f>
        <v/>
      </c>
      <c r="I134" s="4">
        <f>INDEX('Draft Engine'!$S$3:$S$232,$M134)</f>
        <v/>
      </c>
      <c r="J134" s="5" t="n"/>
      <c r="K134">
        <f>INDEX('Draft Engine'!$Z$3:$Z$232,$M134)</f>
        <v/>
      </c>
      <c r="L134">
        <f>INDEX('LIVE SOURCE'!$H$3:$H$232,$M134)</f>
        <v/>
      </c>
      <c r="M134" s="6">
        <f>MATCH($A134,'Draft Engine'!$Q$3:$Q$232,0)</f>
        <v/>
      </c>
      <c r="N134">
        <f>INDEX('LIVE SOURCE'!$L$3:$L$232,$M134)</f>
        <v/>
      </c>
    </row>
    <row r="135">
      <c r="A135" t="n">
        <v>133</v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Engine'!$N$3:$N$232,$M135)</f>
        <v/>
      </c>
      <c r="H135" s="4">
        <f>INDEX('Draft Engine'!$R$3:$R$232,$M135)</f>
        <v/>
      </c>
      <c r="I135" s="4">
        <f>INDEX('Draft Engine'!$S$3:$S$232,$M135)</f>
        <v/>
      </c>
      <c r="J135" s="5" t="n"/>
      <c r="K135">
        <f>INDEX('Draft Engine'!$Z$3:$Z$232,$M135)</f>
        <v/>
      </c>
      <c r="L135">
        <f>INDEX('LIVE SOURCE'!$H$3:$H$232,$M135)</f>
        <v/>
      </c>
      <c r="M135" s="6">
        <f>MATCH($A135,'Draft Engine'!$Q$3:$Q$232,0)</f>
        <v/>
      </c>
      <c r="N135">
        <f>INDEX('LIVE SOURCE'!$L$3:$L$232,$M135)</f>
        <v/>
      </c>
    </row>
    <row r="136">
      <c r="A136" t="n">
        <v>134</v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Engine'!$N$3:$N$232,$M136)</f>
        <v/>
      </c>
      <c r="H136" s="4">
        <f>INDEX('Draft Engine'!$R$3:$R$232,$M136)</f>
        <v/>
      </c>
      <c r="I136" s="4">
        <f>INDEX('Draft Engine'!$S$3:$S$232,$M136)</f>
        <v/>
      </c>
      <c r="J136" s="5" t="n"/>
      <c r="K136">
        <f>INDEX('Draft Engine'!$Z$3:$Z$232,$M136)</f>
        <v/>
      </c>
      <c r="L136">
        <f>INDEX('LIVE SOURCE'!$H$3:$H$232,$M136)</f>
        <v/>
      </c>
      <c r="M136" s="6">
        <f>MATCH($A136,'Draft Engine'!$Q$3:$Q$232,0)</f>
        <v/>
      </c>
      <c r="N136">
        <f>INDEX('LIVE SOURCE'!$L$3:$L$232,$M136)</f>
        <v/>
      </c>
    </row>
    <row r="137">
      <c r="A137" t="n">
        <v>135</v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Engine'!$N$3:$N$232,$M137)</f>
        <v/>
      </c>
      <c r="H137" s="4">
        <f>INDEX('Draft Engine'!$R$3:$R$232,$M137)</f>
        <v/>
      </c>
      <c r="I137" s="4">
        <f>INDEX('Draft Engine'!$S$3:$S$232,$M137)</f>
        <v/>
      </c>
      <c r="J137" s="5" t="n"/>
      <c r="K137">
        <f>INDEX('Draft Engine'!$Z$3:$Z$232,$M137)</f>
        <v/>
      </c>
      <c r="L137">
        <f>INDEX('LIVE SOURCE'!$H$3:$H$232,$M137)</f>
        <v/>
      </c>
      <c r="M137" s="6">
        <f>MATCH($A137,'Draft Engine'!$Q$3:$Q$232,0)</f>
        <v/>
      </c>
      <c r="N137">
        <f>INDEX('LIVE SOURCE'!$L$3:$L$232,$M137)</f>
        <v/>
      </c>
    </row>
    <row r="138">
      <c r="A138" t="n">
        <v>136</v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Engine'!$N$3:$N$232,$M138)</f>
        <v/>
      </c>
      <c r="H138" s="4">
        <f>INDEX('Draft Engine'!$R$3:$R$232,$M138)</f>
        <v/>
      </c>
      <c r="I138" s="4">
        <f>INDEX('Draft Engine'!$S$3:$S$232,$M138)</f>
        <v/>
      </c>
      <c r="J138" s="5" t="n"/>
      <c r="K138">
        <f>INDEX('Draft Engine'!$Z$3:$Z$232,$M138)</f>
        <v/>
      </c>
      <c r="L138">
        <f>INDEX('LIVE SOURCE'!$H$3:$H$232,$M138)</f>
        <v/>
      </c>
      <c r="M138" s="6">
        <f>MATCH($A138,'Draft Engine'!$Q$3:$Q$232,0)</f>
        <v/>
      </c>
      <c r="N138">
        <f>INDEX('LIVE SOURCE'!$L$3:$L$232,$M138)</f>
        <v/>
      </c>
    </row>
    <row r="139">
      <c r="A139" t="n">
        <v>137</v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Engine'!$N$3:$N$232,$M139)</f>
        <v/>
      </c>
      <c r="H139" s="4">
        <f>INDEX('Draft Engine'!$R$3:$R$232,$M139)</f>
        <v/>
      </c>
      <c r="I139" s="4">
        <f>INDEX('Draft Engine'!$S$3:$S$232,$M139)</f>
        <v/>
      </c>
      <c r="J139" s="5" t="n"/>
      <c r="K139">
        <f>INDEX('Draft Engine'!$Z$3:$Z$232,$M139)</f>
        <v/>
      </c>
      <c r="L139">
        <f>INDEX('LIVE SOURCE'!$H$3:$H$232,$M139)</f>
        <v/>
      </c>
      <c r="M139" s="6">
        <f>MATCH($A139,'Draft Engine'!$Q$3:$Q$232,0)</f>
        <v/>
      </c>
      <c r="N139">
        <f>INDEX('LIVE SOURCE'!$L$3:$L$232,$M139)</f>
        <v/>
      </c>
    </row>
    <row r="140">
      <c r="A140" t="n">
        <v>138</v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Engine'!$N$3:$N$232,$M140)</f>
        <v/>
      </c>
      <c r="H140" s="4">
        <f>INDEX('Draft Engine'!$R$3:$R$232,$M140)</f>
        <v/>
      </c>
      <c r="I140" s="4">
        <f>INDEX('Draft Engine'!$S$3:$S$232,$M140)</f>
        <v/>
      </c>
      <c r="J140" s="5" t="n"/>
      <c r="K140">
        <f>INDEX('Draft Engine'!$Z$3:$Z$232,$M140)</f>
        <v/>
      </c>
      <c r="L140">
        <f>INDEX('LIVE SOURCE'!$H$3:$H$232,$M140)</f>
        <v/>
      </c>
      <c r="M140" s="6">
        <f>MATCH($A140,'Draft Engine'!$Q$3:$Q$232,0)</f>
        <v/>
      </c>
      <c r="N140">
        <f>INDEX('LIVE SOURCE'!$L$3:$L$232,$M140)</f>
        <v/>
      </c>
    </row>
    <row r="141">
      <c r="A141" t="n">
        <v>139</v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Engine'!$N$3:$N$232,$M141)</f>
        <v/>
      </c>
      <c r="H141" s="4">
        <f>INDEX('Draft Engine'!$R$3:$R$232,$M141)</f>
        <v/>
      </c>
      <c r="I141" s="4">
        <f>INDEX('Draft Engine'!$S$3:$S$232,$M141)</f>
        <v/>
      </c>
      <c r="J141" s="5" t="n"/>
      <c r="K141">
        <f>INDEX('Draft Engine'!$Z$3:$Z$232,$M141)</f>
        <v/>
      </c>
      <c r="L141">
        <f>INDEX('LIVE SOURCE'!$H$3:$H$232,$M141)</f>
        <v/>
      </c>
      <c r="M141" s="6">
        <f>MATCH($A141,'Draft Engine'!$Q$3:$Q$232,0)</f>
        <v/>
      </c>
      <c r="N141">
        <f>INDEX('LIVE SOURCE'!$L$3:$L$232,$M141)</f>
        <v/>
      </c>
    </row>
    <row r="142">
      <c r="A142" t="n">
        <v>140</v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Engine'!$N$3:$N$232,$M142)</f>
        <v/>
      </c>
      <c r="H142" s="4">
        <f>INDEX('Draft Engine'!$R$3:$R$232,$M142)</f>
        <v/>
      </c>
      <c r="I142" s="4">
        <f>INDEX('Draft Engine'!$S$3:$S$232,$M142)</f>
        <v/>
      </c>
      <c r="J142" s="5" t="n"/>
      <c r="K142">
        <f>INDEX('Draft Engine'!$Z$3:$Z$232,$M142)</f>
        <v/>
      </c>
      <c r="L142">
        <f>INDEX('LIVE SOURCE'!$H$3:$H$232,$M142)</f>
        <v/>
      </c>
      <c r="M142" s="6">
        <f>MATCH($A142,'Draft Engine'!$Q$3:$Q$232,0)</f>
        <v/>
      </c>
      <c r="N142">
        <f>INDEX('LIVE SOURCE'!$L$3:$L$232,$M142)</f>
        <v/>
      </c>
    </row>
    <row r="143">
      <c r="A143" t="n">
        <v>141</v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Engine'!$N$3:$N$232,$M143)</f>
        <v/>
      </c>
      <c r="H143" s="4">
        <f>INDEX('Draft Engine'!$R$3:$R$232,$M143)</f>
        <v/>
      </c>
      <c r="I143" s="4">
        <f>INDEX('Draft Engine'!$S$3:$S$232,$M143)</f>
        <v/>
      </c>
      <c r="J143" s="5" t="n"/>
      <c r="K143">
        <f>INDEX('Draft Engine'!$Z$3:$Z$232,$M143)</f>
        <v/>
      </c>
      <c r="L143">
        <f>INDEX('LIVE SOURCE'!$H$3:$H$232,$M143)</f>
        <v/>
      </c>
      <c r="M143" s="6">
        <f>MATCH($A143,'Draft Engine'!$Q$3:$Q$232,0)</f>
        <v/>
      </c>
      <c r="N143">
        <f>INDEX('LIVE SOURCE'!$L$3:$L$232,$M143)</f>
        <v/>
      </c>
    </row>
    <row r="144">
      <c r="A144" t="n">
        <v>142</v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Engine'!$N$3:$N$232,$M144)</f>
        <v/>
      </c>
      <c r="H144" s="4">
        <f>INDEX('Draft Engine'!$R$3:$R$232,$M144)</f>
        <v/>
      </c>
      <c r="I144" s="4">
        <f>INDEX('Draft Engine'!$S$3:$S$232,$M144)</f>
        <v/>
      </c>
      <c r="J144" s="5" t="n"/>
      <c r="K144">
        <f>INDEX('Draft Engine'!$Z$3:$Z$232,$M144)</f>
        <v/>
      </c>
      <c r="L144">
        <f>INDEX('LIVE SOURCE'!$H$3:$H$232,$M144)</f>
        <v/>
      </c>
      <c r="M144" s="6">
        <f>MATCH($A144,'Draft Engine'!$Q$3:$Q$232,0)</f>
        <v/>
      </c>
      <c r="N144">
        <f>INDEX('LIVE SOURCE'!$L$3:$L$232,$M144)</f>
        <v/>
      </c>
    </row>
    <row r="145">
      <c r="A145" t="n">
        <v>143</v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Engine'!$N$3:$N$232,$M145)</f>
        <v/>
      </c>
      <c r="H145" s="4">
        <f>INDEX('Draft Engine'!$R$3:$R$232,$M145)</f>
        <v/>
      </c>
      <c r="I145" s="4">
        <f>INDEX('Draft Engine'!$S$3:$S$232,$M145)</f>
        <v/>
      </c>
      <c r="J145" s="5" t="n"/>
      <c r="K145">
        <f>INDEX('Draft Engine'!$Z$3:$Z$232,$M145)</f>
        <v/>
      </c>
      <c r="L145">
        <f>INDEX('LIVE SOURCE'!$H$3:$H$232,$M145)</f>
        <v/>
      </c>
      <c r="M145" s="6">
        <f>MATCH($A145,'Draft Engine'!$Q$3:$Q$232,0)</f>
        <v/>
      </c>
      <c r="N145">
        <f>INDEX('LIVE SOURCE'!$L$3:$L$232,$M145)</f>
        <v/>
      </c>
    </row>
    <row r="146">
      <c r="A146" t="n">
        <v>144</v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Engine'!$N$3:$N$232,$M146)</f>
        <v/>
      </c>
      <c r="H146" s="4">
        <f>INDEX('Draft Engine'!$R$3:$R$232,$M146)</f>
        <v/>
      </c>
      <c r="I146" s="4">
        <f>INDEX('Draft Engine'!$S$3:$S$232,$M146)</f>
        <v/>
      </c>
      <c r="J146" s="5" t="n"/>
      <c r="K146">
        <f>INDEX('Draft Engine'!$Z$3:$Z$232,$M146)</f>
        <v/>
      </c>
      <c r="L146">
        <f>INDEX('LIVE SOURCE'!$H$3:$H$232,$M146)</f>
        <v/>
      </c>
      <c r="M146" s="6">
        <f>MATCH($A146,'Draft Engine'!$Q$3:$Q$232,0)</f>
        <v/>
      </c>
      <c r="N146">
        <f>INDEX('LIVE SOURCE'!$L$3:$L$232,$M146)</f>
        <v/>
      </c>
    </row>
    <row r="147">
      <c r="A147" t="n">
        <v>145</v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Engine'!$N$3:$N$232,$M147)</f>
        <v/>
      </c>
      <c r="H147" s="4">
        <f>INDEX('Draft Engine'!$R$3:$R$232,$M147)</f>
        <v/>
      </c>
      <c r="I147" s="4">
        <f>INDEX('Draft Engine'!$S$3:$S$232,$M147)</f>
        <v/>
      </c>
      <c r="J147" s="5" t="n"/>
      <c r="K147">
        <f>INDEX('Draft Engine'!$Z$3:$Z$232,$M147)</f>
        <v/>
      </c>
      <c r="L147">
        <f>INDEX('LIVE SOURCE'!$H$3:$H$232,$M147)</f>
        <v/>
      </c>
      <c r="M147" s="6">
        <f>MATCH($A147,'Draft Engine'!$Q$3:$Q$232,0)</f>
        <v/>
      </c>
      <c r="N147">
        <f>INDEX('LIVE SOURCE'!$L$3:$L$232,$M147)</f>
        <v/>
      </c>
    </row>
    <row r="148">
      <c r="A148" t="n">
        <v>146</v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Engine'!$N$3:$N$232,$M148)</f>
        <v/>
      </c>
      <c r="H148" s="4">
        <f>INDEX('Draft Engine'!$R$3:$R$232,$M148)</f>
        <v/>
      </c>
      <c r="I148" s="4">
        <f>INDEX('Draft Engine'!$S$3:$S$232,$M148)</f>
        <v/>
      </c>
      <c r="J148" s="5" t="n"/>
      <c r="K148">
        <f>INDEX('Draft Engine'!$Z$3:$Z$232,$M148)</f>
        <v/>
      </c>
      <c r="L148">
        <f>INDEX('LIVE SOURCE'!$H$3:$H$232,$M148)</f>
        <v/>
      </c>
      <c r="M148" s="6">
        <f>MATCH($A148,'Draft Engine'!$Q$3:$Q$232,0)</f>
        <v/>
      </c>
      <c r="N148">
        <f>INDEX('LIVE SOURCE'!$L$3:$L$232,$M148)</f>
        <v/>
      </c>
    </row>
    <row r="149">
      <c r="A149" t="n">
        <v>147</v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Engine'!$N$3:$N$232,$M149)</f>
        <v/>
      </c>
      <c r="H149" s="4">
        <f>INDEX('Draft Engine'!$R$3:$R$232,$M149)</f>
        <v/>
      </c>
      <c r="I149" s="4">
        <f>INDEX('Draft Engine'!$S$3:$S$232,$M149)</f>
        <v/>
      </c>
      <c r="J149" s="5" t="n"/>
      <c r="K149">
        <f>INDEX('Draft Engine'!$Z$3:$Z$232,$M149)</f>
        <v/>
      </c>
      <c r="L149">
        <f>INDEX('LIVE SOURCE'!$H$3:$H$232,$M149)</f>
        <v/>
      </c>
      <c r="M149" s="6">
        <f>MATCH($A149,'Draft Engine'!$Q$3:$Q$232,0)</f>
        <v/>
      </c>
      <c r="N149">
        <f>INDEX('LIVE SOURCE'!$L$3:$L$232,$M149)</f>
        <v/>
      </c>
    </row>
    <row r="150">
      <c r="A150" t="n">
        <v>148</v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Engine'!$N$3:$N$232,$M150)</f>
        <v/>
      </c>
      <c r="H150" s="4">
        <f>INDEX('Draft Engine'!$R$3:$R$232,$M150)</f>
        <v/>
      </c>
      <c r="I150" s="4">
        <f>INDEX('Draft Engine'!$S$3:$S$232,$M150)</f>
        <v/>
      </c>
      <c r="J150" s="5" t="n"/>
      <c r="K150">
        <f>INDEX('Draft Engine'!$Z$3:$Z$232,$M150)</f>
        <v/>
      </c>
      <c r="L150">
        <f>INDEX('LIVE SOURCE'!$H$3:$H$232,$M150)</f>
        <v/>
      </c>
      <c r="M150" s="6">
        <f>MATCH($A150,'Draft Engine'!$Q$3:$Q$232,0)</f>
        <v/>
      </c>
      <c r="N150">
        <f>INDEX('LIVE SOURCE'!$L$3:$L$232,$M150)</f>
        <v/>
      </c>
    </row>
    <row r="151">
      <c r="A151" t="n">
        <v>149</v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Engine'!$N$3:$N$232,$M151)</f>
        <v/>
      </c>
      <c r="H151" s="4">
        <f>INDEX('Draft Engine'!$R$3:$R$232,$M151)</f>
        <v/>
      </c>
      <c r="I151" s="4">
        <f>INDEX('Draft Engine'!$S$3:$S$232,$M151)</f>
        <v/>
      </c>
      <c r="J151" s="5" t="n"/>
      <c r="K151">
        <f>INDEX('Draft Engine'!$Z$3:$Z$232,$M151)</f>
        <v/>
      </c>
      <c r="L151">
        <f>INDEX('LIVE SOURCE'!$H$3:$H$232,$M151)</f>
        <v/>
      </c>
      <c r="M151" s="6">
        <f>MATCH($A151,'Draft Engine'!$Q$3:$Q$232,0)</f>
        <v/>
      </c>
      <c r="N151">
        <f>INDEX('LIVE SOURCE'!$L$3:$L$232,$M151)</f>
        <v/>
      </c>
    </row>
    <row r="152">
      <c r="A152" t="n">
        <v>150</v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Engine'!$N$3:$N$232,$M152)</f>
        <v/>
      </c>
      <c r="H152" s="4">
        <f>INDEX('Draft Engine'!$R$3:$R$232,$M152)</f>
        <v/>
      </c>
      <c r="I152" s="4">
        <f>INDEX('Draft Engine'!$S$3:$S$232,$M152)</f>
        <v/>
      </c>
      <c r="J152" s="5" t="n"/>
      <c r="K152">
        <f>INDEX('Draft Engine'!$Z$3:$Z$232,$M152)</f>
        <v/>
      </c>
      <c r="L152">
        <f>INDEX('LIVE SOURCE'!$H$3:$H$232,$M152)</f>
        <v/>
      </c>
      <c r="M152" s="6">
        <f>MATCH($A152,'Draft Engine'!$Q$3:$Q$232,0)</f>
        <v/>
      </c>
      <c r="N152">
        <f>INDEX('LIVE SOURCE'!$L$3:$L$232,$M152)</f>
        <v/>
      </c>
    </row>
    <row r="153">
      <c r="A153" t="n">
        <v>151</v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Engine'!$N$3:$N$232,$M153)</f>
        <v/>
      </c>
      <c r="H153" s="4">
        <f>INDEX('Draft Engine'!$R$3:$R$232,$M153)</f>
        <v/>
      </c>
      <c r="I153" s="4">
        <f>INDEX('Draft Engine'!$S$3:$S$232,$M153)</f>
        <v/>
      </c>
      <c r="J153" s="5" t="n"/>
      <c r="K153">
        <f>INDEX('Draft Engine'!$Z$3:$Z$232,$M153)</f>
        <v/>
      </c>
      <c r="L153">
        <f>INDEX('LIVE SOURCE'!$H$3:$H$232,$M153)</f>
        <v/>
      </c>
      <c r="M153" s="6">
        <f>MATCH($A153,'Draft Engine'!$Q$3:$Q$232,0)</f>
        <v/>
      </c>
      <c r="N153">
        <f>INDEX('LIVE SOURCE'!$L$3:$L$232,$M153)</f>
        <v/>
      </c>
    </row>
    <row r="154">
      <c r="A154" t="n">
        <v>152</v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Engine'!$N$3:$N$232,$M154)</f>
        <v/>
      </c>
      <c r="H154" s="4">
        <f>INDEX('Draft Engine'!$R$3:$R$232,$M154)</f>
        <v/>
      </c>
      <c r="I154" s="4">
        <f>INDEX('Draft Engine'!$S$3:$S$232,$M154)</f>
        <v/>
      </c>
      <c r="J154" s="5" t="n"/>
      <c r="K154">
        <f>INDEX('Draft Engine'!$Z$3:$Z$232,$M154)</f>
        <v/>
      </c>
      <c r="L154">
        <f>INDEX('LIVE SOURCE'!$H$3:$H$232,$M154)</f>
        <v/>
      </c>
      <c r="M154" s="6">
        <f>MATCH($A154,'Draft Engine'!$Q$3:$Q$232,0)</f>
        <v/>
      </c>
      <c r="N154">
        <f>INDEX('LIVE SOURCE'!$L$3:$L$232,$M154)</f>
        <v/>
      </c>
    </row>
    <row r="155">
      <c r="A155" t="n">
        <v>153</v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Engine'!$N$3:$N$232,$M155)</f>
        <v/>
      </c>
      <c r="H155" s="4">
        <f>INDEX('Draft Engine'!$R$3:$R$232,$M155)</f>
        <v/>
      </c>
      <c r="I155" s="4">
        <f>INDEX('Draft Engine'!$S$3:$S$232,$M155)</f>
        <v/>
      </c>
      <c r="J155" s="5" t="n"/>
      <c r="K155">
        <f>INDEX('Draft Engine'!$Z$3:$Z$232,$M155)</f>
        <v/>
      </c>
      <c r="L155">
        <f>INDEX('LIVE SOURCE'!$H$3:$H$232,$M155)</f>
        <v/>
      </c>
      <c r="M155" s="6">
        <f>MATCH($A155,'Draft Engine'!$Q$3:$Q$232,0)</f>
        <v/>
      </c>
      <c r="N155">
        <f>INDEX('LIVE SOURCE'!$L$3:$L$232,$M155)</f>
        <v/>
      </c>
    </row>
    <row r="156">
      <c r="A156" t="n">
        <v>154</v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Engine'!$N$3:$N$232,$M156)</f>
        <v/>
      </c>
      <c r="H156" s="4">
        <f>INDEX('Draft Engine'!$R$3:$R$232,$M156)</f>
        <v/>
      </c>
      <c r="I156" s="4">
        <f>INDEX('Draft Engine'!$S$3:$S$232,$M156)</f>
        <v/>
      </c>
      <c r="J156" s="5" t="n"/>
      <c r="K156">
        <f>INDEX('Draft Engine'!$Z$3:$Z$232,$M156)</f>
        <v/>
      </c>
      <c r="L156">
        <f>INDEX('LIVE SOURCE'!$H$3:$H$232,$M156)</f>
        <v/>
      </c>
      <c r="M156" s="6">
        <f>MATCH($A156,'Draft Engine'!$Q$3:$Q$232,0)</f>
        <v/>
      </c>
      <c r="N156">
        <f>INDEX('LIVE SOURCE'!$L$3:$L$232,$M156)</f>
        <v/>
      </c>
    </row>
    <row r="157">
      <c r="A157" t="n">
        <v>155</v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Engine'!$N$3:$N$232,$M157)</f>
        <v/>
      </c>
      <c r="H157" s="4">
        <f>INDEX('Draft Engine'!$R$3:$R$232,$M157)</f>
        <v/>
      </c>
      <c r="I157" s="4">
        <f>INDEX('Draft Engine'!$S$3:$S$232,$M157)</f>
        <v/>
      </c>
      <c r="J157" s="5" t="n"/>
      <c r="K157">
        <f>INDEX('Draft Engine'!$Z$3:$Z$232,$M157)</f>
        <v/>
      </c>
      <c r="L157">
        <f>INDEX('LIVE SOURCE'!$H$3:$H$232,$M157)</f>
        <v/>
      </c>
      <c r="M157" s="6">
        <f>MATCH($A157,'Draft Engine'!$Q$3:$Q$232,0)</f>
        <v/>
      </c>
      <c r="N157">
        <f>INDEX('LIVE SOURCE'!$L$3:$L$232,$M157)</f>
        <v/>
      </c>
    </row>
    <row r="158">
      <c r="A158" t="n">
        <v>156</v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Engine'!$N$3:$N$232,$M158)</f>
        <v/>
      </c>
      <c r="H158" s="4">
        <f>INDEX('Draft Engine'!$R$3:$R$232,$M158)</f>
        <v/>
      </c>
      <c r="I158" s="4">
        <f>INDEX('Draft Engine'!$S$3:$S$232,$M158)</f>
        <v/>
      </c>
      <c r="J158" s="5" t="n"/>
      <c r="K158">
        <f>INDEX('Draft Engine'!$Z$3:$Z$232,$M158)</f>
        <v/>
      </c>
      <c r="L158">
        <f>INDEX('LIVE SOURCE'!$H$3:$H$232,$M158)</f>
        <v/>
      </c>
      <c r="M158" s="6">
        <f>MATCH($A158,'Draft Engine'!$Q$3:$Q$232,0)</f>
        <v/>
      </c>
      <c r="N158">
        <f>INDEX('LIVE SOURCE'!$L$3:$L$232,$M158)</f>
        <v/>
      </c>
    </row>
    <row r="159">
      <c r="A159" t="n">
        <v>157</v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Engine'!$N$3:$N$232,$M159)</f>
        <v/>
      </c>
      <c r="H159" s="4">
        <f>INDEX('Draft Engine'!$R$3:$R$232,$M159)</f>
        <v/>
      </c>
      <c r="I159" s="4">
        <f>INDEX('Draft Engine'!$S$3:$S$232,$M159)</f>
        <v/>
      </c>
      <c r="J159" s="5" t="n"/>
      <c r="K159">
        <f>INDEX('Draft Engine'!$Z$3:$Z$232,$M159)</f>
        <v/>
      </c>
      <c r="L159">
        <f>INDEX('LIVE SOURCE'!$H$3:$H$232,$M159)</f>
        <v/>
      </c>
      <c r="M159" s="6">
        <f>MATCH($A159,'Draft Engine'!$Q$3:$Q$232,0)</f>
        <v/>
      </c>
      <c r="N159">
        <f>INDEX('LIVE SOURCE'!$L$3:$L$232,$M159)</f>
        <v/>
      </c>
    </row>
    <row r="160">
      <c r="A160" t="n">
        <v>158</v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Engine'!$N$3:$N$232,$M160)</f>
        <v/>
      </c>
      <c r="H160" s="4">
        <f>INDEX('Draft Engine'!$R$3:$R$232,$M160)</f>
        <v/>
      </c>
      <c r="I160" s="4">
        <f>INDEX('Draft Engine'!$S$3:$S$232,$M160)</f>
        <v/>
      </c>
      <c r="J160" s="5" t="n"/>
      <c r="K160">
        <f>INDEX('Draft Engine'!$Z$3:$Z$232,$M160)</f>
        <v/>
      </c>
      <c r="L160">
        <f>INDEX('LIVE SOURCE'!$H$3:$H$232,$M160)</f>
        <v/>
      </c>
      <c r="M160" s="6">
        <f>MATCH($A160,'Draft Engine'!$Q$3:$Q$232,0)</f>
        <v/>
      </c>
      <c r="N160">
        <f>INDEX('LIVE SOURCE'!$L$3:$L$232,$M160)</f>
        <v/>
      </c>
    </row>
    <row r="161">
      <c r="A161" t="n">
        <v>159</v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Engine'!$N$3:$N$232,$M161)</f>
        <v/>
      </c>
      <c r="H161" s="4">
        <f>INDEX('Draft Engine'!$R$3:$R$232,$M161)</f>
        <v/>
      </c>
      <c r="I161" s="4">
        <f>INDEX('Draft Engine'!$S$3:$S$232,$M161)</f>
        <v/>
      </c>
      <c r="J161" s="5" t="n"/>
      <c r="K161">
        <f>INDEX('Draft Engine'!$Z$3:$Z$232,$M161)</f>
        <v/>
      </c>
      <c r="L161">
        <f>INDEX('LIVE SOURCE'!$H$3:$H$232,$M161)</f>
        <v/>
      </c>
      <c r="M161" s="6">
        <f>MATCH($A161,'Draft Engine'!$Q$3:$Q$232,0)</f>
        <v/>
      </c>
      <c r="N161">
        <f>INDEX('LIVE SOURCE'!$L$3:$L$232,$M161)</f>
        <v/>
      </c>
    </row>
    <row r="162">
      <c r="A162" t="n">
        <v>160</v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Engine'!$N$3:$N$232,$M162)</f>
        <v/>
      </c>
      <c r="H162" s="4">
        <f>INDEX('Draft Engine'!$R$3:$R$232,$M162)</f>
        <v/>
      </c>
      <c r="I162" s="4">
        <f>INDEX('Draft Engine'!$S$3:$S$232,$M162)</f>
        <v/>
      </c>
      <c r="J162" s="5" t="n"/>
      <c r="K162">
        <f>INDEX('Draft Engine'!$Z$3:$Z$232,$M162)</f>
        <v/>
      </c>
      <c r="L162">
        <f>INDEX('LIVE SOURCE'!$H$3:$H$232,$M162)</f>
        <v/>
      </c>
      <c r="M162" s="6">
        <f>MATCH($A162,'Draft Engine'!$Q$3:$Q$232,0)</f>
        <v/>
      </c>
      <c r="N162">
        <f>INDEX('LIVE SOURCE'!$L$3:$L$232,$M162)</f>
        <v/>
      </c>
    </row>
    <row r="163">
      <c r="A163" t="n">
        <v>161</v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Engine'!$N$3:$N$232,$M163)</f>
        <v/>
      </c>
      <c r="H163" s="4">
        <f>INDEX('Draft Engine'!$R$3:$R$232,$M163)</f>
        <v/>
      </c>
      <c r="I163" s="4">
        <f>INDEX('Draft Engine'!$S$3:$S$232,$M163)</f>
        <v/>
      </c>
      <c r="J163" s="5" t="n"/>
      <c r="K163">
        <f>INDEX('Draft Engine'!$Z$3:$Z$232,$M163)</f>
        <v/>
      </c>
      <c r="L163">
        <f>INDEX('LIVE SOURCE'!$H$3:$H$232,$M163)</f>
        <v/>
      </c>
      <c r="M163" s="6">
        <f>MATCH($A163,'Draft Engine'!$Q$3:$Q$232,0)</f>
        <v/>
      </c>
      <c r="N163">
        <f>INDEX('LIVE SOURCE'!$L$3:$L$232,$M163)</f>
        <v/>
      </c>
    </row>
    <row r="164">
      <c r="A164" t="n">
        <v>162</v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Engine'!$N$3:$N$232,$M164)</f>
        <v/>
      </c>
      <c r="H164" s="4">
        <f>INDEX('Draft Engine'!$R$3:$R$232,$M164)</f>
        <v/>
      </c>
      <c r="I164" s="4">
        <f>INDEX('Draft Engine'!$S$3:$S$232,$M164)</f>
        <v/>
      </c>
      <c r="J164" s="5" t="n"/>
      <c r="K164">
        <f>INDEX('Draft Engine'!$Z$3:$Z$232,$M164)</f>
        <v/>
      </c>
      <c r="L164">
        <f>INDEX('LIVE SOURCE'!$H$3:$H$232,$M164)</f>
        <v/>
      </c>
      <c r="M164" s="6">
        <f>MATCH($A164,'Draft Engine'!$Q$3:$Q$232,0)</f>
        <v/>
      </c>
      <c r="N164">
        <f>INDEX('LIVE SOURCE'!$L$3:$L$232,$M164)</f>
        <v/>
      </c>
    </row>
    <row r="165">
      <c r="A165" t="n">
        <v>163</v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Engine'!$N$3:$N$232,$M165)</f>
        <v/>
      </c>
      <c r="H165" s="4">
        <f>INDEX('Draft Engine'!$R$3:$R$232,$M165)</f>
        <v/>
      </c>
      <c r="I165" s="4">
        <f>INDEX('Draft Engine'!$S$3:$S$232,$M165)</f>
        <v/>
      </c>
      <c r="J165" s="5" t="n"/>
      <c r="K165">
        <f>INDEX('Draft Engine'!$Z$3:$Z$232,$M165)</f>
        <v/>
      </c>
      <c r="L165">
        <f>INDEX('LIVE SOURCE'!$H$3:$H$232,$M165)</f>
        <v/>
      </c>
      <c r="M165" s="6">
        <f>MATCH($A165,'Draft Engine'!$Q$3:$Q$232,0)</f>
        <v/>
      </c>
      <c r="N165">
        <f>INDEX('LIVE SOURCE'!$L$3:$L$232,$M165)</f>
        <v/>
      </c>
    </row>
    <row r="166">
      <c r="A166" t="n">
        <v>164</v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Engine'!$N$3:$N$232,$M166)</f>
        <v/>
      </c>
      <c r="H166" s="4">
        <f>INDEX('Draft Engine'!$R$3:$R$232,$M166)</f>
        <v/>
      </c>
      <c r="I166" s="4">
        <f>INDEX('Draft Engine'!$S$3:$S$232,$M166)</f>
        <v/>
      </c>
      <c r="J166" s="5" t="n"/>
      <c r="K166">
        <f>INDEX('Draft Engine'!$Z$3:$Z$232,$M166)</f>
        <v/>
      </c>
      <c r="L166">
        <f>INDEX('LIVE SOURCE'!$H$3:$H$232,$M166)</f>
        <v/>
      </c>
      <c r="M166" s="6">
        <f>MATCH($A166,'Draft Engine'!$Q$3:$Q$232,0)</f>
        <v/>
      </c>
      <c r="N166">
        <f>INDEX('LIVE SOURCE'!$L$3:$L$232,$M166)</f>
        <v/>
      </c>
    </row>
    <row r="167">
      <c r="A167" t="n">
        <v>165</v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Engine'!$N$3:$N$232,$M167)</f>
        <v/>
      </c>
      <c r="H167" s="4">
        <f>INDEX('Draft Engine'!$R$3:$R$232,$M167)</f>
        <v/>
      </c>
      <c r="I167" s="4">
        <f>INDEX('Draft Engine'!$S$3:$S$232,$M167)</f>
        <v/>
      </c>
      <c r="J167" s="5" t="n"/>
      <c r="K167">
        <f>INDEX('Draft Engine'!$Z$3:$Z$232,$M167)</f>
        <v/>
      </c>
      <c r="L167">
        <f>INDEX('LIVE SOURCE'!$H$3:$H$232,$M167)</f>
        <v/>
      </c>
      <c r="M167" s="6">
        <f>MATCH($A167,'Draft Engine'!$Q$3:$Q$232,0)</f>
        <v/>
      </c>
      <c r="N167">
        <f>INDEX('LIVE SOURCE'!$L$3:$L$232,$M167)</f>
        <v/>
      </c>
    </row>
    <row r="168">
      <c r="A168" t="n">
        <v>166</v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Engine'!$N$3:$N$232,$M168)</f>
        <v/>
      </c>
      <c r="H168" s="4">
        <f>INDEX('Draft Engine'!$R$3:$R$232,$M168)</f>
        <v/>
      </c>
      <c r="I168" s="4">
        <f>INDEX('Draft Engine'!$S$3:$S$232,$M168)</f>
        <v/>
      </c>
      <c r="J168" s="5" t="n"/>
      <c r="K168">
        <f>INDEX('Draft Engine'!$Z$3:$Z$232,$M168)</f>
        <v/>
      </c>
      <c r="L168">
        <f>INDEX('LIVE SOURCE'!$H$3:$H$232,$M168)</f>
        <v/>
      </c>
      <c r="M168" s="6">
        <f>MATCH($A168,'Draft Engine'!$Q$3:$Q$232,0)</f>
        <v/>
      </c>
      <c r="N168">
        <f>INDEX('LIVE SOURCE'!$L$3:$L$232,$M168)</f>
        <v/>
      </c>
    </row>
    <row r="169">
      <c r="A169" t="n">
        <v>167</v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Engine'!$N$3:$N$232,$M169)</f>
        <v/>
      </c>
      <c r="H169" s="4">
        <f>INDEX('Draft Engine'!$R$3:$R$232,$M169)</f>
        <v/>
      </c>
      <c r="I169" s="4">
        <f>INDEX('Draft Engine'!$S$3:$S$232,$M169)</f>
        <v/>
      </c>
      <c r="J169" s="5" t="n"/>
      <c r="K169">
        <f>INDEX('Draft Engine'!$Z$3:$Z$232,$M169)</f>
        <v/>
      </c>
      <c r="L169">
        <f>INDEX('LIVE SOURCE'!$H$3:$H$232,$M169)</f>
        <v/>
      </c>
      <c r="M169" s="6">
        <f>MATCH($A169,'Draft Engine'!$Q$3:$Q$232,0)</f>
        <v/>
      </c>
      <c r="N169">
        <f>INDEX('LIVE SOURCE'!$L$3:$L$232,$M169)</f>
        <v/>
      </c>
    </row>
    <row r="170">
      <c r="A170" t="n">
        <v>168</v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Engine'!$N$3:$N$232,$M170)</f>
        <v/>
      </c>
      <c r="H170" s="4">
        <f>INDEX('Draft Engine'!$R$3:$R$232,$M170)</f>
        <v/>
      </c>
      <c r="I170" s="4">
        <f>INDEX('Draft Engine'!$S$3:$S$232,$M170)</f>
        <v/>
      </c>
      <c r="J170" s="5" t="n"/>
      <c r="K170">
        <f>INDEX('Draft Engine'!$Z$3:$Z$232,$M170)</f>
        <v/>
      </c>
      <c r="L170">
        <f>INDEX('LIVE SOURCE'!$H$3:$H$232,$M170)</f>
        <v/>
      </c>
      <c r="M170" s="6">
        <f>MATCH($A170,'Draft Engine'!$Q$3:$Q$232,0)</f>
        <v/>
      </c>
      <c r="N170">
        <f>INDEX('LIVE SOURCE'!$L$3:$L$232,$M170)</f>
        <v/>
      </c>
    </row>
    <row r="171">
      <c r="A171" t="n">
        <v>169</v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Engine'!$N$3:$N$232,$M171)</f>
        <v/>
      </c>
      <c r="H171" s="4">
        <f>INDEX('Draft Engine'!$R$3:$R$232,$M171)</f>
        <v/>
      </c>
      <c r="I171" s="4">
        <f>INDEX('Draft Engine'!$S$3:$S$232,$M171)</f>
        <v/>
      </c>
      <c r="J171" s="5" t="n"/>
      <c r="K171">
        <f>INDEX('Draft Engine'!$Z$3:$Z$232,$M171)</f>
        <v/>
      </c>
      <c r="L171">
        <f>INDEX('LIVE SOURCE'!$H$3:$H$232,$M171)</f>
        <v/>
      </c>
      <c r="M171" s="6">
        <f>MATCH($A171,'Draft Engine'!$Q$3:$Q$232,0)</f>
        <v/>
      </c>
      <c r="N171">
        <f>INDEX('LIVE SOURCE'!$L$3:$L$232,$M171)</f>
        <v/>
      </c>
    </row>
    <row r="172">
      <c r="A172" t="n">
        <v>170</v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Engine'!$N$3:$N$232,$M172)</f>
        <v/>
      </c>
      <c r="H172" s="4">
        <f>INDEX('Draft Engine'!$R$3:$R$232,$M172)</f>
        <v/>
      </c>
      <c r="I172" s="4">
        <f>INDEX('Draft Engine'!$S$3:$S$232,$M172)</f>
        <v/>
      </c>
      <c r="J172" s="5" t="n"/>
      <c r="K172">
        <f>INDEX('Draft Engine'!$Z$3:$Z$232,$M172)</f>
        <v/>
      </c>
      <c r="L172">
        <f>INDEX('LIVE SOURCE'!$H$3:$H$232,$M172)</f>
        <v/>
      </c>
      <c r="M172" s="6">
        <f>MATCH($A172,'Draft Engine'!$Q$3:$Q$232,0)</f>
        <v/>
      </c>
      <c r="N172">
        <f>INDEX('LIVE SOURCE'!$L$3:$L$232,$M172)</f>
        <v/>
      </c>
    </row>
    <row r="173">
      <c r="A173" t="n">
        <v>171</v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Engine'!$N$3:$N$232,$M173)</f>
        <v/>
      </c>
      <c r="H173" s="4">
        <f>INDEX('Draft Engine'!$R$3:$R$232,$M173)</f>
        <v/>
      </c>
      <c r="I173" s="4">
        <f>INDEX('Draft Engine'!$S$3:$S$232,$M173)</f>
        <v/>
      </c>
      <c r="J173" s="5" t="n"/>
      <c r="K173">
        <f>INDEX('Draft Engine'!$Z$3:$Z$232,$M173)</f>
        <v/>
      </c>
      <c r="L173">
        <f>INDEX('LIVE SOURCE'!$H$3:$H$232,$M173)</f>
        <v/>
      </c>
      <c r="M173" s="6">
        <f>MATCH($A173,'Draft Engine'!$Q$3:$Q$232,0)</f>
        <v/>
      </c>
      <c r="N173">
        <f>INDEX('LIVE SOURCE'!$L$3:$L$232,$M173)</f>
        <v/>
      </c>
    </row>
    <row r="174">
      <c r="A174" t="n">
        <v>172</v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Engine'!$N$3:$N$232,$M174)</f>
        <v/>
      </c>
      <c r="H174" s="4">
        <f>INDEX('Draft Engine'!$R$3:$R$232,$M174)</f>
        <v/>
      </c>
      <c r="I174" s="4">
        <f>INDEX('Draft Engine'!$S$3:$S$232,$M174)</f>
        <v/>
      </c>
      <c r="J174" s="5" t="n"/>
      <c r="K174">
        <f>INDEX('Draft Engine'!$Z$3:$Z$232,$M174)</f>
        <v/>
      </c>
      <c r="L174">
        <f>INDEX('LIVE SOURCE'!$H$3:$H$232,$M174)</f>
        <v/>
      </c>
      <c r="M174" s="6">
        <f>MATCH($A174,'Draft Engine'!$Q$3:$Q$232,0)</f>
        <v/>
      </c>
      <c r="N174">
        <f>INDEX('LIVE SOURCE'!$L$3:$L$232,$M174)</f>
        <v/>
      </c>
    </row>
    <row r="175">
      <c r="A175" t="n">
        <v>173</v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Engine'!$N$3:$N$232,$M175)</f>
        <v/>
      </c>
      <c r="H175" s="4">
        <f>INDEX('Draft Engine'!$R$3:$R$232,$M175)</f>
        <v/>
      </c>
      <c r="I175" s="4">
        <f>INDEX('Draft Engine'!$S$3:$S$232,$M175)</f>
        <v/>
      </c>
      <c r="J175" s="5" t="n"/>
      <c r="K175">
        <f>INDEX('Draft Engine'!$Z$3:$Z$232,$M175)</f>
        <v/>
      </c>
      <c r="L175">
        <f>INDEX('LIVE SOURCE'!$H$3:$H$232,$M175)</f>
        <v/>
      </c>
      <c r="M175" s="6">
        <f>MATCH($A175,'Draft Engine'!$Q$3:$Q$232,0)</f>
        <v/>
      </c>
      <c r="N175">
        <f>INDEX('LIVE SOURCE'!$L$3:$L$232,$M175)</f>
        <v/>
      </c>
    </row>
    <row r="176">
      <c r="A176" t="n">
        <v>174</v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Engine'!$N$3:$N$232,$M176)</f>
        <v/>
      </c>
      <c r="H176" s="4">
        <f>INDEX('Draft Engine'!$R$3:$R$232,$M176)</f>
        <v/>
      </c>
      <c r="I176" s="4">
        <f>INDEX('Draft Engine'!$S$3:$S$232,$M176)</f>
        <v/>
      </c>
      <c r="J176" s="5" t="n"/>
      <c r="K176">
        <f>INDEX('Draft Engine'!$Z$3:$Z$232,$M176)</f>
        <v/>
      </c>
      <c r="L176">
        <f>INDEX('LIVE SOURCE'!$H$3:$H$232,$M176)</f>
        <v/>
      </c>
      <c r="M176" s="6">
        <f>MATCH($A176,'Draft Engine'!$Q$3:$Q$232,0)</f>
        <v/>
      </c>
      <c r="N176">
        <f>INDEX('LIVE SOURCE'!$L$3:$L$232,$M176)</f>
        <v/>
      </c>
    </row>
    <row r="177">
      <c r="A177" t="n">
        <v>175</v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Engine'!$N$3:$N$232,$M177)</f>
        <v/>
      </c>
      <c r="H177" s="4">
        <f>INDEX('Draft Engine'!$R$3:$R$232,$M177)</f>
        <v/>
      </c>
      <c r="I177" s="4">
        <f>INDEX('Draft Engine'!$S$3:$S$232,$M177)</f>
        <v/>
      </c>
      <c r="J177" s="5" t="n"/>
      <c r="K177">
        <f>INDEX('Draft Engine'!$Z$3:$Z$232,$M177)</f>
        <v/>
      </c>
      <c r="L177">
        <f>INDEX('LIVE SOURCE'!$H$3:$H$232,$M177)</f>
        <v/>
      </c>
      <c r="M177" s="6">
        <f>MATCH($A177,'Draft Engine'!$Q$3:$Q$232,0)</f>
        <v/>
      </c>
      <c r="N177">
        <f>INDEX('LIVE SOURCE'!$L$3:$L$232,$M177)</f>
        <v/>
      </c>
    </row>
    <row r="178">
      <c r="A178" t="n">
        <v>176</v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Engine'!$N$3:$N$232,$M178)</f>
        <v/>
      </c>
      <c r="H178" s="4">
        <f>INDEX('Draft Engine'!$R$3:$R$232,$M178)</f>
        <v/>
      </c>
      <c r="I178" s="4">
        <f>INDEX('Draft Engine'!$S$3:$S$232,$M178)</f>
        <v/>
      </c>
      <c r="J178" s="5" t="n"/>
      <c r="K178">
        <f>INDEX('Draft Engine'!$Z$3:$Z$232,$M178)</f>
        <v/>
      </c>
      <c r="L178">
        <f>INDEX('LIVE SOURCE'!$H$3:$H$232,$M178)</f>
        <v/>
      </c>
      <c r="M178" s="6">
        <f>MATCH($A178,'Draft Engine'!$Q$3:$Q$232,0)</f>
        <v/>
      </c>
      <c r="N178">
        <f>INDEX('LIVE SOURCE'!$L$3:$L$232,$M178)</f>
        <v/>
      </c>
    </row>
    <row r="179">
      <c r="A179" t="n">
        <v>177</v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Engine'!$N$3:$N$232,$M179)</f>
        <v/>
      </c>
      <c r="H179" s="4">
        <f>INDEX('Draft Engine'!$R$3:$R$232,$M179)</f>
        <v/>
      </c>
      <c r="I179" s="4">
        <f>INDEX('Draft Engine'!$S$3:$S$232,$M179)</f>
        <v/>
      </c>
      <c r="J179" s="5" t="n"/>
      <c r="K179">
        <f>INDEX('Draft Engine'!$Z$3:$Z$232,$M179)</f>
        <v/>
      </c>
      <c r="L179">
        <f>INDEX('LIVE SOURCE'!$H$3:$H$232,$M179)</f>
        <v/>
      </c>
      <c r="M179" s="6">
        <f>MATCH($A179,'Draft Engine'!$Q$3:$Q$232,0)</f>
        <v/>
      </c>
      <c r="N179">
        <f>INDEX('LIVE SOURCE'!$L$3:$L$232,$M179)</f>
        <v/>
      </c>
    </row>
    <row r="180">
      <c r="A180" t="n">
        <v>178</v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Engine'!$N$3:$N$232,$M180)</f>
        <v/>
      </c>
      <c r="H180" s="4">
        <f>INDEX('Draft Engine'!$R$3:$R$232,$M180)</f>
        <v/>
      </c>
      <c r="I180" s="4">
        <f>INDEX('Draft Engine'!$S$3:$S$232,$M180)</f>
        <v/>
      </c>
      <c r="J180" s="5" t="n"/>
      <c r="K180">
        <f>INDEX('Draft Engine'!$Z$3:$Z$232,$M180)</f>
        <v/>
      </c>
      <c r="L180">
        <f>INDEX('LIVE SOURCE'!$H$3:$H$232,$M180)</f>
        <v/>
      </c>
      <c r="M180" s="6">
        <f>MATCH($A180,'Draft Engine'!$Q$3:$Q$232,0)</f>
        <v/>
      </c>
      <c r="N180">
        <f>INDEX('LIVE SOURCE'!$L$3:$L$232,$M180)</f>
        <v/>
      </c>
    </row>
    <row r="181">
      <c r="A181" t="n">
        <v>179</v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Engine'!$N$3:$N$232,$M181)</f>
        <v/>
      </c>
      <c r="H181" s="4">
        <f>INDEX('Draft Engine'!$R$3:$R$232,$M181)</f>
        <v/>
      </c>
      <c r="I181" s="4">
        <f>INDEX('Draft Engine'!$S$3:$S$232,$M181)</f>
        <v/>
      </c>
      <c r="J181" s="5" t="n"/>
      <c r="K181">
        <f>INDEX('Draft Engine'!$Z$3:$Z$232,$M181)</f>
        <v/>
      </c>
      <c r="L181">
        <f>INDEX('LIVE SOURCE'!$H$3:$H$232,$M181)</f>
        <v/>
      </c>
      <c r="M181" s="6">
        <f>MATCH($A181,'Draft Engine'!$Q$3:$Q$232,0)</f>
        <v/>
      </c>
      <c r="N181">
        <f>INDEX('LIVE SOURCE'!$L$3:$L$232,$M181)</f>
        <v/>
      </c>
    </row>
    <row r="182">
      <c r="A182" t="n">
        <v>180</v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Engine'!$N$3:$N$232,$M182)</f>
        <v/>
      </c>
      <c r="H182" s="4">
        <f>INDEX('Draft Engine'!$R$3:$R$232,$M182)</f>
        <v/>
      </c>
      <c r="I182" s="4">
        <f>INDEX('Draft Engine'!$S$3:$S$232,$M182)</f>
        <v/>
      </c>
      <c r="J182" s="5" t="n"/>
      <c r="K182">
        <f>INDEX('Draft Engine'!$Z$3:$Z$232,$M182)</f>
        <v/>
      </c>
      <c r="L182">
        <f>INDEX('LIVE SOURCE'!$H$3:$H$232,$M182)</f>
        <v/>
      </c>
      <c r="M182" s="6">
        <f>MATCH($A182,'Draft Engine'!$Q$3:$Q$232,0)</f>
        <v/>
      </c>
      <c r="N182">
        <f>INDEX('LIVE SOURCE'!$L$3:$L$232,$M182)</f>
        <v/>
      </c>
    </row>
    <row r="183">
      <c r="A183" t="n">
        <v>181</v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Engine'!$N$3:$N$232,$M183)</f>
        <v/>
      </c>
      <c r="H183" s="4">
        <f>INDEX('Draft Engine'!$R$3:$R$232,$M183)</f>
        <v/>
      </c>
      <c r="I183" s="4">
        <f>INDEX('Draft Engine'!$S$3:$S$232,$M183)</f>
        <v/>
      </c>
      <c r="J183" s="5" t="n"/>
      <c r="K183">
        <f>INDEX('Draft Engine'!$Z$3:$Z$232,$M183)</f>
        <v/>
      </c>
      <c r="L183">
        <f>INDEX('LIVE SOURCE'!$H$3:$H$232,$M183)</f>
        <v/>
      </c>
      <c r="M183" s="6">
        <f>MATCH($A183,'Draft Engine'!$Q$3:$Q$232,0)</f>
        <v/>
      </c>
      <c r="N183">
        <f>INDEX('LIVE SOURCE'!$L$3:$L$232,$M183)</f>
        <v/>
      </c>
    </row>
    <row r="184">
      <c r="A184" t="n">
        <v>182</v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Engine'!$N$3:$N$232,$M184)</f>
        <v/>
      </c>
      <c r="H184" s="4">
        <f>INDEX('Draft Engine'!$R$3:$R$232,$M184)</f>
        <v/>
      </c>
      <c r="I184" s="4">
        <f>INDEX('Draft Engine'!$S$3:$S$232,$M184)</f>
        <v/>
      </c>
      <c r="J184" s="5" t="n"/>
      <c r="K184">
        <f>INDEX('Draft Engine'!$Z$3:$Z$232,$M184)</f>
        <v/>
      </c>
      <c r="L184">
        <f>INDEX('LIVE SOURCE'!$H$3:$H$232,$M184)</f>
        <v/>
      </c>
      <c r="M184" s="6">
        <f>MATCH($A184,'Draft Engine'!$Q$3:$Q$232,0)</f>
        <v/>
      </c>
      <c r="N184">
        <f>INDEX('LIVE SOURCE'!$L$3:$L$232,$M184)</f>
        <v/>
      </c>
    </row>
    <row r="185">
      <c r="A185" t="n">
        <v>183</v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Engine'!$N$3:$N$232,$M185)</f>
        <v/>
      </c>
      <c r="H185" s="4">
        <f>INDEX('Draft Engine'!$R$3:$R$232,$M185)</f>
        <v/>
      </c>
      <c r="I185" s="4">
        <f>INDEX('Draft Engine'!$S$3:$S$232,$M185)</f>
        <v/>
      </c>
      <c r="J185" s="5" t="n"/>
      <c r="K185">
        <f>INDEX('Draft Engine'!$Z$3:$Z$232,$M185)</f>
        <v/>
      </c>
      <c r="L185">
        <f>INDEX('LIVE SOURCE'!$H$3:$H$232,$M185)</f>
        <v/>
      </c>
      <c r="M185" s="6">
        <f>MATCH($A185,'Draft Engine'!$Q$3:$Q$232,0)</f>
        <v/>
      </c>
      <c r="N185">
        <f>INDEX('LIVE SOURCE'!$L$3:$L$232,$M185)</f>
        <v/>
      </c>
    </row>
    <row r="186">
      <c r="A186" t="n">
        <v>184</v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Engine'!$N$3:$N$232,$M186)</f>
        <v/>
      </c>
      <c r="H186" s="4">
        <f>INDEX('Draft Engine'!$R$3:$R$232,$M186)</f>
        <v/>
      </c>
      <c r="I186" s="4">
        <f>INDEX('Draft Engine'!$S$3:$S$232,$M186)</f>
        <v/>
      </c>
      <c r="J186" s="5" t="n"/>
      <c r="K186">
        <f>INDEX('Draft Engine'!$Z$3:$Z$232,$M186)</f>
        <v/>
      </c>
      <c r="L186">
        <f>INDEX('LIVE SOURCE'!$H$3:$H$232,$M186)</f>
        <v/>
      </c>
      <c r="M186" s="6">
        <f>MATCH($A186,'Draft Engine'!$Q$3:$Q$232,0)</f>
        <v/>
      </c>
      <c r="N186">
        <f>INDEX('LIVE SOURCE'!$L$3:$L$232,$M186)</f>
        <v/>
      </c>
    </row>
    <row r="187">
      <c r="A187" t="n">
        <v>185</v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Engine'!$N$3:$N$232,$M187)</f>
        <v/>
      </c>
      <c r="H187" s="4">
        <f>INDEX('Draft Engine'!$R$3:$R$232,$M187)</f>
        <v/>
      </c>
      <c r="I187" s="4">
        <f>INDEX('Draft Engine'!$S$3:$S$232,$M187)</f>
        <v/>
      </c>
      <c r="J187" s="5" t="n"/>
      <c r="K187">
        <f>INDEX('Draft Engine'!$Z$3:$Z$232,$M187)</f>
        <v/>
      </c>
      <c r="L187">
        <f>INDEX('LIVE SOURCE'!$H$3:$H$232,$M187)</f>
        <v/>
      </c>
      <c r="M187" s="6">
        <f>MATCH($A187,'Draft Engine'!$Q$3:$Q$232,0)</f>
        <v/>
      </c>
      <c r="N187">
        <f>INDEX('LIVE SOURCE'!$L$3:$L$232,$M187)</f>
        <v/>
      </c>
    </row>
    <row r="188">
      <c r="A188" t="n">
        <v>186</v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Engine'!$N$3:$N$232,$M188)</f>
        <v/>
      </c>
      <c r="H188" s="4">
        <f>INDEX('Draft Engine'!$R$3:$R$232,$M188)</f>
        <v/>
      </c>
      <c r="I188" s="4">
        <f>INDEX('Draft Engine'!$S$3:$S$232,$M188)</f>
        <v/>
      </c>
      <c r="J188" s="5" t="n"/>
      <c r="K188">
        <f>INDEX('Draft Engine'!$Z$3:$Z$232,$M188)</f>
        <v/>
      </c>
      <c r="L188">
        <f>INDEX('LIVE SOURCE'!$H$3:$H$232,$M188)</f>
        <v/>
      </c>
      <c r="M188" s="6">
        <f>MATCH($A188,'Draft Engine'!$Q$3:$Q$232,0)</f>
        <v/>
      </c>
      <c r="N188">
        <f>INDEX('LIVE SOURCE'!$L$3:$L$232,$M188)</f>
        <v/>
      </c>
    </row>
    <row r="189">
      <c r="A189" t="n">
        <v>187</v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Engine'!$N$3:$N$232,$M189)</f>
        <v/>
      </c>
      <c r="H189" s="4">
        <f>INDEX('Draft Engine'!$R$3:$R$232,$M189)</f>
        <v/>
      </c>
      <c r="I189" s="4">
        <f>INDEX('Draft Engine'!$S$3:$S$232,$M189)</f>
        <v/>
      </c>
      <c r="J189" s="5" t="n"/>
      <c r="K189">
        <f>INDEX('Draft Engine'!$Z$3:$Z$232,$M189)</f>
        <v/>
      </c>
      <c r="L189">
        <f>INDEX('LIVE SOURCE'!$H$3:$H$232,$M189)</f>
        <v/>
      </c>
      <c r="M189" s="6">
        <f>MATCH($A189,'Draft Engine'!$Q$3:$Q$232,0)</f>
        <v/>
      </c>
      <c r="N189">
        <f>INDEX('LIVE SOURCE'!$L$3:$L$232,$M189)</f>
        <v/>
      </c>
    </row>
    <row r="190">
      <c r="A190" t="n">
        <v>188</v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Engine'!$N$3:$N$232,$M190)</f>
        <v/>
      </c>
      <c r="H190" s="4">
        <f>INDEX('Draft Engine'!$R$3:$R$232,$M190)</f>
        <v/>
      </c>
      <c r="I190" s="4">
        <f>INDEX('Draft Engine'!$S$3:$S$232,$M190)</f>
        <v/>
      </c>
      <c r="J190" s="5" t="n"/>
      <c r="K190">
        <f>INDEX('Draft Engine'!$Z$3:$Z$232,$M190)</f>
        <v/>
      </c>
      <c r="L190">
        <f>INDEX('LIVE SOURCE'!$H$3:$H$232,$M190)</f>
        <v/>
      </c>
      <c r="M190" s="6">
        <f>MATCH($A190,'Draft Engine'!$Q$3:$Q$232,0)</f>
        <v/>
      </c>
      <c r="N190">
        <f>INDEX('LIVE SOURCE'!$L$3:$L$232,$M190)</f>
        <v/>
      </c>
    </row>
    <row r="191">
      <c r="A191" t="n">
        <v>189</v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Engine'!$N$3:$N$232,$M191)</f>
        <v/>
      </c>
      <c r="H191" s="4">
        <f>INDEX('Draft Engine'!$R$3:$R$232,$M191)</f>
        <v/>
      </c>
      <c r="I191" s="4">
        <f>INDEX('Draft Engine'!$S$3:$S$232,$M191)</f>
        <v/>
      </c>
      <c r="J191" s="5" t="n"/>
      <c r="K191">
        <f>INDEX('Draft Engine'!$Z$3:$Z$232,$M191)</f>
        <v/>
      </c>
      <c r="L191">
        <f>INDEX('LIVE SOURCE'!$H$3:$H$232,$M191)</f>
        <v/>
      </c>
      <c r="M191" s="6">
        <f>MATCH($A191,'Draft Engine'!$Q$3:$Q$232,0)</f>
        <v/>
      </c>
      <c r="N191">
        <f>INDEX('LIVE SOURCE'!$L$3:$L$232,$M191)</f>
        <v/>
      </c>
    </row>
    <row r="192">
      <c r="A192" t="n">
        <v>190</v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Engine'!$N$3:$N$232,$M192)</f>
        <v/>
      </c>
      <c r="H192" s="4">
        <f>INDEX('Draft Engine'!$R$3:$R$232,$M192)</f>
        <v/>
      </c>
      <c r="I192" s="4">
        <f>INDEX('Draft Engine'!$S$3:$S$232,$M192)</f>
        <v/>
      </c>
      <c r="J192" s="5" t="n"/>
      <c r="K192">
        <f>INDEX('Draft Engine'!$Z$3:$Z$232,$M192)</f>
        <v/>
      </c>
      <c r="L192">
        <f>INDEX('LIVE SOURCE'!$H$3:$H$232,$M192)</f>
        <v/>
      </c>
      <c r="M192" s="6">
        <f>MATCH($A192,'Draft Engine'!$Q$3:$Q$232,0)</f>
        <v/>
      </c>
      <c r="N192">
        <f>INDEX('LIVE SOURCE'!$L$3:$L$232,$M192)</f>
        <v/>
      </c>
    </row>
    <row r="193">
      <c r="A193" t="n">
        <v>191</v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Engine'!$N$3:$N$232,$M193)</f>
        <v/>
      </c>
      <c r="H193" s="4">
        <f>INDEX('Draft Engine'!$R$3:$R$232,$M193)</f>
        <v/>
      </c>
      <c r="I193" s="4">
        <f>INDEX('Draft Engine'!$S$3:$S$232,$M193)</f>
        <v/>
      </c>
      <c r="J193" s="5" t="n"/>
      <c r="K193">
        <f>INDEX('Draft Engine'!$Z$3:$Z$232,$M193)</f>
        <v/>
      </c>
      <c r="L193">
        <f>INDEX('LIVE SOURCE'!$H$3:$H$232,$M193)</f>
        <v/>
      </c>
      <c r="M193" s="6">
        <f>MATCH($A193,'Draft Engine'!$Q$3:$Q$232,0)</f>
        <v/>
      </c>
      <c r="N193">
        <f>INDEX('LIVE SOURCE'!$L$3:$L$232,$M193)</f>
        <v/>
      </c>
    </row>
    <row r="194">
      <c r="A194" t="n">
        <v>192</v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Engine'!$N$3:$N$232,$M194)</f>
        <v/>
      </c>
      <c r="H194" s="4">
        <f>INDEX('Draft Engine'!$R$3:$R$232,$M194)</f>
        <v/>
      </c>
      <c r="I194" s="4">
        <f>INDEX('Draft Engine'!$S$3:$S$232,$M194)</f>
        <v/>
      </c>
      <c r="J194" s="5" t="n"/>
      <c r="K194">
        <f>INDEX('Draft Engine'!$Z$3:$Z$232,$M194)</f>
        <v/>
      </c>
      <c r="L194">
        <f>INDEX('LIVE SOURCE'!$H$3:$H$232,$M194)</f>
        <v/>
      </c>
      <c r="M194" s="6">
        <f>MATCH($A194,'Draft Engine'!$Q$3:$Q$232,0)</f>
        <v/>
      </c>
      <c r="N194">
        <f>INDEX('LIVE SOURCE'!$L$3:$L$232,$M194)</f>
        <v/>
      </c>
    </row>
    <row r="195">
      <c r="A195" t="n">
        <v>193</v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Engine'!$N$3:$N$232,$M195)</f>
        <v/>
      </c>
      <c r="H195" s="4">
        <f>INDEX('Draft Engine'!$R$3:$R$232,$M195)</f>
        <v/>
      </c>
      <c r="I195" s="4">
        <f>INDEX('Draft Engine'!$S$3:$S$232,$M195)</f>
        <v/>
      </c>
      <c r="J195" s="5" t="n"/>
      <c r="K195">
        <f>INDEX('Draft Engine'!$Z$3:$Z$232,$M195)</f>
        <v/>
      </c>
      <c r="L195">
        <f>INDEX('LIVE SOURCE'!$H$3:$H$232,$M195)</f>
        <v/>
      </c>
      <c r="M195" s="6">
        <f>MATCH($A195,'Draft Engine'!$Q$3:$Q$232,0)</f>
        <v/>
      </c>
      <c r="N195">
        <f>INDEX('LIVE SOURCE'!$L$3:$L$232,$M195)</f>
        <v/>
      </c>
    </row>
    <row r="196">
      <c r="A196" t="n">
        <v>194</v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Engine'!$N$3:$N$232,$M196)</f>
        <v/>
      </c>
      <c r="H196" s="4">
        <f>INDEX('Draft Engine'!$R$3:$R$232,$M196)</f>
        <v/>
      </c>
      <c r="I196" s="4">
        <f>INDEX('Draft Engine'!$S$3:$S$232,$M196)</f>
        <v/>
      </c>
      <c r="J196" s="5" t="n"/>
      <c r="K196">
        <f>INDEX('Draft Engine'!$Z$3:$Z$232,$M196)</f>
        <v/>
      </c>
      <c r="L196">
        <f>INDEX('LIVE SOURCE'!$H$3:$H$232,$M196)</f>
        <v/>
      </c>
      <c r="M196" s="6">
        <f>MATCH($A196,'Draft Engine'!$Q$3:$Q$232,0)</f>
        <v/>
      </c>
      <c r="N196">
        <f>INDEX('LIVE SOURCE'!$L$3:$L$232,$M196)</f>
        <v/>
      </c>
    </row>
    <row r="197">
      <c r="A197" t="n">
        <v>195</v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Engine'!$N$3:$N$232,$M197)</f>
        <v/>
      </c>
      <c r="H197" s="4">
        <f>INDEX('Draft Engine'!$R$3:$R$232,$M197)</f>
        <v/>
      </c>
      <c r="I197" s="4">
        <f>INDEX('Draft Engine'!$S$3:$S$232,$M197)</f>
        <v/>
      </c>
      <c r="J197" s="5" t="n"/>
      <c r="K197">
        <f>INDEX('Draft Engine'!$Z$3:$Z$232,$M197)</f>
        <v/>
      </c>
      <c r="L197">
        <f>INDEX('LIVE SOURCE'!$H$3:$H$232,$M197)</f>
        <v/>
      </c>
      <c r="M197" s="6">
        <f>MATCH($A197,'Draft Engine'!$Q$3:$Q$232,0)</f>
        <v/>
      </c>
      <c r="N197">
        <f>INDEX('LIVE SOURCE'!$L$3:$L$232,$M197)</f>
        <v/>
      </c>
    </row>
    <row r="198">
      <c r="A198" t="n">
        <v>196</v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Engine'!$N$3:$N$232,$M198)</f>
        <v/>
      </c>
      <c r="H198" s="4">
        <f>INDEX('Draft Engine'!$R$3:$R$232,$M198)</f>
        <v/>
      </c>
      <c r="I198" s="4">
        <f>INDEX('Draft Engine'!$S$3:$S$232,$M198)</f>
        <v/>
      </c>
      <c r="J198" s="5" t="n"/>
      <c r="K198">
        <f>INDEX('Draft Engine'!$Z$3:$Z$232,$M198)</f>
        <v/>
      </c>
      <c r="L198">
        <f>INDEX('LIVE SOURCE'!$H$3:$H$232,$M198)</f>
        <v/>
      </c>
      <c r="M198" s="6">
        <f>MATCH($A198,'Draft Engine'!$Q$3:$Q$232,0)</f>
        <v/>
      </c>
      <c r="N198">
        <f>INDEX('LIVE SOURCE'!$L$3:$L$232,$M198)</f>
        <v/>
      </c>
    </row>
    <row r="199">
      <c r="A199" t="n">
        <v>197</v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Engine'!$N$3:$N$232,$M199)</f>
        <v/>
      </c>
      <c r="H199" s="4">
        <f>INDEX('Draft Engine'!$R$3:$R$232,$M199)</f>
        <v/>
      </c>
      <c r="I199" s="4">
        <f>INDEX('Draft Engine'!$S$3:$S$232,$M199)</f>
        <v/>
      </c>
      <c r="J199" s="5" t="n"/>
      <c r="K199">
        <f>INDEX('Draft Engine'!$Z$3:$Z$232,$M199)</f>
        <v/>
      </c>
      <c r="L199">
        <f>INDEX('LIVE SOURCE'!$H$3:$H$232,$M199)</f>
        <v/>
      </c>
      <c r="M199" s="6">
        <f>MATCH($A199,'Draft Engine'!$Q$3:$Q$232,0)</f>
        <v/>
      </c>
      <c r="N199">
        <f>INDEX('LIVE SOURCE'!$L$3:$L$232,$M199)</f>
        <v/>
      </c>
    </row>
    <row r="200">
      <c r="A200" t="n">
        <v>198</v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Engine'!$N$3:$N$232,$M200)</f>
        <v/>
      </c>
      <c r="H200" s="4">
        <f>INDEX('Draft Engine'!$R$3:$R$232,$M200)</f>
        <v/>
      </c>
      <c r="I200" s="4">
        <f>INDEX('Draft Engine'!$S$3:$S$232,$M200)</f>
        <v/>
      </c>
      <c r="J200" s="5" t="n"/>
      <c r="K200">
        <f>INDEX('Draft Engine'!$Z$3:$Z$232,$M200)</f>
        <v/>
      </c>
      <c r="L200">
        <f>INDEX('LIVE SOURCE'!$H$3:$H$232,$M200)</f>
        <v/>
      </c>
      <c r="M200" s="6">
        <f>MATCH($A200,'Draft Engine'!$Q$3:$Q$232,0)</f>
        <v/>
      </c>
      <c r="N200">
        <f>INDEX('LIVE SOURCE'!$L$3:$L$232,$M200)</f>
        <v/>
      </c>
    </row>
    <row r="201">
      <c r="A201" t="n">
        <v>199</v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Engine'!$N$3:$N$232,$M201)</f>
        <v/>
      </c>
      <c r="H201" s="4">
        <f>INDEX('Draft Engine'!$R$3:$R$232,$M201)</f>
        <v/>
      </c>
      <c r="I201" s="4">
        <f>INDEX('Draft Engine'!$S$3:$S$232,$M201)</f>
        <v/>
      </c>
      <c r="J201" s="5" t="n"/>
      <c r="K201">
        <f>INDEX('Draft Engine'!$Z$3:$Z$232,$M201)</f>
        <v/>
      </c>
      <c r="L201">
        <f>INDEX('LIVE SOURCE'!$H$3:$H$232,$M201)</f>
        <v/>
      </c>
      <c r="M201" s="6">
        <f>MATCH($A201,'Draft Engine'!$Q$3:$Q$232,0)</f>
        <v/>
      </c>
      <c r="N201">
        <f>INDEX('LIVE SOURCE'!$L$3:$L$232,$M201)</f>
        <v/>
      </c>
    </row>
    <row r="202">
      <c r="A202" t="n">
        <v>200</v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Engine'!$N$3:$N$232,$M202)</f>
        <v/>
      </c>
      <c r="H202" s="4">
        <f>INDEX('Draft Engine'!$R$3:$R$232,$M202)</f>
        <v/>
      </c>
      <c r="I202" s="4">
        <f>INDEX('Draft Engine'!$S$3:$S$232,$M202)</f>
        <v/>
      </c>
      <c r="J202" s="5" t="n"/>
      <c r="K202">
        <f>INDEX('Draft Engine'!$Z$3:$Z$232,$M202)</f>
        <v/>
      </c>
      <c r="L202">
        <f>INDEX('LIVE SOURCE'!$H$3:$H$232,$M202)</f>
        <v/>
      </c>
      <c r="M202" s="6">
        <f>MATCH($A202,'Draft Engine'!$Q$3:$Q$232,0)</f>
        <v/>
      </c>
      <c r="N202">
        <f>INDEX('LIVE SOURCE'!$L$3:$L$232,$M202)</f>
        <v/>
      </c>
    </row>
    <row r="203">
      <c r="A203" t="n">
        <v>201</v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Engine'!$N$3:$N$232,$M203)</f>
        <v/>
      </c>
      <c r="H203" s="4">
        <f>INDEX('Draft Engine'!$R$3:$R$232,$M203)</f>
        <v/>
      </c>
      <c r="I203" s="4">
        <f>INDEX('Draft Engine'!$S$3:$S$232,$M203)</f>
        <v/>
      </c>
      <c r="J203" s="5" t="n"/>
      <c r="K203">
        <f>INDEX('Draft Engine'!$Z$3:$Z$232,$M203)</f>
        <v/>
      </c>
      <c r="L203">
        <f>INDEX('LIVE SOURCE'!$H$3:$H$232,$M203)</f>
        <v/>
      </c>
      <c r="M203" s="6">
        <f>MATCH($A203,'Draft Engine'!$Q$3:$Q$232,0)</f>
        <v/>
      </c>
      <c r="N203">
        <f>INDEX('LIVE SOURCE'!$L$3:$L$232,$M203)</f>
        <v/>
      </c>
    </row>
    <row r="204">
      <c r="A204" t="n">
        <v>202</v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Engine'!$N$3:$N$232,$M204)</f>
        <v/>
      </c>
      <c r="H204" s="4">
        <f>INDEX('Draft Engine'!$R$3:$R$232,$M204)</f>
        <v/>
      </c>
      <c r="I204" s="4">
        <f>INDEX('Draft Engine'!$S$3:$S$232,$M204)</f>
        <v/>
      </c>
      <c r="J204" s="5" t="n"/>
      <c r="K204">
        <f>INDEX('Draft Engine'!$Z$3:$Z$232,$M204)</f>
        <v/>
      </c>
      <c r="L204">
        <f>INDEX('LIVE SOURCE'!$H$3:$H$232,$M204)</f>
        <v/>
      </c>
      <c r="M204" s="6">
        <f>MATCH($A204,'Draft Engine'!$Q$3:$Q$232,0)</f>
        <v/>
      </c>
      <c r="N204">
        <f>INDEX('LIVE SOURCE'!$L$3:$L$232,$M204)</f>
        <v/>
      </c>
    </row>
    <row r="205">
      <c r="A205" t="n">
        <v>203</v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Engine'!$N$3:$N$232,$M205)</f>
        <v/>
      </c>
      <c r="H205" s="4">
        <f>INDEX('Draft Engine'!$R$3:$R$232,$M205)</f>
        <v/>
      </c>
      <c r="I205" s="4">
        <f>INDEX('Draft Engine'!$S$3:$S$232,$M205)</f>
        <v/>
      </c>
      <c r="J205" s="5" t="n"/>
      <c r="K205">
        <f>INDEX('Draft Engine'!$Z$3:$Z$232,$M205)</f>
        <v/>
      </c>
      <c r="L205">
        <f>INDEX('LIVE SOURCE'!$H$3:$H$232,$M205)</f>
        <v/>
      </c>
      <c r="M205" s="6">
        <f>MATCH($A205,'Draft Engine'!$Q$3:$Q$232,0)</f>
        <v/>
      </c>
      <c r="N205">
        <f>INDEX('LIVE SOURCE'!$L$3:$L$232,$M205)</f>
        <v/>
      </c>
    </row>
    <row r="206">
      <c r="A206" t="n">
        <v>204</v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Engine'!$N$3:$N$232,$M206)</f>
        <v/>
      </c>
      <c r="H206" s="4">
        <f>INDEX('Draft Engine'!$R$3:$R$232,$M206)</f>
        <v/>
      </c>
      <c r="I206" s="4">
        <f>INDEX('Draft Engine'!$S$3:$S$232,$M206)</f>
        <v/>
      </c>
      <c r="J206" s="5" t="n"/>
      <c r="K206">
        <f>INDEX('Draft Engine'!$Z$3:$Z$232,$M206)</f>
        <v/>
      </c>
      <c r="L206">
        <f>INDEX('LIVE SOURCE'!$H$3:$H$232,$M206)</f>
        <v/>
      </c>
      <c r="M206" s="6">
        <f>MATCH($A206,'Draft Engine'!$Q$3:$Q$232,0)</f>
        <v/>
      </c>
      <c r="N206">
        <f>INDEX('LIVE SOURCE'!$L$3:$L$232,$M206)</f>
        <v/>
      </c>
    </row>
    <row r="207">
      <c r="A207" t="n">
        <v>205</v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Engine'!$N$3:$N$232,$M207)</f>
        <v/>
      </c>
      <c r="H207" s="4">
        <f>INDEX('Draft Engine'!$R$3:$R$232,$M207)</f>
        <v/>
      </c>
      <c r="I207" s="4">
        <f>INDEX('Draft Engine'!$S$3:$S$232,$M207)</f>
        <v/>
      </c>
      <c r="J207" s="5" t="n"/>
      <c r="K207">
        <f>INDEX('Draft Engine'!$Z$3:$Z$232,$M207)</f>
        <v/>
      </c>
      <c r="L207">
        <f>INDEX('LIVE SOURCE'!$H$3:$H$232,$M207)</f>
        <v/>
      </c>
      <c r="M207" s="6">
        <f>MATCH($A207,'Draft Engine'!$Q$3:$Q$232,0)</f>
        <v/>
      </c>
      <c r="N207">
        <f>INDEX('LIVE SOURCE'!$L$3:$L$232,$M207)</f>
        <v/>
      </c>
    </row>
    <row r="208">
      <c r="A208" t="n">
        <v>206</v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Engine'!$N$3:$N$232,$M208)</f>
        <v/>
      </c>
      <c r="H208" s="4">
        <f>INDEX('Draft Engine'!$R$3:$R$232,$M208)</f>
        <v/>
      </c>
      <c r="I208" s="4">
        <f>INDEX('Draft Engine'!$S$3:$S$232,$M208)</f>
        <v/>
      </c>
      <c r="J208" s="5" t="n"/>
      <c r="K208">
        <f>INDEX('Draft Engine'!$Z$3:$Z$232,$M208)</f>
        <v/>
      </c>
      <c r="L208">
        <f>INDEX('LIVE SOURCE'!$H$3:$H$232,$M208)</f>
        <v/>
      </c>
      <c r="M208" s="6">
        <f>MATCH($A208,'Draft Engine'!$Q$3:$Q$232,0)</f>
        <v/>
      </c>
      <c r="N208">
        <f>INDEX('LIVE SOURCE'!$L$3:$L$232,$M208)</f>
        <v/>
      </c>
    </row>
    <row r="209">
      <c r="A209" t="n">
        <v>207</v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Engine'!$N$3:$N$232,$M209)</f>
        <v/>
      </c>
      <c r="H209" s="4">
        <f>INDEX('Draft Engine'!$R$3:$R$232,$M209)</f>
        <v/>
      </c>
      <c r="I209" s="4">
        <f>INDEX('Draft Engine'!$S$3:$S$232,$M209)</f>
        <v/>
      </c>
      <c r="J209" s="5" t="n"/>
      <c r="K209">
        <f>INDEX('Draft Engine'!$Z$3:$Z$232,$M209)</f>
        <v/>
      </c>
      <c r="L209">
        <f>INDEX('LIVE SOURCE'!$H$3:$H$232,$M209)</f>
        <v/>
      </c>
      <c r="M209" s="6">
        <f>MATCH($A209,'Draft Engine'!$Q$3:$Q$232,0)</f>
        <v/>
      </c>
      <c r="N209">
        <f>INDEX('LIVE SOURCE'!$L$3:$L$232,$M209)</f>
        <v/>
      </c>
    </row>
    <row r="210">
      <c r="A210" t="n">
        <v>208</v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Engine'!$N$3:$N$232,$M210)</f>
        <v/>
      </c>
      <c r="H210" s="4">
        <f>INDEX('Draft Engine'!$R$3:$R$232,$M210)</f>
        <v/>
      </c>
      <c r="I210" s="4">
        <f>INDEX('Draft Engine'!$S$3:$S$232,$M210)</f>
        <v/>
      </c>
      <c r="J210" s="5" t="n"/>
      <c r="K210">
        <f>INDEX('Draft Engine'!$Z$3:$Z$232,$M210)</f>
        <v/>
      </c>
      <c r="L210">
        <f>INDEX('LIVE SOURCE'!$H$3:$H$232,$M210)</f>
        <v/>
      </c>
      <c r="M210" s="6">
        <f>MATCH($A210,'Draft Engine'!$Q$3:$Q$232,0)</f>
        <v/>
      </c>
      <c r="N210">
        <f>INDEX('LIVE SOURCE'!$L$3:$L$232,$M210)</f>
        <v/>
      </c>
    </row>
    <row r="211">
      <c r="A211" t="n">
        <v>209</v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Engine'!$N$3:$N$232,$M211)</f>
        <v/>
      </c>
      <c r="H211" s="4">
        <f>INDEX('Draft Engine'!$R$3:$R$232,$M211)</f>
        <v/>
      </c>
      <c r="I211" s="4">
        <f>INDEX('Draft Engine'!$S$3:$S$232,$M211)</f>
        <v/>
      </c>
      <c r="J211" s="5" t="n"/>
      <c r="K211">
        <f>INDEX('Draft Engine'!$Z$3:$Z$232,$M211)</f>
        <v/>
      </c>
      <c r="L211">
        <f>INDEX('LIVE SOURCE'!$H$3:$H$232,$M211)</f>
        <v/>
      </c>
      <c r="M211" s="6">
        <f>MATCH($A211,'Draft Engine'!$Q$3:$Q$232,0)</f>
        <v/>
      </c>
      <c r="N211">
        <f>INDEX('LIVE SOURCE'!$L$3:$L$232,$M211)</f>
        <v/>
      </c>
    </row>
    <row r="212">
      <c r="A212" t="n">
        <v>210</v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Engine'!$N$3:$N$232,$M212)</f>
        <v/>
      </c>
      <c r="H212" s="4">
        <f>INDEX('Draft Engine'!$R$3:$R$232,$M212)</f>
        <v/>
      </c>
      <c r="I212" s="4">
        <f>INDEX('Draft Engine'!$S$3:$S$232,$M212)</f>
        <v/>
      </c>
      <c r="J212" s="5" t="n"/>
      <c r="K212">
        <f>INDEX('Draft Engine'!$Z$3:$Z$232,$M212)</f>
        <v/>
      </c>
      <c r="L212">
        <f>INDEX('LIVE SOURCE'!$H$3:$H$232,$M212)</f>
        <v/>
      </c>
      <c r="M212" s="6">
        <f>MATCH($A212,'Draft Engine'!$Q$3:$Q$232,0)</f>
        <v/>
      </c>
      <c r="N212">
        <f>INDEX('LIVE SOURCE'!$L$3:$L$232,$M212)</f>
        <v/>
      </c>
    </row>
    <row r="213">
      <c r="A213" t="n">
        <v>211</v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Engine'!$N$3:$N$232,$M213)</f>
        <v/>
      </c>
      <c r="H213" s="4">
        <f>INDEX('Draft Engine'!$R$3:$R$232,$M213)</f>
        <v/>
      </c>
      <c r="I213" s="4">
        <f>INDEX('Draft Engine'!$S$3:$S$232,$M213)</f>
        <v/>
      </c>
      <c r="J213" s="5" t="n"/>
      <c r="K213">
        <f>INDEX('Draft Engine'!$Z$3:$Z$232,$M213)</f>
        <v/>
      </c>
      <c r="L213">
        <f>INDEX('LIVE SOURCE'!$H$3:$H$232,$M213)</f>
        <v/>
      </c>
      <c r="M213" s="6">
        <f>MATCH($A213,'Draft Engine'!$Q$3:$Q$232,0)</f>
        <v/>
      </c>
      <c r="N213">
        <f>INDEX('LIVE SOURCE'!$L$3:$L$232,$M213)</f>
        <v/>
      </c>
    </row>
    <row r="214">
      <c r="A214" t="n">
        <v>212</v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Engine'!$N$3:$N$232,$M214)</f>
        <v/>
      </c>
      <c r="H214" s="4">
        <f>INDEX('Draft Engine'!$R$3:$R$232,$M214)</f>
        <v/>
      </c>
      <c r="I214" s="4">
        <f>INDEX('Draft Engine'!$S$3:$S$232,$M214)</f>
        <v/>
      </c>
      <c r="J214" s="5" t="n"/>
      <c r="K214">
        <f>INDEX('Draft Engine'!$Z$3:$Z$232,$M214)</f>
        <v/>
      </c>
      <c r="L214">
        <f>INDEX('LIVE SOURCE'!$H$3:$H$232,$M214)</f>
        <v/>
      </c>
      <c r="M214" s="6">
        <f>MATCH($A214,'Draft Engine'!$Q$3:$Q$232,0)</f>
        <v/>
      </c>
      <c r="N214">
        <f>INDEX('LIVE SOURCE'!$L$3:$L$232,$M214)</f>
        <v/>
      </c>
    </row>
    <row r="215">
      <c r="A215" t="n">
        <v>213</v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Engine'!$N$3:$N$232,$M215)</f>
        <v/>
      </c>
      <c r="H215" s="4">
        <f>INDEX('Draft Engine'!$R$3:$R$232,$M215)</f>
        <v/>
      </c>
      <c r="I215" s="4">
        <f>INDEX('Draft Engine'!$S$3:$S$232,$M215)</f>
        <v/>
      </c>
      <c r="J215" s="5" t="n"/>
      <c r="K215">
        <f>INDEX('Draft Engine'!$Z$3:$Z$232,$M215)</f>
        <v/>
      </c>
      <c r="L215">
        <f>INDEX('LIVE SOURCE'!$H$3:$H$232,$M215)</f>
        <v/>
      </c>
      <c r="M215" s="6">
        <f>MATCH($A215,'Draft Engine'!$Q$3:$Q$232,0)</f>
        <v/>
      </c>
      <c r="N215">
        <f>INDEX('LIVE SOURCE'!$L$3:$L$232,$M215)</f>
        <v/>
      </c>
    </row>
    <row r="216">
      <c r="A216" t="n">
        <v>214</v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Engine'!$N$3:$N$232,$M216)</f>
        <v/>
      </c>
      <c r="H216" s="4">
        <f>INDEX('Draft Engine'!$R$3:$R$232,$M216)</f>
        <v/>
      </c>
      <c r="I216" s="4">
        <f>INDEX('Draft Engine'!$S$3:$S$232,$M216)</f>
        <v/>
      </c>
      <c r="J216" s="5" t="n"/>
      <c r="K216">
        <f>INDEX('Draft Engine'!$Z$3:$Z$232,$M216)</f>
        <v/>
      </c>
      <c r="L216">
        <f>INDEX('LIVE SOURCE'!$H$3:$H$232,$M216)</f>
        <v/>
      </c>
      <c r="M216" s="6">
        <f>MATCH($A216,'Draft Engine'!$Q$3:$Q$232,0)</f>
        <v/>
      </c>
      <c r="N216">
        <f>INDEX('LIVE SOURCE'!$L$3:$L$232,$M216)</f>
        <v/>
      </c>
    </row>
    <row r="217">
      <c r="A217" t="n">
        <v>215</v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Engine'!$N$3:$N$232,$M217)</f>
        <v/>
      </c>
      <c r="H217" s="4">
        <f>INDEX('Draft Engine'!$R$3:$R$232,$M217)</f>
        <v/>
      </c>
      <c r="I217" s="4">
        <f>INDEX('Draft Engine'!$S$3:$S$232,$M217)</f>
        <v/>
      </c>
      <c r="J217" s="5" t="n"/>
      <c r="K217">
        <f>INDEX('Draft Engine'!$Z$3:$Z$232,$M217)</f>
        <v/>
      </c>
      <c r="L217">
        <f>INDEX('LIVE SOURCE'!$H$3:$H$232,$M217)</f>
        <v/>
      </c>
      <c r="M217" s="6">
        <f>MATCH($A217,'Draft Engine'!$Q$3:$Q$232,0)</f>
        <v/>
      </c>
      <c r="N217">
        <f>INDEX('LIVE SOURCE'!$L$3:$L$232,$M217)</f>
        <v/>
      </c>
    </row>
    <row r="218">
      <c r="A218" t="n">
        <v>216</v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Engine'!$N$3:$N$232,$M218)</f>
        <v/>
      </c>
      <c r="H218" s="4">
        <f>INDEX('Draft Engine'!$R$3:$R$232,$M218)</f>
        <v/>
      </c>
      <c r="I218" s="4">
        <f>INDEX('Draft Engine'!$S$3:$S$232,$M218)</f>
        <v/>
      </c>
      <c r="J218" s="5" t="n"/>
      <c r="K218">
        <f>INDEX('Draft Engine'!$Z$3:$Z$232,$M218)</f>
        <v/>
      </c>
      <c r="L218">
        <f>INDEX('LIVE SOURCE'!$H$3:$H$232,$M218)</f>
        <v/>
      </c>
      <c r="M218" s="6">
        <f>MATCH($A218,'Draft Engine'!$Q$3:$Q$232,0)</f>
        <v/>
      </c>
      <c r="N218">
        <f>INDEX('LIVE SOURCE'!$L$3:$L$232,$M218)</f>
        <v/>
      </c>
    </row>
    <row r="219">
      <c r="A219" t="n">
        <v>217</v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Engine'!$N$3:$N$232,$M219)</f>
        <v/>
      </c>
      <c r="H219" s="4">
        <f>INDEX('Draft Engine'!$R$3:$R$232,$M219)</f>
        <v/>
      </c>
      <c r="I219" s="4">
        <f>INDEX('Draft Engine'!$S$3:$S$232,$M219)</f>
        <v/>
      </c>
      <c r="J219" s="5" t="n"/>
      <c r="K219">
        <f>INDEX('Draft Engine'!$Z$3:$Z$232,$M219)</f>
        <v/>
      </c>
      <c r="L219">
        <f>INDEX('LIVE SOURCE'!$H$3:$H$232,$M219)</f>
        <v/>
      </c>
      <c r="M219" s="6">
        <f>MATCH($A219,'Draft Engine'!$Q$3:$Q$232,0)</f>
        <v/>
      </c>
      <c r="N219">
        <f>INDEX('LIVE SOURCE'!$L$3:$L$232,$M219)</f>
        <v/>
      </c>
    </row>
    <row r="220">
      <c r="A220" t="n">
        <v>218</v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Engine'!$N$3:$N$232,$M220)</f>
        <v/>
      </c>
      <c r="H220" s="4">
        <f>INDEX('Draft Engine'!$R$3:$R$232,$M220)</f>
        <v/>
      </c>
      <c r="I220" s="4">
        <f>INDEX('Draft Engine'!$S$3:$S$232,$M220)</f>
        <v/>
      </c>
      <c r="J220" s="5" t="n"/>
      <c r="K220">
        <f>INDEX('Draft Engine'!$Z$3:$Z$232,$M220)</f>
        <v/>
      </c>
      <c r="L220">
        <f>INDEX('LIVE SOURCE'!$H$3:$H$232,$M220)</f>
        <v/>
      </c>
      <c r="M220" s="6">
        <f>MATCH($A220,'Draft Engine'!$Q$3:$Q$232,0)</f>
        <v/>
      </c>
      <c r="N220">
        <f>INDEX('LIVE SOURCE'!$L$3:$L$232,$M220)</f>
        <v/>
      </c>
    </row>
    <row r="221">
      <c r="A221" t="n">
        <v>219</v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Engine'!$N$3:$N$232,$M221)</f>
        <v/>
      </c>
      <c r="H221" s="4">
        <f>INDEX('Draft Engine'!$R$3:$R$232,$M221)</f>
        <v/>
      </c>
      <c r="I221" s="4">
        <f>INDEX('Draft Engine'!$S$3:$S$232,$M221)</f>
        <v/>
      </c>
      <c r="J221" s="5" t="n"/>
      <c r="K221">
        <f>INDEX('Draft Engine'!$Z$3:$Z$232,$M221)</f>
        <v/>
      </c>
      <c r="L221">
        <f>INDEX('LIVE SOURCE'!$H$3:$H$232,$M221)</f>
        <v/>
      </c>
      <c r="M221" s="6">
        <f>MATCH($A221,'Draft Engine'!$Q$3:$Q$232,0)</f>
        <v/>
      </c>
      <c r="N221">
        <f>INDEX('LIVE SOURCE'!$L$3:$L$232,$M221)</f>
        <v/>
      </c>
    </row>
    <row r="222">
      <c r="A222" t="n">
        <v>220</v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Engine'!$N$3:$N$232,$M222)</f>
        <v/>
      </c>
      <c r="H222" s="4">
        <f>INDEX('Draft Engine'!$R$3:$R$232,$M222)</f>
        <v/>
      </c>
      <c r="I222" s="4">
        <f>INDEX('Draft Engine'!$S$3:$S$232,$M222)</f>
        <v/>
      </c>
      <c r="J222" s="5" t="n"/>
      <c r="K222">
        <f>INDEX('Draft Engine'!$Z$3:$Z$232,$M222)</f>
        <v/>
      </c>
      <c r="L222">
        <f>INDEX('LIVE SOURCE'!$H$3:$H$232,$M222)</f>
        <v/>
      </c>
      <c r="M222" s="6">
        <f>MATCH($A222,'Draft Engine'!$Q$3:$Q$232,0)</f>
        <v/>
      </c>
      <c r="N222">
        <f>INDEX('LIVE SOURCE'!$L$3:$L$232,$M222)</f>
        <v/>
      </c>
    </row>
    <row r="223">
      <c r="A223" t="n">
        <v>221</v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Engine'!$N$3:$N$232,$M223)</f>
        <v/>
      </c>
      <c r="H223" s="4">
        <f>INDEX('Draft Engine'!$R$3:$R$232,$M223)</f>
        <v/>
      </c>
      <c r="I223" s="4">
        <f>INDEX('Draft Engine'!$S$3:$S$232,$M223)</f>
        <v/>
      </c>
      <c r="J223" s="5" t="n"/>
      <c r="K223">
        <f>INDEX('Draft Engine'!$Z$3:$Z$232,$M223)</f>
        <v/>
      </c>
      <c r="L223">
        <f>INDEX('LIVE SOURCE'!$H$3:$H$232,$M223)</f>
        <v/>
      </c>
      <c r="M223" s="6">
        <f>MATCH($A223,'Draft Engine'!$Q$3:$Q$232,0)</f>
        <v/>
      </c>
      <c r="N223">
        <f>INDEX('LIVE SOURCE'!$L$3:$L$232,$M223)</f>
        <v/>
      </c>
    </row>
    <row r="224">
      <c r="A224" t="n">
        <v>222</v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Engine'!$N$3:$N$232,$M224)</f>
        <v/>
      </c>
      <c r="H224" s="4">
        <f>INDEX('Draft Engine'!$R$3:$R$232,$M224)</f>
        <v/>
      </c>
      <c r="I224" s="4">
        <f>INDEX('Draft Engine'!$S$3:$S$232,$M224)</f>
        <v/>
      </c>
      <c r="J224" s="5" t="n"/>
      <c r="K224">
        <f>INDEX('Draft Engine'!$Z$3:$Z$232,$M224)</f>
        <v/>
      </c>
      <c r="L224">
        <f>INDEX('LIVE SOURCE'!$H$3:$H$232,$M224)</f>
        <v/>
      </c>
      <c r="M224" s="6">
        <f>MATCH($A224,'Draft Engine'!$Q$3:$Q$232,0)</f>
        <v/>
      </c>
      <c r="N224">
        <f>INDEX('LIVE SOURCE'!$L$3:$L$232,$M224)</f>
        <v/>
      </c>
    </row>
    <row r="225">
      <c r="A225" t="n">
        <v>223</v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Engine'!$N$3:$N$232,$M225)</f>
        <v/>
      </c>
      <c r="H225" s="4">
        <f>INDEX('Draft Engine'!$R$3:$R$232,$M225)</f>
        <v/>
      </c>
      <c r="I225" s="4">
        <f>INDEX('Draft Engine'!$S$3:$S$232,$M225)</f>
        <v/>
      </c>
      <c r="J225" s="5" t="n"/>
      <c r="K225">
        <f>INDEX('Draft Engine'!$Z$3:$Z$232,$M225)</f>
        <v/>
      </c>
      <c r="L225">
        <f>INDEX('LIVE SOURCE'!$H$3:$H$232,$M225)</f>
        <v/>
      </c>
      <c r="M225" s="6">
        <f>MATCH($A225,'Draft Engine'!$Q$3:$Q$232,0)</f>
        <v/>
      </c>
      <c r="N225">
        <f>INDEX('LIVE SOURCE'!$L$3:$L$232,$M225)</f>
        <v/>
      </c>
    </row>
    <row r="226">
      <c r="A226" t="n">
        <v>224</v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Engine'!$N$3:$N$232,$M226)</f>
        <v/>
      </c>
      <c r="H226" s="4">
        <f>INDEX('Draft Engine'!$R$3:$R$232,$M226)</f>
        <v/>
      </c>
      <c r="I226" s="4">
        <f>INDEX('Draft Engine'!$S$3:$S$232,$M226)</f>
        <v/>
      </c>
      <c r="J226" s="5" t="n"/>
      <c r="K226">
        <f>INDEX('Draft Engine'!$Z$3:$Z$232,$M226)</f>
        <v/>
      </c>
      <c r="L226">
        <f>INDEX('LIVE SOURCE'!$H$3:$H$232,$M226)</f>
        <v/>
      </c>
      <c r="M226" s="6">
        <f>MATCH($A226,'Draft Engine'!$Q$3:$Q$232,0)</f>
        <v/>
      </c>
      <c r="N226">
        <f>INDEX('LIVE SOURCE'!$L$3:$L$232,$M226)</f>
        <v/>
      </c>
    </row>
    <row r="227">
      <c r="A227" t="n">
        <v>225</v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Engine'!$N$3:$N$232,$M227)</f>
        <v/>
      </c>
      <c r="H227" s="4">
        <f>INDEX('Draft Engine'!$R$3:$R$232,$M227)</f>
        <v/>
      </c>
      <c r="I227" s="4">
        <f>INDEX('Draft Engine'!$S$3:$S$232,$M227)</f>
        <v/>
      </c>
      <c r="J227" s="5" t="n"/>
      <c r="K227">
        <f>INDEX('Draft Engine'!$Z$3:$Z$232,$M227)</f>
        <v/>
      </c>
      <c r="L227">
        <f>INDEX('LIVE SOURCE'!$H$3:$H$232,$M227)</f>
        <v/>
      </c>
      <c r="M227" s="6">
        <f>MATCH($A227,'Draft Engine'!$Q$3:$Q$232,0)</f>
        <v/>
      </c>
      <c r="N227">
        <f>INDEX('LIVE SOURCE'!$L$3:$L$232,$M227)</f>
        <v/>
      </c>
    </row>
    <row r="228">
      <c r="A228" t="n">
        <v>226</v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Engine'!$N$3:$N$232,$M228)</f>
        <v/>
      </c>
      <c r="H228" s="4">
        <f>INDEX('Draft Engine'!$R$3:$R$232,$M228)</f>
        <v/>
      </c>
      <c r="I228" s="4">
        <f>INDEX('Draft Engine'!$S$3:$S$232,$M228)</f>
        <v/>
      </c>
      <c r="J228" s="5" t="n"/>
      <c r="K228">
        <f>INDEX('Draft Engine'!$Z$3:$Z$232,$M228)</f>
        <v/>
      </c>
      <c r="L228">
        <f>INDEX('LIVE SOURCE'!$H$3:$H$232,$M228)</f>
        <v/>
      </c>
      <c r="M228" s="6">
        <f>MATCH($A228,'Draft Engine'!$Q$3:$Q$232,0)</f>
        <v/>
      </c>
      <c r="N228">
        <f>INDEX('LIVE SOURCE'!$L$3:$L$232,$M228)</f>
        <v/>
      </c>
    </row>
    <row r="229">
      <c r="A229" t="n">
        <v>227</v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Engine'!$N$3:$N$232,$M229)</f>
        <v/>
      </c>
      <c r="H229" s="4">
        <f>INDEX('Draft Engine'!$R$3:$R$232,$M229)</f>
        <v/>
      </c>
      <c r="I229" s="4">
        <f>INDEX('Draft Engine'!$S$3:$S$232,$M229)</f>
        <v/>
      </c>
      <c r="J229" s="5" t="n"/>
      <c r="K229">
        <f>INDEX('Draft Engine'!$Z$3:$Z$232,$M229)</f>
        <v/>
      </c>
      <c r="L229">
        <f>INDEX('LIVE SOURCE'!$H$3:$H$232,$M229)</f>
        <v/>
      </c>
      <c r="M229" s="6">
        <f>MATCH($A229,'Draft Engine'!$Q$3:$Q$232,0)</f>
        <v/>
      </c>
      <c r="N229">
        <f>INDEX('LIVE SOURCE'!$L$3:$L$232,$M229)</f>
        <v/>
      </c>
    </row>
    <row r="230">
      <c r="A230" t="n">
        <v>228</v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Engine'!$N$3:$N$232,$M230)</f>
        <v/>
      </c>
      <c r="H230" s="4">
        <f>INDEX('Draft Engine'!$R$3:$R$232,$M230)</f>
        <v/>
      </c>
      <c r="I230" s="4">
        <f>INDEX('Draft Engine'!$S$3:$S$232,$M230)</f>
        <v/>
      </c>
      <c r="J230" s="5" t="n"/>
      <c r="K230">
        <f>INDEX('Draft Engine'!$Z$3:$Z$232,$M230)</f>
        <v/>
      </c>
      <c r="L230">
        <f>INDEX('LIVE SOURCE'!$H$3:$H$232,$M230)</f>
        <v/>
      </c>
      <c r="M230" s="6">
        <f>MATCH($A230,'Draft Engine'!$Q$3:$Q$232,0)</f>
        <v/>
      </c>
      <c r="N230">
        <f>INDEX('LIVE SOURCE'!$L$3:$L$232,$M230)</f>
        <v/>
      </c>
    </row>
    <row r="231">
      <c r="A231" t="n">
        <v>229</v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Engine'!$N$3:$N$232,$M231)</f>
        <v/>
      </c>
      <c r="H231" s="4">
        <f>INDEX('Draft Engine'!$R$3:$R$232,$M231)</f>
        <v/>
      </c>
      <c r="I231" s="4">
        <f>INDEX('Draft Engine'!$S$3:$S$232,$M231)</f>
        <v/>
      </c>
      <c r="J231" s="5" t="n"/>
      <c r="K231">
        <f>INDEX('Draft Engine'!$Z$3:$Z$232,$M231)</f>
        <v/>
      </c>
      <c r="L231">
        <f>INDEX('LIVE SOURCE'!$H$3:$H$232,$M231)</f>
        <v/>
      </c>
      <c r="M231" s="6">
        <f>MATCH($A231,'Draft Engine'!$Q$3:$Q$232,0)</f>
        <v/>
      </c>
      <c r="N231">
        <f>INDEX('LIVE SOURCE'!$L$3:$L$232,$M231)</f>
        <v/>
      </c>
    </row>
    <row r="232">
      <c r="A232" t="n">
        <v>230</v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Engine'!$N$3:$N$232,$M232)</f>
        <v/>
      </c>
      <c r="H232" s="4">
        <f>INDEX('Draft Engine'!$R$3:$R$232,$M232)</f>
        <v/>
      </c>
      <c r="I232" s="4">
        <f>INDEX('Draft Engine'!$S$3:$S$232,$M232)</f>
        <v/>
      </c>
      <c r="J232" s="5" t="n"/>
      <c r="K232">
        <f>INDEX('Draft Engine'!$Z$3:$Z$232,$M232)</f>
        <v/>
      </c>
      <c r="L232">
        <f>INDEX('LIVE SOURCE'!$H$3:$H$232,$M232)</f>
        <v/>
      </c>
      <c r="M232" s="6">
        <f>MATCH($A232,'Draft Engine'!$Q$3:$Q$232,0)</f>
        <v/>
      </c>
      <c r="N232">
        <f>INDEX('LIVE SOURCE'!$L$3:$L$232,$M232)</f>
        <v/>
      </c>
    </row>
  </sheetData>
  <conditionalFormatting sqref="A3:N232">
    <cfRule type="expression" priority="1" dxfId="0" stopIfTrue="1">
      <formula>$J3="My Pick"</formula>
    </cfRule>
    <cfRule type="expression" priority="2" dxfId="1">
      <formula>$J3&lt;&gt;""</formula>
    </cfRule>
  </conditionalFormatting>
  <dataValidations count="1">
    <dataValidation sqref="J3:J232" showDropDown="0" showInputMessage="0" showErrorMessage="0" allowBlank="1" type="list">
      <formula1>"Drafted,My Pick"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44" customWidth="1" min="3" max="3"/>
    <col width="2" customWidth="1" min="4" max="4"/>
    <col width="9" customWidth="1" min="5" max="5"/>
    <col width="12" customWidth="1" min="6" max="6"/>
    <col width="9" customWidth="1" min="7" max="7"/>
    <col width="11" customWidth="1" min="8" max="8"/>
    <col width="13" customWidth="1" min="9" max="9"/>
    <col width="11" customWidth="1" min="10" max="10"/>
    <col width="9" customWidth="1" min="11" max="11"/>
    <col width="11" customWidth="1" min="12" max="12"/>
  </cols>
  <sheetData>
    <row r="1">
      <c r="A1" s="1" t="inlineStr">
        <is>
          <t>League Configuration (Editable)</t>
        </is>
      </c>
    </row>
    <row r="2">
      <c r="A2" s="2" t="inlineStr">
        <is>
          <t>Blue cells are yours to edit. Everything downstream recalculates automatically.</t>
        </is>
      </c>
    </row>
    <row r="3">
      <c r="A3" s="7" t="inlineStr">
        <is>
          <t>League Setting</t>
        </is>
      </c>
      <c r="B3" s="7" t="inlineStr">
        <is>
          <t>Value</t>
        </is>
      </c>
      <c r="C3" s="7" t="inlineStr">
        <is>
          <t>Notes</t>
        </is>
      </c>
      <c r="E3" s="3" t="inlineStr">
        <is>
          <t>Position</t>
        </is>
      </c>
      <c r="F3" s="3" t="inlineStr">
        <is>
          <t>Calc Repl Rank</t>
        </is>
      </c>
      <c r="G3" s="3" t="inlineStr">
        <is>
          <t>Override</t>
        </is>
      </c>
      <c r="H3" s="3" t="inlineStr">
        <is>
          <t>Effective Rank</t>
        </is>
      </c>
      <c r="I3" s="3" t="inlineStr">
        <is>
          <t>Replacement Points</t>
        </is>
      </c>
      <c r="J3" s="3" t="inlineStr">
        <is>
          <t>Scarcity Mult</t>
        </is>
      </c>
      <c r="K3" s="3" t="inlineStr">
        <is>
          <t>Pts Slope</t>
        </is>
      </c>
      <c r="L3" s="3" t="inlineStr">
        <is>
          <t>Pts Intercept</t>
        </is>
      </c>
    </row>
    <row r="4">
      <c r="A4" t="inlineStr">
        <is>
          <t>Teams</t>
        </is>
      </c>
      <c r="B4" s="5" t="n">
        <v>10</v>
      </c>
      <c r="C4" t="inlineStr">
        <is>
          <t>League size.</t>
        </is>
      </c>
      <c r="E4" t="inlineStr">
        <is>
          <t>QB</t>
        </is>
      </c>
      <c r="F4">
        <f>ROUND($B$4*$B$6+$B$4*0.30,0)</f>
        <v/>
      </c>
      <c r="G4" s="5" t="n"/>
      <c r="H4">
        <f>IF($G4="",$F4,$G4)</f>
        <v/>
      </c>
      <c r="I4">
        <f>ROUND(_xlfn.AGGREGATE(14,6,'Draft Engine'!$G$3:$G$232/('Draft Engine'!$A$3:$A$232=$E4),MIN($H4,COUNTIF('Draft Engine'!$A$3:$A$232,$E4))),1)</f>
        <v/>
      </c>
      <c r="J4" s="5" t="n">
        <v>1</v>
      </c>
      <c r="K4" s="5" t="n">
        <v>4.5</v>
      </c>
      <c r="L4" s="5" t="n">
        <v>-30</v>
      </c>
    </row>
    <row r="5">
      <c r="A5" t="inlineStr">
        <is>
          <t>Scoring</t>
        </is>
      </c>
      <c r="B5" s="5" t="inlineStr">
        <is>
          <t>PPR</t>
        </is>
      </c>
      <c r="C5" t="inlineStr">
        <is>
          <t>Player model is PPR.</t>
        </is>
      </c>
      <c r="E5" t="inlineStr">
        <is>
          <t>RB</t>
        </is>
      </c>
      <c r="F5">
        <f>ROUND($B$4*$B$7+$B$4*$B$10*0.55+$B$4*0.60,0)</f>
        <v/>
      </c>
      <c r="G5" s="5" t="n"/>
      <c r="H5">
        <f>IF($G5="",$F5,$G5)</f>
        <v/>
      </c>
      <c r="I5">
        <f>ROUND(_xlfn.AGGREGATE(14,6,'Draft Engine'!$G$3:$G$232/('Draft Engine'!$A$3:$A$232=$E5),MIN($H5,COUNTIF('Draft Engine'!$A$3:$A$232,$E5))),1)</f>
        <v/>
      </c>
      <c r="J5" s="5" t="n">
        <v>1.15</v>
      </c>
      <c r="K5" s="5" t="n">
        <v>4.2</v>
      </c>
      <c r="L5" s="5" t="n">
        <v>-70</v>
      </c>
    </row>
    <row r="6">
      <c r="A6" t="inlineStr">
        <is>
          <t>Starting QB</t>
        </is>
      </c>
      <c r="B6" s="5" t="n">
        <v>1</v>
      </c>
      <c r="C6" t="inlineStr">
        <is>
          <t>Per team.</t>
        </is>
      </c>
      <c r="E6" t="inlineStr">
        <is>
          <t>WR</t>
        </is>
      </c>
      <c r="F6">
        <f>ROUND($B$4*$B$8+$B$4*$B$10*0.45+$B$4*0.80,0)</f>
        <v/>
      </c>
      <c r="G6" s="5" t="n"/>
      <c r="H6">
        <f>IF($G6="",$F6,$G6)</f>
        <v/>
      </c>
      <c r="I6">
        <f>ROUND(_xlfn.AGGREGATE(14,6,'Draft Engine'!$G$3:$G$232/('Draft Engine'!$A$3:$A$232=$E6),MIN($H6,COUNTIF('Draft Engine'!$A$3:$A$232,$E6))),1)</f>
        <v/>
      </c>
      <c r="J6" s="5" t="n">
        <v>1.1</v>
      </c>
      <c r="K6" s="5" t="n">
        <v>4.2</v>
      </c>
      <c r="L6" s="5" t="n">
        <v>-70</v>
      </c>
    </row>
    <row r="7">
      <c r="A7" t="inlineStr">
        <is>
          <t>Starting RB</t>
        </is>
      </c>
      <c r="B7" s="5" t="n">
        <v>2</v>
      </c>
      <c r="C7" t="inlineStr">
        <is>
          <t>Per team.</t>
        </is>
      </c>
      <c r="E7" t="inlineStr">
        <is>
          <t>TE</t>
        </is>
      </c>
      <c r="F7">
        <f>ROUND($B$4*$B$9+$B$4*0.30,0)</f>
        <v/>
      </c>
      <c r="G7" s="5" t="n"/>
      <c r="H7">
        <f>IF($G7="",$F7,$G7)</f>
        <v/>
      </c>
      <c r="I7">
        <f>ROUND(_xlfn.AGGREGATE(14,6,'Draft Engine'!$G$3:$G$232/('Draft Engine'!$A$3:$A$232=$E7),MIN($H7,COUNTIF('Draft Engine'!$A$3:$A$232,$E7))),1)</f>
        <v/>
      </c>
      <c r="J7" s="5" t="n">
        <v>0.9</v>
      </c>
      <c r="K7" s="5" t="n">
        <v>3.5</v>
      </c>
      <c r="L7" s="5" t="n">
        <v>-100</v>
      </c>
    </row>
    <row r="8">
      <c r="A8" t="inlineStr">
        <is>
          <t>Starting WR</t>
        </is>
      </c>
      <c r="B8" s="5" t="n">
        <v>2</v>
      </c>
      <c r="C8" t="inlineStr">
        <is>
          <t>Per team.</t>
        </is>
      </c>
      <c r="E8" t="inlineStr">
        <is>
          <t>K</t>
        </is>
      </c>
      <c r="F8">
        <f>ROUND($B$4*$B$11,0)</f>
        <v/>
      </c>
      <c r="G8" s="5" t="n"/>
      <c r="H8">
        <f>IF($G8="",$F8,$G8)</f>
        <v/>
      </c>
      <c r="I8">
        <f>ROUND(_xlfn.AGGREGATE(14,6,'Draft Engine'!$G$3:$G$232/('Draft Engine'!$A$3:$A$232=$E8),MIN($H8,COUNTIF('Draft Engine'!$A$3:$A$232,$E8))),1)</f>
        <v/>
      </c>
      <c r="J8" s="5" t="n">
        <v>0.55</v>
      </c>
      <c r="K8" s="5" t="n">
        <v>2</v>
      </c>
      <c r="L8" s="5" t="n">
        <v>-40</v>
      </c>
    </row>
    <row r="9">
      <c r="A9" t="inlineStr">
        <is>
          <t>Starting TE</t>
        </is>
      </c>
      <c r="B9" s="5" t="n">
        <v>1</v>
      </c>
      <c r="C9" t="inlineStr">
        <is>
          <t>Per team.</t>
        </is>
      </c>
      <c r="E9" t="inlineStr">
        <is>
          <t>DST</t>
        </is>
      </c>
      <c r="F9">
        <f>ROUND($B$4*$B$12,0)</f>
        <v/>
      </c>
      <c r="G9" s="5" t="n"/>
      <c r="H9">
        <f>IF($G9="",$F9,$G9)</f>
        <v/>
      </c>
      <c r="I9">
        <f>ROUND(_xlfn.AGGREGATE(14,6,'Draft Engine'!$G$3:$G$232/('Draft Engine'!$A$3:$A$232=$E9),MIN($H9,COUNTIF('Draft Engine'!$A$3:$A$232,$E9))),1)</f>
        <v/>
      </c>
      <c r="J9" s="5" t="n">
        <v>0.5</v>
      </c>
      <c r="K9" s="5" t="n">
        <v>1.8</v>
      </c>
      <c r="L9" s="5" t="n">
        <v>-50</v>
      </c>
    </row>
    <row r="10">
      <c r="A10" t="inlineStr">
        <is>
          <t>Starting FLEX</t>
        </is>
      </c>
      <c r="B10" s="5" t="n">
        <v>1</v>
      </c>
      <c r="C10" t="inlineStr">
        <is>
          <t>RB/WR/TE.</t>
        </is>
      </c>
    </row>
    <row r="11">
      <c r="A11" t="inlineStr">
        <is>
          <t>Starting K</t>
        </is>
      </c>
      <c r="B11" s="5" t="n">
        <v>1</v>
      </c>
      <c r="C11" t="inlineStr">
        <is>
          <t>Per team.</t>
        </is>
      </c>
      <c r="E11" s="2" t="inlineStr">
        <is>
          <t>Projected points = Pts Slope x Adjusted Rating + Pts Intercept (per position). Tune the curve here.</t>
        </is>
      </c>
    </row>
    <row r="12">
      <c r="A12" t="inlineStr">
        <is>
          <t>Starting DST</t>
        </is>
      </c>
      <c r="B12" s="5" t="n">
        <v>1</v>
      </c>
      <c r="C12" t="inlineStr">
        <is>
          <t>Per team.</t>
        </is>
      </c>
    </row>
    <row r="13">
      <c r="A13" t="inlineStr">
        <is>
          <t>Bench</t>
        </is>
      </c>
      <c r="B13" s="5" t="n">
        <v>6</v>
      </c>
      <c r="C13" t="inlineStr">
        <is>
          <t>Per team.</t>
        </is>
      </c>
    </row>
    <row r="14">
      <c r="A14" t="inlineStr">
        <is>
          <t>K Draft Penalty</t>
        </is>
      </c>
      <c r="B14" s="5" t="n">
        <v>18</v>
      </c>
      <c r="C14" t="inlineStr">
        <is>
          <t>Higher = drafts later.</t>
        </is>
      </c>
    </row>
    <row r="15">
      <c r="A15" t="inlineStr">
        <is>
          <t>DST Draft Penalty</t>
        </is>
      </c>
      <c r="B15" s="5" t="n">
        <v>20</v>
      </c>
      <c r="C15" t="inlineStr">
        <is>
          <t>Higher = drafts later.</t>
        </is>
      </c>
    </row>
    <row r="16">
      <c r="A16" t="inlineStr">
        <is>
          <t>QB 1QB Penalty</t>
        </is>
      </c>
      <c r="B16" s="5" t="n">
        <v>3</v>
      </c>
      <c r="C16" t="inlineStr">
        <is>
          <t>Set lower in Superflex.</t>
        </is>
      </c>
    </row>
    <row r="17">
      <c r="A17" t="inlineStr">
        <is>
          <t>DST Gate Start</t>
        </is>
      </c>
      <c r="B17" s="5" t="n">
        <v>131</v>
      </c>
      <c r="C17" t="inlineStr">
        <is>
          <t>Top DSTs locked to overall 131-140.</t>
        </is>
      </c>
    </row>
    <row r="18">
      <c r="A18" t="inlineStr">
        <is>
          <t>K Gate Start</t>
        </is>
      </c>
      <c r="B18" s="5" t="n">
        <v>141</v>
      </c>
      <c r="C18" t="inlineStr">
        <is>
          <t>Top Ks locked to overall 141-150. Keep = DST gate + gate size.</t>
        </is>
      </c>
    </row>
    <row r="19">
      <c r="A19" t="inlineStr">
        <is>
          <t>Gate Size</t>
        </is>
      </c>
      <c r="B19" s="5" t="n">
        <v>10</v>
      </c>
      <c r="C19" t="inlineStr">
        <is>
          <t>How many DST/K get gated slots.</t>
        </is>
      </c>
    </row>
    <row r="21">
      <c r="A21" t="inlineStr">
        <is>
          <t>Skill players (calc)</t>
        </is>
      </c>
      <c r="B21">
        <f>COUNTIF('LIVE SOURCE'!$A$3:$A$232,"QB")+COUNTIF('LIVE SOURCE'!$A$3:$A$232,"RB")+COUNTIF('LIVE SOURCE'!$A$3:$A$232,"WR")+COUNTIF('LIVE SOURCE'!$A$3:$A$232,"TE")</f>
        <v/>
      </c>
    </row>
    <row r="22">
      <c r="A22" t="inlineStr">
        <is>
          <t>DST count (calc)</t>
        </is>
      </c>
      <c r="B22">
        <f>COUNTIF('LIVE SOURCE'!$A$3:$A$232,"DST")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J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1" customWidth="1" min="3" max="3"/>
    <col width="9" customWidth="1" min="4" max="4"/>
    <col width="9" customWidth="1" min="5" max="5"/>
    <col width="9" customWidth="1" min="6" max="6"/>
    <col width="9" customWidth="1" min="7" max="7"/>
    <col width="55" customWidth="1" min="8" max="8"/>
    <col width="12" customWidth="1" min="9" max="9"/>
    <col width="30" customWidth="1" min="10" max="10"/>
  </cols>
  <sheetData>
    <row r="1">
      <c r="A1" s="1" t="inlineStr">
        <is>
          <t>Manual Injury / Role Adjustments (the only place you tweak players)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Injury Adj</t>
        </is>
      </c>
      <c r="E2" s="3" t="inlineStr">
        <is>
          <t>Role Adj</t>
        </is>
      </c>
      <c r="F2" s="3" t="inlineStr">
        <is>
          <t>Other Adj</t>
        </is>
      </c>
      <c r="G2" s="3" t="inlineStr">
        <is>
          <t>Total Adj</t>
        </is>
      </c>
      <c r="H2" s="3" t="inlineStr">
        <is>
          <t>News / Reason</t>
        </is>
      </c>
      <c r="I2" s="3" t="inlineStr">
        <is>
          <t>Last Updated</t>
        </is>
      </c>
      <c r="J2" s="3" t="inlineStr">
        <is>
          <t>Source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5" t="n"/>
      <c r="E3" s="5" t="n"/>
      <c r="F3" s="5" t="n"/>
      <c r="G3">
        <f>SUM(D3:F3)</f>
        <v/>
      </c>
      <c r="H3" s="5" t="n"/>
      <c r="I3" s="5" t="inlineStr">
        <is>
          <t>2026-08-12</t>
        </is>
      </c>
      <c r="J3" s="5" t="n"/>
    </row>
    <row r="4">
      <c r="A4">
        <f>'LIVE SOURCE'!A4</f>
        <v/>
      </c>
      <c r="B4">
        <f>'LIVE SOURCE'!B4</f>
        <v/>
      </c>
      <c r="C4" s="4">
        <f>'LIVE SOURCE'!D4</f>
        <v/>
      </c>
      <c r="D4" s="5" t="n"/>
      <c r="E4" s="5" t="n"/>
      <c r="F4" s="5" t="n"/>
      <c r="G4">
        <f>SUM(D4:F4)</f>
        <v/>
      </c>
      <c r="H4" s="5" t="n"/>
      <c r="I4" s="5" t="inlineStr">
        <is>
          <t>2026-08-12</t>
        </is>
      </c>
      <c r="J4" s="5" t="n"/>
    </row>
    <row r="5">
      <c r="A5">
        <f>'LIVE SOURCE'!A5</f>
        <v/>
      </c>
      <c r="B5">
        <f>'LIVE SOURCE'!B5</f>
        <v/>
      </c>
      <c r="C5" s="4">
        <f>'LIVE SOURCE'!D5</f>
        <v/>
      </c>
      <c r="D5" s="5" t="n"/>
      <c r="E5" s="5" t="n"/>
      <c r="F5" s="5" t="n"/>
      <c r="G5">
        <f>SUM(D5:F5)</f>
        <v/>
      </c>
      <c r="H5" s="5" t="n"/>
      <c r="I5" s="5" t="inlineStr">
        <is>
          <t>2026-08-12</t>
        </is>
      </c>
      <c r="J5" s="5" t="n"/>
    </row>
    <row r="6">
      <c r="A6">
        <f>'LIVE SOURCE'!A6</f>
        <v/>
      </c>
      <c r="B6">
        <f>'LIVE SOURCE'!B6</f>
        <v/>
      </c>
      <c r="C6" s="4">
        <f>'LIVE SOURCE'!D6</f>
        <v/>
      </c>
      <c r="D6" s="5" t="n"/>
      <c r="E6" s="5" t="n"/>
      <c r="F6" s="5" t="n"/>
      <c r="G6">
        <f>SUM(D6:F6)</f>
        <v/>
      </c>
      <c r="H6" s="5" t="n"/>
      <c r="I6" s="5" t="inlineStr">
        <is>
          <t>2026-08-12</t>
        </is>
      </c>
      <c r="J6" s="5" t="n"/>
    </row>
    <row r="7">
      <c r="A7">
        <f>'LIVE SOURCE'!A7</f>
        <v/>
      </c>
      <c r="B7">
        <f>'LIVE SOURCE'!B7</f>
        <v/>
      </c>
      <c r="C7" s="4">
        <f>'LIVE SOURCE'!D7</f>
        <v/>
      </c>
      <c r="D7" s="5" t="n"/>
      <c r="E7" s="5" t="n"/>
      <c r="F7" s="5" t="n"/>
      <c r="G7">
        <f>SUM(D7:F7)</f>
        <v/>
      </c>
      <c r="H7" s="5" t="n"/>
      <c r="I7" s="5" t="inlineStr">
        <is>
          <t>2026-08-12</t>
        </is>
      </c>
      <c r="J7" s="5" t="n"/>
    </row>
    <row r="8">
      <c r="A8">
        <f>'LIVE SOURCE'!A8</f>
        <v/>
      </c>
      <c r="B8">
        <f>'LIVE SOURCE'!B8</f>
        <v/>
      </c>
      <c r="C8" s="4">
        <f>'LIVE SOURCE'!D8</f>
        <v/>
      </c>
      <c r="D8" s="5" t="n">
        <v>-0.45</v>
      </c>
      <c r="E8" s="5" t="n"/>
      <c r="F8" s="5" t="n"/>
      <c r="G8">
        <f>SUM(D8:F8)</f>
        <v/>
      </c>
      <c r="H8" s="5" t="inlineStr">
        <is>
          <t>QB7: Slot below Burrow.</t>
        </is>
      </c>
      <c r="I8" s="5" t="inlineStr">
        <is>
          <t>2026-08-12</t>
        </is>
      </c>
      <c r="J8" s="5" t="n"/>
    </row>
    <row r="9">
      <c r="A9">
        <f>'LIVE SOURCE'!A9</f>
        <v/>
      </c>
      <c r="B9">
        <f>'LIVE SOURCE'!B9</f>
        <v/>
      </c>
      <c r="C9" s="4">
        <f>'LIVE SOURCE'!D9</f>
        <v/>
      </c>
      <c r="D9" s="5" t="n">
        <v>-1.21</v>
      </c>
      <c r="E9" s="5" t="n"/>
      <c r="F9" s="5" t="n"/>
      <c r="G9">
        <f>SUM(D9:F9)</f>
        <v/>
      </c>
      <c r="H9" s="5" t="inlineStr">
        <is>
          <t>QB10: 2025 was 4.4% TD vs 5.7% career (14g); down from 7.</t>
        </is>
      </c>
      <c r="I9" s="5" t="inlineStr">
        <is>
          <t>2026-08-12</t>
        </is>
      </c>
      <c r="J9" s="5" t="n"/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5" t="n">
        <v>0.8</v>
      </c>
      <c r="E10" s="5" t="n"/>
      <c r="F10" s="5" t="n"/>
      <c r="G10">
        <f>SUM(D10:F10)</f>
        <v/>
      </c>
      <c r="H10" s="5" t="inlineStr">
        <is>
          <t>QB8: Maintain position.</t>
        </is>
      </c>
      <c r="I10" s="5" t="inlineStr">
        <is>
          <t>2026-08-12</t>
        </is>
      </c>
      <c r="J10" s="5" t="n"/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5" t="n">
        <v>2.91</v>
      </c>
      <c r="E11" s="5" t="n"/>
      <c r="F11" s="5" t="n"/>
      <c r="G11">
        <f>SUM(D11:F11)</f>
        <v/>
      </c>
      <c r="H11" s="5" t="inlineStr">
        <is>
          <t>QB6: 2025 rate held strong; health fade was too harsh.</t>
        </is>
      </c>
      <c r="I11" s="5" t="inlineStr">
        <is>
          <t>2026-08-12</t>
        </is>
      </c>
      <c r="J11" s="5" t="n"/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5" t="n">
        <v>1.08</v>
      </c>
      <c r="E12" s="5" t="n"/>
      <c r="F12" s="5" t="n"/>
      <c r="G12">
        <f>SUM(D12:F12)</f>
        <v/>
      </c>
      <c r="H12" s="5" t="inlineStr">
        <is>
          <t>QB9: Mid-30s TDs in 2025, not 46; move up.</t>
        </is>
      </c>
      <c r="I12" s="5" t="inlineStr">
        <is>
          <t>2026-08-12</t>
        </is>
      </c>
      <c r="J12" s="5" t="n"/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5" t="n">
        <v>-2.25</v>
      </c>
      <c r="E13" s="5" t="n"/>
      <c r="F13" s="5" t="n"/>
      <c r="G13">
        <f>SUM(D13:F13)</f>
        <v/>
      </c>
      <c r="H13" s="5" t="inlineStr">
        <is>
          <t>QB16: Ankle fracture + 2 surgeries, 6.4 Y/A; down from 11.</t>
        </is>
      </c>
      <c r="I13" s="5" t="inlineStr">
        <is>
          <t>2026-08-12</t>
        </is>
      </c>
      <c r="J13" s="5" t="n"/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5" t="n">
        <v>0.38</v>
      </c>
      <c r="E14" s="5" t="n"/>
      <c r="F14" s="5" t="n"/>
      <c r="G14">
        <f>SUM(D14:F14)</f>
        <v/>
      </c>
      <c r="H14" s="5" t="inlineStr">
        <is>
          <t>QB11: Slight bump.</t>
        </is>
      </c>
      <c r="I14" s="5" t="inlineStr">
        <is>
          <t>2026-08-12</t>
        </is>
      </c>
      <c r="J14" s="5" t="n"/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5" t="n">
        <v>-0.6899999999999999</v>
      </c>
      <c r="E15" s="5" t="n"/>
      <c r="F15" s="5" t="n"/>
      <c r="G15">
        <f>SUM(D15:F15)</f>
        <v/>
      </c>
      <c r="H15" s="5" t="inlineStr">
        <is>
          <t>QB14: Slot below Dart.</t>
        </is>
      </c>
      <c r="I15" s="5" t="inlineStr">
        <is>
          <t>2026-08-12</t>
        </is>
      </c>
      <c r="J15" s="5" t="n"/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5" t="n">
        <v>-1.84</v>
      </c>
      <c r="E16" s="5" t="n"/>
      <c r="F16" s="5" t="n"/>
      <c r="G16">
        <f>SUM(D16:F16)</f>
        <v/>
      </c>
      <c r="H16" s="5" t="inlineStr">
        <is>
          <t>QB18: Slot below Baker.</t>
        </is>
      </c>
      <c r="I16" s="5" t="inlineStr">
        <is>
          <t>2026-08-12</t>
        </is>
      </c>
      <c r="J16" s="5" t="n"/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5" t="n">
        <v>1.44</v>
      </c>
      <c r="E17" s="5" t="n"/>
      <c r="F17" s="5" t="n"/>
      <c r="G17">
        <f>SUM(D17:F17)</f>
        <v/>
      </c>
      <c r="H17" s="5" t="inlineStr">
        <is>
          <t>QB13: Sophomore legs bet (2025 was rookie year).</t>
        </is>
      </c>
      <c r="I17" s="5" t="inlineStr">
        <is>
          <t>2026-08-12</t>
        </is>
      </c>
      <c r="J17" s="5" t="n"/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5" t="n">
        <v>2.36</v>
      </c>
      <c r="E18" s="5" t="n"/>
      <c r="F18" s="5" t="n"/>
      <c r="G18">
        <f>SUM(D18:F18)</f>
        <v/>
      </c>
      <c r="H18" s="5" t="inlineStr">
        <is>
          <t>QB12: 34 TD, 7.9 Y/A in 2025; move up from 16.</t>
        </is>
      </c>
      <c r="I18" s="5" t="inlineStr">
        <is>
          <t>2026-08-12</t>
        </is>
      </c>
      <c r="J18" s="5" t="n"/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5" t="n">
        <v>0.79</v>
      </c>
      <c r="E19" s="5" t="n"/>
      <c r="F19" s="5" t="n"/>
      <c r="G19">
        <f>SUM(D19:F19)</f>
        <v/>
      </c>
      <c r="H19" s="5" t="inlineStr">
        <is>
          <t>QB19: Slight bump.</t>
        </is>
      </c>
      <c r="I19" s="5" t="inlineStr">
        <is>
          <t>2026-08-12</t>
        </is>
      </c>
      <c r="J19" s="5" t="n"/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5" t="n">
        <v>3.46</v>
      </c>
      <c r="E20" s="5" t="n"/>
      <c r="F20" s="5" t="n"/>
      <c r="G20">
        <f>SUM(D20:F20)</f>
        <v/>
      </c>
      <c r="H20" s="5" t="inlineStr">
        <is>
          <t>QB15: Move up into mid-tier.</t>
        </is>
      </c>
      <c r="I20" s="5" t="inlineStr">
        <is>
          <t>2026-08-12</t>
        </is>
      </c>
      <c r="J20" s="5" t="n"/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5" t="n">
        <v>2.67</v>
      </c>
      <c r="E21" s="5" t="n"/>
      <c r="F21" s="5" t="n"/>
      <c r="G21">
        <f>SUM(D21:F21)</f>
        <v/>
      </c>
      <c r="H21" s="5" t="inlineStr">
        <is>
          <t>QB17: Durable, not a 13; move up.</t>
        </is>
      </c>
      <c r="I21" s="5" t="inlineStr">
        <is>
          <t>2026-08-12</t>
        </is>
      </c>
      <c r="J21" s="5" t="n"/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5" t="n"/>
      <c r="E22" s="5" t="n"/>
      <c r="F22" s="5" t="n"/>
      <c r="G22">
        <f>SUM(D22:F22)</f>
        <v/>
      </c>
      <c r="H22" s="5" t="n"/>
      <c r="I22" s="5" t="inlineStr">
        <is>
          <t>2026-08-12</t>
        </is>
      </c>
      <c r="J22" s="5" t="n"/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5" t="n"/>
      <c r="E23" s="5" t="n"/>
      <c r="F23" s="5" t="n"/>
      <c r="G23">
        <f>SUM(D23:F23)</f>
        <v/>
      </c>
      <c r="H23" s="5" t="n"/>
      <c r="I23" s="5" t="inlineStr">
        <is>
          <t>2026-08-12</t>
        </is>
      </c>
      <c r="J23" s="5" t="n"/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5" t="n">
        <v>5.45</v>
      </c>
      <c r="E24" s="5" t="n"/>
      <c r="F24" s="5" t="n"/>
      <c r="G24">
        <f>SUM(D24:F24)</f>
        <v/>
      </c>
      <c r="H24" s="5" t="inlineStr">
        <is>
          <t>QB20: Locked into top 20.</t>
        </is>
      </c>
      <c r="I24" s="5" t="inlineStr">
        <is>
          <t>2026-08-12</t>
        </is>
      </c>
      <c r="J24" s="5" t="n"/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5" t="n"/>
      <c r="E25" s="5" t="n"/>
      <c r="F25" s="5" t="n"/>
      <c r="G25">
        <f>SUM(D25:F25)</f>
        <v/>
      </c>
      <c r="H25" s="5" t="n"/>
      <c r="I25" s="5" t="inlineStr">
        <is>
          <t>2026-08-12</t>
        </is>
      </c>
      <c r="J25" s="5" t="n"/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5" t="n"/>
      <c r="E26" s="5" t="n"/>
      <c r="F26" s="5" t="n"/>
      <c r="G26">
        <f>SUM(D26:F26)</f>
        <v/>
      </c>
      <c r="H26" s="5" t="n"/>
      <c r="I26" s="5" t="inlineStr">
        <is>
          <t>2026-08-12</t>
        </is>
      </c>
      <c r="J26" s="5" t="n"/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5" t="n"/>
      <c r="E27" s="5" t="n"/>
      <c r="F27" s="5" t="n"/>
      <c r="G27">
        <f>SUM(D27:F27)</f>
        <v/>
      </c>
      <c r="H27" s="5" t="n"/>
      <c r="I27" s="5" t="inlineStr">
        <is>
          <t>2026-08-12</t>
        </is>
      </c>
      <c r="J27" s="5" t="n"/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5" t="n"/>
      <c r="E28" s="5" t="n"/>
      <c r="F28" s="5" t="n"/>
      <c r="G28">
        <f>SUM(D28:F28)</f>
        <v/>
      </c>
      <c r="H28" s="5" t="n"/>
      <c r="I28" s="5" t="inlineStr">
        <is>
          <t>2026-08-12</t>
        </is>
      </c>
      <c r="J28" s="5" t="n"/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5" t="n"/>
      <c r="E29" s="5" t="n"/>
      <c r="F29" s="5" t="n"/>
      <c r="G29">
        <f>SUM(D29:F29)</f>
        <v/>
      </c>
      <c r="H29" s="5" t="n"/>
      <c r="I29" s="5" t="inlineStr">
        <is>
          <t>2026-08-12</t>
        </is>
      </c>
      <c r="J29" s="5" t="n"/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5" t="n"/>
      <c r="E30" s="5" t="n"/>
      <c r="F30" s="5" t="n"/>
      <c r="G30">
        <f>SUM(D30:F30)</f>
        <v/>
      </c>
      <c r="H30" s="5" t="n"/>
      <c r="I30" s="5" t="inlineStr">
        <is>
          <t>2026-08-12</t>
        </is>
      </c>
      <c r="J30" s="5" t="n"/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5" t="n"/>
      <c r="E31" s="5" t="n"/>
      <c r="F31" s="5" t="n"/>
      <c r="G31">
        <f>SUM(D31:F31)</f>
        <v/>
      </c>
      <c r="H31" s="5" t="n"/>
      <c r="I31" s="5" t="inlineStr">
        <is>
          <t>2026-08-12</t>
        </is>
      </c>
      <c r="J31" s="5" t="n"/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5" t="n"/>
      <c r="E32" s="5" t="n"/>
      <c r="F32" s="5" t="n"/>
      <c r="G32">
        <f>SUM(D32:F32)</f>
        <v/>
      </c>
      <c r="H32" s="5" t="n"/>
      <c r="I32" s="5" t="inlineStr">
        <is>
          <t>2026-08-12</t>
        </is>
      </c>
      <c r="J32" s="5" t="n"/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5" t="n"/>
      <c r="E33" s="5" t="n"/>
      <c r="F33" s="5" t="n"/>
      <c r="G33">
        <f>SUM(D33:F33)</f>
        <v/>
      </c>
      <c r="H33" s="5" t="n"/>
      <c r="I33" s="5" t="inlineStr">
        <is>
          <t>2026-08-12</t>
        </is>
      </c>
      <c r="J33" s="5" t="n"/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5" t="n"/>
      <c r="E34" s="5" t="n"/>
      <c r="F34" s="5" t="n"/>
      <c r="G34">
        <f>SUM(D34:F34)</f>
        <v/>
      </c>
      <c r="H34" s="5" t="n"/>
      <c r="I34" s="5" t="inlineStr">
        <is>
          <t>2026-08-12</t>
        </is>
      </c>
      <c r="J34" s="5" t="n"/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5" t="n"/>
      <c r="E35" s="5" t="n"/>
      <c r="F35" s="5" t="n"/>
      <c r="G35">
        <f>SUM(D35:F35)</f>
        <v/>
      </c>
      <c r="H35" s="5" t="n"/>
      <c r="I35" s="5" t="inlineStr">
        <is>
          <t>2026-08-12</t>
        </is>
      </c>
      <c r="J35" s="5" t="n"/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5" t="n"/>
      <c r="E36" s="5" t="n"/>
      <c r="F36" s="5" t="n"/>
      <c r="G36">
        <f>SUM(D36:F36)</f>
        <v/>
      </c>
      <c r="H36" s="5" t="n"/>
      <c r="I36" s="5" t="inlineStr">
        <is>
          <t>2026-08-12</t>
        </is>
      </c>
      <c r="J36" s="5" t="n"/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5" t="n"/>
      <c r="E37" s="5" t="n"/>
      <c r="F37" s="5" t="n"/>
      <c r="G37">
        <f>SUM(D37:F37)</f>
        <v/>
      </c>
      <c r="H37" s="5" t="n"/>
      <c r="I37" s="5" t="inlineStr">
        <is>
          <t>2026-08-12</t>
        </is>
      </c>
      <c r="J37" s="5" t="n"/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5" t="n"/>
      <c r="E38" s="5" t="n"/>
      <c r="F38" s="5" t="n"/>
      <c r="G38">
        <f>SUM(D38:F38)</f>
        <v/>
      </c>
      <c r="H38" s="5" t="n"/>
      <c r="I38" s="5" t="inlineStr">
        <is>
          <t>2026-08-12</t>
        </is>
      </c>
      <c r="J38" s="5" t="n"/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5" t="n"/>
      <c r="E39" s="5" t="n"/>
      <c r="F39" s="5" t="n"/>
      <c r="G39">
        <f>SUM(D39:F39)</f>
        <v/>
      </c>
      <c r="H39" s="5" t="n"/>
      <c r="I39" s="5" t="inlineStr">
        <is>
          <t>2026-08-12</t>
        </is>
      </c>
      <c r="J39" s="5" t="n"/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5" t="n"/>
      <c r="E40" s="5" t="n"/>
      <c r="F40" s="5" t="n"/>
      <c r="G40">
        <f>SUM(D40:F40)</f>
        <v/>
      </c>
      <c r="H40" s="5" t="n"/>
      <c r="I40" s="5" t="inlineStr">
        <is>
          <t>2026-08-12</t>
        </is>
      </c>
      <c r="J40" s="5" t="n"/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5" t="n"/>
      <c r="E41" s="5" t="n"/>
      <c r="F41" s="5" t="n"/>
      <c r="G41">
        <f>SUM(D41:F41)</f>
        <v/>
      </c>
      <c r="H41" s="5" t="n"/>
      <c r="I41" s="5" t="inlineStr">
        <is>
          <t>2026-08-12</t>
        </is>
      </c>
      <c r="J41" s="5" t="n"/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5" t="n"/>
      <c r="E42" s="5" t="n"/>
      <c r="F42" s="5" t="n"/>
      <c r="G42">
        <f>SUM(D42:F42)</f>
        <v/>
      </c>
      <c r="H42" s="5" t="n"/>
      <c r="I42" s="5" t="inlineStr">
        <is>
          <t>2026-08-12</t>
        </is>
      </c>
      <c r="J42" s="5" t="n"/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5" t="n"/>
      <c r="E43" s="5" t="n"/>
      <c r="F43" s="5" t="n"/>
      <c r="G43">
        <f>SUM(D43:F43)</f>
        <v/>
      </c>
      <c r="H43" s="5" t="n"/>
      <c r="I43" s="5" t="inlineStr">
        <is>
          <t>2026-08-12</t>
        </is>
      </c>
      <c r="J43" s="5" t="n"/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5" t="n"/>
      <c r="E44" s="5" t="n"/>
      <c r="F44" s="5" t="n"/>
      <c r="G44">
        <f>SUM(D44:F44)</f>
        <v/>
      </c>
      <c r="H44" s="5" t="n"/>
      <c r="I44" s="5" t="inlineStr">
        <is>
          <t>2026-08-12</t>
        </is>
      </c>
      <c r="J44" s="5" t="n"/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5" t="n"/>
      <c r="E45" s="5" t="n"/>
      <c r="F45" s="5" t="n"/>
      <c r="G45">
        <f>SUM(D45:F45)</f>
        <v/>
      </c>
      <c r="H45" s="5" t="n"/>
      <c r="I45" s="5" t="inlineStr">
        <is>
          <t>2026-08-12</t>
        </is>
      </c>
      <c r="J45" s="5" t="n"/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5" t="n"/>
      <c r="E46" s="5" t="n"/>
      <c r="F46" s="5" t="n"/>
      <c r="G46">
        <f>SUM(D46:F46)</f>
        <v/>
      </c>
      <c r="H46" s="5" t="n"/>
      <c r="I46" s="5" t="inlineStr">
        <is>
          <t>2026-08-12</t>
        </is>
      </c>
      <c r="J46" s="5" t="n"/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5" t="n"/>
      <c r="E47" s="5" t="n"/>
      <c r="F47" s="5" t="n"/>
      <c r="G47">
        <f>SUM(D47:F47)</f>
        <v/>
      </c>
      <c r="H47" s="5" t="n"/>
      <c r="I47" s="5" t="inlineStr">
        <is>
          <t>2026-08-12</t>
        </is>
      </c>
      <c r="J47" s="5" t="n"/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5" t="n"/>
      <c r="E48" s="5" t="n"/>
      <c r="F48" s="5" t="n"/>
      <c r="G48">
        <f>SUM(D48:F48)</f>
        <v/>
      </c>
      <c r="H48" s="5" t="n"/>
      <c r="I48" s="5" t="inlineStr">
        <is>
          <t>2026-08-12</t>
        </is>
      </c>
      <c r="J48" s="5" t="n"/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5" t="n"/>
      <c r="E49" s="5" t="n"/>
      <c r="F49" s="5" t="n"/>
      <c r="G49">
        <f>SUM(D49:F49)</f>
        <v/>
      </c>
      <c r="H49" s="5" t="n"/>
      <c r="I49" s="5" t="inlineStr">
        <is>
          <t>2026-08-12</t>
        </is>
      </c>
      <c r="J49" s="5" t="n"/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5" t="n"/>
      <c r="E50" s="5" t="n"/>
      <c r="F50" s="5" t="n"/>
      <c r="G50">
        <f>SUM(D50:F50)</f>
        <v/>
      </c>
      <c r="H50" s="5" t="n"/>
      <c r="I50" s="5" t="inlineStr">
        <is>
          <t>2026-08-12</t>
        </is>
      </c>
      <c r="J50" s="5" t="n"/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5" t="n"/>
      <c r="E51" s="5" t="n"/>
      <c r="F51" s="5" t="n"/>
      <c r="G51">
        <f>SUM(D51:F51)</f>
        <v/>
      </c>
      <c r="H51" s="5" t="n"/>
      <c r="I51" s="5" t="inlineStr">
        <is>
          <t>2026-08-12</t>
        </is>
      </c>
      <c r="J51" s="5" t="n"/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5" t="n"/>
      <c r="E52" s="5" t="n"/>
      <c r="F52" s="5" t="n"/>
      <c r="G52">
        <f>SUM(D52:F52)</f>
        <v/>
      </c>
      <c r="H52" s="5" t="n"/>
      <c r="I52" s="5" t="inlineStr">
        <is>
          <t>2026-08-12</t>
        </is>
      </c>
      <c r="J52" s="5" t="n"/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5" t="n"/>
      <c r="E53" s="5" t="n"/>
      <c r="F53" s="5" t="n"/>
      <c r="G53">
        <f>SUM(D53:F53)</f>
        <v/>
      </c>
      <c r="H53" s="5" t="n"/>
      <c r="I53" s="5" t="inlineStr">
        <is>
          <t>2026-08-12</t>
        </is>
      </c>
      <c r="J53" s="5" t="n"/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5" t="n"/>
      <c r="E54" s="5" t="n"/>
      <c r="F54" s="5" t="n"/>
      <c r="G54">
        <f>SUM(D54:F54)</f>
        <v/>
      </c>
      <c r="H54" s="5" t="n"/>
      <c r="I54" s="5" t="inlineStr">
        <is>
          <t>2026-08-12</t>
        </is>
      </c>
      <c r="J54" s="5" t="n"/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5" t="n"/>
      <c r="E55" s="5" t="n"/>
      <c r="F55" s="5" t="n"/>
      <c r="G55">
        <f>SUM(D55:F55)</f>
        <v/>
      </c>
      <c r="H55" s="5" t="n"/>
      <c r="I55" s="5" t="inlineStr">
        <is>
          <t>2026-08-12</t>
        </is>
      </c>
      <c r="J55" s="5" t="n"/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5" t="n"/>
      <c r="E56" s="5" t="n"/>
      <c r="F56" s="5" t="n"/>
      <c r="G56">
        <f>SUM(D56:F56)</f>
        <v/>
      </c>
      <c r="H56" s="5" t="n"/>
      <c r="I56" s="5" t="inlineStr">
        <is>
          <t>2026-08-12</t>
        </is>
      </c>
      <c r="J56" s="5" t="n"/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5" t="n"/>
      <c r="E57" s="5" t="n"/>
      <c r="F57" s="5" t="n"/>
      <c r="G57">
        <f>SUM(D57:F57)</f>
        <v/>
      </c>
      <c r="H57" s="5" t="n"/>
      <c r="I57" s="5" t="inlineStr">
        <is>
          <t>2026-08-12</t>
        </is>
      </c>
      <c r="J57" s="5" t="n"/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5" t="n"/>
      <c r="E58" s="5" t="n"/>
      <c r="F58" s="5" t="n"/>
      <c r="G58">
        <f>SUM(D58:F58)</f>
        <v/>
      </c>
      <c r="H58" s="5" t="n"/>
      <c r="I58" s="5" t="inlineStr">
        <is>
          <t>2026-08-12</t>
        </is>
      </c>
      <c r="J58" s="5" t="n"/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5" t="n"/>
      <c r="E59" s="5" t="n"/>
      <c r="F59" s="5" t="n"/>
      <c r="G59">
        <f>SUM(D59:F59)</f>
        <v/>
      </c>
      <c r="H59" s="5" t="n"/>
      <c r="I59" s="5" t="inlineStr">
        <is>
          <t>2026-08-12</t>
        </is>
      </c>
      <c r="J59" s="5" t="n"/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5" t="n"/>
      <c r="E60" s="5" t="n"/>
      <c r="F60" s="5" t="n"/>
      <c r="G60">
        <f>SUM(D60:F60)</f>
        <v/>
      </c>
      <c r="H60" s="5" t="n"/>
      <c r="I60" s="5" t="inlineStr">
        <is>
          <t>2026-08-12</t>
        </is>
      </c>
      <c r="J60" s="5" t="n"/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5" t="n"/>
      <c r="E61" s="5" t="n"/>
      <c r="F61" s="5" t="n"/>
      <c r="G61">
        <f>SUM(D61:F61)</f>
        <v/>
      </c>
      <c r="H61" s="5" t="n"/>
      <c r="I61" s="5" t="inlineStr">
        <is>
          <t>2026-08-12</t>
        </is>
      </c>
      <c r="J61" s="5" t="n"/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5" t="n"/>
      <c r="E62" s="5" t="n"/>
      <c r="F62" s="5" t="n"/>
      <c r="G62">
        <f>SUM(D62:F62)</f>
        <v/>
      </c>
      <c r="H62" s="5" t="n"/>
      <c r="I62" s="5" t="inlineStr">
        <is>
          <t>2026-08-12</t>
        </is>
      </c>
      <c r="J62" s="5" t="n"/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5" t="n"/>
      <c r="E63" s="5" t="n"/>
      <c r="F63" s="5" t="n"/>
      <c r="G63">
        <f>SUM(D63:F63)</f>
        <v/>
      </c>
      <c r="H63" s="5" t="n"/>
      <c r="I63" s="5" t="inlineStr">
        <is>
          <t>2026-08-12</t>
        </is>
      </c>
      <c r="J63" s="5" t="n"/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5" t="n"/>
      <c r="E64" s="5" t="n"/>
      <c r="F64" s="5" t="n"/>
      <c r="G64">
        <f>SUM(D64:F64)</f>
        <v/>
      </c>
      <c r="H64" s="5" t="n"/>
      <c r="I64" s="5" t="inlineStr">
        <is>
          <t>2026-08-12</t>
        </is>
      </c>
      <c r="J64" s="5" t="n"/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5" t="n"/>
      <c r="E65" s="5" t="n"/>
      <c r="F65" s="5" t="n"/>
      <c r="G65">
        <f>SUM(D65:F65)</f>
        <v/>
      </c>
      <c r="H65" s="5" t="n"/>
      <c r="I65" s="5" t="inlineStr">
        <is>
          <t>2026-08-12</t>
        </is>
      </c>
      <c r="J65" s="5" t="n"/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5" t="n"/>
      <c r="E66" s="5" t="n"/>
      <c r="F66" s="5" t="n"/>
      <c r="G66">
        <f>SUM(D66:F66)</f>
        <v/>
      </c>
      <c r="H66" s="5" t="n"/>
      <c r="I66" s="5" t="inlineStr">
        <is>
          <t>2026-08-12</t>
        </is>
      </c>
      <c r="J66" s="5" t="n"/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5" t="n"/>
      <c r="E67" s="5" t="n"/>
      <c r="F67" s="5" t="n"/>
      <c r="G67">
        <f>SUM(D67:F67)</f>
        <v/>
      </c>
      <c r="H67" s="5" t="n"/>
      <c r="I67" s="5" t="inlineStr">
        <is>
          <t>2026-08-12</t>
        </is>
      </c>
      <c r="J67" s="5" t="n"/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5" t="n"/>
      <c r="E68" s="5" t="n"/>
      <c r="F68" s="5" t="n"/>
      <c r="G68">
        <f>SUM(D68:F68)</f>
        <v/>
      </c>
      <c r="H68" s="5" t="n"/>
      <c r="I68" s="5" t="inlineStr">
        <is>
          <t>2026-08-12</t>
        </is>
      </c>
      <c r="J68" s="5" t="n"/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5" t="n"/>
      <c r="E69" s="5" t="n"/>
      <c r="F69" s="5" t="n"/>
      <c r="G69">
        <f>SUM(D69:F69)</f>
        <v/>
      </c>
      <c r="H69" s="5" t="n"/>
      <c r="I69" s="5" t="inlineStr">
        <is>
          <t>2026-08-12</t>
        </is>
      </c>
      <c r="J69" s="5" t="n"/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5" t="n"/>
      <c r="E70" s="5" t="n"/>
      <c r="F70" s="5" t="n"/>
      <c r="G70">
        <f>SUM(D70:F70)</f>
        <v/>
      </c>
      <c r="H70" s="5" t="n"/>
      <c r="I70" s="5" t="inlineStr">
        <is>
          <t>2026-08-12</t>
        </is>
      </c>
      <c r="J70" s="5" t="n"/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5" t="n"/>
      <c r="E71" s="5" t="n"/>
      <c r="F71" s="5" t="n"/>
      <c r="G71">
        <f>SUM(D71:F71)</f>
        <v/>
      </c>
      <c r="H71" s="5" t="n"/>
      <c r="I71" s="5" t="inlineStr">
        <is>
          <t>2026-08-12</t>
        </is>
      </c>
      <c r="J71" s="5" t="n"/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5" t="n"/>
      <c r="E72" s="5" t="n"/>
      <c r="F72" s="5" t="n"/>
      <c r="G72">
        <f>SUM(D72:F72)</f>
        <v/>
      </c>
      <c r="H72" s="5" t="n"/>
      <c r="I72" s="5" t="inlineStr">
        <is>
          <t>2026-08-12</t>
        </is>
      </c>
      <c r="J72" s="5" t="n"/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5" t="n"/>
      <c r="E73" s="5" t="n"/>
      <c r="F73" s="5" t="n"/>
      <c r="G73">
        <f>SUM(D73:F73)</f>
        <v/>
      </c>
      <c r="H73" s="5" t="n"/>
      <c r="I73" s="5" t="inlineStr">
        <is>
          <t>2026-08-12</t>
        </is>
      </c>
      <c r="J73" s="5" t="n"/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5" t="n"/>
      <c r="E74" s="5" t="n"/>
      <c r="F74" s="5" t="n"/>
      <c r="G74">
        <f>SUM(D74:F74)</f>
        <v/>
      </c>
      <c r="H74" s="5" t="n"/>
      <c r="I74" s="5" t="inlineStr">
        <is>
          <t>2026-08-12</t>
        </is>
      </c>
      <c r="J74" s="5" t="n"/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5" t="n"/>
      <c r="E75" s="5" t="n"/>
      <c r="F75" s="5" t="n"/>
      <c r="G75">
        <f>SUM(D75:F75)</f>
        <v/>
      </c>
      <c r="H75" s="5" t="n"/>
      <c r="I75" s="5" t="inlineStr">
        <is>
          <t>2026-08-12</t>
        </is>
      </c>
      <c r="J75" s="5" t="n"/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5" t="n"/>
      <c r="E76" s="5" t="n"/>
      <c r="F76" s="5" t="n"/>
      <c r="G76">
        <f>SUM(D76:F76)</f>
        <v/>
      </c>
      <c r="H76" s="5" t="n"/>
      <c r="I76" s="5" t="inlineStr">
        <is>
          <t>2026-08-12</t>
        </is>
      </c>
      <c r="J76" s="5" t="n"/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5" t="n"/>
      <c r="E77" s="5" t="n"/>
      <c r="F77" s="5" t="n"/>
      <c r="G77">
        <f>SUM(D77:F77)</f>
        <v/>
      </c>
      <c r="H77" s="5" t="n"/>
      <c r="I77" s="5" t="inlineStr">
        <is>
          <t>2026-08-12</t>
        </is>
      </c>
      <c r="J77" s="5" t="n"/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5" t="n"/>
      <c r="E78" s="5" t="n"/>
      <c r="F78" s="5" t="n"/>
      <c r="G78">
        <f>SUM(D78:F78)</f>
        <v/>
      </c>
      <c r="H78" s="5" t="n"/>
      <c r="I78" s="5" t="inlineStr">
        <is>
          <t>2026-08-12</t>
        </is>
      </c>
      <c r="J78" s="5" t="n"/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5" t="n">
        <v>-25</v>
      </c>
      <c r="E79" s="5" t="n"/>
      <c r="F79" s="5" t="n"/>
      <c r="G79">
        <f>SUM(D79:F79)</f>
        <v/>
      </c>
      <c r="H79" s="5" t="inlineStr">
        <is>
          <t>Jan 2026 playoff ACL; opens on PUP, return may be as late as December (ESPN). Not draftable in a 10-team league.</t>
        </is>
      </c>
      <c r="I79" s="5" t="inlineStr">
        <is>
          <t>2026-08-12</t>
        </is>
      </c>
      <c r="J79" s="5" t="n"/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5" t="n"/>
      <c r="E80" s="5" t="n"/>
      <c r="F80" s="5" t="n"/>
      <c r="G80">
        <f>SUM(D80:F80)</f>
        <v/>
      </c>
      <c r="H80" s="5" t="n"/>
      <c r="I80" s="5" t="inlineStr">
        <is>
          <t>2026-08-12</t>
        </is>
      </c>
      <c r="J80" s="5" t="n"/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5" t="n"/>
      <c r="E81" s="5" t="n"/>
      <c r="F81" s="5" t="n"/>
      <c r="G81">
        <f>SUM(D81:F81)</f>
        <v/>
      </c>
      <c r="H81" s="5" t="n"/>
      <c r="I81" s="5" t="inlineStr">
        <is>
          <t>2026-08-12</t>
        </is>
      </c>
      <c r="J81" s="5" t="n"/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5" t="n"/>
      <c r="E82" s="5" t="n"/>
      <c r="F82" s="5" t="n"/>
      <c r="G82">
        <f>SUM(D82:F82)</f>
        <v/>
      </c>
      <c r="H82" s="5" t="n"/>
      <c r="I82" s="5" t="inlineStr">
        <is>
          <t>2026-08-12</t>
        </is>
      </c>
      <c r="J82" s="5" t="n"/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5" t="n"/>
      <c r="E83" s="5" t="n"/>
      <c r="F83" s="5" t="n"/>
      <c r="G83">
        <f>SUM(D83:F83)</f>
        <v/>
      </c>
      <c r="H83" s="5" t="n"/>
      <c r="I83" s="5" t="inlineStr">
        <is>
          <t>2026-08-12</t>
        </is>
      </c>
      <c r="J83" s="5" t="n"/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5" t="n"/>
      <c r="E84" s="5" t="n"/>
      <c r="F84" s="5" t="n"/>
      <c r="G84">
        <f>SUM(D84:F84)</f>
        <v/>
      </c>
      <c r="H84" s="5" t="n"/>
      <c r="I84" s="5" t="inlineStr">
        <is>
          <t>2026-08-12</t>
        </is>
      </c>
      <c r="J84" s="5" t="n"/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5" t="n"/>
      <c r="E85" s="5" t="n"/>
      <c r="F85" s="5" t="n"/>
      <c r="G85">
        <f>SUM(D85:F85)</f>
        <v/>
      </c>
      <c r="H85" s="5" t="n"/>
      <c r="I85" s="5" t="inlineStr">
        <is>
          <t>2026-08-12</t>
        </is>
      </c>
      <c r="J85" s="5" t="n"/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5" t="n"/>
      <c r="E86" s="5" t="n"/>
      <c r="F86" s="5" t="n"/>
      <c r="G86">
        <f>SUM(D86:F86)</f>
        <v/>
      </c>
      <c r="H86" s="5" t="n"/>
      <c r="I86" s="5" t="inlineStr">
        <is>
          <t>2026-08-12</t>
        </is>
      </c>
      <c r="J86" s="5" t="n"/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5" t="n"/>
      <c r="E87" s="5" t="n"/>
      <c r="F87" s="5" t="n"/>
      <c r="G87">
        <f>SUM(D87:F87)</f>
        <v/>
      </c>
      <c r="H87" s="5" t="n"/>
      <c r="I87" s="5" t="inlineStr">
        <is>
          <t>2026-08-12</t>
        </is>
      </c>
      <c r="J87" s="5" t="n"/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5" t="n"/>
      <c r="E88" s="5" t="n"/>
      <c r="F88" s="5" t="n"/>
      <c r="G88">
        <f>SUM(D88:F88)</f>
        <v/>
      </c>
      <c r="H88" s="5" t="n"/>
      <c r="I88" s="5" t="inlineStr">
        <is>
          <t>2026-08-12</t>
        </is>
      </c>
      <c r="J88" s="5" t="n"/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5" t="n"/>
      <c r="E89" s="5" t="n"/>
      <c r="F89" s="5" t="n"/>
      <c r="G89">
        <f>SUM(D89:F89)</f>
        <v/>
      </c>
      <c r="H89" s="5" t="n"/>
      <c r="I89" s="5" t="inlineStr">
        <is>
          <t>2026-08-12</t>
        </is>
      </c>
      <c r="J89" s="5" t="n"/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5" t="n"/>
      <c r="E90" s="5" t="n"/>
      <c r="F90" s="5" t="n"/>
      <c r="G90">
        <f>SUM(D90:F90)</f>
        <v/>
      </c>
      <c r="H90" s="5" t="n"/>
      <c r="I90" s="5" t="inlineStr">
        <is>
          <t>2026-08-12</t>
        </is>
      </c>
      <c r="J90" s="5" t="n"/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5" t="n"/>
      <c r="E91" s="5" t="n"/>
      <c r="F91" s="5" t="n"/>
      <c r="G91">
        <f>SUM(D91:F91)</f>
        <v/>
      </c>
      <c r="H91" s="5" t="n"/>
      <c r="I91" s="5" t="inlineStr">
        <is>
          <t>2026-08-12</t>
        </is>
      </c>
      <c r="J91" s="5" t="n"/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5" t="n"/>
      <c r="E92" s="5" t="n"/>
      <c r="F92" s="5" t="n"/>
      <c r="G92">
        <f>SUM(D92:F92)</f>
        <v/>
      </c>
      <c r="H92" s="5" t="n"/>
      <c r="I92" s="5" t="inlineStr">
        <is>
          <t>2026-08-12</t>
        </is>
      </c>
      <c r="J92" s="5" t="n"/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5" t="n"/>
      <c r="E93" s="5" t="n"/>
      <c r="F93" s="5" t="n"/>
      <c r="G93">
        <f>SUM(D93:F93)</f>
        <v/>
      </c>
      <c r="H93" s="5" t="n"/>
      <c r="I93" s="5" t="inlineStr">
        <is>
          <t>2026-08-12</t>
        </is>
      </c>
      <c r="J93" s="5" t="n"/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5" t="n"/>
      <c r="E94" s="5" t="n"/>
      <c r="F94" s="5" t="n"/>
      <c r="G94">
        <f>SUM(D94:F94)</f>
        <v/>
      </c>
      <c r="H94" s="5" t="n"/>
      <c r="I94" s="5" t="inlineStr">
        <is>
          <t>2026-08-12</t>
        </is>
      </c>
      <c r="J94" s="5" t="n"/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5" t="n"/>
      <c r="E95" s="5" t="n"/>
      <c r="F95" s="5" t="n"/>
      <c r="G95">
        <f>SUM(D95:F95)</f>
        <v/>
      </c>
      <c r="H95" s="5" t="n"/>
      <c r="I95" s="5" t="inlineStr">
        <is>
          <t>2026-08-12</t>
        </is>
      </c>
      <c r="J95" s="5" t="n"/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5" t="n"/>
      <c r="E96" s="5" t="n"/>
      <c r="F96" s="5" t="n"/>
      <c r="G96">
        <f>SUM(D96:F96)</f>
        <v/>
      </c>
      <c r="H96" s="5" t="n"/>
      <c r="I96" s="5" t="inlineStr">
        <is>
          <t>2026-08-12</t>
        </is>
      </c>
      <c r="J96" s="5" t="n"/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5" t="n"/>
      <c r="E97" s="5" t="n"/>
      <c r="F97" s="5" t="n"/>
      <c r="G97">
        <f>SUM(D97:F97)</f>
        <v/>
      </c>
      <c r="H97" s="5" t="n"/>
      <c r="I97" s="5" t="inlineStr">
        <is>
          <t>2026-08-12</t>
        </is>
      </c>
      <c r="J97" s="5" t="n"/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5" t="n"/>
      <c r="E98" s="5" t="n"/>
      <c r="F98" s="5" t="n"/>
      <c r="G98">
        <f>SUM(D98:F98)</f>
        <v/>
      </c>
      <c r="H98" s="5" t="n"/>
      <c r="I98" s="5" t="inlineStr">
        <is>
          <t>2026-08-12</t>
        </is>
      </c>
      <c r="J98" s="5" t="n"/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5" t="n"/>
      <c r="E99" s="5" t="n"/>
      <c r="F99" s="5" t="n"/>
      <c r="G99">
        <f>SUM(D99:F99)</f>
        <v/>
      </c>
      <c r="H99" s="5" t="n"/>
      <c r="I99" s="5" t="inlineStr">
        <is>
          <t>2026-08-12</t>
        </is>
      </c>
      <c r="J99" s="5" t="n"/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5" t="n"/>
      <c r="E100" s="5" t="n"/>
      <c r="F100" s="5" t="n"/>
      <c r="G100">
        <f>SUM(D100:F100)</f>
        <v/>
      </c>
      <c r="H100" s="5" t="n"/>
      <c r="I100" s="5" t="inlineStr">
        <is>
          <t>2026-08-12</t>
        </is>
      </c>
      <c r="J100" s="5" t="n"/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5" t="n"/>
      <c r="E101" s="5" t="n"/>
      <c r="F101" s="5" t="n"/>
      <c r="G101">
        <f>SUM(D101:F101)</f>
        <v/>
      </c>
      <c r="H101" s="5" t="n"/>
      <c r="I101" s="5" t="inlineStr">
        <is>
          <t>2026-08-12</t>
        </is>
      </c>
      <c r="J101" s="5" t="n"/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5" t="n"/>
      <c r="E102" s="5" t="n"/>
      <c r="F102" s="5" t="n"/>
      <c r="G102">
        <f>SUM(D102:F102)</f>
        <v/>
      </c>
      <c r="H102" s="5" t="n"/>
      <c r="I102" s="5" t="inlineStr">
        <is>
          <t>2026-08-12</t>
        </is>
      </c>
      <c r="J102" s="5" t="n"/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5" t="n"/>
      <c r="E103" s="5" t="n"/>
      <c r="F103" s="5" t="n"/>
      <c r="G103">
        <f>SUM(D103:F103)</f>
        <v/>
      </c>
      <c r="H103" s="5" t="n"/>
      <c r="I103" s="5" t="inlineStr">
        <is>
          <t>2026-08-12</t>
        </is>
      </c>
      <c r="J103" s="5" t="n"/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5" t="n"/>
      <c r="E104" s="5" t="n"/>
      <c r="F104" s="5" t="n"/>
      <c r="G104">
        <f>SUM(D104:F104)</f>
        <v/>
      </c>
      <c r="H104" s="5" t="n"/>
      <c r="I104" s="5" t="inlineStr">
        <is>
          <t>2026-08-12</t>
        </is>
      </c>
      <c r="J104" s="5" t="n"/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5" t="n"/>
      <c r="E105" s="5" t="n"/>
      <c r="F105" s="5" t="n"/>
      <c r="G105">
        <f>SUM(D105:F105)</f>
        <v/>
      </c>
      <c r="H105" s="5" t="n"/>
      <c r="I105" s="5" t="inlineStr">
        <is>
          <t>2026-08-12</t>
        </is>
      </c>
      <c r="J105" s="5" t="n"/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5" t="n"/>
      <c r="E106" s="5" t="n"/>
      <c r="F106" s="5" t="n"/>
      <c r="G106">
        <f>SUM(D106:F106)</f>
        <v/>
      </c>
      <c r="H106" s="5" t="n"/>
      <c r="I106" s="5" t="inlineStr">
        <is>
          <t>2026-08-12</t>
        </is>
      </c>
      <c r="J106" s="5" t="n"/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5" t="n"/>
      <c r="E107" s="5" t="n"/>
      <c r="F107" s="5" t="n"/>
      <c r="G107">
        <f>SUM(D107:F107)</f>
        <v/>
      </c>
      <c r="H107" s="5" t="n"/>
      <c r="I107" s="5" t="inlineStr">
        <is>
          <t>2026-08-12</t>
        </is>
      </c>
      <c r="J107" s="5" t="n"/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5" t="n"/>
      <c r="E108" s="5" t="n"/>
      <c r="F108" s="5" t="n"/>
      <c r="G108">
        <f>SUM(D108:F108)</f>
        <v/>
      </c>
      <c r="H108" s="5" t="n"/>
      <c r="I108" s="5" t="inlineStr">
        <is>
          <t>2026-08-12</t>
        </is>
      </c>
      <c r="J108" s="5" t="n"/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5" t="n"/>
      <c r="E109" s="5" t="n"/>
      <c r="F109" s="5" t="n"/>
      <c r="G109">
        <f>SUM(D109:F109)</f>
        <v/>
      </c>
      <c r="H109" s="5" t="n"/>
      <c r="I109" s="5" t="inlineStr">
        <is>
          <t>2026-08-12</t>
        </is>
      </c>
      <c r="J109" s="5" t="n"/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5" t="n"/>
      <c r="E110" s="5" t="n"/>
      <c r="F110" s="5" t="n"/>
      <c r="G110">
        <f>SUM(D110:F110)</f>
        <v/>
      </c>
      <c r="H110" s="5" t="n"/>
      <c r="I110" s="5" t="inlineStr">
        <is>
          <t>2026-08-12</t>
        </is>
      </c>
      <c r="J110" s="5" t="n"/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5" t="n"/>
      <c r="E111" s="5" t="n"/>
      <c r="F111" s="5" t="n"/>
      <c r="G111">
        <f>SUM(D111:F111)</f>
        <v/>
      </c>
      <c r="H111" s="5" t="n"/>
      <c r="I111" s="5" t="inlineStr">
        <is>
          <t>2026-08-12</t>
        </is>
      </c>
      <c r="J111" s="5" t="n"/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5" t="n"/>
      <c r="E112" s="5" t="n"/>
      <c r="F112" s="5" t="n"/>
      <c r="G112">
        <f>SUM(D112:F112)</f>
        <v/>
      </c>
      <c r="H112" s="5" t="n"/>
      <c r="I112" s="5" t="inlineStr">
        <is>
          <t>2026-08-12</t>
        </is>
      </c>
      <c r="J112" s="5" t="n"/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5" t="n"/>
      <c r="E113" s="5" t="n"/>
      <c r="F113" s="5" t="n"/>
      <c r="G113">
        <f>SUM(D113:F113)</f>
        <v/>
      </c>
      <c r="H113" s="5" t="n"/>
      <c r="I113" s="5" t="inlineStr">
        <is>
          <t>2026-08-12</t>
        </is>
      </c>
      <c r="J113" s="5" t="n"/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5" t="n"/>
      <c r="E114" s="5" t="n"/>
      <c r="F114" s="5" t="n"/>
      <c r="G114">
        <f>SUM(D114:F114)</f>
        <v/>
      </c>
      <c r="H114" s="5" t="n"/>
      <c r="I114" s="5" t="inlineStr">
        <is>
          <t>2026-08-12</t>
        </is>
      </c>
      <c r="J114" s="5" t="n"/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5" t="n"/>
      <c r="E115" s="5" t="n"/>
      <c r="F115" s="5" t="n"/>
      <c r="G115">
        <f>SUM(D115:F115)</f>
        <v/>
      </c>
      <c r="H115" s="5" t="n"/>
      <c r="I115" s="5" t="inlineStr">
        <is>
          <t>2026-08-12</t>
        </is>
      </c>
      <c r="J115" s="5" t="n"/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5" t="n"/>
      <c r="E116" s="5" t="n"/>
      <c r="F116" s="5" t="n"/>
      <c r="G116">
        <f>SUM(D116:F116)</f>
        <v/>
      </c>
      <c r="H116" s="5" t="n"/>
      <c r="I116" s="5" t="inlineStr">
        <is>
          <t>2026-08-12</t>
        </is>
      </c>
      <c r="J116" s="5" t="n"/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5" t="n"/>
      <c r="E117" s="5" t="n"/>
      <c r="F117" s="5" t="n"/>
      <c r="G117">
        <f>SUM(D117:F117)</f>
        <v/>
      </c>
      <c r="H117" s="5" t="n"/>
      <c r="I117" s="5" t="inlineStr">
        <is>
          <t>2026-08-12</t>
        </is>
      </c>
      <c r="J117" s="5" t="n"/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5" t="n"/>
      <c r="E118" s="5" t="n"/>
      <c r="F118" s="5" t="n"/>
      <c r="G118">
        <f>SUM(D118:F118)</f>
        <v/>
      </c>
      <c r="H118" s="5" t="n"/>
      <c r="I118" s="5" t="inlineStr">
        <is>
          <t>2026-08-12</t>
        </is>
      </c>
      <c r="J118" s="5" t="n"/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5" t="n"/>
      <c r="E119" s="5" t="n"/>
      <c r="F119" s="5" t="n"/>
      <c r="G119">
        <f>SUM(D119:F119)</f>
        <v/>
      </c>
      <c r="H119" s="5" t="n"/>
      <c r="I119" s="5" t="inlineStr">
        <is>
          <t>2026-08-12</t>
        </is>
      </c>
      <c r="J119" s="5" t="n"/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5" t="n"/>
      <c r="E120" s="5" t="n"/>
      <c r="F120" s="5" t="n"/>
      <c r="G120">
        <f>SUM(D120:F120)</f>
        <v/>
      </c>
      <c r="H120" s="5" t="n"/>
      <c r="I120" s="5" t="inlineStr">
        <is>
          <t>2026-08-12</t>
        </is>
      </c>
      <c r="J120" s="5" t="n"/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5" t="n"/>
      <c r="E121" s="5" t="n"/>
      <c r="F121" s="5" t="n"/>
      <c r="G121">
        <f>SUM(D121:F121)</f>
        <v/>
      </c>
      <c r="H121" s="5" t="n"/>
      <c r="I121" s="5" t="inlineStr">
        <is>
          <t>2026-08-12</t>
        </is>
      </c>
      <c r="J121" s="5" t="n"/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5" t="n"/>
      <c r="E122" s="5" t="n"/>
      <c r="F122" s="5" t="n"/>
      <c r="G122">
        <f>SUM(D122:F122)</f>
        <v/>
      </c>
      <c r="H122" s="5" t="n"/>
      <c r="I122" s="5" t="inlineStr">
        <is>
          <t>2026-08-12</t>
        </is>
      </c>
      <c r="J122" s="5" t="n"/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5" t="n"/>
      <c r="E123" s="5" t="n"/>
      <c r="F123" s="5" t="n"/>
      <c r="G123">
        <f>SUM(D123:F123)</f>
        <v/>
      </c>
      <c r="H123" s="5" t="n"/>
      <c r="I123" s="5" t="inlineStr">
        <is>
          <t>2026-08-12</t>
        </is>
      </c>
      <c r="J123" s="5" t="n"/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5" t="n"/>
      <c r="E124" s="5" t="n"/>
      <c r="F124" s="5" t="n"/>
      <c r="G124">
        <f>SUM(D124:F124)</f>
        <v/>
      </c>
      <c r="H124" s="5" t="n"/>
      <c r="I124" s="5" t="inlineStr">
        <is>
          <t>2026-08-12</t>
        </is>
      </c>
      <c r="J124" s="5" t="n"/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5" t="n"/>
      <c r="E125" s="5" t="n"/>
      <c r="F125" s="5" t="n"/>
      <c r="G125">
        <f>SUM(D125:F125)</f>
        <v/>
      </c>
      <c r="H125" s="5" t="n"/>
      <c r="I125" s="5" t="inlineStr">
        <is>
          <t>2026-08-12</t>
        </is>
      </c>
      <c r="J125" s="5" t="n"/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5" t="n"/>
      <c r="E126" s="5" t="n"/>
      <c r="F126" s="5" t="n"/>
      <c r="G126">
        <f>SUM(D126:F126)</f>
        <v/>
      </c>
      <c r="H126" s="5" t="n"/>
      <c r="I126" s="5" t="inlineStr">
        <is>
          <t>2026-08-12</t>
        </is>
      </c>
      <c r="J126" s="5" t="n"/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5" t="n">
        <v>-3</v>
      </c>
      <c r="E127" s="5" t="n"/>
      <c r="F127" s="5" t="n"/>
      <c r="G127">
        <f>SUM(D127:F127)</f>
        <v/>
      </c>
      <c r="H127" s="5" t="inlineStr">
        <is>
          <t>Camp hamstring issue / missed practice time; temporary downgrade.</t>
        </is>
      </c>
      <c r="I127" s="5" t="inlineStr">
        <is>
          <t>2026-08-12</t>
        </is>
      </c>
      <c r="J127" s="5" t="n"/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5" t="n"/>
      <c r="E128" s="5" t="n"/>
      <c r="F128" s="5" t="n"/>
      <c r="G128">
        <f>SUM(D128:F128)</f>
        <v/>
      </c>
      <c r="H128" s="5" t="n"/>
      <c r="I128" s="5" t="inlineStr">
        <is>
          <t>2026-08-12</t>
        </is>
      </c>
      <c r="J128" s="5" t="n"/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5" t="n"/>
      <c r="E129" s="5" t="n"/>
      <c r="F129" s="5" t="n"/>
      <c r="G129">
        <f>SUM(D129:F129)</f>
        <v/>
      </c>
      <c r="H129" s="5" t="n"/>
      <c r="I129" s="5" t="inlineStr">
        <is>
          <t>2026-08-12</t>
        </is>
      </c>
      <c r="J129" s="5" t="n"/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5" t="n"/>
      <c r="E130" s="5" t="n"/>
      <c r="F130" s="5" t="n"/>
      <c r="G130">
        <f>SUM(D130:F130)</f>
        <v/>
      </c>
      <c r="H130" s="5" t="n"/>
      <c r="I130" s="5" t="inlineStr">
        <is>
          <t>2026-08-12</t>
        </is>
      </c>
      <c r="J130" s="5" t="n"/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5" t="n">
        <v>-60</v>
      </c>
      <c r="E131" s="5" t="n"/>
      <c r="F131" s="5" t="n"/>
      <c r="G131">
        <f>SUM(D131:F131)</f>
        <v/>
      </c>
      <c r="H131" s="5" t="inlineStr">
        <is>
          <t>Season-ending PCL surgery announced 8/1/2026; out for the year (NFL.com).</t>
        </is>
      </c>
      <c r="I131" s="5" t="inlineStr">
        <is>
          <t>2026-08-12</t>
        </is>
      </c>
      <c r="J131" s="5" t="n"/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5" t="n"/>
      <c r="E132" s="5" t="n"/>
      <c r="F132" s="5" t="n"/>
      <c r="G132">
        <f>SUM(D132:F132)</f>
        <v/>
      </c>
      <c r="H132" s="5" t="n"/>
      <c r="I132" s="5" t="inlineStr">
        <is>
          <t>2026-08-12</t>
        </is>
      </c>
      <c r="J132" s="5" t="n"/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5" t="n"/>
      <c r="E133" s="5" t="n"/>
      <c r="F133" s="5" t="n"/>
      <c r="G133">
        <f>SUM(D133:F133)</f>
        <v/>
      </c>
      <c r="H133" s="5" t="n"/>
      <c r="I133" s="5" t="inlineStr">
        <is>
          <t>2026-08-12</t>
        </is>
      </c>
      <c r="J133" s="5" t="n"/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5" t="n"/>
      <c r="E134" s="5" t="n"/>
      <c r="F134" s="5" t="n"/>
      <c r="G134">
        <f>SUM(D134:F134)</f>
        <v/>
      </c>
      <c r="H134" s="5" t="n"/>
      <c r="I134" s="5" t="inlineStr">
        <is>
          <t>2026-08-12</t>
        </is>
      </c>
      <c r="J134" s="5" t="n"/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5" t="n"/>
      <c r="E135" s="5" t="n"/>
      <c r="F135" s="5" t="n"/>
      <c r="G135">
        <f>SUM(D135:F135)</f>
        <v/>
      </c>
      <c r="H135" s="5" t="n"/>
      <c r="I135" s="5" t="inlineStr">
        <is>
          <t>2026-08-12</t>
        </is>
      </c>
      <c r="J135" s="5" t="n"/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5" t="n"/>
      <c r="E136" s="5" t="n"/>
      <c r="F136" s="5" t="n"/>
      <c r="G136">
        <f>SUM(D136:F136)</f>
        <v/>
      </c>
      <c r="H136" s="5" t="n"/>
      <c r="I136" s="5" t="inlineStr">
        <is>
          <t>2026-08-12</t>
        </is>
      </c>
      <c r="J136" s="5" t="n"/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5" t="n"/>
      <c r="E137" s="5" t="n"/>
      <c r="F137" s="5" t="n"/>
      <c r="G137">
        <f>SUM(D137:F137)</f>
        <v/>
      </c>
      <c r="H137" s="5" t="n"/>
      <c r="I137" s="5" t="inlineStr">
        <is>
          <t>2026-08-12</t>
        </is>
      </c>
      <c r="J137" s="5" t="n"/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5" t="n"/>
      <c r="E138" s="5" t="n"/>
      <c r="F138" s="5" t="n"/>
      <c r="G138">
        <f>SUM(D138:F138)</f>
        <v/>
      </c>
      <c r="H138" s="5" t="n"/>
      <c r="I138" s="5" t="inlineStr">
        <is>
          <t>2026-08-12</t>
        </is>
      </c>
      <c r="J138" s="5" t="n"/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5" t="n"/>
      <c r="E139" s="5" t="n"/>
      <c r="F139" s="5" t="n"/>
      <c r="G139">
        <f>SUM(D139:F139)</f>
        <v/>
      </c>
      <c r="H139" s="5" t="n"/>
      <c r="I139" s="5" t="inlineStr">
        <is>
          <t>2026-08-12</t>
        </is>
      </c>
      <c r="J139" s="5" t="n"/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5" t="n"/>
      <c r="E140" s="5" t="n"/>
      <c r="F140" s="5" t="n"/>
      <c r="G140">
        <f>SUM(D140:F140)</f>
        <v/>
      </c>
      <c r="H140" s="5" t="n"/>
      <c r="I140" s="5" t="inlineStr">
        <is>
          <t>2026-08-12</t>
        </is>
      </c>
      <c r="J140" s="5" t="n"/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5" t="n"/>
      <c r="E141" s="5" t="n"/>
      <c r="F141" s="5" t="n"/>
      <c r="G141">
        <f>SUM(D141:F141)</f>
        <v/>
      </c>
      <c r="H141" s="5" t="n"/>
      <c r="I141" s="5" t="inlineStr">
        <is>
          <t>2026-08-12</t>
        </is>
      </c>
      <c r="J141" s="5" t="n"/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5" t="n"/>
      <c r="E142" s="5" t="n"/>
      <c r="F142" s="5" t="n"/>
      <c r="G142">
        <f>SUM(D142:F142)</f>
        <v/>
      </c>
      <c r="H142" s="5" t="n"/>
      <c r="I142" s="5" t="inlineStr">
        <is>
          <t>2026-08-12</t>
        </is>
      </c>
      <c r="J142" s="5" t="n"/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5" t="n"/>
      <c r="E143" s="5" t="n"/>
      <c r="F143" s="5" t="n"/>
      <c r="G143">
        <f>SUM(D143:F143)</f>
        <v/>
      </c>
      <c r="H143" s="5" t="n"/>
      <c r="I143" s="5" t="inlineStr">
        <is>
          <t>2026-08-12</t>
        </is>
      </c>
      <c r="J143" s="5" t="n"/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5" t="n"/>
      <c r="E144" s="5" t="n"/>
      <c r="F144" s="5" t="n"/>
      <c r="G144">
        <f>SUM(D144:F144)</f>
        <v/>
      </c>
      <c r="H144" s="5" t="n"/>
      <c r="I144" s="5" t="inlineStr">
        <is>
          <t>2026-08-12</t>
        </is>
      </c>
      <c r="J144" s="5" t="n"/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5" t="n"/>
      <c r="E145" s="5" t="n"/>
      <c r="F145" s="5" t="n"/>
      <c r="G145">
        <f>SUM(D145:F145)</f>
        <v/>
      </c>
      <c r="H145" s="5" t="n"/>
      <c r="I145" s="5" t="inlineStr">
        <is>
          <t>2026-08-12</t>
        </is>
      </c>
      <c r="J145" s="5" t="n"/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5" t="n"/>
      <c r="E146" s="5" t="n"/>
      <c r="F146" s="5" t="n"/>
      <c r="G146">
        <f>SUM(D146:F146)</f>
        <v/>
      </c>
      <c r="H146" s="5" t="n"/>
      <c r="I146" s="5" t="inlineStr">
        <is>
          <t>2026-08-12</t>
        </is>
      </c>
      <c r="J146" s="5" t="n"/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5" t="n"/>
      <c r="E147" s="5" t="n"/>
      <c r="F147" s="5" t="n"/>
      <c r="G147">
        <f>SUM(D147:F147)</f>
        <v/>
      </c>
      <c r="H147" s="5" t="n"/>
      <c r="I147" s="5" t="inlineStr">
        <is>
          <t>2026-08-12</t>
        </is>
      </c>
      <c r="J147" s="5" t="n"/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5" t="n"/>
      <c r="E148" s="5" t="n"/>
      <c r="F148" s="5" t="n"/>
      <c r="G148">
        <f>SUM(D148:F148)</f>
        <v/>
      </c>
      <c r="H148" s="5" t="n"/>
      <c r="I148" s="5" t="inlineStr">
        <is>
          <t>2026-08-12</t>
        </is>
      </c>
      <c r="J148" s="5" t="n"/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5" t="n"/>
      <c r="E149" s="5" t="n"/>
      <c r="F149" s="5" t="n"/>
      <c r="G149">
        <f>SUM(D149:F149)</f>
        <v/>
      </c>
      <c r="H149" s="5" t="n"/>
      <c r="I149" s="5" t="inlineStr">
        <is>
          <t>2026-08-12</t>
        </is>
      </c>
      <c r="J149" s="5" t="n"/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5" t="n"/>
      <c r="E150" s="5" t="n"/>
      <c r="F150" s="5" t="n"/>
      <c r="G150">
        <f>SUM(D150:F150)</f>
        <v/>
      </c>
      <c r="H150" s="5" t="n"/>
      <c r="I150" s="5" t="inlineStr">
        <is>
          <t>2026-08-12</t>
        </is>
      </c>
      <c r="J150" s="5" t="n"/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5" t="n"/>
      <c r="E151" s="5" t="n"/>
      <c r="F151" s="5" t="n"/>
      <c r="G151">
        <f>SUM(D151:F151)</f>
        <v/>
      </c>
      <c r="H151" s="5" t="n"/>
      <c r="I151" s="5" t="inlineStr">
        <is>
          <t>2026-08-12</t>
        </is>
      </c>
      <c r="J151" s="5" t="n"/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5" t="n"/>
      <c r="E152" s="5" t="n"/>
      <c r="F152" s="5" t="n"/>
      <c r="G152">
        <f>SUM(D152:F152)</f>
        <v/>
      </c>
      <c r="H152" s="5" t="n"/>
      <c r="I152" s="5" t="inlineStr">
        <is>
          <t>2026-08-12</t>
        </is>
      </c>
      <c r="J152" s="5" t="n"/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5" t="n"/>
      <c r="E153" s="5" t="n"/>
      <c r="F153" s="5" t="n"/>
      <c r="G153">
        <f>SUM(D153:F153)</f>
        <v/>
      </c>
      <c r="H153" s="5" t="n"/>
      <c r="I153" s="5" t="inlineStr">
        <is>
          <t>2026-08-12</t>
        </is>
      </c>
      <c r="J153" s="5" t="n"/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5" t="n"/>
      <c r="E154" s="5" t="n"/>
      <c r="F154" s="5" t="n"/>
      <c r="G154">
        <f>SUM(D154:F154)</f>
        <v/>
      </c>
      <c r="H154" s="5" t="n"/>
      <c r="I154" s="5" t="inlineStr">
        <is>
          <t>2026-08-12</t>
        </is>
      </c>
      <c r="J154" s="5" t="n"/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5" t="n"/>
      <c r="E155" s="5" t="n"/>
      <c r="F155" s="5" t="n"/>
      <c r="G155">
        <f>SUM(D155:F155)</f>
        <v/>
      </c>
      <c r="H155" s="5" t="n"/>
      <c r="I155" s="5" t="inlineStr">
        <is>
          <t>2026-08-12</t>
        </is>
      </c>
      <c r="J155" s="5" t="n"/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5" t="n"/>
      <c r="E156" s="5" t="n"/>
      <c r="F156" s="5" t="n"/>
      <c r="G156">
        <f>SUM(D156:F156)</f>
        <v/>
      </c>
      <c r="H156" s="5" t="n"/>
      <c r="I156" s="5" t="inlineStr">
        <is>
          <t>2026-08-12</t>
        </is>
      </c>
      <c r="J156" s="5" t="n"/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5" t="n"/>
      <c r="E157" s="5" t="n"/>
      <c r="F157" s="5" t="n"/>
      <c r="G157">
        <f>SUM(D157:F157)</f>
        <v/>
      </c>
      <c r="H157" s="5" t="n"/>
      <c r="I157" s="5" t="inlineStr">
        <is>
          <t>2026-08-12</t>
        </is>
      </c>
      <c r="J157" s="5" t="n"/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5" t="n"/>
      <c r="E158" s="5" t="n"/>
      <c r="F158" s="5" t="n"/>
      <c r="G158">
        <f>SUM(D158:F158)</f>
        <v/>
      </c>
      <c r="H158" s="5" t="n"/>
      <c r="I158" s="5" t="inlineStr">
        <is>
          <t>2026-08-12</t>
        </is>
      </c>
      <c r="J158" s="5" t="n"/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5" t="n"/>
      <c r="E159" s="5" t="n"/>
      <c r="F159" s="5" t="n"/>
      <c r="G159">
        <f>SUM(D159:F159)</f>
        <v/>
      </c>
      <c r="H159" s="5" t="n"/>
      <c r="I159" s="5" t="inlineStr">
        <is>
          <t>2026-08-12</t>
        </is>
      </c>
      <c r="J159" s="5" t="n"/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5" t="n"/>
      <c r="E160" s="5" t="n"/>
      <c r="F160" s="5" t="n"/>
      <c r="G160">
        <f>SUM(D160:F160)</f>
        <v/>
      </c>
      <c r="H160" s="5" t="n"/>
      <c r="I160" s="5" t="inlineStr">
        <is>
          <t>2026-08-12</t>
        </is>
      </c>
      <c r="J160" s="5" t="n"/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5" t="n"/>
      <c r="E161" s="5" t="n"/>
      <c r="F161" s="5" t="n"/>
      <c r="G161">
        <f>SUM(D161:F161)</f>
        <v/>
      </c>
      <c r="H161" s="5" t="n"/>
      <c r="I161" s="5" t="inlineStr">
        <is>
          <t>2026-08-12</t>
        </is>
      </c>
      <c r="J161" s="5" t="n"/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5" t="n"/>
      <c r="E162" s="5" t="n"/>
      <c r="F162" s="5" t="n"/>
      <c r="G162">
        <f>SUM(D162:F162)</f>
        <v/>
      </c>
      <c r="H162" s="5" t="n"/>
      <c r="I162" s="5" t="inlineStr">
        <is>
          <t>2026-08-12</t>
        </is>
      </c>
      <c r="J162" s="5" t="n"/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5" t="n"/>
      <c r="E163" s="5" t="n"/>
      <c r="F163" s="5" t="n"/>
      <c r="G163">
        <f>SUM(D163:F163)</f>
        <v/>
      </c>
      <c r="H163" s="5" t="n"/>
      <c r="I163" s="5" t="inlineStr">
        <is>
          <t>2026-08-12</t>
        </is>
      </c>
      <c r="J163" s="5" t="n"/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5" t="n"/>
      <c r="E164" s="5" t="n"/>
      <c r="F164" s="5" t="n"/>
      <c r="G164">
        <f>SUM(D164:F164)</f>
        <v/>
      </c>
      <c r="H164" s="5" t="n"/>
      <c r="I164" s="5" t="inlineStr">
        <is>
          <t>2026-08-12</t>
        </is>
      </c>
      <c r="J164" s="5" t="n"/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5" t="n"/>
      <c r="E165" s="5" t="n"/>
      <c r="F165" s="5" t="n"/>
      <c r="G165">
        <f>SUM(D165:F165)</f>
        <v/>
      </c>
      <c r="H165" s="5" t="n"/>
      <c r="I165" s="5" t="inlineStr">
        <is>
          <t>2026-08-12</t>
        </is>
      </c>
      <c r="J165" s="5" t="n"/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5" t="n"/>
      <c r="E166" s="5" t="n"/>
      <c r="F166" s="5" t="n"/>
      <c r="G166">
        <f>SUM(D166:F166)</f>
        <v/>
      </c>
      <c r="H166" s="5" t="n"/>
      <c r="I166" s="5" t="inlineStr">
        <is>
          <t>2026-08-12</t>
        </is>
      </c>
      <c r="J166" s="5" t="n"/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5" t="n"/>
      <c r="E167" s="5" t="n"/>
      <c r="F167" s="5" t="n"/>
      <c r="G167">
        <f>SUM(D167:F167)</f>
        <v/>
      </c>
      <c r="H167" s="5" t="n"/>
      <c r="I167" s="5" t="inlineStr">
        <is>
          <t>2026-08-12</t>
        </is>
      </c>
      <c r="J167" s="5" t="n"/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5" t="n"/>
      <c r="E168" s="5" t="n"/>
      <c r="F168" s="5" t="n"/>
      <c r="G168">
        <f>SUM(D168:F168)</f>
        <v/>
      </c>
      <c r="H168" s="5" t="n"/>
      <c r="I168" s="5" t="inlineStr">
        <is>
          <t>2026-08-12</t>
        </is>
      </c>
      <c r="J168" s="5" t="n"/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5" t="n"/>
      <c r="E169" s="5" t="n"/>
      <c r="F169" s="5" t="n"/>
      <c r="G169">
        <f>SUM(D169:F169)</f>
        <v/>
      </c>
      <c r="H169" s="5" t="n"/>
      <c r="I169" s="5" t="inlineStr">
        <is>
          <t>2026-08-12</t>
        </is>
      </c>
      <c r="J169" s="5" t="n"/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5" t="n"/>
      <c r="E170" s="5" t="n"/>
      <c r="F170" s="5" t="n"/>
      <c r="G170">
        <f>SUM(D170:F170)</f>
        <v/>
      </c>
      <c r="H170" s="5" t="n"/>
      <c r="I170" s="5" t="inlineStr">
        <is>
          <t>2026-08-12</t>
        </is>
      </c>
      <c r="J170" s="5" t="n"/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5" t="n"/>
      <c r="E171" s="5" t="n"/>
      <c r="F171" s="5" t="n"/>
      <c r="G171">
        <f>SUM(D171:F171)</f>
        <v/>
      </c>
      <c r="H171" s="5" t="n"/>
      <c r="I171" s="5" t="inlineStr">
        <is>
          <t>2026-08-12</t>
        </is>
      </c>
      <c r="J171" s="5" t="n"/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5" t="n"/>
      <c r="E172" s="5" t="n"/>
      <c r="F172" s="5" t="n"/>
      <c r="G172">
        <f>SUM(D172:F172)</f>
        <v/>
      </c>
      <c r="H172" s="5" t="n"/>
      <c r="I172" s="5" t="inlineStr">
        <is>
          <t>2026-08-12</t>
        </is>
      </c>
      <c r="J172" s="5" t="n"/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5" t="n"/>
      <c r="E173" s="5" t="n"/>
      <c r="F173" s="5" t="n"/>
      <c r="G173">
        <f>SUM(D173:F173)</f>
        <v/>
      </c>
      <c r="H173" s="5" t="n"/>
      <c r="I173" s="5" t="inlineStr">
        <is>
          <t>2026-08-12</t>
        </is>
      </c>
      <c r="J173" s="5" t="n"/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5" t="n"/>
      <c r="E174" s="5" t="n"/>
      <c r="F174" s="5" t="n"/>
      <c r="G174">
        <f>SUM(D174:F174)</f>
        <v/>
      </c>
      <c r="H174" s="5" t="n"/>
      <c r="I174" s="5" t="inlineStr">
        <is>
          <t>2026-08-12</t>
        </is>
      </c>
      <c r="J174" s="5" t="n"/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5" t="n"/>
      <c r="E175" s="5" t="n"/>
      <c r="F175" s="5" t="n"/>
      <c r="G175">
        <f>SUM(D175:F175)</f>
        <v/>
      </c>
      <c r="H175" s="5" t="n"/>
      <c r="I175" s="5" t="inlineStr">
        <is>
          <t>2026-08-12</t>
        </is>
      </c>
      <c r="J175" s="5" t="n"/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5" t="n"/>
      <c r="E176" s="5" t="n"/>
      <c r="F176" s="5" t="n"/>
      <c r="G176">
        <f>SUM(D176:F176)</f>
        <v/>
      </c>
      <c r="H176" s="5" t="n"/>
      <c r="I176" s="5" t="inlineStr">
        <is>
          <t>2026-08-12</t>
        </is>
      </c>
      <c r="J176" s="5" t="n"/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5" t="n"/>
      <c r="E177" s="5" t="n"/>
      <c r="F177" s="5" t="n"/>
      <c r="G177">
        <f>SUM(D177:F177)</f>
        <v/>
      </c>
      <c r="H177" s="5" t="n"/>
      <c r="I177" s="5" t="inlineStr">
        <is>
          <t>2026-08-12</t>
        </is>
      </c>
      <c r="J177" s="5" t="n"/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5" t="n"/>
      <c r="E178" s="5" t="n"/>
      <c r="F178" s="5" t="n"/>
      <c r="G178">
        <f>SUM(D178:F178)</f>
        <v/>
      </c>
      <c r="H178" s="5" t="n"/>
      <c r="I178" s="5" t="inlineStr">
        <is>
          <t>2026-08-12</t>
        </is>
      </c>
      <c r="J178" s="5" t="n"/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5" t="n"/>
      <c r="E179" s="5" t="n"/>
      <c r="F179" s="5" t="n"/>
      <c r="G179">
        <f>SUM(D179:F179)</f>
        <v/>
      </c>
      <c r="H179" s="5" t="n"/>
      <c r="I179" s="5" t="inlineStr">
        <is>
          <t>2026-08-12</t>
        </is>
      </c>
      <c r="J179" s="5" t="n"/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5" t="n"/>
      <c r="E180" s="5" t="n"/>
      <c r="F180" s="5" t="n"/>
      <c r="G180">
        <f>SUM(D180:F180)</f>
        <v/>
      </c>
      <c r="H180" s="5" t="n"/>
      <c r="I180" s="5" t="inlineStr">
        <is>
          <t>2026-08-12</t>
        </is>
      </c>
      <c r="J180" s="5" t="n"/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5" t="n"/>
      <c r="E181" s="5" t="n"/>
      <c r="F181" s="5" t="n"/>
      <c r="G181">
        <f>SUM(D181:F181)</f>
        <v/>
      </c>
      <c r="H181" s="5" t="n"/>
      <c r="I181" s="5" t="inlineStr">
        <is>
          <t>2026-08-12</t>
        </is>
      </c>
      <c r="J181" s="5" t="n"/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5" t="n"/>
      <c r="E182" s="5" t="n"/>
      <c r="F182" s="5" t="n"/>
      <c r="G182">
        <f>SUM(D182:F182)</f>
        <v/>
      </c>
      <c r="H182" s="5" t="n"/>
      <c r="I182" s="5" t="inlineStr">
        <is>
          <t>2026-08-12</t>
        </is>
      </c>
      <c r="J182" s="5" t="n"/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5" t="n"/>
      <c r="E183" s="5" t="n"/>
      <c r="F183" s="5" t="n"/>
      <c r="G183">
        <f>SUM(D183:F183)</f>
        <v/>
      </c>
      <c r="H183" s="5" t="n"/>
      <c r="I183" s="5" t="inlineStr">
        <is>
          <t>2026-08-12</t>
        </is>
      </c>
      <c r="J183" s="5" t="n"/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5" t="n"/>
      <c r="E184" s="5" t="n"/>
      <c r="F184" s="5" t="n"/>
      <c r="G184">
        <f>SUM(D184:F184)</f>
        <v/>
      </c>
      <c r="H184" s="5" t="n"/>
      <c r="I184" s="5" t="inlineStr">
        <is>
          <t>2026-08-12</t>
        </is>
      </c>
      <c r="J184" s="5" t="n"/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5" t="n"/>
      <c r="E185" s="5" t="n"/>
      <c r="F185" s="5" t="n"/>
      <c r="G185">
        <f>SUM(D185:F185)</f>
        <v/>
      </c>
      <c r="H185" s="5" t="n"/>
      <c r="I185" s="5" t="inlineStr">
        <is>
          <t>2026-08-12</t>
        </is>
      </c>
      <c r="J185" s="5" t="n"/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5" t="n"/>
      <c r="E186" s="5" t="n"/>
      <c r="F186" s="5" t="n"/>
      <c r="G186">
        <f>SUM(D186:F186)</f>
        <v/>
      </c>
      <c r="H186" s="5" t="n"/>
      <c r="I186" s="5" t="inlineStr">
        <is>
          <t>2026-08-12</t>
        </is>
      </c>
      <c r="J186" s="5" t="n"/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5" t="n"/>
      <c r="E187" s="5" t="n"/>
      <c r="F187" s="5" t="n"/>
      <c r="G187">
        <f>SUM(D187:F187)</f>
        <v/>
      </c>
      <c r="H187" s="5" t="n"/>
      <c r="I187" s="5" t="inlineStr">
        <is>
          <t>2026-08-12</t>
        </is>
      </c>
      <c r="J187" s="5" t="n"/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5" t="n"/>
      <c r="E188" s="5" t="n"/>
      <c r="F188" s="5" t="n"/>
      <c r="G188">
        <f>SUM(D188:F188)</f>
        <v/>
      </c>
      <c r="H188" s="5" t="n"/>
      <c r="I188" s="5" t="inlineStr">
        <is>
          <t>2026-08-12</t>
        </is>
      </c>
      <c r="J188" s="5" t="n"/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5" t="n"/>
      <c r="E189" s="5" t="n"/>
      <c r="F189" s="5" t="n"/>
      <c r="G189">
        <f>SUM(D189:F189)</f>
        <v/>
      </c>
      <c r="H189" s="5" t="n"/>
      <c r="I189" s="5" t="inlineStr">
        <is>
          <t>2026-08-12</t>
        </is>
      </c>
      <c r="J189" s="5" t="n"/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5" t="n"/>
      <c r="E190" s="5" t="n"/>
      <c r="F190" s="5" t="n"/>
      <c r="G190">
        <f>SUM(D190:F190)</f>
        <v/>
      </c>
      <c r="H190" s="5" t="n"/>
      <c r="I190" s="5" t="inlineStr">
        <is>
          <t>2026-08-12</t>
        </is>
      </c>
      <c r="J190" s="5" t="n"/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5" t="n"/>
      <c r="E191" s="5" t="n"/>
      <c r="F191" s="5" t="n"/>
      <c r="G191">
        <f>SUM(D191:F191)</f>
        <v/>
      </c>
      <c r="H191" s="5" t="n"/>
      <c r="I191" s="5" t="inlineStr">
        <is>
          <t>2026-08-12</t>
        </is>
      </c>
      <c r="J191" s="5" t="n"/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5" t="n"/>
      <c r="E192" s="5" t="n"/>
      <c r="F192" s="5" t="n"/>
      <c r="G192">
        <f>SUM(D192:F192)</f>
        <v/>
      </c>
      <c r="H192" s="5" t="n"/>
      <c r="I192" s="5" t="inlineStr">
        <is>
          <t>2026-08-12</t>
        </is>
      </c>
      <c r="J192" s="5" t="n"/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5" t="n"/>
      <c r="E193" s="5" t="n"/>
      <c r="F193" s="5" t="n"/>
      <c r="G193">
        <f>SUM(D193:F193)</f>
        <v/>
      </c>
      <c r="H193" s="5" t="n"/>
      <c r="I193" s="5" t="inlineStr">
        <is>
          <t>2026-08-12</t>
        </is>
      </c>
      <c r="J193" s="5" t="n"/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5" t="n"/>
      <c r="E194" s="5" t="n"/>
      <c r="F194" s="5" t="n"/>
      <c r="G194">
        <f>SUM(D194:F194)</f>
        <v/>
      </c>
      <c r="H194" s="5" t="n"/>
      <c r="I194" s="5" t="inlineStr">
        <is>
          <t>2026-08-12</t>
        </is>
      </c>
      <c r="J194" s="5" t="n"/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5" t="n"/>
      <c r="E195" s="5" t="n"/>
      <c r="F195" s="5" t="n"/>
      <c r="G195">
        <f>SUM(D195:F195)</f>
        <v/>
      </c>
      <c r="H195" s="5" t="n"/>
      <c r="I195" s="5" t="inlineStr">
        <is>
          <t>2026-08-12</t>
        </is>
      </c>
      <c r="J195" s="5" t="n"/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5" t="n"/>
      <c r="E196" s="5" t="n"/>
      <c r="F196" s="5" t="n"/>
      <c r="G196">
        <f>SUM(D196:F196)</f>
        <v/>
      </c>
      <c r="H196" s="5" t="n"/>
      <c r="I196" s="5" t="inlineStr">
        <is>
          <t>2026-08-12</t>
        </is>
      </c>
      <c r="J196" s="5" t="n"/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5" t="n"/>
      <c r="E197" s="5" t="n"/>
      <c r="F197" s="5" t="n"/>
      <c r="G197">
        <f>SUM(D197:F197)</f>
        <v/>
      </c>
      <c r="H197" s="5" t="n"/>
      <c r="I197" s="5" t="inlineStr">
        <is>
          <t>2026-08-12</t>
        </is>
      </c>
      <c r="J197" s="5" t="n"/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5" t="n"/>
      <c r="E198" s="5" t="n"/>
      <c r="F198" s="5" t="n"/>
      <c r="G198">
        <f>SUM(D198:F198)</f>
        <v/>
      </c>
      <c r="H198" s="5" t="n"/>
      <c r="I198" s="5" t="inlineStr">
        <is>
          <t>2026-08-12</t>
        </is>
      </c>
      <c r="J198" s="5" t="n"/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5" t="n"/>
      <c r="E199" s="5" t="n"/>
      <c r="F199" s="5" t="n"/>
      <c r="G199">
        <f>SUM(D199:F199)</f>
        <v/>
      </c>
      <c r="H199" s="5" t="n"/>
      <c r="I199" s="5" t="inlineStr">
        <is>
          <t>2026-08-12</t>
        </is>
      </c>
      <c r="J199" s="5" t="n"/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5" t="n"/>
      <c r="E200" s="5" t="n"/>
      <c r="F200" s="5" t="n"/>
      <c r="G200">
        <f>SUM(D200:F200)</f>
        <v/>
      </c>
      <c r="H200" s="5" t="n"/>
      <c r="I200" s="5" t="inlineStr">
        <is>
          <t>2026-08-12</t>
        </is>
      </c>
      <c r="J200" s="5" t="n"/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5" t="n"/>
      <c r="E201" s="5" t="n"/>
      <c r="F201" s="5" t="n"/>
      <c r="G201">
        <f>SUM(D201:F201)</f>
        <v/>
      </c>
      <c r="H201" s="5" t="n"/>
      <c r="I201" s="5" t="inlineStr">
        <is>
          <t>2026-08-12</t>
        </is>
      </c>
      <c r="J201" s="5" t="n"/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5" t="n"/>
      <c r="E202" s="5" t="n"/>
      <c r="F202" s="5" t="n"/>
      <c r="G202">
        <f>SUM(D202:F202)</f>
        <v/>
      </c>
      <c r="H202" s="5" t="n"/>
      <c r="I202" s="5" t="inlineStr">
        <is>
          <t>2026-08-12</t>
        </is>
      </c>
      <c r="J202" s="5" t="n"/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5" t="n"/>
      <c r="E203" s="5" t="n"/>
      <c r="F203" s="5" t="n"/>
      <c r="G203">
        <f>SUM(D203:F203)</f>
        <v/>
      </c>
      <c r="H203" s="5" t="n"/>
      <c r="I203" s="5" t="inlineStr">
        <is>
          <t>2026-08-12</t>
        </is>
      </c>
      <c r="J203" s="5" t="n"/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5" t="n"/>
      <c r="E204" s="5" t="n"/>
      <c r="F204" s="5" t="n"/>
      <c r="G204">
        <f>SUM(D204:F204)</f>
        <v/>
      </c>
      <c r="H204" s="5" t="n"/>
      <c r="I204" s="5" t="inlineStr">
        <is>
          <t>2026-08-12</t>
        </is>
      </c>
      <c r="J204" s="5" t="n"/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5" t="n"/>
      <c r="E205" s="5" t="n"/>
      <c r="F205" s="5" t="n"/>
      <c r="G205">
        <f>SUM(D205:F205)</f>
        <v/>
      </c>
      <c r="H205" s="5" t="n"/>
      <c r="I205" s="5" t="inlineStr">
        <is>
          <t>2026-08-12</t>
        </is>
      </c>
      <c r="J205" s="5" t="n"/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5" t="n"/>
      <c r="E206" s="5" t="n"/>
      <c r="F206" s="5" t="n"/>
      <c r="G206">
        <f>SUM(D206:F206)</f>
        <v/>
      </c>
      <c r="H206" s="5" t="n"/>
      <c r="I206" s="5" t="inlineStr">
        <is>
          <t>2026-08-12</t>
        </is>
      </c>
      <c r="J206" s="5" t="n"/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5" t="n"/>
      <c r="E207" s="5" t="n"/>
      <c r="F207" s="5" t="n"/>
      <c r="G207">
        <f>SUM(D207:F207)</f>
        <v/>
      </c>
      <c r="H207" s="5" t="n"/>
      <c r="I207" s="5" t="inlineStr">
        <is>
          <t>2026-08-12</t>
        </is>
      </c>
      <c r="J207" s="5" t="n"/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5" t="n"/>
      <c r="E208" s="5" t="n"/>
      <c r="F208" s="5" t="n"/>
      <c r="G208">
        <f>SUM(D208:F208)</f>
        <v/>
      </c>
      <c r="H208" s="5" t="n"/>
      <c r="I208" s="5" t="inlineStr">
        <is>
          <t>2026-08-12</t>
        </is>
      </c>
      <c r="J208" s="5" t="n"/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5" t="n"/>
      <c r="E209" s="5" t="n"/>
      <c r="F209" s="5" t="n"/>
      <c r="G209">
        <f>SUM(D209:F209)</f>
        <v/>
      </c>
      <c r="H209" s="5" t="n"/>
      <c r="I209" s="5" t="inlineStr">
        <is>
          <t>2026-08-12</t>
        </is>
      </c>
      <c r="J209" s="5" t="n"/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5" t="n"/>
      <c r="E210" s="5" t="n"/>
      <c r="F210" s="5" t="n"/>
      <c r="G210">
        <f>SUM(D210:F210)</f>
        <v/>
      </c>
      <c r="H210" s="5" t="n"/>
      <c r="I210" s="5" t="inlineStr">
        <is>
          <t>2026-08-12</t>
        </is>
      </c>
      <c r="J210" s="5" t="n"/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5" t="n"/>
      <c r="E211" s="5" t="n"/>
      <c r="F211" s="5" t="n"/>
      <c r="G211">
        <f>SUM(D211:F211)</f>
        <v/>
      </c>
      <c r="H211" s="5" t="n"/>
      <c r="I211" s="5" t="inlineStr">
        <is>
          <t>2026-08-12</t>
        </is>
      </c>
      <c r="J211" s="5" t="n"/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5" t="n"/>
      <c r="E212" s="5" t="n"/>
      <c r="F212" s="5" t="n"/>
      <c r="G212">
        <f>SUM(D212:F212)</f>
        <v/>
      </c>
      <c r="H212" s="5" t="n"/>
      <c r="I212" s="5" t="inlineStr">
        <is>
          <t>2026-08-12</t>
        </is>
      </c>
      <c r="J212" s="5" t="n"/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5" t="n"/>
      <c r="E213" s="5" t="n"/>
      <c r="F213" s="5" t="n"/>
      <c r="G213">
        <f>SUM(D213:F213)</f>
        <v/>
      </c>
      <c r="H213" s="5" t="n"/>
      <c r="I213" s="5" t="inlineStr">
        <is>
          <t>2026-08-12</t>
        </is>
      </c>
      <c r="J213" s="5" t="n"/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5" t="n"/>
      <c r="E214" s="5" t="n"/>
      <c r="F214" s="5" t="n"/>
      <c r="G214">
        <f>SUM(D214:F214)</f>
        <v/>
      </c>
      <c r="H214" s="5" t="n"/>
      <c r="I214" s="5" t="inlineStr">
        <is>
          <t>2026-08-12</t>
        </is>
      </c>
      <c r="J214" s="5" t="n"/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5" t="n"/>
      <c r="E215" s="5" t="n"/>
      <c r="F215" s="5" t="n"/>
      <c r="G215">
        <f>SUM(D215:F215)</f>
        <v/>
      </c>
      <c r="H215" s="5" t="n"/>
      <c r="I215" s="5" t="inlineStr">
        <is>
          <t>2026-08-12</t>
        </is>
      </c>
      <c r="J215" s="5" t="n"/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5" t="n"/>
      <c r="E216" s="5" t="n"/>
      <c r="F216" s="5" t="n"/>
      <c r="G216">
        <f>SUM(D216:F216)</f>
        <v/>
      </c>
      <c r="H216" s="5" t="n"/>
      <c r="I216" s="5" t="inlineStr">
        <is>
          <t>2026-08-12</t>
        </is>
      </c>
      <c r="J216" s="5" t="n"/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5" t="n"/>
      <c r="E217" s="5" t="n"/>
      <c r="F217" s="5" t="n"/>
      <c r="G217">
        <f>SUM(D217:F217)</f>
        <v/>
      </c>
      <c r="H217" s="5" t="n"/>
      <c r="I217" s="5" t="inlineStr">
        <is>
          <t>2026-08-12</t>
        </is>
      </c>
      <c r="J217" s="5" t="n"/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5" t="n"/>
      <c r="E218" s="5" t="n"/>
      <c r="F218" s="5" t="n"/>
      <c r="G218">
        <f>SUM(D218:F218)</f>
        <v/>
      </c>
      <c r="H218" s="5" t="n"/>
      <c r="I218" s="5" t="inlineStr">
        <is>
          <t>2026-08-12</t>
        </is>
      </c>
      <c r="J218" s="5" t="n"/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5" t="n"/>
      <c r="E219" s="5" t="n"/>
      <c r="F219" s="5" t="n"/>
      <c r="G219">
        <f>SUM(D219:F219)</f>
        <v/>
      </c>
      <c r="H219" s="5" t="n"/>
      <c r="I219" s="5" t="inlineStr">
        <is>
          <t>2026-08-12</t>
        </is>
      </c>
      <c r="J219" s="5" t="n"/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5" t="n"/>
      <c r="E220" s="5" t="n"/>
      <c r="F220" s="5" t="n"/>
      <c r="G220">
        <f>SUM(D220:F220)</f>
        <v/>
      </c>
      <c r="H220" s="5" t="n"/>
      <c r="I220" s="5" t="inlineStr">
        <is>
          <t>2026-08-12</t>
        </is>
      </c>
      <c r="J220" s="5" t="n"/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5" t="n"/>
      <c r="E221" s="5" t="n"/>
      <c r="F221" s="5" t="n"/>
      <c r="G221">
        <f>SUM(D221:F221)</f>
        <v/>
      </c>
      <c r="H221" s="5" t="n"/>
      <c r="I221" s="5" t="inlineStr">
        <is>
          <t>2026-08-12</t>
        </is>
      </c>
      <c r="J221" s="5" t="n"/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5" t="n"/>
      <c r="E222" s="5" t="n"/>
      <c r="F222" s="5" t="n"/>
      <c r="G222">
        <f>SUM(D222:F222)</f>
        <v/>
      </c>
      <c r="H222" s="5" t="n"/>
      <c r="I222" s="5" t="inlineStr">
        <is>
          <t>2026-08-12</t>
        </is>
      </c>
      <c r="J222" s="5" t="n"/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5" t="n"/>
      <c r="E223" s="5" t="n"/>
      <c r="F223" s="5" t="n"/>
      <c r="G223">
        <f>SUM(D223:F223)</f>
        <v/>
      </c>
      <c r="H223" s="5" t="n"/>
      <c r="I223" s="5" t="inlineStr">
        <is>
          <t>2026-08-12</t>
        </is>
      </c>
      <c r="J223" s="5" t="n"/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5" t="n"/>
      <c r="E224" s="5" t="n"/>
      <c r="F224" s="5" t="n"/>
      <c r="G224">
        <f>SUM(D224:F224)</f>
        <v/>
      </c>
      <c r="H224" s="5" t="n"/>
      <c r="I224" s="5" t="inlineStr">
        <is>
          <t>2026-08-12</t>
        </is>
      </c>
      <c r="J224" s="5" t="n"/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5" t="n"/>
      <c r="E225" s="5" t="n"/>
      <c r="F225" s="5" t="n"/>
      <c r="G225">
        <f>SUM(D225:F225)</f>
        <v/>
      </c>
      <c r="H225" s="5" t="n"/>
      <c r="I225" s="5" t="inlineStr">
        <is>
          <t>2026-08-12</t>
        </is>
      </c>
      <c r="J225" s="5" t="n"/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5" t="n"/>
      <c r="E226" s="5" t="n"/>
      <c r="F226" s="5" t="n"/>
      <c r="G226">
        <f>SUM(D226:F226)</f>
        <v/>
      </c>
      <c r="H226" s="5" t="n"/>
      <c r="I226" s="5" t="inlineStr">
        <is>
          <t>2026-08-12</t>
        </is>
      </c>
      <c r="J226" s="5" t="n"/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5" t="n"/>
      <c r="E227" s="5" t="n"/>
      <c r="F227" s="5" t="n"/>
      <c r="G227">
        <f>SUM(D227:F227)</f>
        <v/>
      </c>
      <c r="H227" s="5" t="n"/>
      <c r="I227" s="5" t="inlineStr">
        <is>
          <t>2026-08-12</t>
        </is>
      </c>
      <c r="J227" s="5" t="n"/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5" t="n"/>
      <c r="E228" s="5" t="n"/>
      <c r="F228" s="5" t="n"/>
      <c r="G228">
        <f>SUM(D228:F228)</f>
        <v/>
      </c>
      <c r="H228" s="5" t="n"/>
      <c r="I228" s="5" t="inlineStr">
        <is>
          <t>2026-08-12</t>
        </is>
      </c>
      <c r="J228" s="5" t="n"/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5" t="n"/>
      <c r="E229" s="5" t="n"/>
      <c r="F229" s="5" t="n"/>
      <c r="G229">
        <f>SUM(D229:F229)</f>
        <v/>
      </c>
      <c r="H229" s="5" t="n"/>
      <c r="I229" s="5" t="inlineStr">
        <is>
          <t>2026-08-12</t>
        </is>
      </c>
      <c r="J229" s="5" t="n"/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5" t="n"/>
      <c r="E230" s="5" t="n"/>
      <c r="F230" s="5" t="n"/>
      <c r="G230">
        <f>SUM(D230:F230)</f>
        <v/>
      </c>
      <c r="H230" s="5" t="n"/>
      <c r="I230" s="5" t="inlineStr">
        <is>
          <t>2026-08-12</t>
        </is>
      </c>
      <c r="J230" s="5" t="n"/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5" t="n"/>
      <c r="E231" s="5" t="n"/>
      <c r="F231" s="5" t="n"/>
      <c r="G231">
        <f>SUM(D231:F231)</f>
        <v/>
      </c>
      <c r="H231" s="5" t="n"/>
      <c r="I231" s="5" t="inlineStr">
        <is>
          <t>2026-08-12</t>
        </is>
      </c>
      <c r="J231" s="5" t="n"/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5" t="n"/>
      <c r="E232" s="5" t="n"/>
      <c r="F232" s="5" t="n"/>
      <c r="G232">
        <f>SUM(D232:F232)</f>
        <v/>
      </c>
      <c r="H232" s="5" t="n"/>
      <c r="I232" s="5" t="inlineStr">
        <is>
          <t>2026-08-12</t>
        </is>
      </c>
      <c r="J232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L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11" customWidth="1" min="4" max="4"/>
    <col width="10" customWidth="1" min="5" max="5"/>
    <col width="10" customWidth="1" min="6" max="6"/>
    <col width="22" customWidth="1" min="7" max="7"/>
    <col width="50" customWidth="1" min="8" max="8"/>
    <col width="60" customWidth="1" min="9" max="9"/>
    <col width="50" customWidth="1" min="10" max="10"/>
    <col width="40" customWidth="1" min="11" max="11"/>
    <col width="6" customWidth="1" min="12" max="12"/>
  </cols>
  <sheetData>
    <row r="1">
      <c r="A1" s="1" t="inlineStr">
        <is>
          <t>LIVE SOURCE: the one canonical table. Every other tab reads from here.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Base Rating</t>
        </is>
      </c>
      <c r="E2" s="3" t="inlineStr">
        <is>
          <t>Market ADP</t>
        </is>
      </c>
      <c r="F2" s="3" t="inlineStr">
        <is>
          <t>Confidence</t>
        </is>
      </c>
      <c r="G2" s="3" t="inlineStr">
        <is>
          <t>Model Path</t>
        </is>
      </c>
      <c r="H2" s="3" t="inlineStr">
        <is>
          <t>2026 Expectation</t>
        </is>
      </c>
      <c r="I2" s="3" t="inlineStr">
        <is>
          <t>Why</t>
        </is>
      </c>
      <c r="J2" s="3" t="inlineStr">
        <is>
          <t>Main Risk</t>
        </is>
      </c>
      <c r="K2" s="3" t="inlineStr">
        <is>
          <t>Source</t>
        </is>
      </c>
      <c r="L2" s="3" t="inlineStr">
        <is>
          <t>Bye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s="8" t="n">
        <v>97.3099</v>
      </c>
      <c r="E3" s="8" t="n">
        <v>26.6</v>
      </c>
      <c r="F3" s="5" t="inlineStr">
        <is>
          <t>A</t>
        </is>
      </c>
      <c r="G3" t="inlineStr">
        <is>
          <t>RATE-ADJUSTED VETERAN</t>
        </is>
      </c>
      <c r="H3" t="inlineStr">
        <is>
          <t>Elite QB1; weekly top-5 expectation with overall QB1 upside.</t>
        </is>
      </c>
      <c r="I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J3" t="inlineStr">
        <is>
          <t>Passing-TD efficiency, rushing volume and supporting-cast health are the main swing factors.</t>
        </is>
      </c>
      <c r="K3" t="inlineStr">
        <is>
          <t>https://www.fantasypros.com/nfl/adp/ppr-overall.php</t>
        </is>
      </c>
      <c r="L3" t="n">
        <v>7</v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s="8" t="n">
        <v>92.1927</v>
      </c>
      <c r="E4" s="8" t="n">
        <v>107.5</v>
      </c>
      <c r="F4" s="5" t="inlineStr">
        <is>
          <t>A</t>
        </is>
      </c>
      <c r="G4" t="inlineStr">
        <is>
          <t>RATE-ADJUSTED VETERAN</t>
        </is>
      </c>
      <c r="H4" t="inlineStr">
        <is>
          <t>Elite QB1; weekly top-5 expectation with overall QB1 upside.</t>
        </is>
      </c>
      <c r="I4" t="inlineStr">
        <is>
          <t>He produced 19.0 PPR/FP points per game across 17 games. The workload/efficiency profile gives the model a rate-based reason to keep him here.</t>
        </is>
      </c>
      <c r="J4" t="inlineStr">
        <is>
          <t>Passing-TD efficiency, rushing volume and supporting-cast health are the main swing factors.</t>
        </is>
      </c>
      <c r="K4" t="inlineStr">
        <is>
          <t>ADP proxy — editable; based on positional draft cost</t>
        </is>
      </c>
      <c r="L4" t="n">
        <v>10</v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s="8" t="n">
        <v>91.04300000000001</v>
      </c>
      <c r="E5" s="8" t="n">
        <v>49.8</v>
      </c>
      <c r="F5" s="5" t="inlineStr">
        <is>
          <t>A</t>
        </is>
      </c>
      <c r="G5" t="inlineStr">
        <is>
          <t>RATE-ADJUSTED VETERAN</t>
        </is>
      </c>
      <c r="H5" t="inlineStr">
        <is>
          <t>Elite QB1; weekly top-5 expectation with overall QB1 upside.</t>
        </is>
      </c>
      <c r="I5" t="inlineStr">
        <is>
          <t>He produced 21.1 PPR/FP points per game across 17 games. The workload/efficiency profile gives the model a rate-based reason to keep him here.</t>
        </is>
      </c>
      <c r="J5" t="inlineStr">
        <is>
          <t>Passing-TD efficiency, rushing volume and supporting-cast health are the main swing factors.</t>
        </is>
      </c>
      <c r="K5" t="inlineStr">
        <is>
          <t>ADP proxy — editable; based on positional draft cost</t>
        </is>
      </c>
      <c r="L5" t="n">
        <v>11</v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s="8" t="n">
        <v>90.1169</v>
      </c>
      <c r="E6" s="8" t="n">
        <v>104.2</v>
      </c>
      <c r="F6" s="5" t="inlineStr">
        <is>
          <t>A</t>
        </is>
      </c>
      <c r="G6" t="inlineStr">
        <is>
          <t>RATE-ADJUSTED VETERAN</t>
        </is>
      </c>
      <c r="H6" t="inlineStr">
        <is>
          <t>Strong every-week QB1; frequent top-8 finishes expected.</t>
        </is>
      </c>
      <c r="I6" t="inlineStr">
        <is>
          <t>He produced 18.7 PPR/FP points per game across 16 games. The workload/efficiency profile gives the model a rate-based reason to keep him here.</t>
        </is>
      </c>
      <c r="J6" t="inlineStr">
        <is>
          <t>Passing-TD efficiency, rushing volume and supporting-cast health are the main swing factors.</t>
        </is>
      </c>
      <c r="K6" t="inlineStr">
        <is>
          <t>ADP proxy — editable; based on positional draft cost</t>
        </is>
      </c>
      <c r="L6" t="n">
        <v>7</v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s="8" t="n">
        <v>88.71120000000001</v>
      </c>
      <c r="E7" s="8" t="n">
        <v>52.6</v>
      </c>
      <c r="F7" s="5" t="inlineStr">
        <is>
          <t>A</t>
        </is>
      </c>
      <c r="G7" t="inlineStr">
        <is>
          <t>RATE-ADJUSTED VETERAN</t>
        </is>
      </c>
      <c r="H7" t="inlineStr">
        <is>
          <t>Strong every-week QB1; frequent top-8 finishes expected.</t>
        </is>
      </c>
      <c r="I7" t="inlineStr">
        <is>
          <t>He produced 17.1 PPR/FP points per game across 13 games. The workload/efficiency profile gives the model a rate-based reason to keep him here.</t>
        </is>
      </c>
      <c r="J7" t="inlineStr">
        <is>
          <t>Passing-TD efficiency, rushing volume and supporting-cast health are the main swing factors.</t>
        </is>
      </c>
      <c r="K7" t="inlineStr">
        <is>
          <t>ADP proxy — editable; based on positional draft cost</t>
        </is>
      </c>
      <c r="L7" t="n">
        <v>13</v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s="8" t="n">
        <v>88.4499</v>
      </c>
      <c r="E8" s="8" t="n">
        <v>73.7</v>
      </c>
      <c r="F8" s="5" t="inlineStr">
        <is>
          <t>A</t>
        </is>
      </c>
      <c r="G8" t="inlineStr">
        <is>
          <t>RATE-ADJUSTED VETERAN</t>
        </is>
      </c>
      <c r="H8" t="inlineStr">
        <is>
          <t>Strong every-week QB1; frequent top-8 finishes expected.</t>
        </is>
      </c>
      <c r="I8" t="inlineStr">
        <is>
          <t>He produced 19.1 PPR/FP points per game across 16 games. The workload/efficiency profile gives the model a rate-based reason to keep him here.</t>
        </is>
      </c>
      <c r="J8" t="inlineStr">
        <is>
          <t>Passing-TD efficiency, rushing volume and supporting-cast health are the main swing factors.</t>
        </is>
      </c>
      <c r="K8" t="inlineStr">
        <is>
          <t>ADP proxy — editable; based on positional draft cost</t>
        </is>
      </c>
      <c r="L8" t="n">
        <v>10</v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s="8" t="n">
        <v>87.0063</v>
      </c>
      <c r="E9" s="8" t="n">
        <v>97.40000000000001</v>
      </c>
      <c r="F9" s="5" t="inlineStr">
        <is>
          <t>A</t>
        </is>
      </c>
      <c r="G9" t="inlineStr">
        <is>
          <t>RATE-ADJUSTED VETERAN</t>
        </is>
      </c>
      <c r="H9" t="inlineStr">
        <is>
          <t>Strong every-week QB1; frequent top-8 finishes expected.</t>
        </is>
      </c>
      <c r="I9" t="inlineStr">
        <is>
          <t>He produced 21.1 PPR/FP points per game across 14 games. The workload/efficiency profile gives the model a rate-based reason to keep him here.</t>
        </is>
      </c>
      <c r="J9" t="inlineStr">
        <is>
          <t>Passing-TD efficiency, rushing volume and supporting-cast health are the main swing factors.</t>
        </is>
      </c>
      <c r="K9" t="inlineStr">
        <is>
          <t>ADP proxy — editable; based on positional draft cost</t>
        </is>
      </c>
      <c r="L9" t="n">
        <v>5</v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s="8" t="n">
        <v>86.7003</v>
      </c>
      <c r="E10" s="8" t="n">
        <v>67</v>
      </c>
      <c r="F10" s="5" t="inlineStr">
        <is>
          <t>B</t>
        </is>
      </c>
      <c r="G10" t="inlineStr">
        <is>
          <t>RATE-ADJUSTED VETERAN</t>
        </is>
      </c>
      <c r="H10" t="inlineStr">
        <is>
          <t>Strong every-week QB1; frequent top-8 finishes expected.</t>
        </is>
      </c>
      <c r="I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J10" t="inlineStr">
        <is>
          <t>Availability/sample risk is elevated after only 7 games; talent is not being punished as heavily as durability.</t>
        </is>
      </c>
      <c r="K10" t="inlineStr">
        <is>
          <t>ADP proxy — editable; based on positional draft cost</t>
        </is>
      </c>
      <c r="L10" t="n">
        <v>7</v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s="8" t="n">
        <v>85.5913</v>
      </c>
      <c r="E11" s="8" t="n">
        <v>57.3</v>
      </c>
      <c r="F11" s="5" t="inlineStr">
        <is>
          <t>B</t>
        </is>
      </c>
      <c r="G11" t="inlineStr">
        <is>
          <t>RATE-ADJUSTED VETERAN</t>
        </is>
      </c>
      <c r="H11" t="inlineStr">
        <is>
          <t>Low-end QB1/high-end QB2 in a 10-team league; startable most weeks.</t>
        </is>
      </c>
      <c r="I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J11" t="inlineStr">
        <is>
          <t>Availability/sample risk is elevated after only 8 games; talent is not being punished as heavily as durability.</t>
        </is>
      </c>
      <c r="K11" t="inlineStr">
        <is>
          <t>ADP proxy — editable; based on positional draft cost</t>
        </is>
      </c>
      <c r="L11" t="n">
        <v>6</v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s="8" t="n">
        <v>85.41970000000001</v>
      </c>
      <c r="E12" s="8" t="n">
        <v>83.7</v>
      </c>
      <c r="F12" s="5" t="inlineStr">
        <is>
          <t>A</t>
        </is>
      </c>
      <c r="G12" t="inlineStr">
        <is>
          <t>RATE-ADJUSTED VETERAN</t>
        </is>
      </c>
      <c r="H12" t="inlineStr">
        <is>
          <t>Low-end QB1/high-end QB2 in a 10-team league; startable most weeks.</t>
        </is>
      </c>
      <c r="I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J12" t="inlineStr">
        <is>
          <t>Passing-TD efficiency, rushing volume and supporting-cast health are the main swing factors.</t>
        </is>
      </c>
      <c r="K12" t="inlineStr">
        <is>
          <t>ADP proxy — editable; based on positional draft cost</t>
        </is>
      </c>
      <c r="L12" t="n">
        <v>11</v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s="8" t="n">
        <v>85.24850000000001</v>
      </c>
      <c r="E13" s="8" t="n">
        <v>121.5</v>
      </c>
      <c r="F13" s="5" t="inlineStr">
        <is>
          <t>A</t>
        </is>
      </c>
      <c r="G13" t="inlineStr">
        <is>
          <t>RATE-ADJUSTED VETERAN</t>
        </is>
      </c>
      <c r="H13" t="inlineStr">
        <is>
          <t>Low-end QB1/high-end QB2 in a 10-team league; startable most weeks.</t>
        </is>
      </c>
      <c r="I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J13" t="inlineStr">
        <is>
          <t>Passing-TD efficiency, rushing volume and supporting-cast health are the main swing factors.</t>
        </is>
      </c>
      <c r="K13" t="inlineStr">
        <is>
          <t>ADP proxy — editable; based on positional draft cost</t>
        </is>
      </c>
      <c r="L13" t="n">
        <v>10</v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s="8" t="n">
        <v>85.1156</v>
      </c>
      <c r="E14" s="8" t="n">
        <v>65.40000000000001</v>
      </c>
      <c r="F14" s="5" t="inlineStr">
        <is>
          <t>A</t>
        </is>
      </c>
      <c r="G14" t="inlineStr">
        <is>
          <t>RATE-ADJUSTED VETERAN</t>
        </is>
      </c>
      <c r="H14" t="inlineStr">
        <is>
          <t>Low-end QB1/high-end QB2 in a 10-team league; startable most weeks.</t>
        </is>
      </c>
      <c r="I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J14" t="inlineStr">
        <is>
          <t>Passing-TD efficiency, rushing volume and supporting-cast health are the main swing factors.</t>
        </is>
      </c>
      <c r="K14" t="inlineStr">
        <is>
          <t>ADP proxy — editable; based on positional draft cost</t>
        </is>
      </c>
      <c r="L14" t="n">
        <v>14</v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s="8" t="n">
        <v>84.6921</v>
      </c>
      <c r="E15" s="8" t="n">
        <v>89.59999999999999</v>
      </c>
      <c r="F15" s="5" t="inlineStr">
        <is>
          <t>A</t>
        </is>
      </c>
      <c r="G15" t="inlineStr">
        <is>
          <t>RATE-ADJUSTED VETERAN</t>
        </is>
      </c>
      <c r="H15" t="inlineStr">
        <is>
          <t>QB2/streaming tier; useful when matchup and supporting cast line up.</t>
        </is>
      </c>
      <c r="I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J15" t="inlineStr">
        <is>
          <t>Passing-TD efficiency, rushing volume and supporting-cast health are the main swing factors.</t>
        </is>
      </c>
      <c r="K15" t="inlineStr">
        <is>
          <t>ADP proxy — editable; based on positional draft cost</t>
        </is>
      </c>
      <c r="L15" t="n">
        <v>7</v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s="8" t="n">
        <v>83.8386</v>
      </c>
      <c r="E16" s="8" t="n">
        <v>75.7</v>
      </c>
      <c r="F16" s="5" t="inlineStr">
        <is>
          <t>B</t>
        </is>
      </c>
      <c r="G16" t="inlineStr">
        <is>
          <t>RATE-ADJUSTED VETERAN</t>
        </is>
      </c>
      <c r="H16" t="inlineStr">
        <is>
          <t>QB2/streaming tier; useful when matchup and supporting cast line up.</t>
        </is>
      </c>
      <c r="I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J16" t="inlineStr">
        <is>
          <t>Availability/sample risk is elevated after only 9 games; talent is not being punished as heavily as durability.</t>
        </is>
      </c>
      <c r="K16" t="inlineStr">
        <is>
          <t>ADP proxy — editable; based on positional draft cost</t>
        </is>
      </c>
      <c r="L16" t="n">
        <v>8</v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s="8" t="n">
        <v>83.0607</v>
      </c>
      <c r="E17" s="8" t="n">
        <v>100.4</v>
      </c>
      <c r="F17" s="5" t="inlineStr">
        <is>
          <t>A</t>
        </is>
      </c>
      <c r="G17" t="inlineStr">
        <is>
          <t>RATE-ADJUSTED VETERAN</t>
        </is>
      </c>
      <c r="H17" t="inlineStr">
        <is>
          <t>QB2/streaming tier; useful when matchup and supporting cast line up.</t>
        </is>
      </c>
      <c r="I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J17" t="inlineStr">
        <is>
          <t>Passing-TD efficiency, rushing volume and supporting-cast health are the main swing factors.</t>
        </is>
      </c>
      <c r="K17" t="inlineStr">
        <is>
          <t>ADP proxy — editable; based on positional draft cost</t>
        </is>
      </c>
      <c r="L17" t="n">
        <v>8</v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s="8" t="n">
        <v>82.6425</v>
      </c>
      <c r="E18" s="8" t="n">
        <v>107.9</v>
      </c>
      <c r="F18" s="5" t="inlineStr">
        <is>
          <t>A</t>
        </is>
      </c>
      <c r="G18" t="inlineStr">
        <is>
          <t>RATE-ADJUSTED VETERAN</t>
        </is>
      </c>
      <c r="H18" t="inlineStr">
        <is>
          <t>QB2/streaming tier; useful when matchup and supporting cast line up.</t>
        </is>
      </c>
      <c r="I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J18" t="inlineStr">
        <is>
          <t>Passing-TD efficiency, rushing volume and supporting-cast health are the main swing factors.</t>
        </is>
      </c>
      <c r="K18" t="inlineStr">
        <is>
          <t>ADP proxy — editable; based on positional draft cost</t>
        </is>
      </c>
      <c r="L18" t="n">
        <v>6</v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s="8" t="n">
        <v>80.7101</v>
      </c>
      <c r="E19" s="8" t="n">
        <v>146.6</v>
      </c>
      <c r="F19" s="5" t="inlineStr">
        <is>
          <t>B</t>
        </is>
      </c>
      <c r="G19" t="inlineStr">
        <is>
          <t>RATE-ADJUSTED VETERAN</t>
        </is>
      </c>
      <c r="H19" t="inlineStr">
        <is>
          <t>QB2/streaming tier; useful when matchup and supporting cast line up.</t>
        </is>
      </c>
      <c r="I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J19" t="inlineStr">
        <is>
          <t>Availability/sample risk is elevated after only 5 games; talent is not being punished as heavily as durability.</t>
        </is>
      </c>
      <c r="K19" t="inlineStr">
        <is>
          <t>ADP proxy — editable; based on positional draft cost</t>
        </is>
      </c>
      <c r="L19" t="n">
        <v>6</v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s="8" t="n">
        <v>80.0408</v>
      </c>
      <c r="E20" s="8" t="n">
        <v>150.5</v>
      </c>
      <c r="F20" s="5" t="inlineStr">
        <is>
          <t>A</t>
        </is>
      </c>
      <c r="G20" t="inlineStr">
        <is>
          <t>RATE-ADJUSTED VETERAN</t>
        </is>
      </c>
      <c r="H20" t="inlineStr">
        <is>
          <t>QB2/streaming tier; useful when matchup and supporting cast line up.</t>
        </is>
      </c>
      <c r="I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J20" t="inlineStr">
        <is>
          <t>Passing-TD efficiency, rushing volume and supporting-cast health are the main swing factors.</t>
        </is>
      </c>
      <c r="K20" t="inlineStr">
        <is>
          <t>ADP proxy — editable; based on positional draft cost</t>
        </is>
      </c>
      <c r="L20" t="n">
        <v>11</v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s="8" t="n">
        <v>79.82599999999999</v>
      </c>
      <c r="E21" s="8" t="n">
        <v>128.6</v>
      </c>
      <c r="F21" s="5" t="inlineStr">
        <is>
          <t>A</t>
        </is>
      </c>
      <c r="G21" t="inlineStr">
        <is>
          <t>RATE-ADJUSTED VETERAN</t>
        </is>
      </c>
      <c r="H21" t="inlineStr">
        <is>
          <t>Bench/streaming option; needs matchup, rushing or TD spike weeks.</t>
        </is>
      </c>
      <c r="I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J21" t="inlineStr">
        <is>
          <t>Passing-TD efficiency, rushing volume and supporting-cast health are the main swing factors.</t>
        </is>
      </c>
      <c r="K21" t="inlineStr">
        <is>
          <t>ADP proxy — editable; based on positional draft cost</t>
        </is>
      </c>
      <c r="L21" t="n">
        <v>10</v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s="8" t="n">
        <v>77.3656</v>
      </c>
      <c r="E22" s="8" t="n">
        <v>137.7</v>
      </c>
      <c r="F22" s="5" t="inlineStr">
        <is>
          <t>B</t>
        </is>
      </c>
      <c r="G22" t="inlineStr">
        <is>
          <t>RATE-ADJUSTED VETERAN</t>
        </is>
      </c>
      <c r="H22" t="inlineStr">
        <is>
          <t>Bench/streaming option; needs matchup, rushing or TD spike weeks.</t>
        </is>
      </c>
      <c r="I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J22" t="inlineStr">
        <is>
          <t>Passing-TD efficiency, rushing volume and supporting-cast health are the main swing factors.</t>
        </is>
      </c>
      <c r="K22" t="inlineStr">
        <is>
          <t>ADP proxy — editable; based on positional draft cost</t>
        </is>
      </c>
      <c r="L22" t="n">
        <v>8</v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s="8" t="n">
        <v>75.7621</v>
      </c>
      <c r="E23" s="8" t="n">
        <v>162.5</v>
      </c>
      <c r="F23" s="5" t="inlineStr">
        <is>
          <t>A</t>
        </is>
      </c>
      <c r="G23" t="inlineStr">
        <is>
          <t>RATE-ADJUSTED VETERAN</t>
        </is>
      </c>
      <c r="H23" t="inlineStr">
        <is>
          <t>Bench/streaming option; needs matchup, rushing or TD spike weeks.</t>
        </is>
      </c>
      <c r="I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J23" t="inlineStr">
        <is>
          <t>Passing-TD efficiency, rushing volume and supporting-cast health are the main swing factors.</t>
        </is>
      </c>
      <c r="K23" t="inlineStr">
        <is>
          <t>ADP proxy — editable; based on positional draft cost</t>
        </is>
      </c>
      <c r="L23" t="n">
        <v>8</v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s="8" t="n">
        <v>75.55419999999999</v>
      </c>
      <c r="E24" s="8" t="n">
        <v>142.4</v>
      </c>
      <c r="F24" s="5" t="inlineStr">
        <is>
          <t>A</t>
        </is>
      </c>
      <c r="G24" t="inlineStr">
        <is>
          <t>RATE-ADJUSTED VETERAN</t>
        </is>
      </c>
      <c r="H24" t="inlineStr">
        <is>
          <t>Bench/streaming option; needs matchup, rushing or TD spike weeks.</t>
        </is>
      </c>
      <c r="I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J24" t="inlineStr">
        <is>
          <t>Passing-TD efficiency, rushing volume and supporting-cast health are the main swing factors.</t>
        </is>
      </c>
      <c r="K24" t="inlineStr">
        <is>
          <t>ADP proxy — editable; based on positional draft cost</t>
        </is>
      </c>
      <c r="L24" t="n">
        <v>11</v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s="8" t="n">
        <v>74.79040000000001</v>
      </c>
      <c r="E25" s="8" t="n">
        <v>143.9</v>
      </c>
      <c r="F25" s="5" t="inlineStr">
        <is>
          <t>A</t>
        </is>
      </c>
      <c r="G25" t="inlineStr">
        <is>
          <t>RATE-ADJUSTED VETERAN</t>
        </is>
      </c>
      <c r="H25" t="inlineStr">
        <is>
          <t>Bench/streaming option; needs matchup, rushing or TD spike weeks.</t>
        </is>
      </c>
      <c r="I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J25" t="inlineStr">
        <is>
          <t>Passing-TD efficiency, rushing volume and supporting-cast health are the main swing factors.</t>
        </is>
      </c>
      <c r="K25" t="inlineStr">
        <is>
          <t>ADP proxy — editable; based on positional draft cost</t>
        </is>
      </c>
      <c r="L25" t="n">
        <v>13</v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s="8" t="n">
        <v>74.2403</v>
      </c>
      <c r="E26" s="8" t="n">
        <v>160.4</v>
      </c>
      <c r="F26" s="5" t="inlineStr">
        <is>
          <t>B</t>
        </is>
      </c>
      <c r="G26" t="inlineStr">
        <is>
          <t>RATE-ADJUSTED VETERAN</t>
        </is>
      </c>
      <c r="H26" t="inlineStr">
        <is>
          <t>Bench/streaming option; needs matchup, rushing or TD spike weeks.</t>
        </is>
      </c>
      <c r="I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J26" t="inlineStr">
        <is>
          <t>Availability/sample risk is elevated after only 4 games; talent is not being punished as heavily as durability.</t>
        </is>
      </c>
      <c r="K26" t="inlineStr">
        <is>
          <t>ADP proxy — editable; based on positional draft cost</t>
        </is>
      </c>
      <c r="L26" t="n">
        <v>6</v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s="8" t="n">
        <v>72.7976</v>
      </c>
      <c r="E27" s="8" t="n">
        <v>174.2</v>
      </c>
      <c r="F27" s="5" t="inlineStr">
        <is>
          <t>A</t>
        </is>
      </c>
      <c r="G27" t="inlineStr">
        <is>
          <t>RATE-ADJUSTED VETERAN</t>
        </is>
      </c>
      <c r="H27" t="inlineStr">
        <is>
          <t>Deep QB2; waiver-level in a normal 10-team format.</t>
        </is>
      </c>
      <c r="I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J27" t="inlineStr">
        <is>
          <t>Passing-TD efficiency, rushing volume and supporting-cast health are the main swing factors.</t>
        </is>
      </c>
      <c r="K27" t="inlineStr">
        <is>
          <t>ADP proxy — editable; based on positional draft cost</t>
        </is>
      </c>
      <c r="L27" t="n">
        <v>5</v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s="8" t="n">
        <v>72.66459999999999</v>
      </c>
      <c r="E28" s="8" t="n">
        <v>175.6</v>
      </c>
      <c r="F28" s="5" t="inlineStr">
        <is>
          <t>A</t>
        </is>
      </c>
      <c r="G28" t="inlineStr">
        <is>
          <t>RATE-ADJUSTED VETERAN</t>
        </is>
      </c>
      <c r="H28" t="inlineStr">
        <is>
          <t>Deep QB2; waiver-level in a normal 10-team format.</t>
        </is>
      </c>
      <c r="I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J28" t="inlineStr">
        <is>
          <t>Passing-TD efficiency, rushing volume and supporting-cast health are the main swing factors.</t>
        </is>
      </c>
      <c r="K28" t="inlineStr">
        <is>
          <t>ADP proxy — editable; based on positional draft cost</t>
        </is>
      </c>
      <c r="L28" t="n">
        <v>9</v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s="8" t="n">
        <v>71.3334</v>
      </c>
      <c r="E29" s="8" t="n">
        <v>167.4</v>
      </c>
      <c r="F29" s="5" t="inlineStr">
        <is>
          <t>A</t>
        </is>
      </c>
      <c r="G29" t="inlineStr">
        <is>
          <t>RATE-ADJUSTED VETERAN</t>
        </is>
      </c>
      <c r="H29" t="inlineStr">
        <is>
          <t>Deep QB2; waiver-level in a normal 10-team format.</t>
        </is>
      </c>
      <c r="I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J29" t="inlineStr">
        <is>
          <t>Passing-TD efficiency, rushing volume and supporting-cast health are the main swing factors.</t>
        </is>
      </c>
      <c r="K29" t="inlineStr">
        <is>
          <t>ADP proxy — editable; based on positional draft cost</t>
        </is>
      </c>
      <c r="L29" t="n">
        <v>14</v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s="8" t="n">
        <v>71.0986</v>
      </c>
      <c r="E30" s="8" t="n">
        <v>238</v>
      </c>
      <c r="F30" s="5" t="inlineStr">
        <is>
          <t>A</t>
        </is>
      </c>
      <c r="G30" t="inlineStr">
        <is>
          <t>RATE-ADJUSTED VETERAN</t>
        </is>
      </c>
      <c r="H30" t="inlineStr">
        <is>
          <t>Deep QB2; waiver-level in a normal 10-team format.</t>
        </is>
      </c>
      <c r="I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J30" t="inlineStr">
        <is>
          <t>Passing-TD efficiency, rushing volume and supporting-cast health are the main swing factors.</t>
        </is>
      </c>
      <c r="K30" t="inlineStr">
        <is>
          <t>ADP proxy — editable; based on positional draft cost</t>
        </is>
      </c>
      <c r="L30" t="n">
        <v>13</v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s="8" t="n">
        <v>70.8848</v>
      </c>
      <c r="E31" s="8" t="n">
        <v>168.1</v>
      </c>
      <c r="F31" s="5" t="inlineStr">
        <is>
          <t>A</t>
        </is>
      </c>
      <c r="G31" t="inlineStr">
        <is>
          <t>RATE-ADJUSTED VETERAN</t>
        </is>
      </c>
      <c r="H31" t="inlineStr">
        <is>
          <t>Deep QB2; waiver-level in a normal 10-team format.</t>
        </is>
      </c>
      <c r="I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J31" t="inlineStr">
        <is>
          <t>Passing-TD efficiency, rushing volume and supporting-cast health are the main swing factors.</t>
        </is>
      </c>
      <c r="K31" t="inlineStr">
        <is>
          <t>ADP proxy — editable; based on positional draft cost</t>
        </is>
      </c>
      <c r="L31" t="n">
        <v>9</v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s="8" t="n">
        <v>67.85120000000001</v>
      </c>
      <c r="E32" s="8" t="n">
        <v>254</v>
      </c>
      <c r="F32" s="5" t="inlineStr">
        <is>
          <t>A</t>
        </is>
      </c>
      <c r="G32" t="inlineStr">
        <is>
          <t>RATE-ADJUSTED VETERAN</t>
        </is>
      </c>
      <c r="H32" t="inlineStr">
        <is>
          <t>Deep QB2; waiver-level in a normal 10-team format.</t>
        </is>
      </c>
      <c r="I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J32" t="inlineStr">
        <is>
          <t>Passing-TD efficiency, rushing volume and supporting-cast health are the main swing factors.</t>
        </is>
      </c>
      <c r="K32" t="inlineStr">
        <is>
          <t>ADP proxy — editable; based on positional draft cost</t>
        </is>
      </c>
      <c r="L32" t="n">
        <v>11</v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s="8" t="n">
        <v>65.7929</v>
      </c>
      <c r="E33" s="8" t="n">
        <v>262</v>
      </c>
      <c r="F33" s="5" t="inlineStr">
        <is>
          <t>B</t>
        </is>
      </c>
      <c r="G33" t="inlineStr">
        <is>
          <t>RATE-ADJUSTED VETERAN</t>
        </is>
      </c>
      <c r="H33" t="inlineStr">
        <is>
          <t>Deep QB2; waiver-level in a normal 10-team format.</t>
        </is>
      </c>
      <c r="I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J33" t="inlineStr">
        <is>
          <t>Passing-TD efficiency, rushing volume and supporting-cast health are the main swing factors.</t>
        </is>
      </c>
      <c r="K33" t="inlineStr">
        <is>
          <t>ADP proxy — editable; based on positional draft cost</t>
        </is>
      </c>
      <c r="L33" t="n">
        <v>13</v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s="8" t="n">
        <v>60.25</v>
      </c>
      <c r="E34" s="8" t="n">
        <v>270</v>
      </c>
      <c r="F34" s="5" t="inlineStr">
        <is>
          <t>C</t>
        </is>
      </c>
      <c r="G34" t="inlineStr">
        <is>
          <t>HISTORY FALLBACK</t>
        </is>
      </c>
      <c r="H34" t="inlineStr">
        <is>
          <t>Deep QB2; waiver-level in a normal 10-team format.</t>
        </is>
      </c>
      <c r="I34" t="inlineStr">
        <is>
          <t>The 2026 opportunity and projection carry most of the grade because detailed 2025 rate data is incomplete. Market price is favorable around ADP 270 versus model overall rank 200.</t>
        </is>
      </c>
      <c r="J34" t="inlineStr">
        <is>
          <t>Evidence is thinner than for established veterans, so camp, depth-chart and role news can move the grade materially.</t>
        </is>
      </c>
      <c r="K34" t="inlineStr">
        <is>
          <t>ADP proxy — editable; based on positional draft cost</t>
        </is>
      </c>
      <c r="L34" t="n">
        <v>11</v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s="8" t="n">
        <v>97.3673</v>
      </c>
      <c r="E35" s="8" t="n">
        <v>1.8</v>
      </c>
      <c r="F35" s="5" t="inlineStr">
        <is>
          <t>A</t>
        </is>
      </c>
      <c r="G35" t="inlineStr">
        <is>
          <t>RATE-ADJUSTED VETERAN</t>
        </is>
      </c>
      <c r="H35" t="inlineStr">
        <is>
          <t>Elite RB1 and first-round roster anchor with league-winning ceiling.</t>
        </is>
      </c>
      <c r="I35" t="inlineStr">
        <is>
          <t>He produced 21.8 PPR/FP points per game across 17 games. The workload/efficiency profile gives the model a rate-based reason to keep him here.</t>
        </is>
      </c>
      <c r="J35" t="inlineStr">
        <is>
          <t>Touchdown variance, receiving-role changes and backfield competition are the main downside paths.</t>
        </is>
      </c>
      <c r="K35" t="inlineStr">
        <is>
          <t>https://www.fantasypros.com/nfl/adp/ppr-overall.php</t>
        </is>
      </c>
      <c r="L35" t="n">
        <v>11</v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s="8" t="n">
        <v>96.3323</v>
      </c>
      <c r="E36" s="8" t="n">
        <v>1.8</v>
      </c>
      <c r="F36" s="5" t="inlineStr">
        <is>
          <t>A</t>
        </is>
      </c>
      <c r="G36" t="inlineStr">
        <is>
          <t>RATE-ADJUSTED VETERAN</t>
        </is>
      </c>
      <c r="H36" t="inlineStr">
        <is>
          <t>Elite RB1 and first-round roster anchor with league-winning ceiling.</t>
        </is>
      </c>
      <c r="I36" t="inlineStr">
        <is>
          <t>He produced 21.6 PPR/FP points per game across 17 games. The workload/efficiency profile gives the model a rate-based reason to keep him here.</t>
        </is>
      </c>
      <c r="J36" t="inlineStr">
        <is>
          <t>Touchdown variance, receiving-role changes and backfield competition are the main downside paths.</t>
        </is>
      </c>
      <c r="K36" t="inlineStr">
        <is>
          <t>https://www.fantasypros.com/nfl/adp/ppr-overall.php</t>
        </is>
      </c>
      <c r="L36" t="n">
        <v>6</v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s="8" t="n">
        <v>94.24469999999999</v>
      </c>
      <c r="E37" s="8" t="n">
        <v>4.2</v>
      </c>
      <c r="F37" s="5" t="inlineStr">
        <is>
          <t>A</t>
        </is>
      </c>
      <c r="G37" t="inlineStr">
        <is>
          <t>RATE-ADJUSTED VETERAN</t>
        </is>
      </c>
      <c r="H37" t="inlineStr">
        <is>
          <t>Elite RB1 and first-round roster anchor with league-winning ceiling.</t>
        </is>
      </c>
      <c r="I37" t="inlineStr">
        <is>
          <t>He produced 24.5 PPR/FP points per game across 17 games. The workload/efficiency profile gives the model a rate-based reason to keep him here.</t>
        </is>
      </c>
      <c r="J37" t="inlineStr">
        <is>
          <t>Touchdown variance, receiving-role changes and backfield competition are the main downside paths.</t>
        </is>
      </c>
      <c r="K37" t="inlineStr">
        <is>
          <t>https://www.fantasypros.com/nfl/adp/ppr-overall.php</t>
        </is>
      </c>
      <c r="L37" t="n">
        <v>8</v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s="8" t="n">
        <v>92.14700000000001</v>
      </c>
      <c r="E38" s="8" t="n">
        <v>7.4</v>
      </c>
      <c r="F38" s="5" t="inlineStr">
        <is>
          <t>A</t>
        </is>
      </c>
      <c r="G38" t="inlineStr">
        <is>
          <t>RATE-ADJUSTED VETERAN</t>
        </is>
      </c>
      <c r="H38" t="inlineStr">
        <is>
          <t>Elite RB1 and first-round roster anchor with league-winning ceiling.</t>
        </is>
      </c>
      <c r="I38" t="inlineStr">
        <is>
          <t>He produced 21.3 PPR/FP points per game across 17 games. The workload/efficiency profile gives the model a rate-based reason to keep him here.</t>
        </is>
      </c>
      <c r="J38" t="inlineStr">
        <is>
          <t>Touchdown variance, receiving-role changes and backfield competition are the main downside paths.</t>
        </is>
      </c>
      <c r="K38" t="inlineStr">
        <is>
          <t>https://www.fantasypros.com/nfl/adp/ppr-overall.php</t>
        </is>
      </c>
      <c r="L38" t="n">
        <v>13</v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s="8" t="n">
        <v>90.8659</v>
      </c>
      <c r="E39" s="8" t="n">
        <v>26.2</v>
      </c>
      <c r="F39" s="5" t="inlineStr">
        <is>
          <t>B</t>
        </is>
      </c>
      <c r="G39" t="inlineStr">
        <is>
          <t>ROOKIE ENGINE</t>
        </is>
      </c>
      <c r="H39" t="inlineStr">
        <is>
          <t>Elite RB1 and first-round roster anchor with league-winning ceiling.</t>
        </is>
      </c>
      <c r="I39" t="inlineStr">
        <is>
          <t>Rookie score 98.0, backed by No. 3 draft capital and a 6.73 NFL prospect grade. The 2026 role projection is strong enough to replace missing NFL history.</t>
        </is>
      </c>
      <c r="J39" t="inlineStr">
        <is>
          <t>NFL translation and exact weekly role are the main variables; preseason first-team usage can move this rating quickly.</t>
        </is>
      </c>
      <c r="K39" t="inlineStr">
        <is>
          <t>ADP proxy — editable; based on positional draft cost</t>
        </is>
      </c>
      <c r="L39" t="n">
        <v>14</v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s="8" t="n">
        <v>88.6421</v>
      </c>
      <c r="E40" s="8" t="n">
        <v>19.6</v>
      </c>
      <c r="F40" s="5" t="inlineStr">
        <is>
          <t>B</t>
        </is>
      </c>
      <c r="G40" t="inlineStr">
        <is>
          <t>RATE-ADJUSTED VETERAN</t>
        </is>
      </c>
      <c r="H40" t="inlineStr">
        <is>
          <t>Strong RB1; weekly top-12 expectation with multi-touchdown ceiling.</t>
        </is>
      </c>
      <c r="I40" t="inlineStr">
        <is>
          <t>He produced 15.1 PPR/FP points per game across 9 games. The workload/efficiency profile gives the model a rate-based reason to keep him here.</t>
        </is>
      </c>
      <c r="J40" t="inlineStr">
        <is>
          <t>Availability/sample risk is elevated after only 9 games; talent is not being punished as heavily as durability.</t>
        </is>
      </c>
      <c r="K40" t="inlineStr">
        <is>
          <t>ADP proxy — editable; based on positional draft cost</t>
        </is>
      </c>
      <c r="L40" t="n">
        <v>7</v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s="8" t="n">
        <v>87.944</v>
      </c>
      <c r="E41" s="8" t="n">
        <v>10.1</v>
      </c>
      <c r="F41" s="5" t="inlineStr">
        <is>
          <t>A</t>
        </is>
      </c>
      <c r="G41" t="inlineStr">
        <is>
          <t>RATE-ADJUSTED VETERAN</t>
        </is>
      </c>
      <c r="H41" t="inlineStr">
        <is>
          <t>Strong RB1; weekly top-12 expectation with multi-touchdown ceiling.</t>
        </is>
      </c>
      <c r="I41" t="inlineStr">
        <is>
          <t>He produced 20.2 PPR/FP points per game across 16 games. The workload/efficiency profile gives the model a rate-based reason to keep him here.</t>
        </is>
      </c>
      <c r="J41" t="inlineStr">
        <is>
          <t>Touchdown variance, receiving-role changes and backfield competition are the main downside paths.</t>
        </is>
      </c>
      <c r="K41" t="inlineStr">
        <is>
          <t>https://www.fantasypros.com/nfl/adp/ppr-overall.php</t>
        </is>
      </c>
      <c r="L41" t="n">
        <v>6</v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s="8" t="n">
        <v>87.29259999999999</v>
      </c>
      <c r="E42" s="8" t="n">
        <v>26.2</v>
      </c>
      <c r="F42" s="5" t="inlineStr">
        <is>
          <t>A</t>
        </is>
      </c>
      <c r="G42" t="inlineStr">
        <is>
          <t>RATE-ADJUSTED VETERAN</t>
        </is>
      </c>
      <c r="H42" t="inlineStr">
        <is>
          <t>Strong RB1; weekly top-12 expectation with multi-touchdown ceiling.</t>
        </is>
      </c>
      <c r="I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J42" t="inlineStr">
        <is>
          <t>Touchdown variance, receiving-role changes and backfield competition are the main downside paths.</t>
        </is>
      </c>
      <c r="K42" t="inlineStr">
        <is>
          <t>ADP proxy — editable; based on positional draft cost</t>
        </is>
      </c>
      <c r="L42" t="n">
        <v>5</v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s="8" t="n">
        <v>87.05800000000001</v>
      </c>
      <c r="E43" s="8" t="n">
        <v>14.9</v>
      </c>
      <c r="F43" s="5" t="inlineStr">
        <is>
          <t>A</t>
        </is>
      </c>
      <c r="G43" t="inlineStr">
        <is>
          <t>RATE-ADJUSTED VETERAN</t>
        </is>
      </c>
      <c r="H43" t="inlineStr">
        <is>
          <t>Strong RB1; weekly top-12 expectation with multi-touchdown ceiling.</t>
        </is>
      </c>
      <c r="I43" t="inlineStr">
        <is>
          <t>He produced 17.7 PPR/FP points per game across 17 games. The workload/efficiency profile gives the model a rate-based reason to keep him here.</t>
        </is>
      </c>
      <c r="J43" t="inlineStr">
        <is>
          <t>Touchdown variance, receiving-role changes and backfield competition are the main downside paths.</t>
        </is>
      </c>
      <c r="K43" t="inlineStr">
        <is>
          <t>https://www.fantasypros.com/nfl/adp/ppr-overall.php</t>
        </is>
      </c>
      <c r="L43" t="n">
        <v>7</v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s="8" t="n">
        <v>85.9486</v>
      </c>
      <c r="E44" s="8" t="n">
        <v>33.1</v>
      </c>
      <c r="F44" s="5" t="inlineStr">
        <is>
          <t>A</t>
        </is>
      </c>
      <c r="G44" t="inlineStr">
        <is>
          <t>RATE-ADJUSTED VETERAN</t>
        </is>
      </c>
      <c r="H44" t="inlineStr">
        <is>
          <t>Strong RB1; weekly top-12 expectation with multi-touchdown ceiling.</t>
        </is>
      </c>
      <c r="I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J44" t="inlineStr">
        <is>
          <t>Touchdown variance, receiving-role changes and backfield competition are the main downside paths.</t>
        </is>
      </c>
      <c r="K44" t="inlineStr">
        <is>
          <t>ADP proxy — editable; based on positional draft cost</t>
        </is>
      </c>
      <c r="L44" t="n">
        <v>11</v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s="8" t="n">
        <v>85.8952</v>
      </c>
      <c r="E45" s="8" t="n">
        <v>27</v>
      </c>
      <c r="F45" s="5" t="inlineStr">
        <is>
          <t>A</t>
        </is>
      </c>
      <c r="G45" t="inlineStr">
        <is>
          <t>RATE-ADJUSTED VETERAN</t>
        </is>
      </c>
      <c r="H45" t="inlineStr">
        <is>
          <t>Strong RB1; weekly top-12 expectation with multi-touchdown ceiling.</t>
        </is>
      </c>
      <c r="I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J45" t="inlineStr">
        <is>
          <t>Touchdown variance, receiving-role changes and backfield competition are the main downside paths.</t>
        </is>
      </c>
      <c r="K45" t="inlineStr">
        <is>
          <t>ADP proxy — editable; based on positional draft cost</t>
        </is>
      </c>
      <c r="L45" t="n">
        <v>13</v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s="8" t="n">
        <v>85.8433</v>
      </c>
      <c r="E46" s="8" t="n">
        <v>13.8</v>
      </c>
      <c r="F46" s="5" t="inlineStr">
        <is>
          <t>A</t>
        </is>
      </c>
      <c r="G46" t="inlineStr">
        <is>
          <t>RATE-ADJUSTED VETERAN</t>
        </is>
      </c>
      <c r="H46" t="inlineStr">
        <is>
          <t>Strong RB1; weekly top-12 expectation with multi-touchdown ceiling.</t>
        </is>
      </c>
      <c r="I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J46" t="inlineStr">
        <is>
          <t>Price is the biggest risk: the market currently asks you to draft him earlier than the model prefers.</t>
        </is>
      </c>
      <c r="K46" t="inlineStr">
        <is>
          <t>https://www.fantasypros.com/nfl/adp/ppr-overall.php</t>
        </is>
      </c>
      <c r="L46" t="n">
        <v>13</v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s="8" t="n">
        <v>85.6674</v>
      </c>
      <c r="E47" s="8" t="n">
        <v>15.4</v>
      </c>
      <c r="F47" s="5" t="inlineStr">
        <is>
          <t>A</t>
        </is>
      </c>
      <c r="G47" t="inlineStr">
        <is>
          <t>RATE-ADJUSTED VETERAN</t>
        </is>
      </c>
      <c r="H47" t="inlineStr">
        <is>
          <t>RB2 with RB1 weeks; should be a regular starter.</t>
        </is>
      </c>
      <c r="I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J47" t="inlineStr">
        <is>
          <t>Touchdown variance, receiving-role changes and backfield competition are the main downside paths.</t>
        </is>
      </c>
      <c r="K47" t="inlineStr">
        <is>
          <t>ADP proxy — editable; based on positional draft cost</t>
        </is>
      </c>
      <c r="L47" t="n">
        <v>13</v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s="8" t="n">
        <v>85.6644</v>
      </c>
      <c r="E48" s="8" t="n">
        <v>12.1</v>
      </c>
      <c r="F48" s="5" t="inlineStr">
        <is>
          <t>A</t>
        </is>
      </c>
      <c r="G48" t="inlineStr">
        <is>
          <t>RATE-ADJUSTED VETERAN</t>
        </is>
      </c>
      <c r="H48" t="inlineStr">
        <is>
          <t>RB2 with RB1 weeks; should be a regular starter.</t>
        </is>
      </c>
      <c r="I48" t="inlineStr">
        <is>
          <t>He produced 16.7 PPR/FP points per game across 17 games. The workload/efficiency profile gives the model a rate-based reason to keep him here.</t>
        </is>
      </c>
      <c r="J48" t="inlineStr">
        <is>
          <t>Touchdown variance, receiving-role changes and backfield competition are the main downside paths.</t>
        </is>
      </c>
      <c r="K48" t="inlineStr">
        <is>
          <t>https://www.fantasypros.com/nfl/adp/ppr-overall.php</t>
        </is>
      </c>
      <c r="L48" t="n">
        <v>6</v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s="8" t="n">
        <v>84.4264</v>
      </c>
      <c r="E49" s="8" t="n">
        <v>24.2</v>
      </c>
      <c r="F49" s="5" t="inlineStr">
        <is>
          <t>A</t>
        </is>
      </c>
      <c r="G49" t="inlineStr">
        <is>
          <t>RATE-ADJUSTED VETERAN</t>
        </is>
      </c>
      <c r="H49" t="inlineStr">
        <is>
          <t>RB2 with RB1 weeks; should be a regular starter.</t>
        </is>
      </c>
      <c r="I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J49" t="inlineStr">
        <is>
          <t>Touchdown variance, receiving-role changes and backfield competition are the main downside paths.</t>
        </is>
      </c>
      <c r="K49" t="inlineStr">
        <is>
          <t>ADP proxy — editable; based on positional draft cost</t>
        </is>
      </c>
      <c r="L49" t="n">
        <v>11</v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s="8" t="n">
        <v>84.03400000000001</v>
      </c>
      <c r="E50" s="8" t="n">
        <v>19</v>
      </c>
      <c r="F50" s="5" t="inlineStr">
        <is>
          <t>A</t>
        </is>
      </c>
      <c r="G50" t="inlineStr">
        <is>
          <t>RATE-ADJUSTED VETERAN</t>
        </is>
      </c>
      <c r="H50" t="inlineStr">
        <is>
          <t>RB2 with RB1 weeks; should be a regular starter.</t>
        </is>
      </c>
      <c r="I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J50" t="inlineStr">
        <is>
          <t>Touchdown variance, receiving-role changes and backfield competition are the main downside paths.</t>
        </is>
      </c>
      <c r="K50" t="inlineStr">
        <is>
          <t>ADP proxy — editable; based on positional draft cost</t>
        </is>
      </c>
      <c r="L50" t="n">
        <v>10</v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s="8" t="n">
        <v>83.8032</v>
      </c>
      <c r="E51" s="8" t="n">
        <v>35.8</v>
      </c>
      <c r="F51" s="5" t="inlineStr">
        <is>
          <t>A</t>
        </is>
      </c>
      <c r="G51" t="inlineStr">
        <is>
          <t>RATE-ADJUSTED VETERAN</t>
        </is>
      </c>
      <c r="H51" t="inlineStr">
        <is>
          <t>RB2 with RB1 weeks; should be a regular starter.</t>
        </is>
      </c>
      <c r="I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J51" t="inlineStr">
        <is>
          <t>Touchdown variance, receiving-role changes and backfield competition are the main downside paths.</t>
        </is>
      </c>
      <c r="K51" t="inlineStr">
        <is>
          <t>ADP proxy — editable; based on positional draft cost</t>
        </is>
      </c>
      <c r="L51" t="n">
        <v>14</v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s="8" t="n">
        <v>83.0436</v>
      </c>
      <c r="E52" s="8" t="n">
        <v>38.4</v>
      </c>
      <c r="F52" s="5" t="inlineStr">
        <is>
          <t>A</t>
        </is>
      </c>
      <c r="G52" t="inlineStr">
        <is>
          <t>RATE-ADJUSTED VETERAN</t>
        </is>
      </c>
      <c r="H52" t="inlineStr">
        <is>
          <t>RB2 with RB1 weeks; should be a regular starter.</t>
        </is>
      </c>
      <c r="I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J52" t="inlineStr">
        <is>
          <t>Touchdown variance, receiving-role changes and backfield competition are the main downside paths.</t>
        </is>
      </c>
      <c r="K52" t="inlineStr">
        <is>
          <t>ADP proxy — editable; based on positional draft cost</t>
        </is>
      </c>
      <c r="L52" t="n">
        <v>8</v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s="8" t="n">
        <v>81.8884</v>
      </c>
      <c r="E53" s="8" t="n">
        <v>30.8</v>
      </c>
      <c r="F53" s="5" t="inlineStr">
        <is>
          <t>B</t>
        </is>
      </c>
      <c r="G53" t="inlineStr">
        <is>
          <t>RATE-ADJUSTED VETERAN</t>
        </is>
      </c>
      <c r="H53" t="inlineStr">
        <is>
          <t>RB2 with RB1 weeks; should be a regular starter.</t>
        </is>
      </c>
      <c r="I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J53" t="inlineStr">
        <is>
          <t>Availability/sample risk is elevated after only 8 games; talent is not being punished as heavily as durability.</t>
        </is>
      </c>
      <c r="K53" t="inlineStr">
        <is>
          <t>ADP proxy — editable; based on positional draft cost</t>
        </is>
      </c>
      <c r="L53" t="n">
        <v>8</v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s="8" t="n">
        <v>79.98560000000001</v>
      </c>
      <c r="E54" s="8" t="n">
        <v>43.9</v>
      </c>
      <c r="F54" s="5" t="inlineStr">
        <is>
          <t>A</t>
        </is>
      </c>
      <c r="G54" t="inlineStr">
        <is>
          <t>RATE-ADJUSTED VETERAN</t>
        </is>
      </c>
      <c r="H54" t="inlineStr">
        <is>
          <t>RB2 with RB1 weeks; should be a regular starter.</t>
        </is>
      </c>
      <c r="I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J54" t="inlineStr">
        <is>
          <t>Touchdown variance, receiving-role changes and backfield competition are the main downside paths.</t>
        </is>
      </c>
      <c r="K54" t="inlineStr">
        <is>
          <t>ADP proxy — editable; based on positional draft cost</t>
        </is>
      </c>
      <c r="L54" t="n">
        <v>10</v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s="8" t="n">
        <v>79.9355</v>
      </c>
      <c r="E55" s="8" t="n">
        <v>43</v>
      </c>
      <c r="F55" s="5" t="inlineStr">
        <is>
          <t>B</t>
        </is>
      </c>
      <c r="G55" t="inlineStr">
        <is>
          <t>RATE-ADJUSTED VETERAN</t>
        </is>
      </c>
      <c r="H55" t="inlineStr">
        <is>
          <t>RB2/FLEX; useful weekly but role and receiving volume matter.</t>
        </is>
      </c>
      <c r="I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J55" t="inlineStr">
        <is>
          <t>Touchdown variance, receiving-role changes and backfield competition are the main downside paths.</t>
        </is>
      </c>
      <c r="K55" t="inlineStr">
        <is>
          <t>ADP proxy — editable; based on positional draft cost</t>
        </is>
      </c>
      <c r="L55" t="n">
        <v>10</v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s="8" t="n">
        <v>79.9303</v>
      </c>
      <c r="E56" s="8" t="n">
        <v>49.9</v>
      </c>
      <c r="F56" s="5" t="inlineStr">
        <is>
          <t>A</t>
        </is>
      </c>
      <c r="G56" t="inlineStr">
        <is>
          <t>RATE-ADJUSTED VETERAN</t>
        </is>
      </c>
      <c r="H56" t="inlineStr">
        <is>
          <t>RB2/FLEX; useful weekly but role and receiving volume matter.</t>
        </is>
      </c>
      <c r="I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J56" t="inlineStr">
        <is>
          <t>Touchdown variance, receiving-role changes and backfield competition are the main downside paths.</t>
        </is>
      </c>
      <c r="K56" t="inlineStr">
        <is>
          <t>ADP proxy — editable; based on positional draft cost</t>
        </is>
      </c>
      <c r="L56" t="n">
        <v>11</v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s="8" t="n">
        <v>77.9102</v>
      </c>
      <c r="E57" s="8" t="n">
        <v>66.40000000000001</v>
      </c>
      <c r="F57" s="5" t="inlineStr">
        <is>
          <t>A</t>
        </is>
      </c>
      <c r="G57" t="inlineStr">
        <is>
          <t>RATE-ADJUSTED VETERAN</t>
        </is>
      </c>
      <c r="H57" t="inlineStr">
        <is>
          <t>RB2/FLEX; useful weekly but role and receiving volume matter.</t>
        </is>
      </c>
      <c r="I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J57" t="inlineStr">
        <is>
          <t>Touchdown variance, receiving-role changes and backfield competition are the main downside paths.</t>
        </is>
      </c>
      <c r="K57" t="inlineStr">
        <is>
          <t>ADP proxy — editable; based on positional draft cost</t>
        </is>
      </c>
      <c r="L57" t="n">
        <v>8</v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s="8" t="n">
        <v>77.8325</v>
      </c>
      <c r="E58" s="8" t="n">
        <v>55.4</v>
      </c>
      <c r="F58" s="5" t="inlineStr">
        <is>
          <t>A</t>
        </is>
      </c>
      <c r="G58" t="inlineStr">
        <is>
          <t>RATE-ADJUSTED VETERAN</t>
        </is>
      </c>
      <c r="H58" t="inlineStr">
        <is>
          <t>RB2/FLEX; useful weekly but role and receiving volume matter.</t>
        </is>
      </c>
      <c r="I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J58" t="inlineStr">
        <is>
          <t>Touchdown variance, receiving-role changes and backfield competition are the main downside paths.</t>
        </is>
      </c>
      <c r="K58" t="inlineStr">
        <is>
          <t>ADP proxy — editable; based on positional draft cost</t>
        </is>
      </c>
      <c r="L58" t="n">
        <v>11</v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s="8" t="n">
        <v>76.6622</v>
      </c>
      <c r="E59" s="8" t="n">
        <v>63</v>
      </c>
      <c r="F59" s="5" t="inlineStr">
        <is>
          <t>B</t>
        </is>
      </c>
      <c r="G59" t="inlineStr">
        <is>
          <t>ROOKIE ENGINE</t>
        </is>
      </c>
      <c r="H59" t="inlineStr">
        <is>
          <t>RB2/FLEX; useful weekly but role and receiving volume matter.</t>
        </is>
      </c>
      <c r="I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J59" t="inlineStr">
        <is>
          <t>NFL translation and exact weekly role are the main variables; preseason first-team usage can move this rating quickly.</t>
        </is>
      </c>
      <c r="K59" t="inlineStr">
        <is>
          <t>ADP proxy — editable; based on positional draft cost</t>
        </is>
      </c>
      <c r="L59" t="n">
        <v>11</v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s="8" t="n">
        <v>76.09180000000001</v>
      </c>
      <c r="E60" s="8" t="n">
        <v>68.8</v>
      </c>
      <c r="F60" s="5" t="inlineStr">
        <is>
          <t>A</t>
        </is>
      </c>
      <c r="G60" t="inlineStr">
        <is>
          <t>RATE-ADJUSTED VETERAN</t>
        </is>
      </c>
      <c r="H60" t="inlineStr">
        <is>
          <t>RB2/FLEX; useful weekly but role and receiving volume matter.</t>
        </is>
      </c>
      <c r="I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J60" t="inlineStr">
        <is>
          <t>Touchdown variance, receiving-role changes and backfield competition are the main downside paths.</t>
        </is>
      </c>
      <c r="K60" t="inlineStr">
        <is>
          <t>ADP proxy — editable; based on positional draft cost</t>
        </is>
      </c>
      <c r="L60" t="n">
        <v>9</v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s="8" t="n">
        <v>75.78579999999999</v>
      </c>
      <c r="E61" s="8" t="n">
        <v>64.8</v>
      </c>
      <c r="F61" s="5" t="inlineStr">
        <is>
          <t>A</t>
        </is>
      </c>
      <c r="G61" t="inlineStr">
        <is>
          <t>RATE-ADJUSTED VETERAN</t>
        </is>
      </c>
      <c r="H61" t="inlineStr">
        <is>
          <t>RB2/FLEX; useful weekly but role and receiving volume matter.</t>
        </is>
      </c>
      <c r="I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J61" t="inlineStr">
        <is>
          <t>Touchdown variance, receiving-role changes and backfield competition are the main downside paths.</t>
        </is>
      </c>
      <c r="K61" t="inlineStr">
        <is>
          <t>ADP proxy — editable; based on positional draft cost</t>
        </is>
      </c>
      <c r="L61" t="n">
        <v>9</v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s="8" t="n">
        <v>75.0986</v>
      </c>
      <c r="E62" s="8" t="n">
        <v>65.5</v>
      </c>
      <c r="F62" s="5" t="inlineStr">
        <is>
          <t>A</t>
        </is>
      </c>
      <c r="G62" t="inlineStr">
        <is>
          <t>RATE-ADJUSTED VETERAN</t>
        </is>
      </c>
      <c r="H62" t="inlineStr">
        <is>
          <t>RB2/FLEX; useful weekly but role and receiving volume matter.</t>
        </is>
      </c>
      <c r="I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J62" t="inlineStr">
        <is>
          <t>Touchdown variance, receiving-role changes and backfield competition are the main downside paths.</t>
        </is>
      </c>
      <c r="K62" t="inlineStr">
        <is>
          <t>ADP proxy — editable; based on positional draft cost</t>
        </is>
      </c>
      <c r="L62" t="n">
        <v>9</v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s="8" t="n">
        <v>74.5881</v>
      </c>
      <c r="E63" s="8" t="n">
        <v>72.3</v>
      </c>
      <c r="F63" s="5" t="inlineStr">
        <is>
          <t>A</t>
        </is>
      </c>
      <c r="G63" t="inlineStr">
        <is>
          <t>RATE-ADJUSTED VETERAN</t>
        </is>
      </c>
      <c r="H63" t="inlineStr">
        <is>
          <t>RB2/FLEX; useful weekly but role and receiving volume matter.</t>
        </is>
      </c>
      <c r="I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J63" t="inlineStr">
        <is>
          <t>Touchdown variance, receiving-role changes and backfield competition are the main downside paths.</t>
        </is>
      </c>
      <c r="K63" t="inlineStr">
        <is>
          <t>ADP proxy — editable; based on positional draft cost</t>
        </is>
      </c>
      <c r="L63" t="n">
        <v>11</v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s="8" t="n">
        <v>74.50490000000001</v>
      </c>
      <c r="E64" s="8" t="n">
        <v>123.8</v>
      </c>
      <c r="F64" s="5" t="inlineStr">
        <is>
          <t>A</t>
        </is>
      </c>
      <c r="G64" t="inlineStr">
        <is>
          <t>RATE-ADJUSTED VETERAN</t>
        </is>
      </c>
      <c r="H64" t="inlineStr">
        <is>
          <t>RB2/FLEX; useful weekly but role and receiving volume matter.</t>
        </is>
      </c>
      <c r="I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J64" t="inlineStr">
        <is>
          <t>Touchdown variance, receiving-role changes and backfield competition are the main downside paths.</t>
        </is>
      </c>
      <c r="K64" t="inlineStr">
        <is>
          <t>ADP proxy — editable; based on positional draft cost</t>
        </is>
      </c>
      <c r="L64" t="n">
        <v>10</v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s="8" t="n">
        <v>74.46769999999999</v>
      </c>
      <c r="E65" s="8" t="n">
        <v>52.3</v>
      </c>
      <c r="F65" s="5" t="inlineStr">
        <is>
          <t>A</t>
        </is>
      </c>
      <c r="G65" t="inlineStr">
        <is>
          <t>RATE-ADJUSTED VETERAN</t>
        </is>
      </c>
      <c r="H65" t="inlineStr">
        <is>
          <t>FLEX/bench depth with upside if workload grows.</t>
        </is>
      </c>
      <c r="I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J65" t="inlineStr">
        <is>
          <t>Touchdown variance, receiving-role changes and backfield competition are the main downside paths.</t>
        </is>
      </c>
      <c r="K65" t="inlineStr">
        <is>
          <t>ADP proxy — editable; based on positional draft cost</t>
        </is>
      </c>
      <c r="L65" t="n">
        <v>7</v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s="8" t="n">
        <v>73.56780000000001</v>
      </c>
      <c r="E66" s="8" t="n">
        <v>82.59999999999999</v>
      </c>
      <c r="F66" s="5" t="inlineStr">
        <is>
          <t>A</t>
        </is>
      </c>
      <c r="G66" t="inlineStr">
        <is>
          <t>RATE-ADJUSTED VETERAN</t>
        </is>
      </c>
      <c r="H66" t="inlineStr">
        <is>
          <t>FLEX/bench depth with upside if workload grows.</t>
        </is>
      </c>
      <c r="I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J66" t="inlineStr">
        <is>
          <t>Touchdown variance, receiving-role changes and backfield competition are the main downside paths.</t>
        </is>
      </c>
      <c r="K66" t="inlineStr">
        <is>
          <t>ADP proxy — editable; based on positional draft cost</t>
        </is>
      </c>
      <c r="L66" t="n">
        <v>10</v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s="8" t="n">
        <v>72.61020000000001</v>
      </c>
      <c r="E67" s="8" t="n">
        <v>100.3</v>
      </c>
      <c r="F67" s="5" t="inlineStr">
        <is>
          <t>A</t>
        </is>
      </c>
      <c r="G67" t="inlineStr">
        <is>
          <t>RATE-ADJUSTED VETERAN</t>
        </is>
      </c>
      <c r="H67" t="inlineStr">
        <is>
          <t>FLEX/bench depth with upside if workload grows.</t>
        </is>
      </c>
      <c r="I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J67" t="inlineStr">
        <is>
          <t>Touchdown variance, receiving-role changes and backfield competition are the main downside paths.</t>
        </is>
      </c>
      <c r="K67" t="inlineStr">
        <is>
          <t>ADP proxy — editable; based on positional draft cost</t>
        </is>
      </c>
      <c r="L67" t="n">
        <v>10</v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s="8" t="n">
        <v>71.86669999999999</v>
      </c>
      <c r="E68" s="8" t="n">
        <v>75.90000000000001</v>
      </c>
      <c r="F68" s="5" t="inlineStr">
        <is>
          <t>A</t>
        </is>
      </c>
      <c r="G68" t="inlineStr">
        <is>
          <t>RATE-ADJUSTED VETERAN</t>
        </is>
      </c>
      <c r="H68" t="inlineStr">
        <is>
          <t>FLEX/bench depth with upside if workload grows.</t>
        </is>
      </c>
      <c r="I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J68" t="inlineStr">
        <is>
          <t>Touchdown variance, receiving-role changes and backfield competition are the main downside paths.</t>
        </is>
      </c>
      <c r="K68" t="inlineStr">
        <is>
          <t>ADP proxy — editable; based on positional draft cost</t>
        </is>
      </c>
      <c r="L68" t="n">
        <v>5</v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s="8" t="n">
        <v>71.6977</v>
      </c>
      <c r="E69" s="8" t="n">
        <v>90.7</v>
      </c>
      <c r="F69" s="5" t="inlineStr">
        <is>
          <t>A</t>
        </is>
      </c>
      <c r="G69" t="inlineStr">
        <is>
          <t>RATE-ADJUSTED VETERAN</t>
        </is>
      </c>
      <c r="H69" t="inlineStr">
        <is>
          <t>FLEX/bench depth with upside if workload grows.</t>
        </is>
      </c>
      <c r="I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J69" t="inlineStr">
        <is>
          <t>Touchdown variance, receiving-role changes and backfield competition are the main downside paths.</t>
        </is>
      </c>
      <c r="K69" t="inlineStr">
        <is>
          <t>ADP proxy — editable; based on positional draft cost</t>
        </is>
      </c>
      <c r="L69" t="n">
        <v>6</v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s="8" t="n">
        <v>71.1666</v>
      </c>
      <c r="E70" s="8" t="n">
        <v>91.90000000000001</v>
      </c>
      <c r="F70" s="5" t="inlineStr">
        <is>
          <t>B</t>
        </is>
      </c>
      <c r="G70" t="inlineStr">
        <is>
          <t>RATE-ADJUSTED VETERAN</t>
        </is>
      </c>
      <c r="H70" t="inlineStr">
        <is>
          <t>FLEX/bench depth with upside if workload grows.</t>
        </is>
      </c>
      <c r="I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J70" t="inlineStr">
        <is>
          <t>Touchdown variance, receiving-role changes and backfield competition are the main downside paths.</t>
        </is>
      </c>
      <c r="K70" t="inlineStr">
        <is>
          <t>ADP proxy — editable; based on positional draft cost</t>
        </is>
      </c>
      <c r="L70" t="n">
        <v>10</v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s="8" t="n">
        <v>69.5196</v>
      </c>
      <c r="E71" s="8" t="n">
        <v>122.4</v>
      </c>
      <c r="F71" s="5" t="inlineStr">
        <is>
          <t>A</t>
        </is>
      </c>
      <c r="G71" t="inlineStr">
        <is>
          <t>RATE-ADJUSTED VETERAN</t>
        </is>
      </c>
      <c r="H71" t="inlineStr">
        <is>
          <t>FLEX/bench depth with upside if workload grows.</t>
        </is>
      </c>
      <c r="I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J71" t="inlineStr">
        <is>
          <t>Touchdown variance, receiving-role changes and backfield competition are the main downside paths.</t>
        </is>
      </c>
      <c r="K71" t="inlineStr">
        <is>
          <t>ADP proxy — editable; based on positional draft cost</t>
        </is>
      </c>
      <c r="L71" t="n">
        <v>11</v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s="8" t="n">
        <v>69.2037</v>
      </c>
      <c r="E72" s="8" t="n">
        <v>99.90000000000001</v>
      </c>
      <c r="F72" s="5" t="inlineStr">
        <is>
          <t>A</t>
        </is>
      </c>
      <c r="G72" t="inlineStr">
        <is>
          <t>RATE-ADJUSTED VETERAN</t>
        </is>
      </c>
      <c r="H72" t="inlineStr">
        <is>
          <t>FLEX/bench depth with upside if workload grows.</t>
        </is>
      </c>
      <c r="I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J72" t="inlineStr">
        <is>
          <t>Touchdown variance, receiving-role changes and backfield competition are the main downside paths.</t>
        </is>
      </c>
      <c r="K72" t="inlineStr">
        <is>
          <t>ADP proxy — editable; based on positional draft cost</t>
        </is>
      </c>
      <c r="L72" t="n">
        <v>7</v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s="8" t="n">
        <v>68.9922</v>
      </c>
      <c r="E73" s="8" t="n">
        <v>111.3</v>
      </c>
      <c r="F73" s="5" t="inlineStr">
        <is>
          <t>A</t>
        </is>
      </c>
      <c r="G73" t="inlineStr">
        <is>
          <t>RATE-ADJUSTED VETERAN</t>
        </is>
      </c>
      <c r="H73" t="inlineStr">
        <is>
          <t>FLEX/bench depth with upside if workload grows.</t>
        </is>
      </c>
      <c r="I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J73" t="inlineStr">
        <is>
          <t>Touchdown variance, receiving-role changes and backfield competition are the main downside paths.</t>
        </is>
      </c>
      <c r="K73" t="inlineStr">
        <is>
          <t>ADP proxy — editable; based on positional draft cost</t>
        </is>
      </c>
      <c r="L73" t="n">
        <v>7</v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s="8" t="n">
        <v>67.6574</v>
      </c>
      <c r="E74" s="8" t="n">
        <v>122.8</v>
      </c>
      <c r="F74" s="5" t="inlineStr">
        <is>
          <t>A</t>
        </is>
      </c>
      <c r="G74" t="inlineStr">
        <is>
          <t>RATE-ADJUSTED VETERAN</t>
        </is>
      </c>
      <c r="H74" t="inlineStr">
        <is>
          <t>FLEX/bench depth with upside if workload grows.</t>
        </is>
      </c>
      <c r="I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J74" t="inlineStr">
        <is>
          <t>Touchdown variance, receiving-role changes and backfield competition are the main downside paths.</t>
        </is>
      </c>
      <c r="K74" t="inlineStr">
        <is>
          <t>ADP proxy — editable; based on positional draft cost</t>
        </is>
      </c>
      <c r="L74" t="n">
        <v>6</v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s="8" t="n">
        <v>66.86620000000001</v>
      </c>
      <c r="E75" s="8" t="n">
        <v>149.2</v>
      </c>
      <c r="F75" s="5" t="inlineStr">
        <is>
          <t>A</t>
        </is>
      </c>
      <c r="G75" t="inlineStr">
        <is>
          <t>RATE-ADJUSTED VETERAN</t>
        </is>
      </c>
      <c r="H75" t="inlineStr">
        <is>
          <t>Bench stash/handcuff profile; value is tied to role change or injury ahead.</t>
        </is>
      </c>
      <c r="I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J75" t="inlineStr">
        <is>
          <t>Touchdown variance, receiving-role changes and backfield competition are the main downside paths.</t>
        </is>
      </c>
      <c r="K75" t="inlineStr">
        <is>
          <t>ADP proxy — editable; based on positional draft cost</t>
        </is>
      </c>
      <c r="L75" t="n">
        <v>8</v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s="8" t="n">
        <v>66.53700000000001</v>
      </c>
      <c r="E76" s="8" t="n">
        <v>163.6</v>
      </c>
      <c r="F76" s="5" t="inlineStr">
        <is>
          <t>A</t>
        </is>
      </c>
      <c r="G76" t="inlineStr">
        <is>
          <t>RATE-ADJUSTED VETERAN</t>
        </is>
      </c>
      <c r="H76" t="inlineStr">
        <is>
          <t>Bench stash/handcuff profile; value is tied to role change or injury ahead.</t>
        </is>
      </c>
      <c r="I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J76" t="inlineStr">
        <is>
          <t>Touchdown variance, receiving-role changes and backfield competition are the main downside paths.</t>
        </is>
      </c>
      <c r="K76" t="inlineStr">
        <is>
          <t>ADP proxy — editable; based on positional draft cost</t>
        </is>
      </c>
      <c r="L76" t="n">
        <v>7</v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s="8" t="n">
        <v>66.53100000000001</v>
      </c>
      <c r="E77" s="8" t="n">
        <v>155.8</v>
      </c>
      <c r="F77" s="5" t="inlineStr">
        <is>
          <t>A</t>
        </is>
      </c>
      <c r="G77" t="inlineStr">
        <is>
          <t>RATE-ADJUSTED VETERAN</t>
        </is>
      </c>
      <c r="H77" t="inlineStr">
        <is>
          <t>Bench stash/handcuff profile; value is tied to role change or injury ahead.</t>
        </is>
      </c>
      <c r="I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J77" t="inlineStr">
        <is>
          <t>Touchdown variance, receiving-role changes and backfield competition are the main downside paths.</t>
        </is>
      </c>
      <c r="K77" t="inlineStr">
        <is>
          <t>ADP proxy — editable; based on positional draft cost</t>
        </is>
      </c>
      <c r="L77" t="n">
        <v>8</v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s="8" t="n">
        <v>63.0322</v>
      </c>
      <c r="E78" s="8" t="n">
        <v>164.3</v>
      </c>
      <c r="F78" s="5" t="inlineStr">
        <is>
          <t>A</t>
        </is>
      </c>
      <c r="G78" t="inlineStr">
        <is>
          <t>RATE-ADJUSTED VETERAN</t>
        </is>
      </c>
      <c r="H78" t="inlineStr">
        <is>
          <t>Bench stash/handcuff profile; value is tied to role change or injury ahead.</t>
        </is>
      </c>
      <c r="I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J78" t="inlineStr">
        <is>
          <t>Touchdown variance, receiving-role changes and backfield competition are the main downside paths.</t>
        </is>
      </c>
      <c r="K78" t="inlineStr">
        <is>
          <t>ADP proxy — editable; based on positional draft cost</t>
        </is>
      </c>
      <c r="L78" t="n">
        <v>14</v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s="8" t="n">
        <v>62.5498</v>
      </c>
      <c r="E79" s="8" t="n">
        <v>139.8</v>
      </c>
      <c r="F79" s="5" t="inlineStr">
        <is>
          <t>A</t>
        </is>
      </c>
      <c r="G79" t="inlineStr">
        <is>
          <t>RATE-ADJUSTED VETERAN</t>
        </is>
      </c>
      <c r="H79" t="inlineStr">
        <is>
          <t>Bench stash/handcuff profile; value is tied to role change or injury ahead.</t>
        </is>
      </c>
      <c r="I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J79" t="inlineStr">
        <is>
          <t>Touchdown variance, receiving-role changes and backfield competition are the main downside paths.</t>
        </is>
      </c>
      <c r="K79" t="inlineStr">
        <is>
          <t>ADP proxy — editable; based on positional draft cost</t>
        </is>
      </c>
      <c r="L79" t="n">
        <v>11</v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s="8" t="n">
        <v>62.2</v>
      </c>
      <c r="E80" s="8" t="n">
        <v>109.4</v>
      </c>
      <c r="F80" s="5" t="inlineStr">
        <is>
          <t>C</t>
        </is>
      </c>
      <c r="G80" t="inlineStr">
        <is>
          <t>HISTORY FALLBACK</t>
        </is>
      </c>
      <c r="H80" t="inlineStr">
        <is>
          <t>Bench stash/handcuff profile; value is tied to role change or injury ahead.</t>
        </is>
      </c>
      <c r="I80" t="inlineStr">
        <is>
          <t>The 2026 opportunity and projection carry most of the grade because detailed 2025 rate data is incomplete. Market price is favorable around ADP 191 versus model overall rank 177.</t>
        </is>
      </c>
      <c r="J80" t="inlineStr">
        <is>
          <t>Evidence is thinner than for established veterans, so camp, depth-chart and role news can move the grade materially.</t>
        </is>
      </c>
      <c r="K80" t="inlineStr">
        <is>
          <t>ADP proxy — editable; based on positional draft cost</t>
        </is>
      </c>
      <c r="L80" t="n">
        <v>5</v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s="8" t="n">
        <v>61.9821</v>
      </c>
      <c r="E81" s="8" t="n">
        <v>195.2</v>
      </c>
      <c r="F81" s="5" t="inlineStr">
        <is>
          <t>A</t>
        </is>
      </c>
      <c r="G81" t="inlineStr">
        <is>
          <t>RATE-ADJUSTED VETERAN</t>
        </is>
      </c>
      <c r="H81" t="inlineStr">
        <is>
          <t>Bench stash/handcuff profile; value is tied to role change or injury ahead.</t>
        </is>
      </c>
      <c r="I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J81" t="inlineStr">
        <is>
          <t>Touchdown variance, receiving-role changes and backfield competition are the main downside paths.</t>
        </is>
      </c>
      <c r="K81" t="inlineStr">
        <is>
          <t>ADP proxy — editable; based on positional draft cost</t>
        </is>
      </c>
      <c r="L81" t="n">
        <v>11</v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s="8" t="n">
        <v>60.0092</v>
      </c>
      <c r="E82" s="8" t="n">
        <v>147.7</v>
      </c>
      <c r="F82" s="5" t="inlineStr">
        <is>
          <t>B</t>
        </is>
      </c>
      <c r="G82" t="inlineStr">
        <is>
          <t>HISTORY FALLBACK</t>
        </is>
      </c>
      <c r="H82" t="inlineStr">
        <is>
          <t>Bench stash/handcuff profile; value is tied to role change or injury ahead.</t>
        </is>
      </c>
      <c r="I82" t="inlineStr">
        <is>
          <t>The 2026 opportunity and projection carry most of the grade because detailed 2025 rate data is incomplete. Market price is favorable around ADP 199 versus model overall rank 187.</t>
        </is>
      </c>
      <c r="J82" t="inlineStr">
        <is>
          <t>Touchdown variance, receiving-role changes and backfield competition are the main downside paths.</t>
        </is>
      </c>
      <c r="K82" t="inlineStr">
        <is>
          <t>ADP proxy — editable; based on positional draft cost</t>
        </is>
      </c>
      <c r="L82" t="n">
        <v>6</v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s="8" t="n">
        <v>59.15</v>
      </c>
      <c r="E83" s="8" t="n">
        <v>134.1</v>
      </c>
      <c r="F83" s="5" t="inlineStr">
        <is>
          <t>B</t>
        </is>
      </c>
      <c r="G83" t="inlineStr">
        <is>
          <t>HISTORY FALLBACK</t>
        </is>
      </c>
      <c r="H83" t="inlineStr">
        <is>
          <t>Bench stash/handcuff profile; value is tied to role change or injury ahead.</t>
        </is>
      </c>
      <c r="I83" t="inlineStr">
        <is>
          <t>The 2026 opportunity and projection carry most of the grade because detailed 2025 rate data is incomplete. Market price is favorable around ADP 204 versus model overall rank 191.</t>
        </is>
      </c>
      <c r="J83" t="inlineStr">
        <is>
          <t>Touchdown variance, receiving-role changes and backfield competition are the main downside paths.</t>
        </is>
      </c>
      <c r="K83" t="inlineStr">
        <is>
          <t>ADP proxy — editable; based on positional draft cost</t>
        </is>
      </c>
      <c r="L83" t="n">
        <v>8</v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s="8" t="n">
        <v>54.88</v>
      </c>
      <c r="E84" s="8" t="n">
        <v>165.6</v>
      </c>
      <c r="F84" s="5" t="inlineStr">
        <is>
          <t>B</t>
        </is>
      </c>
      <c r="G84" t="inlineStr">
        <is>
          <t>HISTORY FALLBACK</t>
        </is>
      </c>
      <c r="H84" t="inlineStr">
        <is>
          <t>Bench stash/handcuff profile; value is tied to role change or injury ahead.</t>
        </is>
      </c>
      <c r="I84" t="inlineStr">
        <is>
          <t>The 2026 opportunity and projection carry most of the grade because detailed 2025 rate data is incomplete.</t>
        </is>
      </c>
      <c r="J84" t="inlineStr">
        <is>
          <t>Touchdown variance, receiving-role changes and backfield competition are the main downside paths.</t>
        </is>
      </c>
      <c r="K84" t="inlineStr">
        <is>
          <t>ADP proxy — editable; based on positional draft cost</t>
        </is>
      </c>
      <c r="L84" t="n">
        <v>13</v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s="8" t="n">
        <v>63.4</v>
      </c>
      <c r="E85" s="8" t="n">
        <v>129.6</v>
      </c>
      <c r="F85" s="5" t="inlineStr">
        <is>
          <t>C</t>
        </is>
      </c>
      <c r="G85" t="inlineStr">
        <is>
          <t>ESPN SLOT-IN</t>
        </is>
      </c>
      <c r="H85" t="inlineStr">
        <is>
          <t>Added 2026-08-12 from ESPN consensus (RB44).</t>
        </is>
      </c>
      <c r="I85" t="inlineStr">
        <is>
          <t>Not in the original model pool; rating interpolated from the players ESPN ranks directly around him, so he sits at his consensus slot on our board.</t>
        </is>
      </c>
      <c r="J85" t="inlineStr">
        <is>
          <t>No model projection behind this rating; it is market consensus only. Re-rate manually if you have a strong opinion.</t>
        </is>
      </c>
      <c r="K85" t="inlineStr">
        <is>
          <t>ESPN consensus slot-in 2026-08-12</t>
        </is>
      </c>
      <c r="L85" t="n">
        <v>9</v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s="8" t="n">
        <v>59</v>
      </c>
      <c r="E86" s="8" t="n">
        <v>160.2</v>
      </c>
      <c r="F86" s="5" t="inlineStr">
        <is>
          <t>C</t>
        </is>
      </c>
      <c r="G86" t="inlineStr">
        <is>
          <t>ESPN SLOT-IN</t>
        </is>
      </c>
      <c r="H86" t="inlineStr">
        <is>
          <t>Added 2026-08-12 from ESPN consensus (RB46).</t>
        </is>
      </c>
      <c r="I86" t="inlineStr">
        <is>
          <t>Not in the original model pool; rating interpolated from the players ESPN ranks directly around him, so he sits at his consensus slot on our board.</t>
        </is>
      </c>
      <c r="J86" t="inlineStr">
        <is>
          <t>No model projection behind this rating; it is market consensus only. Re-rate manually if you have a strong opinion.</t>
        </is>
      </c>
      <c r="K86" t="inlineStr">
        <is>
          <t>ESPN consensus slot-in 2026-08-12</t>
        </is>
      </c>
      <c r="L86" t="n">
        <v>7</v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s="8" t="n">
        <v>96.7323</v>
      </c>
      <c r="E87" s="8" t="n">
        <v>3.1</v>
      </c>
      <c r="F87" s="5" t="inlineStr">
        <is>
          <t>A</t>
        </is>
      </c>
      <c r="G87" t="inlineStr">
        <is>
          <t>HISTORY FALLBACK</t>
        </is>
      </c>
      <c r="H87" t="inlineStr">
        <is>
          <t>Elite WR1 and first-round caliber target with overall WR1 upside.</t>
        </is>
      </c>
      <c r="I87" t="inlineStr">
        <is>
          <t>He produced 19.6 PPR/FP points per game across 16 games. The workload/efficiency profile gives the model a rate-based reason to keep him here.</t>
        </is>
      </c>
      <c r="J87" t="inlineStr">
        <is>
          <t>Target competition, quarterback efficiency and touchdown regression are the main downside paths.</t>
        </is>
      </c>
      <c r="K87" t="inlineStr">
        <is>
          <t>https://www.fantasypros.com/nfl/adp/ppr-overall.php</t>
        </is>
      </c>
      <c r="L87" t="n">
        <v>6</v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s="8" t="n">
        <v>98.4859</v>
      </c>
      <c r="E88" s="8" t="n">
        <v>2.8</v>
      </c>
      <c r="F88" s="5" t="inlineStr">
        <is>
          <t>A</t>
        </is>
      </c>
      <c r="G88" t="inlineStr">
        <is>
          <t>HISTORY FALLBACK</t>
        </is>
      </c>
      <c r="H88" t="inlineStr">
        <is>
          <t>Elite WR1 and first-round caliber target with overall WR1 upside.</t>
        </is>
      </c>
      <c r="I88" t="inlineStr">
        <is>
          <t>He produced 23.5 PPR/FP points per game across 16 games. The workload/efficiency profile gives the model a rate-based reason to keep him here.</t>
        </is>
      </c>
      <c r="J88" t="inlineStr">
        <is>
          <t>Target competition, quarterback efficiency and touchdown regression are the main downside paths.</t>
        </is>
      </c>
      <c r="K88" t="inlineStr">
        <is>
          <t>https://www.fantasypros.com/nfl/adp/ppr-overall.php</t>
        </is>
      </c>
      <c r="L88" t="n">
        <v>11</v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s="8" t="n">
        <v>94.07989999999999</v>
      </c>
      <c r="E89" s="8" t="n">
        <v>5.5</v>
      </c>
      <c r="F89" s="5" t="inlineStr">
        <is>
          <t>A</t>
        </is>
      </c>
      <c r="G89" t="inlineStr">
        <is>
          <t>HISTORY FALLBACK</t>
        </is>
      </c>
      <c r="H89" t="inlineStr">
        <is>
          <t>Elite WR1 and first-round caliber target with overall WR1 upside.</t>
        </is>
      </c>
      <c r="I89" t="inlineStr">
        <is>
          <t>He produced 21.2 PPR/FP points per game across 17 games. The workload/efficiency profile gives the model a rate-based reason to keep him here.</t>
        </is>
      </c>
      <c r="J89" t="inlineStr">
        <is>
          <t>Target competition, quarterback efficiency and touchdown regression are the main downside paths.</t>
        </is>
      </c>
      <c r="K89" t="inlineStr">
        <is>
          <t>https://www.fantasypros.com/nfl/adp/ppr-overall.php</t>
        </is>
      </c>
      <c r="L89" t="n">
        <v>11</v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s="8" t="n">
        <v>93.26390000000001</v>
      </c>
      <c r="E90" s="8" t="n">
        <v>7</v>
      </c>
      <c r="F90" s="5" t="inlineStr">
        <is>
          <t>A</t>
        </is>
      </c>
      <c r="G90" t="inlineStr">
        <is>
          <t>HISTORY FALLBACK</t>
        </is>
      </c>
      <c r="H90" t="inlineStr">
        <is>
          <t>Elite WR1 and first-round caliber target with overall WR1 upside.</t>
        </is>
      </c>
      <c r="I90" t="inlineStr">
        <is>
          <t>He produced 19.1 PPR/FP points per game across 17 games. The workload/efficiency profile gives the model a rate-based reason to keep him here.</t>
        </is>
      </c>
      <c r="J90" t="inlineStr">
        <is>
          <t>Target competition, quarterback efficiency and touchdown regression are the main downside paths.</t>
        </is>
      </c>
      <c r="K90" t="inlineStr">
        <is>
          <t>https://www.fantasypros.com/nfl/adp/ppr-overall.php</t>
        </is>
      </c>
      <c r="L90" t="n">
        <v>6</v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s="8" t="n">
        <v>83.23569999999999</v>
      </c>
      <c r="E91" s="8" t="n">
        <v>17.8</v>
      </c>
      <c r="F91" s="5" t="inlineStr">
        <is>
          <t>A</t>
        </is>
      </c>
      <c r="G91" t="inlineStr">
        <is>
          <t>HISTORY FALLBACK</t>
        </is>
      </c>
      <c r="H91" t="inlineStr">
        <is>
          <t>Strong WR2 with top-12 weekly upside.</t>
        </is>
      </c>
      <c r="I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J91" t="inlineStr">
        <is>
          <t>Price is the biggest risk: the market currently asks you to draft him earlier than the model prefers.</t>
        </is>
      </c>
      <c r="K91" t="inlineStr">
        <is>
          <t>https://www.fantasypros.com/nfl/adp/ppr-overall.php</t>
        </is>
      </c>
      <c r="L91" t="n">
        <v>11</v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s="8" t="n">
        <v>85.7426</v>
      </c>
      <c r="E92" s="8" t="n">
        <v>11.2</v>
      </c>
      <c r="F92" s="5" t="inlineStr">
        <is>
          <t>A</t>
        </is>
      </c>
      <c r="G92" t="inlineStr">
        <is>
          <t>HISTORY FALLBACK</t>
        </is>
      </c>
      <c r="H92" t="inlineStr">
        <is>
          <t>Strong WR1; bankable weekly starter with spike-week ceiling.</t>
        </is>
      </c>
      <c r="I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J92" t="inlineStr">
        <is>
          <t>Price is the biggest risk: the market currently asks you to draft him earlier than the model prefers.</t>
        </is>
      </c>
      <c r="K92" t="inlineStr">
        <is>
          <t>https://www.fantasypros.com/nfl/adp/ppr-overall.php</t>
        </is>
      </c>
      <c r="L92" t="n">
        <v>14</v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s="8" t="n">
        <v>84.7936</v>
      </c>
      <c r="E93" s="8" t="n">
        <v>14.6</v>
      </c>
      <c r="F93" s="5" t="inlineStr">
        <is>
          <t>A</t>
        </is>
      </c>
      <c r="G93" t="inlineStr">
        <is>
          <t>HISTORY FALLBACK</t>
        </is>
      </c>
      <c r="H93" t="inlineStr">
        <is>
          <t>Strong WR2 with top-12 weekly upside.</t>
        </is>
      </c>
      <c r="I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J93" t="inlineStr">
        <is>
          <t>Vikings passing game efficiency, QB play quality, and target volume in a run-first offense are the main downside paths. Price compounds the risk.</t>
        </is>
      </c>
      <c r="K93" t="inlineStr">
        <is>
          <t>https://www.fantasypros.com/nfl/adp/ppr-overall.php</t>
        </is>
      </c>
      <c r="L93" t="n">
        <v>6</v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s="8" t="n">
        <v>81.8366</v>
      </c>
      <c r="E94" s="8" t="n">
        <v>21.1</v>
      </c>
      <c r="F94" s="5" t="inlineStr">
        <is>
          <t>A</t>
        </is>
      </c>
      <c r="G94" t="inlineStr">
        <is>
          <t>HISTORY FALLBACK</t>
        </is>
      </c>
      <c r="H94" t="inlineStr">
        <is>
          <t>Strong WR2 with top-12 weekly upside.</t>
        </is>
      </c>
      <c r="I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J94" t="inlineStr">
        <is>
          <t>Price is the biggest risk: the market currently asks you to draft him earlier than the model prefers.</t>
        </is>
      </c>
      <c r="K94" t="inlineStr">
        <is>
          <t>https://www.fantasypros.com/nfl/adp/ppr-overall.php</t>
        </is>
      </c>
      <c r="L94" t="n">
        <v>14</v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s="8" t="n">
        <v>87.5106</v>
      </c>
      <c r="E95" s="8" t="n">
        <v>10.2</v>
      </c>
      <c r="F95" s="5" t="inlineStr">
        <is>
          <t>A</t>
        </is>
      </c>
      <c r="G95" t="inlineStr">
        <is>
          <t>HISTORY FALLBACK</t>
        </is>
      </c>
      <c r="H95" t="inlineStr">
        <is>
          <t>Strong WR1; bankable weekly starter with spike-week ceiling.</t>
        </is>
      </c>
      <c r="I95" t="inlineStr">
        <is>
          <t>He produced 16.9 PPR/FP points per game across 12 games. The workload/efficiency profile gives the model a rate-based reason to keep him here.</t>
        </is>
      </c>
      <c r="J95" t="inlineStr">
        <is>
          <t>Target competition, quarterback efficiency and touchdown regression are the main downside paths.</t>
        </is>
      </c>
      <c r="K95" t="inlineStr">
        <is>
          <t>https://www.fantasypros.com/nfl/adp/ppr-overall.php</t>
        </is>
      </c>
      <c r="L95" t="n">
        <v>11</v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s="8" t="n">
        <v>91.49250000000001</v>
      </c>
      <c r="E96" s="8" t="n">
        <v>23.8</v>
      </c>
      <c r="F96" s="5" t="inlineStr">
        <is>
          <t>B</t>
        </is>
      </c>
      <c r="G96" t="inlineStr">
        <is>
          <t>HISTORY FALLBACK</t>
        </is>
      </c>
      <c r="H96" t="inlineStr">
        <is>
          <t>Elite WR1 and first-round caliber target with overall WR1 upside.</t>
        </is>
      </c>
      <c r="I96" t="inlineStr">
        <is>
          <t>He produced 15.0 PPR/FP points per game across 15 games. The workload/efficiency profile gives the model a rate-based reason to keep him here.</t>
        </is>
      </c>
      <c r="J96" t="inlineStr">
        <is>
          <t>Target competition, quarterback efficiency and touchdown regression are the main downside paths.</t>
        </is>
      </c>
      <c r="K96" t="inlineStr">
        <is>
          <t>https://www.fantasypros.com/nfl/adp/ppr-overall.php</t>
        </is>
      </c>
      <c r="L96" t="n">
        <v>8</v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s="8" t="n">
        <v>84.0947</v>
      </c>
      <c r="E97" s="8" t="n">
        <v>11.5</v>
      </c>
      <c r="F97" s="5" t="inlineStr">
        <is>
          <t>A</t>
        </is>
      </c>
      <c r="G97" t="inlineStr">
        <is>
          <t>HISTORY FALLBACK</t>
        </is>
      </c>
      <c r="H97" t="inlineStr">
        <is>
          <t>Strong WR2 with top-12 weekly upside.</t>
        </is>
      </c>
      <c r="I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J97" t="inlineStr">
        <is>
          <t>Availability/sample risk is elevated after only 8 games; talent is not being punished as heavily as durability.</t>
        </is>
      </c>
      <c r="K97" t="inlineStr">
        <is>
          <t>https://www.fantasypros.com/nfl/adp/ppr-overall.php</t>
        </is>
      </c>
      <c r="L97" t="n">
        <v>5</v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s="8" t="n">
        <v>88.9075</v>
      </c>
      <c r="E98" s="8" t="n">
        <v>20.4</v>
      </c>
      <c r="F98" s="5" t="inlineStr">
        <is>
          <t>B</t>
        </is>
      </c>
      <c r="G98" t="inlineStr">
        <is>
          <t>HISTORY FALLBACK</t>
        </is>
      </c>
      <c r="H98" t="inlineStr">
        <is>
          <t>Strong WR1; bankable weekly starter with spike-week ceiling.</t>
        </is>
      </c>
      <c r="I98" t="inlineStr">
        <is>
          <t>He produced 16.9 PPR/FP points per game across 16 games. The workload/efficiency profile gives the model a rate-based reason to keep him here.</t>
        </is>
      </c>
      <c r="J98" t="inlineStr">
        <is>
          <t>Target competition, quarterback efficiency and touchdown regression are the main downside paths.</t>
        </is>
      </c>
      <c r="K98" t="inlineStr">
        <is>
          <t>https://www.fantasypros.com/nfl/adp/ppr-overall.php</t>
        </is>
      </c>
      <c r="L98" t="n">
        <v>8</v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s="8" t="n">
        <v>85.73999999999999</v>
      </c>
      <c r="E99" s="8" t="n">
        <v>34.4</v>
      </c>
      <c r="F99" s="5" t="inlineStr">
        <is>
          <t>B</t>
        </is>
      </c>
      <c r="G99" t="inlineStr">
        <is>
          <t>HISTORY FALLBACK</t>
        </is>
      </c>
      <c r="H99" t="inlineStr">
        <is>
          <t>Strong WR1; bankable weekly starter with spike-week ceiling.</t>
        </is>
      </c>
      <c r="I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J99" t="inlineStr">
        <is>
          <t>Target competition, quarterback efficiency and touchdown regression are the main downside paths.</t>
        </is>
      </c>
      <c r="K99" t="inlineStr">
        <is>
          <t>ADP proxy — editable; based on positional draft cost</t>
        </is>
      </c>
      <c r="L99" t="n">
        <v>5</v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s="8" t="n">
        <v>84.82250000000001</v>
      </c>
      <c r="E100" s="8" t="n">
        <v>38.6</v>
      </c>
      <c r="F100" s="5" t="inlineStr">
        <is>
          <t>B</t>
        </is>
      </c>
      <c r="G100" t="inlineStr">
        <is>
          <t>HISTORY FALLBACK</t>
        </is>
      </c>
      <c r="H100" t="inlineStr">
        <is>
          <t>Strong WR2 with top-12 weekly upside.</t>
        </is>
      </c>
      <c r="I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J100" t="inlineStr">
        <is>
          <t>Target competition, quarterback efficiency and touchdown regression are the main downside paths.</t>
        </is>
      </c>
      <c r="K100" t="inlineStr">
        <is>
          <t>ADP proxy — editable; based on positional draft cost</t>
        </is>
      </c>
      <c r="L100" t="n">
        <v>6</v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s="8" t="n">
        <v>86.155</v>
      </c>
      <c r="E101" s="8" t="n">
        <v>29</v>
      </c>
      <c r="F101" s="5" t="inlineStr">
        <is>
          <t>B</t>
        </is>
      </c>
      <c r="G101" t="inlineStr">
        <is>
          <t>HISTORY FALLBACK</t>
        </is>
      </c>
      <c r="H101" t="inlineStr">
        <is>
          <t>Strong WR1; bankable weekly starter with spike-week ceiling.</t>
        </is>
      </c>
      <c r="I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J101" t="inlineStr">
        <is>
          <t>Availability/sample risk is elevated after only 7 games; talent is not being punished as heavily as durability.</t>
        </is>
      </c>
      <c r="K101" t="inlineStr">
        <is>
          <t>ADP proxy — editable; based on positional draft cost</t>
        </is>
      </c>
      <c r="L101" t="n">
        <v>13</v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s="8" t="n">
        <v>87.4875</v>
      </c>
      <c r="E102" s="8" t="n">
        <v>29.5</v>
      </c>
      <c r="F102" s="5" t="inlineStr">
        <is>
          <t>B</t>
        </is>
      </c>
      <c r="G102" t="inlineStr">
        <is>
          <t>HISTORY FALLBACK</t>
        </is>
      </c>
      <c r="H102" t="inlineStr">
        <is>
          <t>Strong WR1; bankable weekly starter with spike-week ceiling.</t>
        </is>
      </c>
      <c r="I102" t="inlineStr">
        <is>
          <t>He produced 11.8 PPR/FP points per game across 17 games. The workload/efficiency profile gives the model a rate-based reason to keep him here.</t>
        </is>
      </c>
      <c r="J102" t="inlineStr">
        <is>
          <t>Target competition, quarterback efficiency and touchdown regression are the main downside paths.</t>
        </is>
      </c>
      <c r="K102" t="inlineStr">
        <is>
          <t>https://www.fantasypros.com/nfl/adp/ppr-overall.php</t>
        </is>
      </c>
      <c r="L102" t="n">
        <v>10</v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s="8" t="n">
        <v>86.56999999999999</v>
      </c>
      <c r="E103" s="8" t="n">
        <v>26.4</v>
      </c>
      <c r="F103" s="5" t="inlineStr">
        <is>
          <t>B</t>
        </is>
      </c>
      <c r="G103" t="inlineStr">
        <is>
          <t>HISTORY FALLBACK</t>
        </is>
      </c>
      <c r="H103" t="inlineStr">
        <is>
          <t>Strong WR1; bankable weekly starter with spike-week ceiling.</t>
        </is>
      </c>
      <c r="I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J103" t="inlineStr">
        <is>
          <t>Target competition, quarterback efficiency and touchdown regression are the main downside paths.</t>
        </is>
      </c>
      <c r="K103" t="inlineStr">
        <is>
          <t>ADP proxy — editable; based on positional draft cost</t>
        </is>
      </c>
      <c r="L103" t="n">
        <v>13</v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s="8" t="n">
        <v>81.1525</v>
      </c>
      <c r="E104" s="8" t="n">
        <v>31.9</v>
      </c>
      <c r="F104" s="5" t="inlineStr">
        <is>
          <t>C</t>
        </is>
      </c>
      <c r="G104" t="inlineStr">
        <is>
          <t>HISTORY FALLBACK</t>
        </is>
      </c>
      <c r="H104" t="inlineStr">
        <is>
          <t>Strong WR2 with top-12 weekly upside.</t>
        </is>
      </c>
      <c r="I104" t="inlineStr">
        <is>
          <t>The 2026 opportunity and projection carry most of the grade because detailed 2025 rate data is incomplete. Market price is favorable around ADP 69 versus model overall rank 57.</t>
        </is>
      </c>
      <c r="J104" t="inlineStr">
        <is>
          <t>Evidence is thinner than for established veterans, so camp, depth-chart and role news can move the grade materially.</t>
        </is>
      </c>
      <c r="K104" t="inlineStr">
        <is>
          <t>ADP proxy — editable; based on positional draft cost</t>
        </is>
      </c>
      <c r="L104" t="n">
        <v>8</v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s="8" t="n">
        <v>81.735</v>
      </c>
      <c r="E105" s="8" t="n">
        <v>34.4</v>
      </c>
      <c r="F105" s="5" t="inlineStr">
        <is>
          <t>C</t>
        </is>
      </c>
      <c r="G105" t="inlineStr">
        <is>
          <t>HISTORY FALLBACK</t>
        </is>
      </c>
      <c r="H105" t="inlineStr">
        <is>
          <t>Strong WR2 with top-12 weekly upside.</t>
        </is>
      </c>
      <c r="I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J105" t="inlineStr">
        <is>
          <t>Target competition, quarterback efficiency and touchdown regression are the main downside paths.</t>
        </is>
      </c>
      <c r="K105" t="inlineStr">
        <is>
          <t>ADP proxy — editable; based on positional draft cost</t>
        </is>
      </c>
      <c r="L105" t="n">
        <v>10</v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s="8" t="n">
        <v>82.3175</v>
      </c>
      <c r="E106" s="8" t="n">
        <v>48.9</v>
      </c>
      <c r="F106" s="5" t="inlineStr">
        <is>
          <t>C</t>
        </is>
      </c>
      <c r="G106" t="inlineStr">
        <is>
          <t>HISTORY FALLBACK</t>
        </is>
      </c>
      <c r="H106" t="inlineStr">
        <is>
          <t>Strong WR2 with top-12 weekly upside.</t>
        </is>
      </c>
      <c r="I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J106" t="inlineStr">
        <is>
          <t>Target competition, quarterback efficiency and touchdown regression are the main downside paths.</t>
        </is>
      </c>
      <c r="K106" t="inlineStr">
        <is>
          <t>ADP proxy — editable; based on positional draft cost</t>
        </is>
      </c>
      <c r="L106" t="n">
        <v>10</v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s="8" t="n">
        <v>79.90000000000001</v>
      </c>
      <c r="E107" s="8" t="n">
        <v>43</v>
      </c>
      <c r="F107" s="5" t="inlineStr">
        <is>
          <t>C</t>
        </is>
      </c>
      <c r="G107" t="inlineStr">
        <is>
          <t>HISTORY FALLBACK</t>
        </is>
      </c>
      <c r="H107" t="inlineStr">
        <is>
          <t>Strong WR2 with top-12 weekly upside.</t>
        </is>
      </c>
      <c r="I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J107" t="inlineStr">
        <is>
          <t>Target competition, quarterback efficiency and touchdown regression are the main downside paths.</t>
        </is>
      </c>
      <c r="K107" t="inlineStr">
        <is>
          <t>ADP proxy — editable; based on positional draft cost</t>
        </is>
      </c>
      <c r="L107" t="n">
        <v>7</v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s="8" t="n">
        <v>82.7325</v>
      </c>
      <c r="E108" s="8" t="n">
        <v>44.3</v>
      </c>
      <c r="F108" s="5" t="inlineStr">
        <is>
          <t>B</t>
        </is>
      </c>
      <c r="G108" t="inlineStr">
        <is>
          <t>HISTORY FALLBACK</t>
        </is>
      </c>
      <c r="H108" t="inlineStr">
        <is>
          <t>Strong WR2 with top-12 weekly upside.</t>
        </is>
      </c>
      <c r="I108" t="inlineStr">
        <is>
          <t>The 2026 opportunity and projection carry most of the grade because detailed 2025 rate data is incomplete. Market price is favorable around ADP 85 versus model overall rank 51.</t>
        </is>
      </c>
      <c r="J108" t="inlineStr">
        <is>
          <t>Target competition, quarterback efficiency and touchdown regression are the main downside paths.</t>
        </is>
      </c>
      <c r="K108" t="inlineStr">
        <is>
          <t>ADP proxy — editable; based on positional draft cost</t>
        </is>
      </c>
      <c r="L108" t="n">
        <v>7</v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s="8" t="n">
        <v>78.065</v>
      </c>
      <c r="E109" s="8" t="n">
        <v>41.5</v>
      </c>
      <c r="F109" s="5" t="inlineStr">
        <is>
          <t>C</t>
        </is>
      </c>
      <c r="G109" t="inlineStr">
        <is>
          <t>HISTORY FALLBACK</t>
        </is>
      </c>
      <c r="H109" t="inlineStr">
        <is>
          <t>Strong WR2 with top-12 weekly upside.</t>
        </is>
      </c>
      <c r="I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J109" t="inlineStr">
        <is>
          <t>Target competition, quarterback efficiency and touchdown regression are the main downside paths.</t>
        </is>
      </c>
      <c r="K109" t="inlineStr">
        <is>
          <t>ADP proxy — editable; based on positional draft cost</t>
        </is>
      </c>
      <c r="L109" t="n">
        <v>11</v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s="8" t="n">
        <v>78.64749999999999</v>
      </c>
      <c r="E110" s="8" t="n">
        <v>53.1</v>
      </c>
      <c r="F110" s="5" t="inlineStr">
        <is>
          <t>C</t>
        </is>
      </c>
      <c r="G110" t="inlineStr">
        <is>
          <t>HISTORY FALLBACK</t>
        </is>
      </c>
      <c r="H110" t="inlineStr">
        <is>
          <t>Strong WR2 with top-12 weekly upside.</t>
        </is>
      </c>
      <c r="I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J110" t="inlineStr">
        <is>
          <t>Target competition, quarterback efficiency and touchdown regression are the main downside paths.</t>
        </is>
      </c>
      <c r="K110" t="inlineStr">
        <is>
          <t>ADP proxy — editable; based on positional draft cost</t>
        </is>
      </c>
      <c r="L110" t="n">
        <v>10</v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s="8" t="n">
        <v>75.48</v>
      </c>
      <c r="E111" s="8" t="n">
        <v>52.9</v>
      </c>
      <c r="F111" s="5" t="inlineStr">
        <is>
          <t>C</t>
        </is>
      </c>
      <c r="G111" t="inlineStr">
        <is>
          <t>HISTORY FALLBACK</t>
        </is>
      </c>
      <c r="H111" t="inlineStr">
        <is>
          <t>WR2/FLEX; dependable lineup option with matchup-driven ceiling.</t>
        </is>
      </c>
      <c r="I111" t="inlineStr">
        <is>
          <t>He produced 10.0 PPR/FP points per game across 17 games. The workload/efficiency profile gives the model a rate-based reason to keep him here.</t>
        </is>
      </c>
      <c r="J111" t="inlineStr">
        <is>
          <t>Target competition, quarterback efficiency and touchdown regression are the main downside paths.</t>
        </is>
      </c>
      <c r="K111" t="inlineStr">
        <is>
          <t>ADP proxy — editable; based on positional draft cost</t>
        </is>
      </c>
      <c r="L111" t="n">
        <v>7</v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s="8" t="n">
        <v>76.0625</v>
      </c>
      <c r="E112" s="8" t="n">
        <v>45.8</v>
      </c>
      <c r="F112" s="5" t="inlineStr">
        <is>
          <t>C</t>
        </is>
      </c>
      <c r="G112" t="inlineStr">
        <is>
          <t>HISTORY FALLBACK</t>
        </is>
      </c>
      <c r="H112" t="inlineStr">
        <is>
          <t>WR2/FLEX; dependable lineup option with matchup-driven ceiling.</t>
        </is>
      </c>
      <c r="I112" t="inlineStr">
        <is>
          <t>He produced 12.9 PPR/FP points per game across 17 games. The workload/efficiency profile gives the model a rate-based reason to keep him here.</t>
        </is>
      </c>
      <c r="J112" t="inlineStr">
        <is>
          <t>Target competition, quarterback efficiency and touchdown regression are the main downside paths.</t>
        </is>
      </c>
      <c r="K112" t="inlineStr">
        <is>
          <t>ADP proxy — editable; based on positional draft cost</t>
        </is>
      </c>
      <c r="L112" t="n">
        <v>6</v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s="8" t="n">
        <v>73.645</v>
      </c>
      <c r="E113" s="8" t="n">
        <v>49.3</v>
      </c>
      <c r="F113" s="5" t="inlineStr">
        <is>
          <t>C</t>
        </is>
      </c>
      <c r="G113" t="inlineStr">
        <is>
          <t>HISTORY FALLBACK</t>
        </is>
      </c>
      <c r="H113" t="inlineStr">
        <is>
          <t>WR2/FLEX; dependable lineup option with matchup-driven ceiling.</t>
        </is>
      </c>
      <c r="I113" t="inlineStr">
        <is>
          <t>He produced 12.2 PPR/FP points per game across 12 games. The workload/efficiency profile gives the model a rate-based reason to keep him here.</t>
        </is>
      </c>
      <c r="J113" t="inlineStr">
        <is>
          <t>Target competition, quarterback efficiency and touchdown regression are the main downside paths.</t>
        </is>
      </c>
      <c r="K113" t="inlineStr">
        <is>
          <t>ADP proxy — editable; based on positional draft cost</t>
        </is>
      </c>
      <c r="L113" t="n">
        <v>10</v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s="8" t="n">
        <v>76.47750000000001</v>
      </c>
      <c r="E114" s="8" t="n">
        <v>59.4</v>
      </c>
      <c r="F114" s="5" t="inlineStr">
        <is>
          <t>C</t>
        </is>
      </c>
      <c r="G114" t="inlineStr">
        <is>
          <t>HISTORY FALLBACK</t>
        </is>
      </c>
      <c r="H114" t="inlineStr">
        <is>
          <t>WR2/FLEX; dependable lineup option with matchup-driven ceiling.</t>
        </is>
      </c>
      <c r="I114" t="inlineStr">
        <is>
          <t>The 2026 opportunity and projection carry most of the grade because detailed 2025 rate data is incomplete. Market price is favorable around ADP 108 versus model overall rank 91.</t>
        </is>
      </c>
      <c r="J114" t="inlineStr">
        <is>
          <t>Evidence is thinner than for established veterans, so camp, depth-chart and role news can move the grade materially.</t>
        </is>
      </c>
      <c r="K114" t="inlineStr">
        <is>
          <t>ADP proxy — editable; based on positional draft cost</t>
        </is>
      </c>
      <c r="L114" t="n">
        <v>8</v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s="8" t="n">
        <v>71.81</v>
      </c>
      <c r="E115" s="8" t="n">
        <v>63.9</v>
      </c>
      <c r="F115" s="5" t="inlineStr">
        <is>
          <t>C</t>
        </is>
      </c>
      <c r="G115" t="inlineStr">
        <is>
          <t>HISTORY FALLBACK</t>
        </is>
      </c>
      <c r="H115" t="inlineStr">
        <is>
          <t>FLEX/bench receiver; needs target growth or efficiency spikes.</t>
        </is>
      </c>
      <c r="I115" t="inlineStr">
        <is>
          <t>He produced 10.6 PPR/FP points per game across 12 games. The workload/efficiency profile gives the model a rate-based reason to keep him here.</t>
        </is>
      </c>
      <c r="J115" t="inlineStr">
        <is>
          <t>Target competition, quarterback efficiency and touchdown regression are the main downside paths.</t>
        </is>
      </c>
      <c r="K115" t="inlineStr">
        <is>
          <t>ADP proxy — editable; based on positional draft cost</t>
        </is>
      </c>
      <c r="L115" t="n">
        <v>14</v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s="8" t="n">
        <v>73.8925</v>
      </c>
      <c r="E116" s="8" t="n">
        <v>70.90000000000001</v>
      </c>
      <c r="F116" s="5" t="inlineStr">
        <is>
          <t>C</t>
        </is>
      </c>
      <c r="G116" t="inlineStr">
        <is>
          <t>HISTORY FALLBACK</t>
        </is>
      </c>
      <c r="H116" t="inlineStr">
        <is>
          <t>WR2/FLEX; dependable lineup option with matchup-driven ceiling.</t>
        </is>
      </c>
      <c r="I116" t="inlineStr">
        <is>
          <t>He produced 13.2 PPR/FP points per game across 10 games. The workload/efficiency profile gives the model a rate-based reason to keep him here.</t>
        </is>
      </c>
      <c r="J116" t="inlineStr">
        <is>
          <t>Target competition, quarterback efficiency and touchdown regression are the main downside paths.</t>
        </is>
      </c>
      <c r="K116" t="inlineStr">
        <is>
          <t>ADP proxy — editable; based on positional draft cost</t>
        </is>
      </c>
      <c r="L116" t="n">
        <v>11</v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s="8" t="n">
        <v>70.72499999999999</v>
      </c>
      <c r="E117" s="8" t="n">
        <v>55.3</v>
      </c>
      <c r="F117" s="5" t="inlineStr">
        <is>
          <t>C</t>
        </is>
      </c>
      <c r="G117" t="inlineStr">
        <is>
          <t>HISTORY FALLBACK</t>
        </is>
      </c>
      <c r="H117" t="inlineStr">
        <is>
          <t>FLEX/bench receiver; needs target growth or efficiency spikes.</t>
        </is>
      </c>
      <c r="I117" t="inlineStr">
        <is>
          <t>He produced 12.2 PPR/FP points per game across 15 games. The workload/efficiency profile gives the model a rate-based reason to keep him here.</t>
        </is>
      </c>
      <c r="J117" t="inlineStr">
        <is>
          <t>Target competition, quarterback efficiency and touchdown regression are the main downside paths.</t>
        </is>
      </c>
      <c r="K117" t="inlineStr">
        <is>
          <t>ADP proxy — editable; based on positional draft cost</t>
        </is>
      </c>
      <c r="L117" t="n">
        <v>13</v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s="8" t="n">
        <v>69.8075</v>
      </c>
      <c r="E118" s="8" t="n">
        <v>65.90000000000001</v>
      </c>
      <c r="F118" s="5" t="inlineStr">
        <is>
          <t>C</t>
        </is>
      </c>
      <c r="G118" t="inlineStr">
        <is>
          <t>HISTORY FALLBACK</t>
        </is>
      </c>
      <c r="H118" t="inlineStr">
        <is>
          <t>FLEX/bench receiver; needs target growth or efficiency spikes.</t>
        </is>
      </c>
      <c r="I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J118" t="inlineStr">
        <is>
          <t>Price is the biggest risk: the market currently asks you to draft him earlier than the model prefers.</t>
        </is>
      </c>
      <c r="K118" t="inlineStr">
        <is>
          <t>ADP proxy — editable; based on positional draft cost</t>
        </is>
      </c>
      <c r="L118" t="n">
        <v>9</v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s="8" t="n">
        <v>71.89</v>
      </c>
      <c r="E119" s="8" t="n">
        <v>77.40000000000001</v>
      </c>
      <c r="F119" s="5" t="inlineStr">
        <is>
          <t>C</t>
        </is>
      </c>
      <c r="G119" t="inlineStr">
        <is>
          <t>HISTORY FALLBACK</t>
        </is>
      </c>
      <c r="H119" t="inlineStr">
        <is>
          <t>WR2/FLEX; dependable lineup option with matchup-driven ceiling.</t>
        </is>
      </c>
      <c r="I119" t="inlineStr">
        <is>
          <t>Rookie score 95.1, backed by No. 4 draft capital and a 6.71 NFL prospect grade. The 2026 role projection is strong enough to replace missing NFL history.</t>
        </is>
      </c>
      <c r="J119" t="inlineStr">
        <is>
          <t>NFL translation and exact weekly role are the main variables; preseason first-team usage can move this rating quickly.</t>
        </is>
      </c>
      <c r="K119" t="inlineStr">
        <is>
          <t>ADP proxy — editable; based on positional draft cost</t>
        </is>
      </c>
      <c r="L119" t="n">
        <v>9</v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s="8" t="n">
        <v>68.7225</v>
      </c>
      <c r="E120" s="8" t="n">
        <v>59.6</v>
      </c>
      <c r="F120" s="5" t="inlineStr">
        <is>
          <t>C</t>
        </is>
      </c>
      <c r="G120" t="inlineStr">
        <is>
          <t>HISTORY FALLBACK</t>
        </is>
      </c>
      <c r="H120" t="inlineStr">
        <is>
          <t>FLEX/bench receiver; needs target growth or efficiency spikes.</t>
        </is>
      </c>
      <c r="I120" t="inlineStr">
        <is>
          <t>He produced 13.0 PPR/FP points per game across 17 games. The workload/efficiency profile gives the model a rate-based reason to keep him here.</t>
        </is>
      </c>
      <c r="J120" t="inlineStr">
        <is>
          <t>Target competition, quarterback efficiency and touchdown regression are the main downside paths.</t>
        </is>
      </c>
      <c r="K120" t="inlineStr">
        <is>
          <t>ADP proxy — editable; based on positional draft cost</t>
        </is>
      </c>
      <c r="L120" t="n">
        <v>10</v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s="8" t="n">
        <v>76.22</v>
      </c>
      <c r="E121" s="8" t="n">
        <v>87.09999999999999</v>
      </c>
      <c r="F121" s="5" t="inlineStr">
        <is>
          <t>C</t>
        </is>
      </c>
      <c r="G121" t="inlineStr">
        <is>
          <t>HISTORY FALLBACK</t>
        </is>
      </c>
      <c r="H121" t="inlineStr">
        <is>
          <t>WR2/FLEX; dependable lineup option with matchup-driven ceiling.</t>
        </is>
      </c>
      <c r="I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J121" t="inlineStr">
        <is>
          <t>NFL translation and exact weekly role are the main variables; preseason first-team usage can move this rating quickly.</t>
        </is>
      </c>
      <c r="K121" t="inlineStr">
        <is>
          <t>ADP proxy — editable; based on positional draft cost</t>
        </is>
      </c>
      <c r="L121" t="n">
        <v>8</v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s="8" t="n">
        <v>75.55</v>
      </c>
      <c r="E122" s="8" t="n">
        <v>72.2</v>
      </c>
      <c r="F122" s="5" t="inlineStr">
        <is>
          <t>C</t>
        </is>
      </c>
      <c r="G122" t="inlineStr">
        <is>
          <t>HISTORY FALLBACK</t>
        </is>
      </c>
      <c r="H122" t="inlineStr">
        <is>
          <t>WR2/FLEX; dependable lineup option with matchup-driven ceiling.</t>
        </is>
      </c>
      <c r="I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J122" t="inlineStr">
        <is>
          <t>Target competition, quarterback efficiency and touchdown regression are the main downside paths.</t>
        </is>
      </c>
      <c r="K122" t="inlineStr">
        <is>
          <t>ADP proxy — editable; based on positional draft cost</t>
        </is>
      </c>
      <c r="L122" t="n">
        <v>9</v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s="8" t="n">
        <v>74.88</v>
      </c>
      <c r="E123" s="8" t="n">
        <v>75.59999999999999</v>
      </c>
      <c r="F123" s="5" t="inlineStr">
        <is>
          <t>C</t>
        </is>
      </c>
      <c r="G123" t="inlineStr">
        <is>
          <t>HISTORY FALLBACK</t>
        </is>
      </c>
      <c r="H123" t="inlineStr">
        <is>
          <t>WR2/FLEX; dependable lineup option with matchup-driven ceiling.</t>
        </is>
      </c>
      <c r="I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J123" t="inlineStr">
        <is>
          <t>Target competition, quarterback efficiency and touchdown regression are the main downside paths.</t>
        </is>
      </c>
      <c r="K123" t="inlineStr">
        <is>
          <t>ADP proxy — editable; based on positional draft cost</t>
        </is>
      </c>
      <c r="L123" t="n">
        <v>7</v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s="8" t="n">
        <v>74.20999999999999</v>
      </c>
      <c r="E124" s="8" t="n">
        <v>103.3</v>
      </c>
      <c r="F124" s="5" t="inlineStr">
        <is>
          <t>C</t>
        </is>
      </c>
      <c r="G124" t="inlineStr">
        <is>
          <t>HISTORY FALLBACK</t>
        </is>
      </c>
      <c r="H124" t="inlineStr">
        <is>
          <t>WR2/FLEX; dependable lineup option with matchup-driven ceiling.</t>
        </is>
      </c>
      <c r="I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J124" t="inlineStr">
        <is>
          <t>Target competition, quarterback efficiency and touchdown regression are the main downside paths.</t>
        </is>
      </c>
      <c r="K124" t="inlineStr">
        <is>
          <t>ADP proxy — editable; based on positional draft cost</t>
        </is>
      </c>
      <c r="L124" t="n">
        <v>6</v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s="8" t="n">
        <v>73.54000000000001</v>
      </c>
      <c r="E125" s="8" t="n">
        <v>71</v>
      </c>
      <c r="F125" s="5" t="inlineStr">
        <is>
          <t>C</t>
        </is>
      </c>
      <c r="G125" t="inlineStr">
        <is>
          <t>HISTORY FALLBACK</t>
        </is>
      </c>
      <c r="H125" t="inlineStr">
        <is>
          <t>WR2/FLEX; dependable lineup option with matchup-driven ceiling.</t>
        </is>
      </c>
      <c r="I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J125" t="inlineStr">
        <is>
          <t>Target competition, quarterback efficiency and touchdown regression are the main downside paths.</t>
        </is>
      </c>
      <c r="K125" t="inlineStr">
        <is>
          <t>ADP proxy — editable; based on positional draft cost</t>
        </is>
      </c>
      <c r="L125" t="n">
        <v>9</v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s="8" t="n">
        <v>66.9675</v>
      </c>
      <c r="E126" s="8" t="n">
        <v>81.09999999999999</v>
      </c>
      <c r="F126" s="5" t="inlineStr">
        <is>
          <t>C</t>
        </is>
      </c>
      <c r="G126" t="inlineStr">
        <is>
          <t>HISTORY FALLBACK</t>
        </is>
      </c>
      <c r="H126" t="inlineStr">
        <is>
          <t>FLEX/bench receiver; needs target growth or efficiency spikes.</t>
        </is>
      </c>
      <c r="I126" t="inlineStr">
        <is>
          <t>The 2026 opportunity and projection carry most of the grade because detailed 2025 rate data is incomplete.</t>
        </is>
      </c>
      <c r="J126" t="inlineStr">
        <is>
          <t>Target competition, quarterback efficiency and touchdown regression are the main downside paths.</t>
        </is>
      </c>
      <c r="K126" t="inlineStr">
        <is>
          <t>ADP proxy — editable; based on positional draft cost</t>
        </is>
      </c>
      <c r="L126" t="n">
        <v>7</v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s="8" t="n">
        <v>72.2</v>
      </c>
      <c r="E127" s="8" t="n">
        <v>108.5</v>
      </c>
      <c r="F127" s="5" t="inlineStr">
        <is>
          <t>C</t>
        </is>
      </c>
      <c r="G127" t="inlineStr">
        <is>
          <t>HISTORY FALLBACK</t>
        </is>
      </c>
      <c r="H127" t="inlineStr">
        <is>
          <t>WR2/FLEX; dependable lineup option with matchup-driven ceiling.</t>
        </is>
      </c>
      <c r="I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J127" t="inlineStr">
        <is>
          <t>NFL translation and exact weekly role are the main variables; preseason first-team usage can move this rating quickly.</t>
        </is>
      </c>
      <c r="K127" t="inlineStr">
        <is>
          <t>ADP proxy — editable; based on positional draft cost</t>
        </is>
      </c>
      <c r="L127" t="n">
        <v>10</v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s="8" t="n">
        <v>71.53</v>
      </c>
      <c r="E128" s="8" t="n">
        <v>72.3</v>
      </c>
      <c r="F128" s="5" t="inlineStr">
        <is>
          <t>C</t>
        </is>
      </c>
      <c r="G128" t="inlineStr">
        <is>
          <t>HISTORY FALLBACK</t>
        </is>
      </c>
      <c r="H128" t="inlineStr">
        <is>
          <t>FLEX/bench receiver; needs target growth or efficiency spikes.</t>
        </is>
      </c>
      <c r="I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J128" t="inlineStr">
        <is>
          <t>Target competition, quarterback efficiency and touchdown regression are the main downside paths.</t>
        </is>
      </c>
      <c r="K128" t="inlineStr">
        <is>
          <t>ADP proxy — editable; based on positional draft cost</t>
        </is>
      </c>
      <c r="L128" t="n">
        <v>7</v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s="8" t="n">
        <v>70.86</v>
      </c>
      <c r="E129" s="8" t="n">
        <v>92.40000000000001</v>
      </c>
      <c r="F129" s="5" t="inlineStr">
        <is>
          <t>C</t>
        </is>
      </c>
      <c r="G129" t="inlineStr">
        <is>
          <t>HISTORY FALLBACK</t>
        </is>
      </c>
      <c r="H129" t="inlineStr">
        <is>
          <t>FLEX/bench receiver; needs target growth or efficiency spikes.</t>
        </is>
      </c>
      <c r="I129" t="inlineStr">
        <is>
          <t>The 2026 opportunity and projection carry most of the grade because detailed 2025 rate data is incomplete. Market price is favorable around ADP 167 versus model overall rank 137.</t>
        </is>
      </c>
      <c r="J129" t="inlineStr">
        <is>
          <t>Evidence is thinner than for established veterans, so camp, depth-chart and role news can move the grade materially.</t>
        </is>
      </c>
      <c r="K129" t="inlineStr">
        <is>
          <t>ADP proxy — editable; based on positional draft cost</t>
        </is>
      </c>
      <c r="L129" t="n">
        <v>10</v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s="8" t="n">
        <v>70.19</v>
      </c>
      <c r="E130" s="8" t="n">
        <v>95.59999999999999</v>
      </c>
      <c r="F130" s="5" t="inlineStr">
        <is>
          <t>C</t>
        </is>
      </c>
      <c r="G130" t="inlineStr">
        <is>
          <t>HISTORY FALLBACK</t>
        </is>
      </c>
      <c r="H130" t="inlineStr">
        <is>
          <t>FLEX/bench receiver; needs target growth or efficiency spikes.</t>
        </is>
      </c>
      <c r="I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J130" t="inlineStr">
        <is>
          <t>Target competition, quarterback efficiency and touchdown regression are the main downside paths.</t>
        </is>
      </c>
      <c r="K130" t="inlineStr">
        <is>
          <t>ADP proxy — editable; based on positional draft cost</t>
        </is>
      </c>
      <c r="L130" t="n">
        <v>7</v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s="8" t="n">
        <v>69.52</v>
      </c>
      <c r="E131" s="8" t="n">
        <v>112.3</v>
      </c>
      <c r="F131" s="5" t="inlineStr">
        <is>
          <t>C</t>
        </is>
      </c>
      <c r="G131" t="inlineStr">
        <is>
          <t>HISTORY FALLBACK</t>
        </is>
      </c>
      <c r="H131" t="inlineStr">
        <is>
          <t>Out for the year; do not draft.</t>
        </is>
      </c>
      <c r="I131" t="inlineStr">
        <is>
          <t>Season-ending PCL surgery announced 8/1/2026 (NFL.com). The −60 adjustment reflects zero expected 2026 production.</t>
        </is>
      </c>
      <c r="J131" t="inlineStr">
        <is>
          <t>Medical timeline is the only variable; he will not play this season.</t>
        </is>
      </c>
      <c r="K131" t="inlineStr">
        <is>
          <t>ADP proxy — editable; based on positional draft cost</t>
        </is>
      </c>
      <c r="L131" t="n">
        <v>8</v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s="8" t="n">
        <v>68.84999999999999</v>
      </c>
      <c r="E132" s="8" t="n">
        <v>88.59999999999999</v>
      </c>
      <c r="F132" s="5" t="inlineStr">
        <is>
          <t>C</t>
        </is>
      </c>
      <c r="G132" t="inlineStr">
        <is>
          <t>HISTORY FALLBACK</t>
        </is>
      </c>
      <c r="H132" t="inlineStr">
        <is>
          <t>FLEX/bench receiver; needs target growth or efficiency spikes.</t>
        </is>
      </c>
      <c r="I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J132" t="inlineStr">
        <is>
          <t>Target competition, quarterback efficiency and touchdown regression are the main downside paths.</t>
        </is>
      </c>
      <c r="K132" t="inlineStr">
        <is>
          <t>ADP proxy — editable; based on positional draft cost</t>
        </is>
      </c>
      <c r="L132" t="n">
        <v>14</v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s="8" t="n">
        <v>68.18000000000001</v>
      </c>
      <c r="E133" s="8" t="n">
        <v>105.9</v>
      </c>
      <c r="F133" s="5" t="inlineStr">
        <is>
          <t>C</t>
        </is>
      </c>
      <c r="G133" t="inlineStr">
        <is>
          <t>HISTORY FALLBACK</t>
        </is>
      </c>
      <c r="H133" t="inlineStr">
        <is>
          <t>FLEX/bench receiver; needs target growth or efficiency spikes.</t>
        </is>
      </c>
      <c r="I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J133" t="inlineStr">
        <is>
          <t>Target competition, quarterback efficiency and touchdown regression are the main downside paths.</t>
        </is>
      </c>
      <c r="K133" t="inlineStr">
        <is>
          <t>ADP proxy — editable; based on positional draft cost</t>
        </is>
      </c>
      <c r="L133" t="n">
        <v>5</v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s="8" t="n">
        <v>67.51000000000001</v>
      </c>
      <c r="E134" s="8" t="n">
        <v>122.6</v>
      </c>
      <c r="F134" s="5" t="inlineStr">
        <is>
          <t>C</t>
        </is>
      </c>
      <c r="G134" t="inlineStr">
        <is>
          <t>HISTORY FALLBACK</t>
        </is>
      </c>
      <c r="H134" t="inlineStr">
        <is>
          <t>FLEX/bench receiver; needs target growth or efficiency spikes.</t>
        </is>
      </c>
      <c r="I134" t="inlineStr">
        <is>
          <t>The 2026 opportunity and projection carry most of the grade because detailed 2025 rate data is incomplete. Market price is favorable around ADP 186 versus model overall rank 159.</t>
        </is>
      </c>
      <c r="J134" t="inlineStr">
        <is>
          <t>Evidence is thinner than for established veterans, so camp, depth-chart and role news can move the grade materially.</t>
        </is>
      </c>
      <c r="K134" t="inlineStr">
        <is>
          <t>ADP proxy — editable; based on positional draft cost</t>
        </is>
      </c>
      <c r="L134" t="n">
        <v>11</v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s="8" t="n">
        <v>66.84</v>
      </c>
      <c r="E135" s="8" t="n">
        <v>92.09999999999999</v>
      </c>
      <c r="F135" s="5" t="inlineStr">
        <is>
          <t>C</t>
        </is>
      </c>
      <c r="G135" t="inlineStr">
        <is>
          <t>HISTORY FALLBACK</t>
        </is>
      </c>
      <c r="H135" t="inlineStr">
        <is>
          <t>FLEX/bench receiver; needs target growth or efficiency spikes.</t>
        </is>
      </c>
      <c r="I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J135" t="inlineStr">
        <is>
          <t>Target competition, quarterback efficiency and touchdown regression are the main downside paths.</t>
        </is>
      </c>
      <c r="K135" t="inlineStr">
        <is>
          <t>ADP proxy — editable; based on positional draft cost</t>
        </is>
      </c>
      <c r="L135" t="n">
        <v>13</v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s="8" t="n">
        <v>66.17</v>
      </c>
      <c r="E136" s="8" t="n">
        <v>97.2</v>
      </c>
      <c r="F136" s="5" t="inlineStr">
        <is>
          <t>C</t>
        </is>
      </c>
      <c r="G136" t="inlineStr">
        <is>
          <t>HISTORY FALLBACK</t>
        </is>
      </c>
      <c r="H136" t="inlineStr">
        <is>
          <t>FLEX/bench receiver; needs target growth or efficiency spikes.</t>
        </is>
      </c>
      <c r="I136" t="inlineStr">
        <is>
          <t>The 2026 opportunity and projection carry most of the grade because detailed 2025 rate data is incomplete. Market price is favorable around ADP 194 versus model overall rank 167.</t>
        </is>
      </c>
      <c r="J136" t="inlineStr">
        <is>
          <t>Evidence is thinner than for established veterans, so camp, depth-chart and role news can move the grade materially.</t>
        </is>
      </c>
      <c r="K136" t="inlineStr">
        <is>
          <t>ADP proxy — editable; based on positional draft cost</t>
        </is>
      </c>
      <c r="L136" t="n">
        <v>11</v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s="8" t="n">
        <v>65.5</v>
      </c>
      <c r="E137" s="8" t="n">
        <v>102</v>
      </c>
      <c r="F137" s="5" t="inlineStr">
        <is>
          <t>C</t>
        </is>
      </c>
      <c r="G137" t="inlineStr">
        <is>
          <t>HISTORY FALLBACK</t>
        </is>
      </c>
      <c r="H137" t="inlineStr">
        <is>
          <t>Late-round bench upside; role growth is required for weekly relevance.</t>
        </is>
      </c>
      <c r="I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J137" t="inlineStr">
        <is>
          <t>Target competition, quarterback efficiency and touchdown regression are the main downside paths.</t>
        </is>
      </c>
      <c r="K137" t="inlineStr">
        <is>
          <t>ADP proxy — editable; based on positional draft cost</t>
        </is>
      </c>
      <c r="L137" t="n">
        <v>7</v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s="8" t="n">
        <v>64.83</v>
      </c>
      <c r="E138" s="8" t="n">
        <v>201.9</v>
      </c>
      <c r="F138" s="5" t="inlineStr">
        <is>
          <t>C</t>
        </is>
      </c>
      <c r="G138" t="inlineStr">
        <is>
          <t>HISTORY FALLBACK</t>
        </is>
      </c>
      <c r="H138" t="inlineStr">
        <is>
          <t>Late-round bench upside; role growth is required for weekly relevance.</t>
        </is>
      </c>
      <c r="I138" t="inlineStr">
        <is>
          <t>The 2026 opportunity and projection carry most of the grade because detailed 2025 rate data is incomplete. Market price is favorable around ADP 202 versus model overall rank 174.</t>
        </is>
      </c>
      <c r="J138" t="inlineStr">
        <is>
          <t>Evidence is thinner than for established veterans, so camp, depth-chart and role news can move the grade materially.</t>
        </is>
      </c>
      <c r="K138" t="inlineStr">
        <is>
          <t>ADP proxy — editable; based on positional draft cost</t>
        </is>
      </c>
      <c r="L138" t="n">
        <v>8</v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s="8" t="n">
        <v>64.16</v>
      </c>
      <c r="E139" s="8" t="n">
        <v>116</v>
      </c>
      <c r="F139" s="5" t="inlineStr">
        <is>
          <t>C</t>
        </is>
      </c>
      <c r="G139" t="inlineStr">
        <is>
          <t>HISTORY FALLBACK</t>
        </is>
      </c>
      <c r="H139" t="inlineStr">
        <is>
          <t>Late-round bench upside; role growth is required for weekly relevance.</t>
        </is>
      </c>
      <c r="I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J139" t="inlineStr">
        <is>
          <t>Target competition, quarterback efficiency and touchdown regression are the main downside paths.</t>
        </is>
      </c>
      <c r="K139" t="inlineStr">
        <is>
          <t>ADP proxy — editable; based on positional draft cost</t>
        </is>
      </c>
      <c r="L139" t="n">
        <v>11</v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s="8" t="n">
        <v>63.49</v>
      </c>
      <c r="E140" s="8" t="n">
        <v>127.3</v>
      </c>
      <c r="F140" s="5" t="inlineStr">
        <is>
          <t>C</t>
        </is>
      </c>
      <c r="G140" t="inlineStr">
        <is>
          <t>HISTORY FALLBACK</t>
        </is>
      </c>
      <c r="H140" t="inlineStr">
        <is>
          <t>Late-round bench upside; role growth is required for weekly relevance.</t>
        </is>
      </c>
      <c r="I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J140" t="inlineStr">
        <is>
          <t>Target competition, quarterback efficiency and touchdown regression are the main downside paths.</t>
        </is>
      </c>
      <c r="K140" t="inlineStr">
        <is>
          <t>ADP proxy — editable; based on positional draft cost</t>
        </is>
      </c>
      <c r="L140" t="n">
        <v>5</v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s="8" t="n">
        <v>62.82</v>
      </c>
      <c r="E141" s="8" t="n">
        <v>130.7</v>
      </c>
      <c r="F141" s="5" t="inlineStr">
        <is>
          <t>C</t>
        </is>
      </c>
      <c r="G141" t="inlineStr">
        <is>
          <t>HISTORY FALLBACK</t>
        </is>
      </c>
      <c r="H141" t="inlineStr">
        <is>
          <t>Late-round bench upside; role growth is required for weekly relevance.</t>
        </is>
      </c>
      <c r="I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J141" t="inlineStr">
        <is>
          <t>NFL translation and exact weekly role are the main variables; preseason first-team usage can move this rating quickly.</t>
        </is>
      </c>
      <c r="K141" t="inlineStr">
        <is>
          <t>ADP proxy — editable; based on positional draft cost</t>
        </is>
      </c>
      <c r="L141" t="n">
        <v>11</v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s="8" t="n">
        <v>62.15</v>
      </c>
      <c r="E142" s="8" t="n">
        <v>121.9</v>
      </c>
      <c r="F142" s="5" t="inlineStr">
        <is>
          <t>C</t>
        </is>
      </c>
      <c r="G142" t="inlineStr">
        <is>
          <t>HISTORY FALLBACK</t>
        </is>
      </c>
      <c r="H142" t="inlineStr">
        <is>
          <t>Late-round bench upside; role growth is required for weekly relevance.</t>
        </is>
      </c>
      <c r="I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J142" t="inlineStr">
        <is>
          <t>Target competition, quarterback efficiency and touchdown regression are the main downside paths.</t>
        </is>
      </c>
      <c r="K142" t="inlineStr">
        <is>
          <t>ADP proxy — editable; based on positional draft cost</t>
        </is>
      </c>
      <c r="L142" t="n">
        <v>11</v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s="8" t="n">
        <v>61.48</v>
      </c>
      <c r="E143" s="8" t="n">
        <v>132.8</v>
      </c>
      <c r="F143" s="5" t="inlineStr">
        <is>
          <t>C</t>
        </is>
      </c>
      <c r="G143" t="inlineStr">
        <is>
          <t>HISTORY FALLBACK</t>
        </is>
      </c>
      <c r="H143" t="inlineStr">
        <is>
          <t>Late-round bench upside; role growth is required for weekly relevance.</t>
        </is>
      </c>
      <c r="I143" t="inlineStr">
        <is>
          <t>The 2026 opportunity and projection carry most of the grade because detailed 2025 rate data is incomplete. Market price is favorable around ADP 221 versus model overall rank 185.</t>
        </is>
      </c>
      <c r="J143" t="inlineStr">
        <is>
          <t>Evidence is thinner than for established veterans, so camp, depth-chart and role news can move the grade materially.</t>
        </is>
      </c>
      <c r="K143" t="inlineStr">
        <is>
          <t>ADP proxy — editable; based on positional draft cost</t>
        </is>
      </c>
      <c r="L143" t="n">
        <v>9</v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s="8" t="n">
        <v>60.81</v>
      </c>
      <c r="E144" s="8" t="n">
        <v>165.4</v>
      </c>
      <c r="F144" s="5" t="inlineStr">
        <is>
          <t>C</t>
        </is>
      </c>
      <c r="G144" t="inlineStr">
        <is>
          <t>ROOKIE ENGINE</t>
        </is>
      </c>
      <c r="H144" t="inlineStr">
        <is>
          <t>Late-round bench upside; role growth is required for weekly relevance.</t>
        </is>
      </c>
      <c r="I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J144" t="inlineStr">
        <is>
          <t>NFL translation and exact weekly role are the main variables; preseason first-team usage can move this rating quickly.</t>
        </is>
      </c>
      <c r="K144" t="inlineStr">
        <is>
          <t>ADP proxy — editable; based on positional draft cost</t>
        </is>
      </c>
      <c r="L144" t="n">
        <v>13</v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s="8" t="n">
        <v>60.14</v>
      </c>
      <c r="E145" s="8" t="n">
        <v>134.7</v>
      </c>
      <c r="F145" s="5" t="inlineStr">
        <is>
          <t>C</t>
        </is>
      </c>
      <c r="G145" t="inlineStr">
        <is>
          <t>HISTORY FALLBACK</t>
        </is>
      </c>
      <c r="H145" t="inlineStr">
        <is>
          <t>Late-round bench upside; role growth is required for weekly relevance.</t>
        </is>
      </c>
      <c r="I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J145" t="inlineStr">
        <is>
          <t>Target competition, quarterback efficiency and touchdown regression are the main downside paths.</t>
        </is>
      </c>
      <c r="K145" t="inlineStr">
        <is>
          <t>ADP proxy — editable; based on positional draft cost</t>
        </is>
      </c>
      <c r="L145" t="n">
        <v>11</v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s="8" t="n">
        <v>59.47</v>
      </c>
      <c r="E146" s="8" t="n">
        <v>160.6</v>
      </c>
      <c r="F146" s="5" t="inlineStr">
        <is>
          <t>C</t>
        </is>
      </c>
      <c r="G146" t="inlineStr">
        <is>
          <t>HISTORY FALLBACK</t>
        </is>
      </c>
      <c r="H146" t="inlineStr">
        <is>
          <t>Late-round bench upside; role growth is required for weekly relevance.</t>
        </is>
      </c>
      <c r="I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J146" t="inlineStr">
        <is>
          <t>Target competition, quarterback efficiency and touchdown regression are the main downside paths.</t>
        </is>
      </c>
      <c r="K146" t="inlineStr">
        <is>
          <t>ADP proxy — editable; based on positional draft cost</t>
        </is>
      </c>
      <c r="L146" t="n">
        <v>13</v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s="8" t="n">
        <v>58.8</v>
      </c>
      <c r="E147" s="8" t="n">
        <v>152.8</v>
      </c>
      <c r="F147" s="5" t="inlineStr">
        <is>
          <t>C</t>
        </is>
      </c>
      <c r="G147" t="inlineStr">
        <is>
          <t>HISTORY FALLBACK</t>
        </is>
      </c>
      <c r="H147" t="inlineStr">
        <is>
          <t>Late-round bench upside; role growth is required for weekly relevance.</t>
        </is>
      </c>
      <c r="I147" t="inlineStr">
        <is>
          <t>The 2026 opportunity and projection carry most of the grade because detailed 2025 rate data is incomplete. Market price is favorable around ADP 237 versus model overall rank 192.</t>
        </is>
      </c>
      <c r="J147" t="inlineStr">
        <is>
          <t>Evidence is thinner than for established veterans, so camp, depth-chart and role news can move the grade materially.</t>
        </is>
      </c>
      <c r="K147" t="inlineStr">
        <is>
          <t>ADP proxy — editable; based on positional draft cost</t>
        </is>
      </c>
      <c r="L147" t="n">
        <v>10</v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s="8" t="n">
        <v>58.13</v>
      </c>
      <c r="E148" s="8" t="n">
        <v>163.1</v>
      </c>
      <c r="F148" s="5" t="inlineStr">
        <is>
          <t>C</t>
        </is>
      </c>
      <c r="G148" t="inlineStr">
        <is>
          <t>HISTORY FALLBACK</t>
        </is>
      </c>
      <c r="H148" t="inlineStr">
        <is>
          <t>Late-round bench upside; role growth is required for weekly relevance.</t>
        </is>
      </c>
      <c r="I148" t="inlineStr">
        <is>
          <t>The 2026 opportunity and projection carry most of the grade because detailed 2025 rate data is incomplete. Market price is favorable around ADP 241 versus model overall rank 193.</t>
        </is>
      </c>
      <c r="J148" t="inlineStr">
        <is>
          <t>Evidence is thinner than for established veterans, so camp, depth-chart and role news can move the grade materially.</t>
        </is>
      </c>
      <c r="K148" t="inlineStr">
        <is>
          <t>ADP proxy — editable; based on positional draft cost</t>
        </is>
      </c>
      <c r="L148" t="n">
        <v>13</v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s="8" t="n">
        <v>57.46</v>
      </c>
      <c r="E149" s="8" t="n">
        <v>176.3</v>
      </c>
      <c r="F149" s="5" t="inlineStr">
        <is>
          <t>C</t>
        </is>
      </c>
      <c r="G149" t="inlineStr">
        <is>
          <t>HISTORY FALLBACK</t>
        </is>
      </c>
      <c r="H149" t="inlineStr">
        <is>
          <t>Late-round bench upside; role growth is required for weekly relevance.</t>
        </is>
      </c>
      <c r="I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J149" t="inlineStr">
        <is>
          <t>Target competition, quarterback efficiency and touchdown regression are the main downside paths.</t>
        </is>
      </c>
      <c r="K149" t="inlineStr">
        <is>
          <t>ADP proxy — editable; based on positional draft cost</t>
        </is>
      </c>
      <c r="L149" t="n">
        <v>6</v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s="8" t="n">
        <v>56.79</v>
      </c>
      <c r="E150" s="8" t="n">
        <v>155.7</v>
      </c>
      <c r="F150" s="5" t="inlineStr">
        <is>
          <t>C</t>
        </is>
      </c>
      <c r="G150" t="inlineStr">
        <is>
          <t>HISTORY FALLBACK</t>
        </is>
      </c>
      <c r="H150" t="inlineStr">
        <is>
          <t>Late-round bench upside; role growth is required for weekly relevance.</t>
        </is>
      </c>
      <c r="I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J150" t="inlineStr">
        <is>
          <t>NFL translation and exact weekly role are the main variables; preseason first-team usage can move this rating quickly.</t>
        </is>
      </c>
      <c r="K150" t="inlineStr">
        <is>
          <t>ADP proxy — editable; based on positional draft cost</t>
        </is>
      </c>
      <c r="L150" t="n">
        <v>11</v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s="8" t="n">
        <v>56.12</v>
      </c>
      <c r="E151" s="8" t="n">
        <v>135.5</v>
      </c>
      <c r="F151" s="5" t="inlineStr">
        <is>
          <t>C</t>
        </is>
      </c>
      <c r="G151" t="inlineStr">
        <is>
          <t>HISTORY FALLBACK</t>
        </is>
      </c>
      <c r="H151" t="inlineStr">
        <is>
          <t>Late-round bench upside; role growth is required for weekly relevance.</t>
        </is>
      </c>
      <c r="I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J151" t="inlineStr">
        <is>
          <t>Target competition, quarterback efficiency and touchdown regression are the main downside paths.</t>
        </is>
      </c>
      <c r="K151" t="inlineStr">
        <is>
          <t>ADP proxy — editable; based on positional draft cost</t>
        </is>
      </c>
      <c r="L151" t="n">
        <v>13</v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s="8" t="n">
        <v>55.45</v>
      </c>
      <c r="E152" s="8" t="n">
        <v>159.6</v>
      </c>
      <c r="F152" s="5" t="inlineStr">
        <is>
          <t>C</t>
        </is>
      </c>
      <c r="G152" t="inlineStr">
        <is>
          <t>HISTORY FALLBACK</t>
        </is>
      </c>
      <c r="H152" t="inlineStr">
        <is>
          <t>Late-round bench upside; role growth is required for weekly relevance.</t>
        </is>
      </c>
      <c r="I152" t="inlineStr">
        <is>
          <t>The 2026 opportunity and projection carry most of the grade because detailed 2025 rate data is incomplete. Market price is favorable around ADP 256 versus model overall rank 198.</t>
        </is>
      </c>
      <c r="J152" t="inlineStr">
        <is>
          <t>Evidence is thinner than for established veterans, so camp, depth-chart and role news can move the grade materially.</t>
        </is>
      </c>
      <c r="K152" t="inlineStr">
        <is>
          <t>ADP proxy — editable; based on positional draft cost</t>
        </is>
      </c>
      <c r="L152" t="n">
        <v>7</v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s="8" t="n">
        <v>54.78</v>
      </c>
      <c r="E153" s="8" t="n">
        <v>164.4</v>
      </c>
      <c r="F153" s="5" t="inlineStr">
        <is>
          <t>C</t>
        </is>
      </c>
      <c r="G153" t="inlineStr">
        <is>
          <t>HISTORY FALLBACK</t>
        </is>
      </c>
      <c r="H153" t="inlineStr">
        <is>
          <t>Late-round bench upside; role growth is required for weekly relevance.</t>
        </is>
      </c>
      <c r="I153" t="inlineStr">
        <is>
          <t>The 2026 opportunity and projection carry most of the grade because detailed 2025 rate data is incomplete. Market price is favorable around ADP 260 versus model overall rank 201.</t>
        </is>
      </c>
      <c r="J153" t="inlineStr">
        <is>
          <t>Evidence is thinner than for established veterans, so camp, depth-chart and role news can move the grade materially.</t>
        </is>
      </c>
      <c r="K153" t="inlineStr">
        <is>
          <t>ADP proxy — editable; based on positional draft cost</t>
        </is>
      </c>
      <c r="L153" t="n">
        <v>7</v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s="8" t="n">
        <v>54.11</v>
      </c>
      <c r="E154" s="8" t="n">
        <v>176.7</v>
      </c>
      <c r="F154" s="5" t="inlineStr">
        <is>
          <t>C</t>
        </is>
      </c>
      <c r="G154" t="inlineStr">
        <is>
          <t>HISTORY FALLBACK</t>
        </is>
      </c>
      <c r="H154" t="inlineStr">
        <is>
          <t>Late-round bench upside; role growth is required for weekly relevance.</t>
        </is>
      </c>
      <c r="I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J154" t="inlineStr">
        <is>
          <t>Target competition, quarterback efficiency and touchdown regression are the main downside paths.</t>
        </is>
      </c>
      <c r="K154" t="inlineStr">
        <is>
          <t>ADP proxy — editable; based on positional draft cost</t>
        </is>
      </c>
      <c r="L154" t="n">
        <v>14</v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s="8" t="n">
        <v>53.44</v>
      </c>
      <c r="E155" s="8" t="n">
        <v>147.7</v>
      </c>
      <c r="F155" s="5" t="inlineStr">
        <is>
          <t>C</t>
        </is>
      </c>
      <c r="G155" t="inlineStr">
        <is>
          <t>HISTORY FALLBACK</t>
        </is>
      </c>
      <c r="H155" t="inlineStr">
        <is>
          <t>Late-round bench upside; role growth is required for weekly relevance.</t>
        </is>
      </c>
      <c r="I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J155" t="inlineStr">
        <is>
          <t>Target competition, quarterback efficiency and touchdown regression are the main downside paths.</t>
        </is>
      </c>
      <c r="K155" t="inlineStr">
        <is>
          <t>ADP proxy — editable; based on positional draft cost</t>
        </is>
      </c>
      <c r="L155" t="n">
        <v>6</v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s="8" t="n">
        <v>52.77</v>
      </c>
      <c r="E156" s="8" t="n">
        <v>185.2</v>
      </c>
      <c r="F156" s="5" t="inlineStr">
        <is>
          <t>C</t>
        </is>
      </c>
      <c r="G156" t="inlineStr">
        <is>
          <t>HISTORY FALLBACK</t>
        </is>
      </c>
      <c r="H156" t="inlineStr">
        <is>
          <t>Late-round bench upside; role growth is required for weekly relevance.</t>
        </is>
      </c>
      <c r="I156" t="inlineStr">
        <is>
          <t>The 2026 opportunity and projection carry most of the grade because detailed 2025 rate data is incomplete. Market price is favorable around ADP 272 versus model overall rank 205.</t>
        </is>
      </c>
      <c r="J156" t="inlineStr">
        <is>
          <t>Evidence is thinner than for established veterans, so camp, depth-chart and role news can move the grade materially.</t>
        </is>
      </c>
      <c r="K156" t="inlineStr">
        <is>
          <t>ADP proxy — editable; based on positional draft cost</t>
        </is>
      </c>
      <c r="L156" t="n">
        <v>8</v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s="8" t="n">
        <v>71.2</v>
      </c>
      <c r="E157" s="8" t="n">
        <v>90.5</v>
      </c>
      <c r="F157" s="5" t="inlineStr">
        <is>
          <t>C</t>
        </is>
      </c>
      <c r="G157" t="inlineStr">
        <is>
          <t>ESPN SLOT-IN</t>
        </is>
      </c>
      <c r="H157" t="inlineStr">
        <is>
          <t>Added 2026-08-12 from ESPN consensus (WR41).</t>
        </is>
      </c>
      <c r="I157" t="inlineStr">
        <is>
          <t>Not in the original model pool; rating interpolated from the players ESPN ranks directly around him, so he sits at his consensus slot on our board.</t>
        </is>
      </c>
      <c r="J157" t="inlineStr">
        <is>
          <t>No model projection behind this rating; it is market consensus only. Re-rate manually if you have a strong opinion.</t>
        </is>
      </c>
      <c r="K157" t="inlineStr">
        <is>
          <t>ESPN consensus slot-in 2026-08-12</t>
        </is>
      </c>
      <c r="L157" t="n">
        <v>7</v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s="8" t="n">
        <v>63.2</v>
      </c>
      <c r="E158" s="8" t="n">
        <v>96.2</v>
      </c>
      <c r="F158" s="5" t="inlineStr">
        <is>
          <t>C</t>
        </is>
      </c>
      <c r="G158" t="inlineStr">
        <is>
          <t>ESPN SLOT-IN</t>
        </is>
      </c>
      <c r="H158" t="inlineStr">
        <is>
          <t>Added 2026-08-12 from ESPN consensus (WR54).</t>
        </is>
      </c>
      <c r="I158" t="inlineStr">
        <is>
          <t>Not in the original model pool; rating interpolated from the players ESPN ranks directly around him, so he sits at his consensus slot on our board.</t>
        </is>
      </c>
      <c r="J158" t="inlineStr">
        <is>
          <t>No model projection behind this rating; it is market consensus only. Re-rate manually if you have a strong opinion.</t>
        </is>
      </c>
      <c r="K158" t="inlineStr">
        <is>
          <t>ESPN consensus slot-in 2026-08-12</t>
        </is>
      </c>
      <c r="L158" t="n">
        <v>8</v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s="8" t="n">
        <v>62.1</v>
      </c>
      <c r="E159" s="8" t="n">
        <v>137.1</v>
      </c>
      <c r="F159" s="5" t="inlineStr">
        <is>
          <t>C</t>
        </is>
      </c>
      <c r="G159" t="inlineStr">
        <is>
          <t>ESPN SLOT-IN</t>
        </is>
      </c>
      <c r="H159" t="inlineStr">
        <is>
          <t>Added 2026-08-12 from ESPN consensus (WR56).</t>
        </is>
      </c>
      <c r="I159" t="inlineStr">
        <is>
          <t>Not in the original model pool; rating interpolated from the players ESPN ranks directly around him, so he sits at his consensus slot on our board.</t>
        </is>
      </c>
      <c r="J159" t="inlineStr">
        <is>
          <t>No model projection behind this rating; it is market consensus only. Re-rate manually if you have a strong opinion.</t>
        </is>
      </c>
      <c r="K159" t="inlineStr">
        <is>
          <t>ESPN consensus slot-in 2026-08-12</t>
        </is>
      </c>
      <c r="L159" t="n">
        <v>8</v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s="8" t="n">
        <v>60.1</v>
      </c>
      <c r="E160" s="8" t="n">
        <v>146.6</v>
      </c>
      <c r="F160" s="5" t="inlineStr">
        <is>
          <t>C</t>
        </is>
      </c>
      <c r="G160" t="inlineStr">
        <is>
          <t>ESPN SLOT-IN</t>
        </is>
      </c>
      <c r="H160" t="inlineStr">
        <is>
          <t>Added 2026-08-12 from ESPN consensus (WR56).</t>
        </is>
      </c>
      <c r="I160" t="inlineStr">
        <is>
          <t>Not in the original model pool; rating interpolated from the players ESPN ranks directly around him, so he sits at his consensus slot on our board.</t>
        </is>
      </c>
      <c r="J160" t="inlineStr">
        <is>
          <t>No model projection behind this rating; it is market consensus only. Re-rate manually if you have a strong opinion.</t>
        </is>
      </c>
      <c r="K160" t="inlineStr">
        <is>
          <t>ESPN consensus slot-in 2026-08-12</t>
        </is>
      </c>
      <c r="L160" t="n">
        <v>8</v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s="8" t="n">
        <v>97.7371</v>
      </c>
      <c r="E161" s="8" t="n">
        <v>35.7</v>
      </c>
      <c r="F161" s="5" t="inlineStr">
        <is>
          <t>A</t>
        </is>
      </c>
      <c r="G161" t="inlineStr">
        <is>
          <t>RATE-ADJUSTED VETERAN</t>
        </is>
      </c>
      <c r="H161" t="inlineStr">
        <is>
          <t>Elite difference-making TE; positional advantage is the expectation.</t>
        </is>
      </c>
      <c r="I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J161" t="inlineStr">
        <is>
          <t>Route share, target volume and touchdown volatility are the main swing factors.</t>
        </is>
      </c>
      <c r="K161" t="inlineStr">
        <is>
          <t>https://www.fantasypros.com/nfl/adp/ppr-overall.php</t>
        </is>
      </c>
      <c r="L161" t="n">
        <v>14</v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s="8" t="n">
        <v>94.88460000000001</v>
      </c>
      <c r="E162" s="8" t="n">
        <v>41.1</v>
      </c>
      <c r="F162" s="5" t="inlineStr">
        <is>
          <t>A</t>
        </is>
      </c>
      <c r="G162" t="inlineStr">
        <is>
          <t>RATE-ADJUSTED VETERAN</t>
        </is>
      </c>
      <c r="H162" t="inlineStr">
        <is>
          <t>Elite difference-making TE; positional advantage is the expectation.</t>
        </is>
      </c>
      <c r="I162" t="inlineStr">
        <is>
          <t>He produced 14.7 PPR/FP points per game across 12 games. The workload/efficiency profile gives the model a rate-based reason to keep him here.</t>
        </is>
      </c>
      <c r="J162" t="inlineStr">
        <is>
          <t>Route share, target volume and touchdown volatility are the main swing factors.</t>
        </is>
      </c>
      <c r="K162" t="inlineStr">
        <is>
          <t>https://www.fantasypros.com/nfl/adp/ppr-overall.php</t>
        </is>
      </c>
      <c r="L162" t="n">
        <v>13</v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s="8" t="n">
        <v>88.7531</v>
      </c>
      <c r="E163" s="8" t="n">
        <v>60.8</v>
      </c>
      <c r="F163" s="5" t="inlineStr">
        <is>
          <t>A</t>
        </is>
      </c>
      <c r="G163" t="inlineStr">
        <is>
          <t>RATE-ADJUSTED VETERAN</t>
        </is>
      </c>
      <c r="H163" t="inlineStr">
        <is>
          <t>Elite difference-making TE; positional advantage is the expectation.</t>
        </is>
      </c>
      <c r="I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J163" t="inlineStr">
        <is>
          <t>Route share, target volume and touchdown volatility are the main swing factors.</t>
        </is>
      </c>
      <c r="K163" t="inlineStr">
        <is>
          <t>ADP proxy — editable; based on positional draft cost</t>
        </is>
      </c>
      <c r="L163" t="n">
        <v>10</v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s="8" t="n">
        <v>87.2024</v>
      </c>
      <c r="E164" s="8" t="n">
        <v>65.40000000000001</v>
      </c>
      <c r="F164" s="5" t="inlineStr">
        <is>
          <t>A</t>
        </is>
      </c>
      <c r="G164" t="inlineStr">
        <is>
          <t>RATE-ADJUSTED VETERAN</t>
        </is>
      </c>
      <c r="H164" t="inlineStr">
        <is>
          <t>Every-week TE1 with real top-5 upside.</t>
        </is>
      </c>
      <c r="I164" t="inlineStr">
        <is>
          <t>He produced 11.1 PPR/FP points per game across 17 games. The workload/efficiency profile gives the model a rate-based reason to keep him here.</t>
        </is>
      </c>
      <c r="J164" t="inlineStr">
        <is>
          <t>Route share, target volume and touchdown volatility are the main swing factors.</t>
        </is>
      </c>
      <c r="K164" t="inlineStr">
        <is>
          <t>ADP proxy — editable; based on positional draft cost</t>
        </is>
      </c>
      <c r="L164" t="n">
        <v>13</v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s="8" t="n">
        <v>86.2664</v>
      </c>
      <c r="E165" s="8" t="n">
        <v>115.1</v>
      </c>
      <c r="F165" s="5" t="inlineStr">
        <is>
          <t>B</t>
        </is>
      </c>
      <c r="G165" t="inlineStr">
        <is>
          <t>RATE-ADJUSTED VETERAN</t>
        </is>
      </c>
      <c r="H165" t="inlineStr">
        <is>
          <t>Every-week TE1 with real top-5 upside.</t>
        </is>
      </c>
      <c r="I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J165" t="inlineStr">
        <is>
          <t>Route share, target volume and touchdown volatility are the main swing factors.</t>
        </is>
      </c>
      <c r="K165" t="inlineStr">
        <is>
          <t>ADP proxy — editable; based on positional draft cost</t>
        </is>
      </c>
      <c r="L165" t="n">
        <v>8</v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s="8" t="n">
        <v>85.3045</v>
      </c>
      <c r="E166" s="8" t="n">
        <v>78.3</v>
      </c>
      <c r="F166" s="5" t="inlineStr">
        <is>
          <t>A</t>
        </is>
      </c>
      <c r="G166" t="inlineStr">
        <is>
          <t>RATE-ADJUSTED VETERAN</t>
        </is>
      </c>
      <c r="H166" t="inlineStr">
        <is>
          <t>Every-week TE1 with real top-5 upside.</t>
        </is>
      </c>
      <c r="I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J166" t="inlineStr">
        <is>
          <t>Route share, target volume and touchdown volatility are the main swing factors.</t>
        </is>
      </c>
      <c r="K166" t="inlineStr">
        <is>
          <t>ADP proxy — editable; based on positional draft cost</t>
        </is>
      </c>
      <c r="L166" t="n">
        <v>11</v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s="8" t="n">
        <v>84.3777</v>
      </c>
      <c r="E167" s="8" t="n">
        <v>82.8</v>
      </c>
      <c r="F167" s="5" t="inlineStr">
        <is>
          <t>A</t>
        </is>
      </c>
      <c r="G167" t="inlineStr">
        <is>
          <t>RATE-ADJUSTED VETERAN</t>
        </is>
      </c>
      <c r="H167" t="inlineStr">
        <is>
          <t>Every-week TE1 with real top-5 upside.</t>
        </is>
      </c>
      <c r="I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J167" t="inlineStr">
        <is>
          <t>Route share, target volume and touchdown volatility are the main swing factors.</t>
        </is>
      </c>
      <c r="K167" t="inlineStr">
        <is>
          <t>ADP proxy — editable; based on positional draft cost</t>
        </is>
      </c>
      <c r="L167" t="n">
        <v>11</v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s="8" t="n">
        <v>84.07299999999999</v>
      </c>
      <c r="E168" s="8" t="n">
        <v>140.8</v>
      </c>
      <c r="F168" s="5" t="inlineStr">
        <is>
          <t>A</t>
        </is>
      </c>
      <c r="G168" t="inlineStr">
        <is>
          <t>RATE-ADJUSTED VETERAN</t>
        </is>
      </c>
      <c r="H168" t="inlineStr">
        <is>
          <t>Every-week TE1 with real top-5 upside.</t>
        </is>
      </c>
      <c r="I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J168" t="inlineStr">
        <is>
          <t>Route share, target volume and touchdown volatility are the main swing factors.</t>
        </is>
      </c>
      <c r="K168" t="inlineStr">
        <is>
          <t>ADP proxy — editable; based on positional draft cost</t>
        </is>
      </c>
      <c r="L168" t="n">
        <v>14</v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s="8" t="n">
        <v>83.8086</v>
      </c>
      <c r="E169" s="8" t="n">
        <v>108.3</v>
      </c>
      <c r="F169" s="5" t="inlineStr">
        <is>
          <t>B</t>
        </is>
      </c>
      <c r="G169" t="inlineStr">
        <is>
          <t>RATE-ADJUSTED VETERAN</t>
        </is>
      </c>
      <c r="H169" t="inlineStr">
        <is>
          <t>Low-end TE1; startable but replacement options remain close.</t>
        </is>
      </c>
      <c r="I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J169" t="inlineStr">
        <is>
          <t>Availability/sample risk is elevated after only 8 games; talent is not being punished as heavily as durability.</t>
        </is>
      </c>
      <c r="K169" t="inlineStr">
        <is>
          <t>ADP proxy — editable; based on positional draft cost</t>
        </is>
      </c>
      <c r="L169" t="n">
        <v>11</v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s="8" t="n">
        <v>82.8653</v>
      </c>
      <c r="E170" s="8" t="n">
        <v>88.7</v>
      </c>
      <c r="F170" s="5" t="inlineStr">
        <is>
          <t>B</t>
        </is>
      </c>
      <c r="G170" t="inlineStr">
        <is>
          <t>RATE-ADJUSTED VETERAN</t>
        </is>
      </c>
      <c r="H170" t="inlineStr">
        <is>
          <t>Low-end TE1; startable but replacement options remain close.</t>
        </is>
      </c>
      <c r="I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J170" t="inlineStr">
        <is>
          <t>Availability/sample risk is elevated after only 9 games; talent is not being punished as heavily as durability.</t>
        </is>
      </c>
      <c r="K170" t="inlineStr">
        <is>
          <t>ADP proxy — editable; based on positional draft cost</t>
        </is>
      </c>
      <c r="L170" t="n">
        <v>6</v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s="8" t="n">
        <v>81.9141</v>
      </c>
      <c r="E171" s="8" t="n">
        <v>152</v>
      </c>
      <c r="F171" s="5" t="inlineStr">
        <is>
          <t>A</t>
        </is>
      </c>
      <c r="G171" t="inlineStr">
        <is>
          <t>RATE-ADJUSTED VETERAN</t>
        </is>
      </c>
      <c r="H171" t="inlineStr">
        <is>
          <t>Low-end TE1; startable but replacement options remain close.</t>
        </is>
      </c>
      <c r="I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J171" t="inlineStr">
        <is>
          <t>Route share, target volume and touchdown volatility are the main swing factors.</t>
        </is>
      </c>
      <c r="K171" t="inlineStr">
        <is>
          <t>ADP proxy — editable; based on positional draft cost</t>
        </is>
      </c>
      <c r="L171" t="n">
        <v>7</v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s="8" t="n">
        <v>81.7478</v>
      </c>
      <c r="E172" s="8" t="n">
        <v>108.7</v>
      </c>
      <c r="F172" s="5" t="inlineStr">
        <is>
          <t>A</t>
        </is>
      </c>
      <c r="G172" t="inlineStr">
        <is>
          <t>RATE-ADJUSTED VETERAN</t>
        </is>
      </c>
      <c r="H172" t="inlineStr">
        <is>
          <t>Low-end TE1; startable but replacement options remain close.</t>
        </is>
      </c>
      <c r="I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J172" t="inlineStr">
        <is>
          <t>Route share, target volume and touchdown volatility are the main swing factors.</t>
        </is>
      </c>
      <c r="K172" t="inlineStr">
        <is>
          <t>ADP proxy — editable; based on positional draft cost</t>
        </is>
      </c>
      <c r="L172" t="n">
        <v>5</v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s="8" t="n">
        <v>79.9181</v>
      </c>
      <c r="E173" s="8" t="n">
        <v>103.9</v>
      </c>
      <c r="F173" s="5" t="inlineStr">
        <is>
          <t>A</t>
        </is>
      </c>
      <c r="G173" t="inlineStr">
        <is>
          <t>RATE-ADJUSTED VETERAN</t>
        </is>
      </c>
      <c r="H173" t="inlineStr">
        <is>
          <t>Streaming/TE2 range; touchdown and route volume drive usefulness.</t>
        </is>
      </c>
      <c r="I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J173" t="inlineStr">
        <is>
          <t>Route share, target volume and touchdown volatility are the main swing factors.</t>
        </is>
      </c>
      <c r="K173" t="inlineStr">
        <is>
          <t>ADP proxy — editable; based on positional draft cost</t>
        </is>
      </c>
      <c r="L173" t="n">
        <v>10</v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s="8" t="n">
        <v>79.0654</v>
      </c>
      <c r="E174" s="8" t="n">
        <v>145</v>
      </c>
      <c r="F174" s="5" t="inlineStr">
        <is>
          <t>A</t>
        </is>
      </c>
      <c r="G174" t="inlineStr">
        <is>
          <t>RATE-ADJUSTED VETERAN</t>
        </is>
      </c>
      <c r="H174" t="inlineStr">
        <is>
          <t>Streaming/TE2 range; touchdown and route volume drive usefulness.</t>
        </is>
      </c>
      <c r="I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J174" t="inlineStr">
        <is>
          <t>Route share, target volume and touchdown volatility are the main swing factors.</t>
        </is>
      </c>
      <c r="K174" t="inlineStr">
        <is>
          <t>ADP proxy — editable; based on positional draft cost</t>
        </is>
      </c>
      <c r="L174" t="n">
        <v>13</v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s="8" t="n">
        <v>78.5795</v>
      </c>
      <c r="E175" s="8" t="n">
        <v>133.1</v>
      </c>
      <c r="F175" s="5" t="inlineStr">
        <is>
          <t>A</t>
        </is>
      </c>
      <c r="G175" t="inlineStr">
        <is>
          <t>RATE-ADJUSTED VETERAN</t>
        </is>
      </c>
      <c r="H175" t="inlineStr">
        <is>
          <t>Streaming/TE2 range; touchdown and route volume drive usefulness.</t>
        </is>
      </c>
      <c r="I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J175" t="inlineStr">
        <is>
          <t>Route share, target volume and touchdown volatility are the main swing factors.</t>
        </is>
      </c>
      <c r="K175" t="inlineStr">
        <is>
          <t>ADP proxy — editable; based on positional draft cost</t>
        </is>
      </c>
      <c r="L175" t="n">
        <v>8</v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s="8" t="n">
        <v>78.3203</v>
      </c>
      <c r="E176" s="8" t="n">
        <v>159.2</v>
      </c>
      <c r="F176" s="5" t="inlineStr">
        <is>
          <t>A</t>
        </is>
      </c>
      <c r="G176" t="inlineStr">
        <is>
          <t>RATE-ADJUSTED VETERAN</t>
        </is>
      </c>
      <c r="H176" t="inlineStr">
        <is>
          <t>Streaming/TE2 range; touchdown and route volume drive usefulness.</t>
        </is>
      </c>
      <c r="I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J176" t="inlineStr">
        <is>
          <t>Route share, target volume and touchdown volatility are the main swing factors.</t>
        </is>
      </c>
      <c r="K176" t="inlineStr">
        <is>
          <t>ADP proxy — editable; based on positional draft cost</t>
        </is>
      </c>
      <c r="L176" t="n">
        <v>8</v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s="8" t="n">
        <v>76.2526</v>
      </c>
      <c r="E177" s="8" t="n">
        <v>156.6</v>
      </c>
      <c r="F177" s="5" t="inlineStr">
        <is>
          <t>A</t>
        </is>
      </c>
      <c r="G177" t="inlineStr">
        <is>
          <t>RATE-ADJUSTED VETERAN</t>
        </is>
      </c>
      <c r="H177" t="inlineStr">
        <is>
          <t>Streaming/TE2 range; touchdown and route volume drive usefulness.</t>
        </is>
      </c>
      <c r="I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J177" t="inlineStr">
        <is>
          <t>Route share, target volume and touchdown volatility are the main swing factors.</t>
        </is>
      </c>
      <c r="K177" t="inlineStr">
        <is>
          <t>ADP proxy — editable; based on positional draft cost</t>
        </is>
      </c>
      <c r="L177" t="n">
        <v>11</v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s="8" t="n">
        <v>76.0321</v>
      </c>
      <c r="E178" s="8" t="n">
        <v>165</v>
      </c>
      <c r="F178" s="5" t="inlineStr">
        <is>
          <t>A</t>
        </is>
      </c>
      <c r="G178" t="inlineStr">
        <is>
          <t>RATE-ADJUSTED VETERAN</t>
        </is>
      </c>
      <c r="H178" t="inlineStr">
        <is>
          <t>Streaming/TE2 range; touchdown and route volume drive usefulness.</t>
        </is>
      </c>
      <c r="I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J178" t="inlineStr">
        <is>
          <t>Route share, target volume and touchdown volatility are the main swing factors.</t>
        </is>
      </c>
      <c r="K178" t="inlineStr">
        <is>
          <t>ADP proxy — editable; based on positional draft cost</t>
        </is>
      </c>
      <c r="L178" t="n">
        <v>7</v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s="8" t="n">
        <v>75.5132</v>
      </c>
      <c r="E179" s="8" t="n">
        <v>162.2</v>
      </c>
      <c r="F179" s="5" t="inlineStr">
        <is>
          <t>A</t>
        </is>
      </c>
      <c r="G179" t="inlineStr">
        <is>
          <t>RATE-ADJUSTED VETERAN</t>
        </is>
      </c>
      <c r="H179" t="inlineStr">
        <is>
          <t>Deep TE stash; needs a larger route/target role to matter in 10-team leagues.</t>
        </is>
      </c>
      <c r="I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J179" t="inlineStr">
        <is>
          <t>Route share, target volume and touchdown volatility are the main swing factors.</t>
        </is>
      </c>
      <c r="K179" t="inlineStr">
        <is>
          <t>ADP proxy — editable; based on positional draft cost</t>
        </is>
      </c>
      <c r="L179" t="n">
        <v>7</v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s="8" t="n">
        <v>74.0938</v>
      </c>
      <c r="E180" s="8" t="n">
        <v>158.8</v>
      </c>
      <c r="F180" s="5" t="inlineStr">
        <is>
          <t>B</t>
        </is>
      </c>
      <c r="G180" t="inlineStr">
        <is>
          <t>ROOKIE ENGINE</t>
        </is>
      </c>
      <c r="H180" t="inlineStr">
        <is>
          <t>Deep TE stash; needs a larger route/target role to matter in 10-team leagues.</t>
        </is>
      </c>
      <c r="I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J180" t="inlineStr">
        <is>
          <t>NFL translation and exact weekly role are the main variables; preseason first-team usage can move this rating quickly.</t>
        </is>
      </c>
      <c r="K180" t="inlineStr">
        <is>
          <t>ADP proxy — editable; based on positional draft cost</t>
        </is>
      </c>
      <c r="L180" t="n">
        <v>13</v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s="8" t="n">
        <v>73.8527</v>
      </c>
      <c r="E181" s="8" t="n">
        <v>146.5</v>
      </c>
      <c r="F181" s="5" t="inlineStr">
        <is>
          <t>A</t>
        </is>
      </c>
      <c r="G181" t="inlineStr">
        <is>
          <t>RATE-ADJUSTED VETERAN</t>
        </is>
      </c>
      <c r="H181" t="inlineStr">
        <is>
          <t>Deep TE stash; needs a larger route/target role to matter in 10-team leagues.</t>
        </is>
      </c>
      <c r="I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J181" t="inlineStr">
        <is>
          <t>Route share, target volume and touchdown volatility are the main swing factors.</t>
        </is>
      </c>
      <c r="K181" t="inlineStr">
        <is>
          <t>ADP proxy — editable; based on positional draft cost</t>
        </is>
      </c>
      <c r="L181" t="n">
        <v>6</v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s="8" t="n">
        <v>73.2795</v>
      </c>
      <c r="E182" s="8" t="n">
        <v>157.5</v>
      </c>
      <c r="F182" s="5" t="inlineStr">
        <is>
          <t>A</t>
        </is>
      </c>
      <c r="G182" t="inlineStr">
        <is>
          <t>RATE-ADJUSTED VETERAN</t>
        </is>
      </c>
      <c r="H182" t="inlineStr">
        <is>
          <t>Deep TE stash; needs a larger route/target role to matter in 10-team leagues.</t>
        </is>
      </c>
      <c r="I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J182" t="inlineStr">
        <is>
          <t>Route share, target volume and touchdown volatility are the main swing factors.</t>
        </is>
      </c>
      <c r="K182" t="inlineStr">
        <is>
          <t>ADP proxy — editable; based on positional draft cost</t>
        </is>
      </c>
      <c r="L182" t="n">
        <v>8</v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s="8" t="n">
        <v>72.5138</v>
      </c>
      <c r="E183" s="8" t="n">
        <v>150.7</v>
      </c>
      <c r="F183" s="5" t="inlineStr">
        <is>
          <t>A</t>
        </is>
      </c>
      <c r="G183" t="inlineStr">
        <is>
          <t>RATE-ADJUSTED VETERAN</t>
        </is>
      </c>
      <c r="H183" t="inlineStr">
        <is>
          <t>Deep TE stash; needs a larger route/target role to matter in 10-team leagues.</t>
        </is>
      </c>
      <c r="I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J183" t="inlineStr">
        <is>
          <t>Route share, target volume and touchdown volatility are the main swing factors.</t>
        </is>
      </c>
      <c r="K183" t="inlineStr">
        <is>
          <t>ADP proxy — editable; based on positional draft cost</t>
        </is>
      </c>
      <c r="L183" t="n">
        <v>7</v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s="8" t="n">
        <v>70.1245</v>
      </c>
      <c r="E184" s="8" t="n">
        <v>165.8</v>
      </c>
      <c r="F184" s="5" t="inlineStr">
        <is>
          <t>A</t>
        </is>
      </c>
      <c r="G184" t="inlineStr">
        <is>
          <t>RATE-ADJUSTED VETERAN</t>
        </is>
      </c>
      <c r="H184" t="inlineStr">
        <is>
          <t>Deep TE stash; needs a larger route/target role to matter in 10-team leagues.</t>
        </is>
      </c>
      <c r="I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J184" t="inlineStr">
        <is>
          <t>Route share, target volume and touchdown volatility are the main swing factors.</t>
        </is>
      </c>
      <c r="K184" t="inlineStr">
        <is>
          <t>ADP proxy — editable; based on positional draft cost</t>
        </is>
      </c>
      <c r="L184" t="n">
        <v>11</v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s="8" t="n">
        <v>66.649</v>
      </c>
      <c r="E185" s="8" t="n">
        <v>142.6</v>
      </c>
      <c r="F185" s="5" t="inlineStr">
        <is>
          <t>A</t>
        </is>
      </c>
      <c r="G185" t="inlineStr">
        <is>
          <t>RATE-ADJUSTED VETERAN</t>
        </is>
      </c>
      <c r="H185" t="inlineStr">
        <is>
          <t>Deep TE stash; needs a larger route/target role to matter in 10-team leagues.</t>
        </is>
      </c>
      <c r="I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J185" t="inlineStr">
        <is>
          <t>Route share, target volume and touchdown volatility are the main swing factors.</t>
        </is>
      </c>
      <c r="K185" t="inlineStr">
        <is>
          <t>ADP proxy — editable; based on positional draft cost</t>
        </is>
      </c>
      <c r="L185" t="n">
        <v>10</v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s="8" t="n">
        <v>66.6223</v>
      </c>
      <c r="E186" s="8" t="n">
        <v>242</v>
      </c>
      <c r="F186" s="5" t="inlineStr">
        <is>
          <t>A</t>
        </is>
      </c>
      <c r="G186" t="inlineStr">
        <is>
          <t>RATE-ADJUSTED VETERAN</t>
        </is>
      </c>
      <c r="H186" t="inlineStr">
        <is>
          <t>Deep TE stash; needs a larger route/target role to matter in 10-team leagues.</t>
        </is>
      </c>
      <c r="I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J186" t="inlineStr">
        <is>
          <t>Route share, target volume and touchdown volatility are the main swing factors.</t>
        </is>
      </c>
      <c r="K186" t="inlineStr">
        <is>
          <t>ADP proxy — editable; based on positional draft cost</t>
        </is>
      </c>
      <c r="L186" t="n">
        <v>9</v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s="8" t="n">
        <v>64.3621</v>
      </c>
      <c r="E187" s="8" t="n">
        <v>251</v>
      </c>
      <c r="F187" s="5" t="inlineStr">
        <is>
          <t>A</t>
        </is>
      </c>
      <c r="G187" t="inlineStr">
        <is>
          <t>RATE-ADJUSTED VETERAN</t>
        </is>
      </c>
      <c r="H187" t="inlineStr">
        <is>
          <t>Deep TE stash; needs a larger route/target role to matter in 10-team leagues.</t>
        </is>
      </c>
      <c r="I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J187" t="inlineStr">
        <is>
          <t>Route share, target volume and touchdown volatility are the main swing factors.</t>
        </is>
      </c>
      <c r="K187" t="inlineStr">
        <is>
          <t>ADP proxy — editable; based on positional draft cost</t>
        </is>
      </c>
      <c r="L187" t="n">
        <v>11</v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s="8" t="n">
        <v>69.59999999999999</v>
      </c>
      <c r="E188" s="8" t="n">
        <v>228</v>
      </c>
      <c r="F188" s="5" t="inlineStr">
        <is>
          <t>C</t>
        </is>
      </c>
      <c r="G188" t="inlineStr">
        <is>
          <t>ESPN SLOT-IN</t>
        </is>
      </c>
      <c r="H188" t="inlineStr">
        <is>
          <t>Added 2026-08-12 from ESPN consensus (TE24).</t>
        </is>
      </c>
      <c r="I188" t="inlineStr">
        <is>
          <t>Not in the original model pool; rating interpolated from the players ESPN ranks directly around him, so he sits at his consensus slot on our board.</t>
        </is>
      </c>
      <c r="J188" t="inlineStr">
        <is>
          <t>No model projection behind this rating; it is market consensus only. Re-rate manually if you have a strong opinion.</t>
        </is>
      </c>
      <c r="K188" t="inlineStr">
        <is>
          <t>ESPN consensus slot-in 2026-08-12</t>
        </is>
      </c>
      <c r="L188" t="n">
        <v>9</v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s="8" t="n">
        <v>94</v>
      </c>
      <c r="E189" s="8" t="n">
        <v>155</v>
      </c>
      <c r="F189" s="5" t="inlineStr">
        <is>
          <t>B</t>
        </is>
      </c>
      <c r="G189" t="inlineStr">
        <is>
          <t>KICKER MODEL</t>
        </is>
      </c>
      <c r="H189" t="inlineStr">
        <is>
          <t>Top-tier kicker option, but still a final-round target.</t>
        </is>
      </c>
      <c r="I189" t="inlineStr">
        <is>
          <t>Ranks near the top of the current kicker pool, but kicker week-to-week separation is small in a 10-team league.</t>
        </is>
      </c>
      <c r="J189" t="inlineStr">
        <is>
          <t>Kicker scoring is volatile and replaceable on waivers; do not pay meaningful draft capital.</t>
        </is>
      </c>
      <c r="K189" t="inlineStr">
        <is>
          <t>https://www.fantasypros.com/nfl/rankings/k-cheatsheets.php</t>
        </is>
      </c>
      <c r="L189" t="n">
        <v>14</v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s="8" t="n">
        <v>91.8</v>
      </c>
      <c r="E190" s="8" t="n">
        <v>160</v>
      </c>
      <c r="F190" s="5" t="inlineStr">
        <is>
          <t>B</t>
        </is>
      </c>
      <c r="G190" t="inlineStr">
        <is>
          <t>KICKER MODEL</t>
        </is>
      </c>
      <c r="H190" t="inlineStr">
        <is>
          <t>Top-tier kicker option, but still a final-round target.</t>
        </is>
      </c>
      <c r="I190" t="inlineStr">
        <is>
          <t>Ranks near the top of the current kicker pool, but kicker week-to-week separation is small in a 10-team league.</t>
        </is>
      </c>
      <c r="J190" t="inlineStr">
        <is>
          <t>Kicker scoring is volatile and replaceable on waivers; do not pay meaningful draft capital.</t>
        </is>
      </c>
      <c r="K190" t="inlineStr">
        <is>
          <t>https://www.fantasypros.com/nfl/rankings/k-cheatsheets.php</t>
        </is>
      </c>
      <c r="L190" t="n">
        <v>8</v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s="8" t="n">
        <v>89.59999999999999</v>
      </c>
      <c r="E191" s="8" t="n">
        <v>165</v>
      </c>
      <c r="F191" s="5" t="inlineStr">
        <is>
          <t>B</t>
        </is>
      </c>
      <c r="G191" t="inlineStr">
        <is>
          <t>KICKER MODEL</t>
        </is>
      </c>
      <c r="H191" t="inlineStr">
        <is>
          <t>Top-tier kicker option, but still a final-round target.</t>
        </is>
      </c>
      <c r="I191" t="inlineStr">
        <is>
          <t>Ranks near the top of the current kicker pool, but kicker week-to-week separation is small in a 10-team league.</t>
        </is>
      </c>
      <c r="J191" t="inlineStr">
        <is>
          <t>Kicker scoring is volatile and replaceable on waivers; do not pay meaningful draft capital.</t>
        </is>
      </c>
      <c r="K191" t="inlineStr">
        <is>
          <t>https://www.fantasypros.com/nfl/rankings/k-cheatsheets.php</t>
        </is>
      </c>
      <c r="L191" t="n">
        <v>7</v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s="8" t="n">
        <v>87.40000000000001</v>
      </c>
      <c r="E192" s="8" t="n">
        <v>170</v>
      </c>
      <c r="F192" s="5" t="inlineStr">
        <is>
          <t>B</t>
        </is>
      </c>
      <c r="G192" t="inlineStr">
        <is>
          <t>KICKER MODEL</t>
        </is>
      </c>
      <c r="H192" t="inlineStr">
        <is>
          <t>Top-tier kicker option, but still a final-round target.</t>
        </is>
      </c>
      <c r="I192" t="inlineStr">
        <is>
          <t>Ranks near the top of the current kicker pool, but kicker week-to-week separation is small in a 10-team league.</t>
        </is>
      </c>
      <c r="J192" t="inlineStr">
        <is>
          <t>Kicker scoring is volatile and replaceable on waivers; do not pay meaningful draft capital.</t>
        </is>
      </c>
      <c r="K192" t="inlineStr">
        <is>
          <t>https://www.fantasypros.com/nfl/rankings/k-cheatsheets.php</t>
        </is>
      </c>
      <c r="L192" t="n">
        <v>11</v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s="8" t="n">
        <v>85.2</v>
      </c>
      <c r="E193" s="8" t="n">
        <v>175</v>
      </c>
      <c r="F193" s="5" t="inlineStr">
        <is>
          <t>B</t>
        </is>
      </c>
      <c r="G193" t="inlineStr">
        <is>
          <t>KICKER MODEL</t>
        </is>
      </c>
      <c r="H193" t="inlineStr">
        <is>
          <t>Top-tier kicker option, but still a final-round target.</t>
        </is>
      </c>
      <c r="I193" t="inlineStr">
        <is>
          <t>Ranks near the top of the current kicker pool, but kicker week-to-week separation is small in a 10-team league.</t>
        </is>
      </c>
      <c r="J193" t="inlineStr">
        <is>
          <t>Kicker scoring is volatile and replaceable on waivers; do not pay meaningful draft capital.</t>
        </is>
      </c>
      <c r="K193" t="inlineStr">
        <is>
          <t>https://www.fantasypros.com/nfl/rankings/k-cheatsheets.php</t>
        </is>
      </c>
      <c r="L193" t="n">
        <v>7</v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s="8" t="n">
        <v>83</v>
      </c>
      <c r="E194" s="8" t="n">
        <v>180</v>
      </c>
      <c r="F194" s="5" t="inlineStr">
        <is>
          <t>B</t>
        </is>
      </c>
      <c r="G194" t="inlineStr">
        <is>
          <t>KICKER MODEL</t>
        </is>
      </c>
      <c r="H194" t="inlineStr">
        <is>
          <t>Late-round kicker; treat as replaceable unless scoring strongly rewards distance.</t>
        </is>
      </c>
      <c r="I194" t="inlineStr">
        <is>
          <t>Ranks near the top of the current kicker pool, but kicker week-to-week separation is small in a 10-team league.</t>
        </is>
      </c>
      <c r="J194" t="inlineStr">
        <is>
          <t>Kicker scoring is volatile and replaceable on waivers; do not pay meaningful draft capital.</t>
        </is>
      </c>
      <c r="K194" t="inlineStr">
        <is>
          <t>https://www.fantasypros.com/nfl/rankings/k-cheatsheets.php</t>
        </is>
      </c>
      <c r="L194" t="n">
        <v>8</v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s="8" t="n">
        <v>80.8</v>
      </c>
      <c r="E195" s="8" t="n">
        <v>185</v>
      </c>
      <c r="F195" s="5" t="inlineStr">
        <is>
          <t>B</t>
        </is>
      </c>
      <c r="G195" t="inlineStr">
        <is>
          <t>KICKER MODEL</t>
        </is>
      </c>
      <c r="H195" t="inlineStr">
        <is>
          <t>Late-round kicker; treat as replaceable unless scoring strongly rewards distance.</t>
        </is>
      </c>
      <c r="I195" t="inlineStr">
        <is>
          <t>Ranks near the top of the current kicker pool, but kicker week-to-week separation is small in a 10-team league.</t>
        </is>
      </c>
      <c r="J195" t="inlineStr">
        <is>
          <t>Kicker scoring is volatile and replaceable on waivers; do not pay meaningful draft capital.</t>
        </is>
      </c>
      <c r="K195" t="inlineStr">
        <is>
          <t>https://www.fantasypros.com/nfl/rankings/k-cheatsheets.php</t>
        </is>
      </c>
      <c r="L195" t="n">
        <v>13</v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s="8" t="n">
        <v>78.59999999999999</v>
      </c>
      <c r="E196" s="8" t="n">
        <v>190</v>
      </c>
      <c r="F196" s="5" t="inlineStr">
        <is>
          <t>B</t>
        </is>
      </c>
      <c r="G196" t="inlineStr">
        <is>
          <t>KICKER MODEL</t>
        </is>
      </c>
      <c r="H196" t="inlineStr">
        <is>
          <t>Late-round kicker; treat as replaceable unless scoring strongly rewards distance.</t>
        </is>
      </c>
      <c r="I196" t="inlineStr">
        <is>
          <t>Ranks near the top of the current kicker pool, but kicker week-to-week separation is small in a 10-team league.</t>
        </is>
      </c>
      <c r="J196" t="inlineStr">
        <is>
          <t>Kicker scoring is volatile and replaceable on waivers; do not pay meaningful draft capital.</t>
        </is>
      </c>
      <c r="K196" t="inlineStr">
        <is>
          <t>https://www.fantasypros.com/nfl/rankings/k-cheatsheets.php</t>
        </is>
      </c>
      <c r="L196" t="n">
        <v>11</v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s="8" t="n">
        <v>76.40000000000001</v>
      </c>
      <c r="E197" s="8" t="n">
        <v>195</v>
      </c>
      <c r="F197" s="5" t="inlineStr">
        <is>
          <t>B</t>
        </is>
      </c>
      <c r="G197" t="inlineStr">
        <is>
          <t>KICKER MODEL</t>
        </is>
      </c>
      <c r="H197" t="inlineStr">
        <is>
          <t>Late-round kicker; treat as replaceable unless scoring strongly rewards distance.</t>
        </is>
      </c>
      <c r="I197" t="inlineStr">
        <is>
          <t>Ranks near the top of the current kicker pool, but kicker week-to-week separation is small in a 10-team league.</t>
        </is>
      </c>
      <c r="J197" t="inlineStr">
        <is>
          <t>Kicker scoring is volatile and replaceable on waivers; do not pay meaningful draft capital.</t>
        </is>
      </c>
      <c r="K197" t="inlineStr">
        <is>
          <t>https://www.fantasypros.com/nfl/rankings/k-cheatsheets.php</t>
        </is>
      </c>
      <c r="L197" t="n">
        <v>10</v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s="8" t="n">
        <v>74.2</v>
      </c>
      <c r="E198" s="8" t="n">
        <v>200</v>
      </c>
      <c r="F198" s="5" t="inlineStr">
        <is>
          <t>B</t>
        </is>
      </c>
      <c r="G198" t="inlineStr">
        <is>
          <t>KICKER MODEL</t>
        </is>
      </c>
      <c r="H198" t="inlineStr">
        <is>
          <t>Late-round kicker; treat as replaceable unless scoring strongly rewards distance.</t>
        </is>
      </c>
      <c r="I198" t="inlineStr">
        <is>
          <t>Ranks near the top of the current kicker pool, but kicker week-to-week separation is small in a 10-team league.</t>
        </is>
      </c>
      <c r="J198" t="inlineStr">
        <is>
          <t>Kicker scoring is volatile and replaceable on waivers; do not pay meaningful draft capital.</t>
        </is>
      </c>
      <c r="K198" t="inlineStr">
        <is>
          <t>https://www.fantasypros.com/nfl/rankings/k-cheatsheets.php</t>
        </is>
      </c>
      <c r="L198" t="n">
        <v>10</v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s="8" t="n">
        <v>72</v>
      </c>
      <c r="E199" s="8" t="n">
        <v>205</v>
      </c>
      <c r="F199" s="5" t="inlineStr">
        <is>
          <t>B</t>
        </is>
      </c>
      <c r="G199" t="inlineStr">
        <is>
          <t>KICKER MODEL</t>
        </is>
      </c>
      <c r="H199" t="inlineStr">
        <is>
          <t>Late-round kicker; treat as replaceable unless scoring strongly rewards distance.</t>
        </is>
      </c>
      <c r="I199" t="inlineStr">
        <is>
          <t>Ranks near the top of the current kicker pool, but kicker week-to-week separation is small in a 10-team league.</t>
        </is>
      </c>
      <c r="J199" t="inlineStr">
        <is>
          <t>Kicker scoring is volatile and replaceable on waivers; do not pay meaningful draft capital.</t>
        </is>
      </c>
      <c r="K199" t="inlineStr">
        <is>
          <t>https://www.fantasypros.com/nfl/rankings/k-cheatsheets.php</t>
        </is>
      </c>
      <c r="L199" t="n">
        <v>11</v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s="8" t="n">
        <v>69.8</v>
      </c>
      <c r="E200" s="8" t="n">
        <v>210</v>
      </c>
      <c r="F200" s="5" t="inlineStr">
        <is>
          <t>B</t>
        </is>
      </c>
      <c r="G200" t="inlineStr">
        <is>
          <t>KICKER MODEL</t>
        </is>
      </c>
      <c r="H200" t="inlineStr">
        <is>
          <t>Late-round kicker; treat as replaceable unless scoring strongly rewards distance.</t>
        </is>
      </c>
      <c r="I200" t="inlineStr">
        <is>
          <t>Ranks near the top of the current kicker pool, but kicker week-to-week separation is small in a 10-team league.</t>
        </is>
      </c>
      <c r="J200" t="inlineStr">
        <is>
          <t>Kicker scoring is volatile and replaceable on waivers; do not pay meaningful draft capital.</t>
        </is>
      </c>
      <c r="K200" t="inlineStr">
        <is>
          <t>https://www.fantasypros.com/nfl/rankings/k-cheatsheets.php</t>
        </is>
      </c>
      <c r="L200" t="n">
        <v>6</v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s="8" t="n">
        <v>93</v>
      </c>
      <c r="E201" s="8" t="n">
        <v>160</v>
      </c>
      <c r="F201" s="5" t="inlineStr">
        <is>
          <t>B</t>
        </is>
      </c>
      <c r="G201" t="inlineStr">
        <is>
          <t>DST MODEL</t>
        </is>
      </c>
      <c r="H201" t="inlineStr">
        <is>
          <t>Elite DST target if available in the final rounds; otherwise streaming remains viable.</t>
        </is>
      </c>
      <c r="I201" t="inlineStr">
        <is>
          <t>The unit grades well relative to the current DST pool, but the model intentionally keeps defense behind core skill positions.</t>
        </is>
      </c>
      <c r="J201" t="inlineStr">
        <is>
          <t>DST scoring is highly opponent- and turnover-dependent, making season-long rank fragile.</t>
        </is>
      </c>
      <c r="K201" t="inlineStr">
        <is>
          <t>https://www.fantasypros.com/nfl/rankings/dst-cheatsheets.php</t>
        </is>
      </c>
      <c r="L201" t="n">
        <v>8</v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s="8" t="n">
        <v>91.90000000000001</v>
      </c>
      <c r="E202" s="8" t="n">
        <v>164</v>
      </c>
      <c r="F202" s="5" t="inlineStr">
        <is>
          <t>B</t>
        </is>
      </c>
      <c r="G202" t="inlineStr">
        <is>
          <t>DST MODEL</t>
        </is>
      </c>
      <c r="H202" t="inlineStr">
        <is>
          <t>Elite DST target if available in the final rounds; otherwise streaming remains viable.</t>
        </is>
      </c>
      <c r="I202" t="inlineStr">
        <is>
          <t>The unit grades well relative to the current DST pool, but the model intentionally keeps defense behind core skill positions.</t>
        </is>
      </c>
      <c r="J202" t="inlineStr">
        <is>
          <t>DST scoring is highly opponent- and turnover-dependent, making season-long rank fragile.</t>
        </is>
      </c>
      <c r="K202" t="inlineStr">
        <is>
          <t>https://www.fantasypros.com/nfl/rankings/dst-cheatsheets.php</t>
        </is>
      </c>
      <c r="L202" t="n">
        <v>10</v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s="8" t="n">
        <v>90.8</v>
      </c>
      <c r="E203" s="8" t="n">
        <v>168</v>
      </c>
      <c r="F203" s="5" t="inlineStr">
        <is>
          <t>B</t>
        </is>
      </c>
      <c r="G203" t="inlineStr">
        <is>
          <t>DST MODEL</t>
        </is>
      </c>
      <c r="H203" t="inlineStr">
        <is>
          <t>Elite DST target if available in the final rounds; otherwise streaming remains viable.</t>
        </is>
      </c>
      <c r="I203" t="inlineStr">
        <is>
          <t>The unit grades well relative to the current DST pool, but the model intentionally keeps defense behind core skill positions.</t>
        </is>
      </c>
      <c r="J203" t="inlineStr">
        <is>
          <t>DST scoring is highly opponent- and turnover-dependent, making season-long rank fragile.</t>
        </is>
      </c>
      <c r="K203" t="inlineStr">
        <is>
          <t>https://www.fantasypros.com/nfl/rankings/dst-cheatsheets.php</t>
        </is>
      </c>
      <c r="L203" t="n">
        <v>11</v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s="8" t="n">
        <v>89.7</v>
      </c>
      <c r="E204" s="8" t="n">
        <v>134.1</v>
      </c>
      <c r="F204" s="5" t="inlineStr">
        <is>
          <t>B</t>
        </is>
      </c>
      <c r="G204" t="inlineStr">
        <is>
          <t>DST MODEL</t>
        </is>
      </c>
      <c r="H204" t="inlineStr">
        <is>
          <t>Elite DST target if available in the final rounds; otherwise streaming remains viable.</t>
        </is>
      </c>
      <c r="I204" t="inlineStr">
        <is>
          <t>The unit grades well relative to the current DST pool, but the model intentionally keeps defense behind core skill positions.</t>
        </is>
      </c>
      <c r="J204" t="inlineStr">
        <is>
          <t>DST scoring is highly opponent- and turnover-dependent, making season-long rank fragile.</t>
        </is>
      </c>
      <c r="K204" t="inlineStr">
        <is>
          <t>https://www.fantasypros.com/nfl/rankings/dst-cheatsheets.php</t>
        </is>
      </c>
      <c r="L204" t="n">
        <v>11</v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s="8" t="n">
        <v>88.59999999999999</v>
      </c>
      <c r="E205" s="8" t="n">
        <v>176</v>
      </c>
      <c r="F205" s="5" t="inlineStr">
        <is>
          <t>B</t>
        </is>
      </c>
      <c r="G205" t="inlineStr">
        <is>
          <t>DST MODEL</t>
        </is>
      </c>
      <c r="H205" t="inlineStr">
        <is>
          <t>Elite DST target if available in the final rounds; otherwise streaming remains viable.</t>
        </is>
      </c>
      <c r="I205" t="inlineStr">
        <is>
          <t>The unit grades well relative to the current DST pool, but the model intentionally keeps defense behind core skill positions.</t>
        </is>
      </c>
      <c r="J205" t="inlineStr">
        <is>
          <t>DST scoring is highly opponent- and turnover-dependent, making season-long rank fragile.</t>
        </is>
      </c>
      <c r="K205" t="inlineStr">
        <is>
          <t>https://www.fantasypros.com/nfl/rankings/dst-cheatsheets.php</t>
        </is>
      </c>
      <c r="L205" t="n">
        <v>10</v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s="8" t="n">
        <v>87.5</v>
      </c>
      <c r="E206" s="8" t="n">
        <v>180</v>
      </c>
      <c r="F206" s="5" t="inlineStr">
        <is>
          <t>B</t>
        </is>
      </c>
      <c r="G206" t="inlineStr">
        <is>
          <t>DST MODEL</t>
        </is>
      </c>
      <c r="H206" t="inlineStr">
        <is>
          <t>Streaming/late-round defense; matchup matters more than preseason rank.</t>
        </is>
      </c>
      <c r="I206" t="inlineStr">
        <is>
          <t>The unit grades well relative to the current DST pool, but the model intentionally keeps defense behind core skill positions.</t>
        </is>
      </c>
      <c r="J206" t="inlineStr">
        <is>
          <t>DST scoring is highly opponent- and turnover-dependent, making season-long rank fragile.</t>
        </is>
      </c>
      <c r="K206" t="inlineStr">
        <is>
          <t>https://www.fantasypros.com/nfl/rankings/dst-cheatsheets.php</t>
        </is>
      </c>
      <c r="L206" t="n">
        <v>6</v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s="8" t="n">
        <v>86.40000000000001</v>
      </c>
      <c r="E207" s="8" t="n">
        <v>184</v>
      </c>
      <c r="F207" s="5" t="inlineStr">
        <is>
          <t>B</t>
        </is>
      </c>
      <c r="G207" t="inlineStr">
        <is>
          <t>DST MODEL</t>
        </is>
      </c>
      <c r="H207" t="inlineStr">
        <is>
          <t>Streaming/late-round defense; matchup matters more than preseason rank.</t>
        </is>
      </c>
      <c r="I207" t="inlineStr">
        <is>
          <t>The unit grades well relative to the current DST pool, but the model intentionally keeps defense behind core skill positions.</t>
        </is>
      </c>
      <c r="J207" t="inlineStr">
        <is>
          <t>DST scoring is highly opponent- and turnover-dependent, making season-long rank fragile.</t>
        </is>
      </c>
      <c r="K207" t="inlineStr">
        <is>
          <t>https://www.fantasypros.com/nfl/rankings/dst-cheatsheets.php</t>
        </is>
      </c>
      <c r="L207" t="n">
        <v>11</v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s="8" t="n">
        <v>85.3</v>
      </c>
      <c r="E208" s="8" t="n">
        <v>188</v>
      </c>
      <c r="F208" s="5" t="inlineStr">
        <is>
          <t>B</t>
        </is>
      </c>
      <c r="G208" t="inlineStr">
        <is>
          <t>DST MODEL</t>
        </is>
      </c>
      <c r="H208" t="inlineStr">
        <is>
          <t>Streaming/late-round defense; matchup matters more than preseason rank.</t>
        </is>
      </c>
      <c r="I208" t="inlineStr">
        <is>
          <t>The unit grades well relative to the current DST pool, but the model intentionally keeps defense behind core skill positions.</t>
        </is>
      </c>
      <c r="J208" t="inlineStr">
        <is>
          <t>DST scoring is highly opponent- and turnover-dependent, making season-long rank fragile.</t>
        </is>
      </c>
      <c r="K208" t="inlineStr">
        <is>
          <t>https://www.fantasypros.com/nfl/rankings/dst-cheatsheets.php</t>
        </is>
      </c>
      <c r="L208" t="n">
        <v>7</v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s="8" t="n">
        <v>84.2</v>
      </c>
      <c r="E209" s="8" t="n">
        <v>192</v>
      </c>
      <c r="F209" s="5" t="inlineStr">
        <is>
          <t>B</t>
        </is>
      </c>
      <c r="G209" t="inlineStr">
        <is>
          <t>DST MODEL</t>
        </is>
      </c>
      <c r="H209" t="inlineStr">
        <is>
          <t>Streaming/late-round defense; matchup matters more than preseason rank.</t>
        </is>
      </c>
      <c r="I209" t="inlineStr">
        <is>
          <t>The unit grades well relative to the current DST pool, but the model intentionally keeps defense behind core skill positions.</t>
        </is>
      </c>
      <c r="J209" t="inlineStr">
        <is>
          <t>DST scoring is highly opponent- and turnover-dependent, making season-long rank fragile.</t>
        </is>
      </c>
      <c r="K209" t="inlineStr">
        <is>
          <t>https://www.fantasypros.com/nfl/rankings/dst-cheatsheets.php</t>
        </is>
      </c>
      <c r="L209" t="n">
        <v>9</v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s="8" t="n">
        <v>83.09999999999999</v>
      </c>
      <c r="E210" s="8" t="n">
        <v>144.7</v>
      </c>
      <c r="F210" s="5" t="inlineStr">
        <is>
          <t>B</t>
        </is>
      </c>
      <c r="G210" t="inlineStr">
        <is>
          <t>DST MODEL</t>
        </is>
      </c>
      <c r="H210" t="inlineStr">
        <is>
          <t>Streaming/late-round defense; matchup matters more than preseason rank.</t>
        </is>
      </c>
      <c r="I210" t="inlineStr">
        <is>
          <t>The unit grades well relative to the current DST pool, but the model intentionally keeps defense behind core skill positions.</t>
        </is>
      </c>
      <c r="J210" t="inlineStr">
        <is>
          <t>DST scoring is highly opponent- and turnover-dependent, making season-long rank fragile.</t>
        </is>
      </c>
      <c r="K210" t="inlineStr">
        <is>
          <t>https://www.fantasypros.com/nfl/rankings/dst-cheatsheets.php</t>
        </is>
      </c>
      <c r="L210" t="n">
        <v>7</v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s="8" t="n">
        <v>82</v>
      </c>
      <c r="E211" s="8" t="n">
        <v>200</v>
      </c>
      <c r="F211" s="5" t="inlineStr">
        <is>
          <t>B</t>
        </is>
      </c>
      <c r="G211" t="inlineStr">
        <is>
          <t>DST MODEL</t>
        </is>
      </c>
      <c r="H211" t="inlineStr">
        <is>
          <t>Streaming/late-round defense; matchup matters more than preseason rank.</t>
        </is>
      </c>
      <c r="I211" t="inlineStr">
        <is>
          <t>The unit grades well relative to the current DST pool, but the model intentionally keeps defense behind core skill positions.</t>
        </is>
      </c>
      <c r="J211" t="inlineStr">
        <is>
          <t>DST scoring is highly opponent- and turnover-dependent, making season-long rank fragile.</t>
        </is>
      </c>
      <c r="K211" t="inlineStr">
        <is>
          <t>https://www.fantasypros.com/nfl/rankings/dst-cheatsheets.php</t>
        </is>
      </c>
      <c r="L211" t="n">
        <v>13</v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s="8" t="n">
        <v>80.90000000000001</v>
      </c>
      <c r="E212" s="8" t="n">
        <v>204</v>
      </c>
      <c r="F212" s="5" t="inlineStr">
        <is>
          <t>B</t>
        </is>
      </c>
      <c r="G212" t="inlineStr">
        <is>
          <t>DST MODEL</t>
        </is>
      </c>
      <c r="H212" t="inlineStr">
        <is>
          <t>Streaming/late-round defense; matchup matters more than preseason rank.</t>
        </is>
      </c>
      <c r="I212" t="inlineStr">
        <is>
          <t>The unit grades well relative to the current DST pool, but the model intentionally keeps defense behind core skill positions.</t>
        </is>
      </c>
      <c r="J212" t="inlineStr">
        <is>
          <t>DST scoring is highly opponent- and turnover-dependent, making season-long rank fragile.</t>
        </is>
      </c>
      <c r="K212" t="inlineStr">
        <is>
          <t>https://www.fantasypros.com/nfl/rankings/dst-cheatsheets.php</t>
        </is>
      </c>
      <c r="L212" t="n">
        <v>11</v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s="8" t="n">
        <v>79.8</v>
      </c>
      <c r="E213" s="8" t="n">
        <v>208</v>
      </c>
      <c r="F213" s="5" t="inlineStr">
        <is>
          <t>B</t>
        </is>
      </c>
      <c r="G213" t="inlineStr">
        <is>
          <t>DST MODEL</t>
        </is>
      </c>
      <c r="H213" t="inlineStr">
        <is>
          <t>Streaming/late-round defense; matchup matters more than preseason rank.</t>
        </is>
      </c>
      <c r="I213" t="inlineStr">
        <is>
          <t>The unit grades well relative to the current DST pool, but the model intentionally keeps defense behind core skill positions.</t>
        </is>
      </c>
      <c r="J213" t="inlineStr">
        <is>
          <t>DST scoring is highly opponent- and turnover-dependent, making season-long rank fragile.</t>
        </is>
      </c>
      <c r="K213" t="inlineStr">
        <is>
          <t>https://www.fantasypros.com/nfl/rankings/dst-cheatsheets.php</t>
        </is>
      </c>
      <c r="L213" t="n">
        <v>6</v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s="8" t="n">
        <v>78.7</v>
      </c>
      <c r="E214" s="8" t="n">
        <v>212</v>
      </c>
      <c r="F214" s="5" t="inlineStr">
        <is>
          <t>B</t>
        </is>
      </c>
      <c r="G214" t="inlineStr">
        <is>
          <t>DST MODEL</t>
        </is>
      </c>
      <c r="H214" t="inlineStr">
        <is>
          <t>Streaming/late-round defense; matchup matters more than preseason rank.</t>
        </is>
      </c>
      <c r="I214" t="inlineStr">
        <is>
          <t>The unit grades well relative to the current DST pool, but the model intentionally keeps defense behind core skill positions.</t>
        </is>
      </c>
      <c r="J214" t="inlineStr">
        <is>
          <t>DST scoring is highly opponent- and turnover-dependent, making season-long rank fragile.</t>
        </is>
      </c>
      <c r="K214" t="inlineStr">
        <is>
          <t>https://www.fantasypros.com/nfl/rankings/dst-cheatsheets.php</t>
        </is>
      </c>
      <c r="L214" t="n">
        <v>7</v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s="8" t="n">
        <v>77.59999999999999</v>
      </c>
      <c r="E215" s="8" t="n">
        <v>216</v>
      </c>
      <c r="F215" s="5" t="inlineStr">
        <is>
          <t>B</t>
        </is>
      </c>
      <c r="G215" t="inlineStr">
        <is>
          <t>DST MODEL</t>
        </is>
      </c>
      <c r="H215" t="inlineStr">
        <is>
          <t>Streaming/late-round defense; matchup matters more than preseason rank.</t>
        </is>
      </c>
      <c r="I215" t="inlineStr">
        <is>
          <t>The unit grades well relative to the current DST pool, but the model intentionally keeps defense behind core skill positions.</t>
        </is>
      </c>
      <c r="J215" t="inlineStr">
        <is>
          <t>DST scoring is highly opponent- and turnover-dependent, making season-long rank fragile.</t>
        </is>
      </c>
      <c r="K215" t="inlineStr">
        <is>
          <t>https://www.fantasypros.com/nfl/rankings/dst-cheatsheets.php</t>
        </is>
      </c>
      <c r="L215" t="n">
        <v>5</v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s="8" t="n">
        <v>76.5</v>
      </c>
      <c r="E216" s="8" t="n">
        <v>220</v>
      </c>
      <c r="F216" s="5" t="inlineStr">
        <is>
          <t>B</t>
        </is>
      </c>
      <c r="G216" t="inlineStr">
        <is>
          <t>DST MODEL</t>
        </is>
      </c>
      <c r="H216" t="inlineStr">
        <is>
          <t>Streaming/late-round defense; matchup matters more than preseason rank.</t>
        </is>
      </c>
      <c r="I216" t="inlineStr">
        <is>
          <t>The unit grades well relative to the current DST pool, but the model intentionally keeps defense behind core skill positions.</t>
        </is>
      </c>
      <c r="J216" t="inlineStr">
        <is>
          <t>DST scoring is highly opponent- and turnover-dependent, making season-long rank fragile.</t>
        </is>
      </c>
      <c r="K216" t="inlineStr">
        <is>
          <t>https://www.fantasypros.com/nfl/rankings/dst-cheatsheets.php</t>
        </is>
      </c>
      <c r="L216" t="n">
        <v>11</v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s="8" t="n">
        <v>75.40000000000001</v>
      </c>
      <c r="E217" s="8" t="n">
        <v>224</v>
      </c>
      <c r="F217" s="5" t="inlineStr">
        <is>
          <t>B</t>
        </is>
      </c>
      <c r="G217" t="inlineStr">
        <is>
          <t>DST MODEL</t>
        </is>
      </c>
      <c r="H217" t="inlineStr">
        <is>
          <t>Streaming/late-round defense; matchup matters more than preseason rank.</t>
        </is>
      </c>
      <c r="I217" t="inlineStr">
        <is>
          <t>The unit grades well relative to the current DST pool, but the model intentionally keeps defense behind core skill positions.</t>
        </is>
      </c>
      <c r="J217" t="inlineStr">
        <is>
          <t>DST scoring is highly opponent- and turnover-dependent, making season-long rank fragile.</t>
        </is>
      </c>
      <c r="K217" t="inlineStr">
        <is>
          <t>https://www.fantasypros.com/nfl/rankings/dst-cheatsheets.php</t>
        </is>
      </c>
      <c r="L217" t="n">
        <v>8</v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s="8" t="n">
        <v>74.3</v>
      </c>
      <c r="E218" s="8" t="n">
        <v>228</v>
      </c>
      <c r="F218" s="5" t="inlineStr">
        <is>
          <t>B</t>
        </is>
      </c>
      <c r="G218" t="inlineStr">
        <is>
          <t>DST MODEL</t>
        </is>
      </c>
      <c r="H218" t="inlineStr">
        <is>
          <t>Streaming/late-round defense; matchup matters more than preseason rank.</t>
        </is>
      </c>
      <c r="I218" t="inlineStr">
        <is>
          <t>The unit grades well relative to the current DST pool, but the model intentionally keeps defense behind core skill positions.</t>
        </is>
      </c>
      <c r="J218" t="inlineStr">
        <is>
          <t>DST scoring is highly opponent- and turnover-dependent, making season-long rank fragile.</t>
        </is>
      </c>
      <c r="K218" t="inlineStr">
        <is>
          <t>https://www.fantasypros.com/nfl/rankings/dst-cheatsheets.php</t>
        </is>
      </c>
      <c r="L218" t="n">
        <v>8</v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s="8" t="n">
        <v>73.2</v>
      </c>
      <c r="E219" s="8" t="n">
        <v>232</v>
      </c>
      <c r="F219" s="5" t="inlineStr">
        <is>
          <t>B</t>
        </is>
      </c>
      <c r="G219" t="inlineStr">
        <is>
          <t>DST MODEL</t>
        </is>
      </c>
      <c r="H219" t="inlineStr">
        <is>
          <t>Streaming/late-round defense; matchup matters more than preseason rank.</t>
        </is>
      </c>
      <c r="I219" t="inlineStr">
        <is>
          <t>The unit grades well relative to the current DST pool, but the model intentionally keeps defense behind core skill positions.</t>
        </is>
      </c>
      <c r="J219" t="inlineStr">
        <is>
          <t>DST scoring is highly opponent- and turnover-dependent, making season-long rank fragile.</t>
        </is>
      </c>
      <c r="K219" t="inlineStr">
        <is>
          <t>https://www.fantasypros.com/nfl/rankings/dst-cheatsheets.php</t>
        </is>
      </c>
      <c r="L219" t="n">
        <v>11</v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s="8" t="n">
        <v>72.09999999999999</v>
      </c>
      <c r="E220" s="8" t="n">
        <v>236</v>
      </c>
      <c r="F220" s="5" t="inlineStr">
        <is>
          <t>B</t>
        </is>
      </c>
      <c r="G220" t="inlineStr">
        <is>
          <t>DST MODEL</t>
        </is>
      </c>
      <c r="H220" t="inlineStr">
        <is>
          <t>Streaming/late-round defense; matchup matters more than preseason rank.</t>
        </is>
      </c>
      <c r="I220" t="inlineStr">
        <is>
          <t>The unit grades well relative to the current DST pool, but the model intentionally keeps defense behind core skill positions.</t>
        </is>
      </c>
      <c r="J220" t="inlineStr">
        <is>
          <t>DST scoring is highly opponent- and turnover-dependent, making season-long rank fragile.</t>
        </is>
      </c>
      <c r="K220" t="inlineStr">
        <is>
          <t>https://www.fantasypros.com/nfl/rankings/dst-cheatsheets.php</t>
        </is>
      </c>
      <c r="L220" t="n">
        <v>10</v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s="8" t="n">
        <v>71</v>
      </c>
      <c r="E221" s="8" t="n">
        <v>240</v>
      </c>
      <c r="F221" s="5" t="inlineStr">
        <is>
          <t>B</t>
        </is>
      </c>
      <c r="G221" t="inlineStr">
        <is>
          <t>DST MODEL</t>
        </is>
      </c>
      <c r="H221" t="inlineStr">
        <is>
          <t>Streaming/late-round defense; matchup matters more than preseason rank.</t>
        </is>
      </c>
      <c r="I221" t="inlineStr">
        <is>
          <t>The unit grades well relative to the current DST pool, but the model intentionally keeps defense behind core skill positions.</t>
        </is>
      </c>
      <c r="J221" t="inlineStr">
        <is>
          <t>DST scoring is highly opponent- and turnover-dependent, making season-long rank fragile.</t>
        </is>
      </c>
      <c r="K221" t="inlineStr">
        <is>
          <t>https://www.fantasypros.com/nfl/rankings/dst-cheatsheets.php</t>
        </is>
      </c>
      <c r="L221" t="n">
        <v>13</v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s="8" t="n">
        <v>69.90000000000001</v>
      </c>
      <c r="E222" s="8" t="n">
        <v>166.7</v>
      </c>
      <c r="F222" s="5" t="inlineStr">
        <is>
          <t>B</t>
        </is>
      </c>
      <c r="G222" t="inlineStr">
        <is>
          <t>DST MODEL</t>
        </is>
      </c>
      <c r="H222" t="inlineStr">
        <is>
          <t>Streaming/late-round defense; matchup matters more than preseason rank.</t>
        </is>
      </c>
      <c r="I222" t="inlineStr">
        <is>
          <t>The unit grades well relative to the current DST pool, but the model intentionally keeps defense behind core skill positions.</t>
        </is>
      </c>
      <c r="J222" t="inlineStr">
        <is>
          <t>DST scoring is highly opponent- and turnover-dependent, making season-long rank fragile.</t>
        </is>
      </c>
      <c r="K222" t="inlineStr">
        <is>
          <t>https://www.fantasypros.com/nfl/rankings/dst-cheatsheets.php</t>
        </is>
      </c>
      <c r="L222" t="n">
        <v>8</v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s="8" t="n">
        <v>68.8</v>
      </c>
      <c r="E223" s="8" t="n">
        <v>248</v>
      </c>
      <c r="F223" s="5" t="inlineStr">
        <is>
          <t>B</t>
        </is>
      </c>
      <c r="G223" t="inlineStr">
        <is>
          <t>DST MODEL</t>
        </is>
      </c>
      <c r="H223" t="inlineStr">
        <is>
          <t>Streaming/late-round defense; matchup matters more than preseason rank.</t>
        </is>
      </c>
      <c r="I223" t="inlineStr">
        <is>
          <t>The unit grades well relative to the current DST pool, but the model intentionally keeps defense behind core skill positions.</t>
        </is>
      </c>
      <c r="J223" t="inlineStr">
        <is>
          <t>DST scoring is highly opponent- and turnover-dependent, making season-long rank fragile.</t>
        </is>
      </c>
      <c r="K223" t="inlineStr">
        <is>
          <t>https://www.fantasypros.com/nfl/rankings/dst-cheatsheets.php</t>
        </is>
      </c>
      <c r="L223" t="n">
        <v>10</v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s="8" t="n">
        <v>67.7</v>
      </c>
      <c r="E224" s="8" t="n">
        <v>252</v>
      </c>
      <c r="F224" s="5" t="inlineStr">
        <is>
          <t>B</t>
        </is>
      </c>
      <c r="G224" t="inlineStr">
        <is>
          <t>DST MODEL</t>
        </is>
      </c>
      <c r="H224" t="inlineStr">
        <is>
          <t>Streaming/late-round defense; matchup matters more than preseason rank.</t>
        </is>
      </c>
      <c r="I224" t="inlineStr">
        <is>
          <t>The unit grades well relative to the current DST pool, but the model intentionally keeps defense behind core skill positions.</t>
        </is>
      </c>
      <c r="J224" t="inlineStr">
        <is>
          <t>DST scoring is highly opponent- and turnover-dependent, making season-long rank fragile.</t>
        </is>
      </c>
      <c r="K224" t="inlineStr">
        <is>
          <t>https://www.fantasypros.com/nfl/rankings/dst-cheatsheets.php</t>
        </is>
      </c>
      <c r="L224" t="n">
        <v>14</v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s="8" t="n">
        <v>66.59999999999999</v>
      </c>
      <c r="E225" s="8" t="n">
        <v>256</v>
      </c>
      <c r="F225" s="5" t="inlineStr">
        <is>
          <t>B</t>
        </is>
      </c>
      <c r="G225" t="inlineStr">
        <is>
          <t>DST MODEL</t>
        </is>
      </c>
      <c r="H225" t="inlineStr">
        <is>
          <t>Streaming/late-round defense; matchup matters more than preseason rank.</t>
        </is>
      </c>
      <c r="I225" t="inlineStr">
        <is>
          <t>The unit grades well relative to the current DST pool, but the model intentionally keeps defense behind core skill positions.</t>
        </is>
      </c>
      <c r="J225" t="inlineStr">
        <is>
          <t>DST scoring is highly opponent- and turnover-dependent, making season-long rank fragile.</t>
        </is>
      </c>
      <c r="K225" t="inlineStr">
        <is>
          <t>https://www.fantasypros.com/nfl/rankings/dst-cheatsheets.php</t>
        </is>
      </c>
      <c r="L225" t="n">
        <v>5</v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s="8" t="n">
        <v>65.5</v>
      </c>
      <c r="E226" s="8" t="n">
        <v>260</v>
      </c>
      <c r="F226" s="5" t="inlineStr">
        <is>
          <t>B</t>
        </is>
      </c>
      <c r="G226" t="inlineStr">
        <is>
          <t>DST MODEL</t>
        </is>
      </c>
      <c r="H226" t="inlineStr">
        <is>
          <t>Streaming/late-round defense; matchup matters more than preseason rank.</t>
        </is>
      </c>
      <c r="I226" t="inlineStr">
        <is>
          <t>The unit grades well relative to the current DST pool, but the model intentionally keeps defense behind core skill positions.</t>
        </is>
      </c>
      <c r="J226" t="inlineStr">
        <is>
          <t>DST scoring is highly opponent- and turnover-dependent, making season-long rank fragile.</t>
        </is>
      </c>
      <c r="K226" t="inlineStr">
        <is>
          <t>https://www.si.com/fantasy/2026-football-defense-rankings-seasonal-leagues</t>
        </is>
      </c>
      <c r="L226" t="n">
        <v>9</v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s="8" t="n">
        <v>64.40000000000001</v>
      </c>
      <c r="E227" s="8" t="n">
        <v>264</v>
      </c>
      <c r="F227" s="5" t="inlineStr">
        <is>
          <t>B</t>
        </is>
      </c>
      <c r="G227" t="inlineStr">
        <is>
          <t>DST MODEL</t>
        </is>
      </c>
      <c r="H227" t="inlineStr">
        <is>
          <t>Streaming/late-round defense; matchup matters more than preseason rank.</t>
        </is>
      </c>
      <c r="I227" t="inlineStr">
        <is>
          <t>The unit grades well relative to the current DST pool, but the model intentionally keeps defense behind core skill positions.</t>
        </is>
      </c>
      <c r="J227" t="inlineStr">
        <is>
          <t>DST scoring is highly opponent- and turnover-dependent, making season-long rank fragile.</t>
        </is>
      </c>
      <c r="K227" t="inlineStr">
        <is>
          <t>https://www.si.com/fantasy/2026-football-defense-rankings-seasonal-leagues</t>
        </is>
      </c>
      <c r="L227" t="n">
        <v>6</v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s="8" t="n">
        <v>63.3</v>
      </c>
      <c r="E228" s="8" t="n">
        <v>268</v>
      </c>
      <c r="F228" s="5" t="inlineStr">
        <is>
          <t>B</t>
        </is>
      </c>
      <c r="G228" t="inlineStr">
        <is>
          <t>DST MODEL</t>
        </is>
      </c>
      <c r="H228" t="inlineStr">
        <is>
          <t>Streaming/late-round defense; matchup matters more than preseason rank.</t>
        </is>
      </c>
      <c r="I228" t="inlineStr">
        <is>
          <t>The unit grades well relative to the current DST pool, but the model intentionally keeps defense behind core skill positions.</t>
        </is>
      </c>
      <c r="J228" t="inlineStr">
        <is>
          <t>DST scoring is highly opponent- and turnover-dependent, making season-long rank fragile.</t>
        </is>
      </c>
      <c r="K228" t="inlineStr">
        <is>
          <t>https://www.si.com/fantasy/2026-football-defense-rankings-seasonal-leagues</t>
        </is>
      </c>
      <c r="L228" t="n">
        <v>7</v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s="8" t="n">
        <v>62.2</v>
      </c>
      <c r="E229" s="8" t="n">
        <v>149.9</v>
      </c>
      <c r="F229" s="5" t="inlineStr">
        <is>
          <t>B</t>
        </is>
      </c>
      <c r="G229" t="inlineStr">
        <is>
          <t>DST MODEL</t>
        </is>
      </c>
      <c r="H229" t="inlineStr">
        <is>
          <t>Streaming/late-round defense; matchup matters more than preseason rank.</t>
        </is>
      </c>
      <c r="I229" t="inlineStr">
        <is>
          <t>The unit grades well relative to the current DST pool, but the model intentionally keeps defense behind core skill positions.</t>
        </is>
      </c>
      <c r="J229" t="inlineStr">
        <is>
          <t>DST scoring is highly opponent- and turnover-dependent, making season-long rank fragile.</t>
        </is>
      </c>
      <c r="K229" t="inlineStr">
        <is>
          <t>https://www.si.com/fantasy/2026-football-defense-rankings-seasonal-leagues</t>
        </is>
      </c>
      <c r="L229" t="n">
        <v>13</v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s="8" t="n">
        <v>61.1</v>
      </c>
      <c r="E230" s="8" t="n">
        <v>276</v>
      </c>
      <c r="F230" s="5" t="inlineStr">
        <is>
          <t>B</t>
        </is>
      </c>
      <c r="G230" t="inlineStr">
        <is>
          <t>DST MODEL</t>
        </is>
      </c>
      <c r="H230" t="inlineStr">
        <is>
          <t>Streaming/late-round defense; matchup matters more than preseason rank.</t>
        </is>
      </c>
      <c r="I230" t="inlineStr">
        <is>
          <t>The unit grades well relative to the current DST pool, but the model intentionally keeps defense behind core skill positions.</t>
        </is>
      </c>
      <c r="J230" t="inlineStr">
        <is>
          <t>DST scoring is highly opponent- and turnover-dependent, making season-long rank fragile.</t>
        </is>
      </c>
      <c r="K230" t="inlineStr">
        <is>
          <t>https://www.si.com/fantasy/2026-football-defense-rankings-seasonal-leagues</t>
        </is>
      </c>
      <c r="L230" t="n">
        <v>14</v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s="8" t="n">
        <v>60</v>
      </c>
      <c r="E231" s="8" t="n">
        <v>280</v>
      </c>
      <c r="F231" s="5" t="inlineStr">
        <is>
          <t>B</t>
        </is>
      </c>
      <c r="G231" t="inlineStr">
        <is>
          <t>DST MODEL</t>
        </is>
      </c>
      <c r="H231" t="inlineStr">
        <is>
          <t>Streaming/late-round defense; matchup matters more than preseason rank.</t>
        </is>
      </c>
      <c r="I231" t="inlineStr">
        <is>
          <t>The unit grades well relative to the current DST pool, but the model intentionally keeps defense behind core skill positions.</t>
        </is>
      </c>
      <c r="J231" t="inlineStr">
        <is>
          <t>DST scoring is highly opponent- and turnover-dependent, making season-long rank fragile.</t>
        </is>
      </c>
      <c r="K231" t="inlineStr">
        <is>
          <t>https://www.si.com/fantasy/2026-football-defense-rankings-seasonal-leagues</t>
        </is>
      </c>
      <c r="L231" t="n">
        <v>6</v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s="8" t="n">
        <v>58.9</v>
      </c>
      <c r="E232" s="8" t="n">
        <v>284</v>
      </c>
      <c r="F232" s="5" t="inlineStr">
        <is>
          <t>B</t>
        </is>
      </c>
      <c r="G232" t="inlineStr">
        <is>
          <t>DST MODEL</t>
        </is>
      </c>
      <c r="H232" t="inlineStr">
        <is>
          <t>Streaming/late-round defense; matchup matters more than preseason rank.</t>
        </is>
      </c>
      <c r="I232" t="inlineStr">
        <is>
          <t>The unit grades well relative to the current DST pool, but the model intentionally keeps defense behind core skill positions.</t>
        </is>
      </c>
      <c r="J232" t="inlineStr">
        <is>
          <t>DST scoring is highly opponent- and turnover-dependent, making season-long rank fragile.</t>
        </is>
      </c>
      <c r="K232" t="inlineStr">
        <is>
          <t>https://www.si.com/fantasy/2026-football-defense-rankings-seasonal-leagues</t>
        </is>
      </c>
      <c r="L232" t="n">
        <v>13</v>
      </c>
    </row>
  </sheetData>
  <dataValidations count="1">
    <dataValidation sqref="F3:F232" showDropDown="0" showInputMessage="0" showErrorMessage="0" allowBlank="1" type="list">
      <formula1>"A,B,C"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370DB"/>
    <outlinePr summaryBelow="1" summaryRight="1"/>
    <pageSetUpPr/>
  </sheetPr>
  <dimension ref="A1:AO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6" customWidth="1" min="3" max="3"/>
    <col width="6" customWidth="1" min="4" max="4"/>
    <col width="10" customWidth="1" min="5" max="5"/>
    <col width="10" customWidth="1" min="6" max="6"/>
    <col width="12" customWidth="1" min="7" max="7"/>
    <col width="10" customWidth="1" min="8" max="8"/>
    <col width="1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10" customWidth="1" min="15" max="15"/>
    <col width="10" customWidth="1" min="16" max="16"/>
    <col width="8" customWidth="1" min="17" max="17"/>
    <col width="8" customWidth="1" min="18" max="18"/>
    <col width="10" customWidth="1" min="19" max="19"/>
    <col width="8" customWidth="1" min="20" max="20"/>
    <col width="10" customWidth="1" min="21" max="21"/>
    <col width="8" customWidth="1" min="22" max="22"/>
    <col width="10" customWidth="1" min="23" max="23"/>
    <col width="10" customWidth="1" min="24" max="24"/>
    <col width="8" customWidth="1" min="25" max="25"/>
    <col width="10" customWidth="1" min="26" max="26"/>
    <col width="10" customWidth="1" min="27" max="27"/>
    <col width="8" customWidth="1" min="28" max="28"/>
    <col width="8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6" customWidth="1" min="36" max="36"/>
    <col width="30" customWidth="1" min="37" max="37"/>
    <col width="30" customWidth="1" min="38" max="38"/>
    <col width="50" customWidth="1" min="39" max="39"/>
    <col width="60" customWidth="1" min="40" max="40"/>
    <col width="50" customWidth="1" min="41" max="41"/>
  </cols>
  <sheetData>
    <row r="1">
      <c r="A1" s="1" t="inlineStr">
        <is>
          <t>Player Detail: complete player profiles from players.json (opportunity + situation + counting stats + rate-vs-career)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Bye</t>
        </is>
      </c>
      <c r="E2" s="3" t="inlineStr">
        <is>
          <t>Base</t>
        </is>
      </c>
      <c r="F2" s="3" t="inlineStr">
        <is>
          <t>ADP</t>
        </is>
      </c>
      <c r="G2" s="3" t="inlineStr">
        <is>
          <t>Role</t>
        </is>
      </c>
      <c r="H2" s="3" t="inlineStr">
        <is>
          <t>QB Sit</t>
        </is>
      </c>
      <c r="I2" s="3" t="inlineStr">
        <is>
          <t>Team QB</t>
        </is>
      </c>
      <c r="J2" s="3" t="inlineStr">
        <is>
          <t>Snap%</t>
        </is>
      </c>
      <c r="K2" s="3" t="inlineStr">
        <is>
          <t>Tgt%</t>
        </is>
      </c>
      <c r="L2" s="3" t="inlineStr">
        <is>
          <t>Carry%</t>
        </is>
      </c>
      <c r="M2" s="3" t="inlineStr">
        <is>
          <t>RZ</t>
        </is>
      </c>
      <c r="N2" s="3" t="inlineStr">
        <is>
          <t>Games</t>
        </is>
      </c>
      <c r="O2" s="3" t="inlineStr">
        <is>
          <t>Rush Att</t>
        </is>
      </c>
      <c r="P2" s="3" t="inlineStr">
        <is>
          <t>Rush Yds</t>
        </is>
      </c>
      <c r="Q2" s="3" t="inlineStr">
        <is>
          <t>Rush TD</t>
        </is>
      </c>
      <c r="R2" s="3" t="inlineStr">
        <is>
          <t>Rec</t>
        </is>
      </c>
      <c r="S2" s="3" t="inlineStr">
        <is>
          <t>Rec Yds</t>
        </is>
      </c>
      <c r="T2" s="3" t="inlineStr">
        <is>
          <t>Rec TD</t>
        </is>
      </c>
      <c r="U2" s="3" t="inlineStr">
        <is>
          <t>Pass Yds</t>
        </is>
      </c>
      <c r="V2" s="3" t="inlineStr">
        <is>
          <t>Pass TD</t>
        </is>
      </c>
      <c r="W2" s="3" t="inlineStr">
        <is>
          <t>Last Yr TD%</t>
        </is>
      </c>
      <c r="X2" s="3" t="inlineStr">
        <is>
          <t>Career TD%</t>
        </is>
      </c>
      <c r="Y2" s="3" t="inlineStr">
        <is>
          <t>Spike</t>
        </is>
      </c>
      <c r="Z2" s="3" t="inlineStr">
        <is>
          <t>Last Yr INT%</t>
        </is>
      </c>
      <c r="AA2" s="3" t="inlineStr">
        <is>
          <t>Career INT%</t>
        </is>
      </c>
      <c r="AB2" s="3" t="inlineStr">
        <is>
          <t>Last Yr Y/A</t>
        </is>
      </c>
      <c r="AC2" s="3" t="inlineStr">
        <is>
          <t>Career Y/A</t>
        </is>
      </c>
      <c r="AD2" s="3" t="inlineStr">
        <is>
          <t>Rec TD Rate</t>
        </is>
      </c>
      <c r="AE2" s="3" t="inlineStr">
        <is>
          <t>Rec TD Car</t>
        </is>
      </c>
      <c r="AF2" s="3" t="inlineStr">
        <is>
          <t>Rec TD Spike</t>
        </is>
      </c>
      <c r="AG2" s="3" t="inlineStr">
        <is>
          <t>Rush TD Rate</t>
        </is>
      </c>
      <c r="AH2" s="3" t="inlineStr">
        <is>
          <t>Rush TD Car</t>
        </is>
      </c>
      <c r="AI2" s="3" t="inlineStr">
        <is>
          <t>Rush TD Spike</t>
        </is>
      </c>
      <c r="AJ2" s="3" t="inlineStr">
        <is>
          <t>Age</t>
        </is>
      </c>
      <c r="AK2" s="3" t="inlineStr">
        <is>
          <t>Handcuff/Committee</t>
        </is>
      </c>
      <c r="AL2" s="3" t="inlineStr">
        <is>
          <t>Sample Note</t>
        </is>
      </c>
      <c r="AM2" s="3" t="inlineStr">
        <is>
          <t>Expectation</t>
        </is>
      </c>
      <c r="AN2" s="3" t="inlineStr">
        <is>
          <t>Why</t>
        </is>
      </c>
      <c r="AO2" s="3" t="inlineStr">
        <is>
          <t>Risk</t>
        </is>
      </c>
    </row>
    <row r="3">
      <c r="A3" t="inlineStr">
        <is>
          <t>QB</t>
        </is>
      </c>
      <c r="B3" t="inlineStr">
        <is>
          <t>Josh Allen</t>
        </is>
      </c>
      <c r="C3" t="inlineStr">
        <is>
          <t>BUF</t>
        </is>
      </c>
      <c r="D3" t="n">
        <v>7</v>
      </c>
      <c r="E3" s="4" t="n">
        <v>97.3</v>
      </c>
      <c r="F3" s="4" t="n">
        <v>26.6</v>
      </c>
      <c r="G3" t="inlineStr"/>
      <c r="H3" t="inlineStr"/>
      <c r="I3" t="inlineStr">
        <is>
          <t>Josh Allen</t>
        </is>
      </c>
      <c r="J3" t="n">
        <v>39</v>
      </c>
      <c r="K3" t="n">
        <v>0</v>
      </c>
      <c r="L3" t="n">
        <v>0</v>
      </c>
      <c r="M3" t="n">
        <v>33</v>
      </c>
      <c r="N3" t="n">
        <v>1</v>
      </c>
      <c r="O3" t="n">
        <v>112</v>
      </c>
      <c r="P3" t="n">
        <v>579</v>
      </c>
      <c r="Q3" t="n">
        <v>14</v>
      </c>
      <c r="R3" t="n">
        <v>0</v>
      </c>
      <c r="S3" t="n">
        <v>0</v>
      </c>
      <c r="T3" t="n">
        <v>0</v>
      </c>
      <c r="U3" t="n">
        <v>3668</v>
      </c>
      <c r="V3" t="n">
        <v>25</v>
      </c>
      <c r="W3" t="n">
        <v>5.43</v>
      </c>
      <c r="X3" t="n">
        <v>0</v>
      </c>
      <c r="Y3" t="n">
        <v>5.43</v>
      </c>
      <c r="Z3" t="n">
        <v>0</v>
      </c>
      <c r="AA3" t="n">
        <v>0</v>
      </c>
      <c r="AB3" t="n">
        <v>7.97</v>
      </c>
      <c r="AC3" t="n">
        <v>0</v>
      </c>
      <c r="AD3" t="inlineStr"/>
      <c r="AE3" t="inlineStr"/>
      <c r="AF3" t="inlineStr"/>
      <c r="AG3" t="inlineStr"/>
      <c r="AH3" t="inlineStr"/>
      <c r="AI3" t="inlineStr"/>
      <c r="AJ3" t="n">
        <v>29</v>
      </c>
      <c r="AK3" t="inlineStr"/>
      <c r="AL3" t="inlineStr">
        <is>
          <t>1 games (2025 season)</t>
        </is>
      </c>
      <c r="AM3" t="inlineStr">
        <is>
          <t>Elite QB1; weekly top-5 expectation with overall QB1 upside.</t>
        </is>
      </c>
      <c r="AN3" t="inlineStr">
        <is>
          <t>He produced 22.0 PPR/FP points per game across 17 games. The workload/efficiency profile gives the model a rate-based reason to keep him here. Market price is favorable around ADP 23 versus model overall rank 10.</t>
        </is>
      </c>
      <c r="AO3" t="inlineStr">
        <is>
          <t>Passing-TD efficiency, rushing volume and supporting-cast health are the main swing factors.</t>
        </is>
      </c>
    </row>
    <row r="4">
      <c r="A4" t="inlineStr">
        <is>
          <t>QB</t>
        </is>
      </c>
      <c r="B4" t="inlineStr">
        <is>
          <t>Caleb Williams</t>
        </is>
      </c>
      <c r="C4" t="inlineStr">
        <is>
          <t>CHI</t>
        </is>
      </c>
      <c r="D4" t="n">
        <v>10</v>
      </c>
      <c r="E4" s="4" t="n">
        <v>92.2</v>
      </c>
      <c r="F4" s="4" t="n">
        <v>107.5</v>
      </c>
      <c r="G4" t="inlineStr"/>
      <c r="H4" t="inlineStr"/>
      <c r="I4" t="inlineStr">
        <is>
          <t>Caleb Williams</t>
        </is>
      </c>
      <c r="J4" t="n">
        <v>0</v>
      </c>
      <c r="K4" t="n">
        <v>0</v>
      </c>
      <c r="L4" t="n">
        <v>0</v>
      </c>
      <c r="M4" t="n">
        <v>21</v>
      </c>
      <c r="N4" t="n">
        <v>1</v>
      </c>
      <c r="O4" t="n">
        <v>77</v>
      </c>
      <c r="P4" t="n">
        <v>388</v>
      </c>
      <c r="Q4" t="n">
        <v>3</v>
      </c>
      <c r="R4" t="n">
        <v>0</v>
      </c>
      <c r="S4" t="n">
        <v>0</v>
      </c>
      <c r="T4" t="n">
        <v>0</v>
      </c>
      <c r="U4" t="n">
        <v>3942</v>
      </c>
      <c r="V4" t="n">
        <v>27</v>
      </c>
      <c r="W4" t="n">
        <v>4.75</v>
      </c>
      <c r="X4" t="n">
        <v>4.16</v>
      </c>
      <c r="Y4" t="n">
        <v>0.59</v>
      </c>
      <c r="Z4" t="n">
        <v>0</v>
      </c>
      <c r="AA4" t="n">
        <v>1.15</v>
      </c>
      <c r="AB4" t="n">
        <v>6.94</v>
      </c>
      <c r="AC4" t="n">
        <v>6.62</v>
      </c>
      <c r="AD4" t="inlineStr"/>
      <c r="AE4" t="inlineStr"/>
      <c r="AF4" t="inlineStr"/>
      <c r="AG4" t="inlineStr"/>
      <c r="AH4" t="inlineStr"/>
      <c r="AI4" t="inlineStr"/>
      <c r="AJ4" t="n">
        <v>23</v>
      </c>
      <c r="AK4" t="inlineStr"/>
      <c r="AL4" t="inlineStr">
        <is>
          <t>1 games (2025 season)</t>
        </is>
      </c>
      <c r="AM4" t="inlineStr">
        <is>
          <t>Elite QB1; weekly top-5 expectation with overall QB1 upside.</t>
        </is>
      </c>
      <c r="AN4" t="inlineStr">
        <is>
          <t>He produced 19.0 PPR/FP points per game across 17 games. The workload/efficiency profile gives the model a rate-based reason to keep him here.</t>
        </is>
      </c>
      <c r="AO4" t="inlineStr">
        <is>
          <t>Passing-TD efficiency, rushing volume and supporting-cast health are the main swing factors.</t>
        </is>
      </c>
    </row>
    <row r="5">
      <c r="A5" t="inlineStr">
        <is>
          <t>QB</t>
        </is>
      </c>
      <c r="B5" t="inlineStr">
        <is>
          <t>Drake Maye</t>
        </is>
      </c>
      <c r="C5" t="inlineStr">
        <is>
          <t>NE</t>
        </is>
      </c>
      <c r="D5" t="n">
        <v>11</v>
      </c>
      <c r="E5" s="4" t="n">
        <v>91</v>
      </c>
      <c r="F5" s="4" t="n">
        <v>49.8</v>
      </c>
      <c r="G5" t="inlineStr"/>
      <c r="H5" t="inlineStr"/>
      <c r="I5" t="inlineStr">
        <is>
          <t>Drake Maye</t>
        </is>
      </c>
      <c r="J5" t="n">
        <v>95.8</v>
      </c>
      <c r="K5" t="n">
        <v>0</v>
      </c>
      <c r="L5" t="n">
        <v>0</v>
      </c>
      <c r="M5" t="n">
        <v>22</v>
      </c>
      <c r="N5" t="n">
        <v>1</v>
      </c>
      <c r="O5" t="n">
        <v>103</v>
      </c>
      <c r="P5" t="n">
        <v>450</v>
      </c>
      <c r="Q5" t="n">
        <v>4</v>
      </c>
      <c r="R5" t="n">
        <v>0</v>
      </c>
      <c r="S5" t="n">
        <v>0</v>
      </c>
      <c r="T5" t="n">
        <v>0</v>
      </c>
      <c r="U5" t="n">
        <v>4394</v>
      </c>
      <c r="V5" t="n">
        <v>31</v>
      </c>
      <c r="W5" t="n">
        <v>6.3</v>
      </c>
      <c r="X5" t="n">
        <v>5.54</v>
      </c>
      <c r="Y5" t="n">
        <v>0.76</v>
      </c>
      <c r="Z5" t="n">
        <v>0</v>
      </c>
      <c r="AA5" t="n">
        <v>2.17</v>
      </c>
      <c r="AB5" t="n">
        <v>8.93</v>
      </c>
      <c r="AC5" t="n">
        <v>8.039999999999999</v>
      </c>
      <c r="AD5" t="inlineStr"/>
      <c r="AE5" t="inlineStr"/>
      <c r="AF5" t="inlineStr"/>
      <c r="AG5" t="inlineStr"/>
      <c r="AH5" t="inlineStr"/>
      <c r="AI5" t="inlineStr"/>
      <c r="AJ5" t="n">
        <v>23</v>
      </c>
      <c r="AK5" t="inlineStr"/>
      <c r="AL5" t="inlineStr">
        <is>
          <t>1 games (2025 season)</t>
        </is>
      </c>
      <c r="AM5" t="inlineStr">
        <is>
          <t>Elite QB1; weekly top-5 expectation with overall QB1 upside.</t>
        </is>
      </c>
      <c r="AN5" t="inlineStr">
        <is>
          <t>He produced 21.1 PPR/FP points per game across 17 games. The workload/efficiency profile gives the model a rate-based reason to keep him here.</t>
        </is>
      </c>
      <c r="AO5" t="inlineStr">
        <is>
          <t>Passing-TD efficiency, rushing volume and supporting-cast health are the main swing factors.</t>
        </is>
      </c>
    </row>
    <row r="6">
      <c r="A6" t="inlineStr">
        <is>
          <t>QB</t>
        </is>
      </c>
      <c r="B6" t="inlineStr">
        <is>
          <t>Justin Herbert</t>
        </is>
      </c>
      <c r="C6" t="inlineStr">
        <is>
          <t>LAC</t>
        </is>
      </c>
      <c r="D6" t="n">
        <v>7</v>
      </c>
      <c r="E6" s="4" t="n">
        <v>90.09999999999999</v>
      </c>
      <c r="F6" s="4" t="n">
        <v>104.2</v>
      </c>
      <c r="G6" t="inlineStr"/>
      <c r="H6" t="inlineStr"/>
      <c r="I6" t="inlineStr">
        <is>
          <t>Justin Herbert</t>
        </is>
      </c>
      <c r="J6" t="n">
        <v>96.8</v>
      </c>
      <c r="K6" t="n">
        <v>0</v>
      </c>
      <c r="L6" t="n">
        <v>0</v>
      </c>
      <c r="M6" t="n">
        <v>14</v>
      </c>
      <c r="N6" t="n">
        <v>1</v>
      </c>
      <c r="O6" t="n">
        <v>83</v>
      </c>
      <c r="P6" t="n">
        <v>498</v>
      </c>
      <c r="Q6" t="n">
        <v>2</v>
      </c>
      <c r="R6" t="n">
        <v>0</v>
      </c>
      <c r="S6" t="n">
        <v>0</v>
      </c>
      <c r="T6" t="n">
        <v>0</v>
      </c>
      <c r="U6" t="n">
        <v>3727</v>
      </c>
      <c r="V6" t="n">
        <v>26</v>
      </c>
      <c r="W6" t="n">
        <v>5.08</v>
      </c>
      <c r="X6" t="n">
        <v>4.74</v>
      </c>
      <c r="Y6" t="n">
        <v>0.34</v>
      </c>
      <c r="Z6" t="n">
        <v>0</v>
      </c>
      <c r="AA6" t="n">
        <v>1.69</v>
      </c>
      <c r="AB6" t="n">
        <v>7.28</v>
      </c>
      <c r="AC6" t="n">
        <v>7.22</v>
      </c>
      <c r="AD6" t="inlineStr"/>
      <c r="AE6" t="inlineStr"/>
      <c r="AF6" t="inlineStr"/>
      <c r="AG6" t="inlineStr"/>
      <c r="AH6" t="inlineStr"/>
      <c r="AI6" t="inlineStr"/>
      <c r="AJ6" t="n">
        <v>27</v>
      </c>
      <c r="AK6" t="inlineStr"/>
      <c r="AL6" t="inlineStr">
        <is>
          <t>1 games (2025 season)</t>
        </is>
      </c>
      <c r="AM6" t="inlineStr">
        <is>
          <t>Strong every-week QB1; frequent top-8 finishes expected.</t>
        </is>
      </c>
      <c r="AN6" t="inlineStr">
        <is>
          <t>He produced 18.7 PPR/FP points per game across 16 games. The workload/efficiency profile gives the model a rate-based reason to keep him here.</t>
        </is>
      </c>
      <c r="AO6" t="inlineStr">
        <is>
          <t>Passing-TD efficiency, rushing volume and supporting-cast health are the main swing factors.</t>
        </is>
      </c>
    </row>
    <row r="7">
      <c r="A7" t="inlineStr">
        <is>
          <t>QB</t>
        </is>
      </c>
      <c r="B7" t="inlineStr">
        <is>
          <t>Lamar Jackson</t>
        </is>
      </c>
      <c r="C7" t="inlineStr">
        <is>
          <t>BAL</t>
        </is>
      </c>
      <c r="D7" t="n">
        <v>13</v>
      </c>
      <c r="E7" s="4" t="n">
        <v>88.7</v>
      </c>
      <c r="F7" s="4" t="n">
        <v>52.6</v>
      </c>
      <c r="G7" t="inlineStr"/>
      <c r="H7" t="inlineStr"/>
      <c r="I7" t="inlineStr">
        <is>
          <t>Lamar Jackson</t>
        </is>
      </c>
      <c r="J7" t="n">
        <v>0</v>
      </c>
      <c r="K7" t="n">
        <v>0</v>
      </c>
      <c r="L7" t="n">
        <v>0</v>
      </c>
      <c r="M7" t="n">
        <v>13</v>
      </c>
      <c r="N7" t="n">
        <v>1</v>
      </c>
      <c r="O7" t="n">
        <v>67</v>
      </c>
      <c r="P7" t="n">
        <v>349</v>
      </c>
      <c r="Q7" t="n">
        <v>2</v>
      </c>
      <c r="R7" t="n">
        <v>0</v>
      </c>
      <c r="S7" t="n">
        <v>0</v>
      </c>
      <c r="T7" t="n">
        <v>0</v>
      </c>
      <c r="U7" t="n">
        <v>2549</v>
      </c>
      <c r="V7" t="n">
        <v>21</v>
      </c>
      <c r="W7" t="n">
        <v>6.95</v>
      </c>
      <c r="X7" t="n">
        <v>0</v>
      </c>
      <c r="Y7" t="n">
        <v>6.95</v>
      </c>
      <c r="Z7" t="n">
        <v>0</v>
      </c>
      <c r="AA7" t="n">
        <v>0</v>
      </c>
      <c r="AB7" t="n">
        <v>8.44</v>
      </c>
      <c r="AC7" t="n">
        <v>0</v>
      </c>
      <c r="AD7" t="inlineStr"/>
      <c r="AE7" t="inlineStr"/>
      <c r="AF7" t="inlineStr"/>
      <c r="AG7" t="inlineStr"/>
      <c r="AH7" t="inlineStr"/>
      <c r="AI7" t="inlineStr"/>
      <c r="AJ7" t="n">
        <v>28</v>
      </c>
      <c r="AK7" t="inlineStr"/>
      <c r="AL7" t="inlineStr">
        <is>
          <t>1 games (2025 season)</t>
        </is>
      </c>
      <c r="AM7" t="inlineStr">
        <is>
          <t>Strong every-week QB1; frequent top-8 finishes expected.</t>
        </is>
      </c>
      <c r="AN7" t="inlineStr">
        <is>
          <t>He produced 17.1 PPR/FP points per game across 13 games. The workload/efficiency profile gives the model a rate-based reason to keep him here.</t>
        </is>
      </c>
      <c r="AO7" t="inlineStr">
        <is>
          <t>Passing-TD efficiency, rushing volume and supporting-cast health are the main swing factors.</t>
        </is>
      </c>
    </row>
    <row r="8">
      <c r="A8" t="inlineStr">
        <is>
          <t>QB</t>
        </is>
      </c>
      <c r="B8" t="inlineStr">
        <is>
          <t>Jalen Hurts</t>
        </is>
      </c>
      <c r="C8" t="inlineStr">
        <is>
          <t>PHI</t>
        </is>
      </c>
      <c r="D8" t="n">
        <v>10</v>
      </c>
      <c r="E8" s="4" t="n">
        <v>88.40000000000001</v>
      </c>
      <c r="F8" s="4" t="n">
        <v>73.7</v>
      </c>
      <c r="G8" t="inlineStr"/>
      <c r="H8" t="inlineStr"/>
      <c r="I8" t="inlineStr">
        <is>
          <t>Jalen Hurts</t>
        </is>
      </c>
      <c r="J8" t="n">
        <v>97.59999999999999</v>
      </c>
      <c r="K8" t="n">
        <v>0</v>
      </c>
      <c r="L8" t="n">
        <v>0</v>
      </c>
      <c r="M8" t="n">
        <v>27</v>
      </c>
      <c r="N8" t="n">
        <v>1</v>
      </c>
      <c r="O8" t="n">
        <v>105</v>
      </c>
      <c r="P8" t="n">
        <v>421</v>
      </c>
      <c r="Q8" t="n">
        <v>8</v>
      </c>
      <c r="R8" t="n">
        <v>0</v>
      </c>
      <c r="S8" t="n">
        <v>0</v>
      </c>
      <c r="T8" t="n">
        <v>0</v>
      </c>
      <c r="U8" t="n">
        <v>3224</v>
      </c>
      <c r="V8" t="n">
        <v>25</v>
      </c>
      <c r="W8" t="n">
        <v>5.51</v>
      </c>
      <c r="X8" t="n">
        <v>4.6</v>
      </c>
      <c r="Y8" t="n">
        <v>0.91</v>
      </c>
      <c r="Z8" t="n">
        <v>0</v>
      </c>
      <c r="AA8" t="n">
        <v>1.88</v>
      </c>
      <c r="AB8" t="n">
        <v>7.1</v>
      </c>
      <c r="AC8" t="n">
        <v>7.48</v>
      </c>
      <c r="AD8" t="inlineStr"/>
      <c r="AE8" t="inlineStr"/>
      <c r="AF8" t="inlineStr"/>
      <c r="AG8" t="inlineStr"/>
      <c r="AH8" t="inlineStr"/>
      <c r="AI8" t="inlineStr"/>
      <c r="AJ8" t="n">
        <v>27</v>
      </c>
      <c r="AK8" t="inlineStr"/>
      <c r="AL8" t="inlineStr">
        <is>
          <t>1 games (2025 season)</t>
        </is>
      </c>
      <c r="AM8" t="inlineStr">
        <is>
          <t>Strong every-week QB1; frequent top-8 finishes expected.</t>
        </is>
      </c>
      <c r="AN8" t="inlineStr">
        <is>
          <t>He produced 19.1 PPR/FP points per game across 16 games. The workload/efficiency profile gives the model a rate-based reason to keep him here.</t>
        </is>
      </c>
      <c r="AO8" t="inlineStr">
        <is>
          <t>Passing-TD efficiency, rushing volume and supporting-cast health are the main swing factors.</t>
        </is>
      </c>
    </row>
    <row r="9">
      <c r="A9" t="inlineStr">
        <is>
          <t>QB</t>
        </is>
      </c>
      <c r="B9" t="inlineStr">
        <is>
          <t>Patrick Mahomes II</t>
        </is>
      </c>
      <c r="C9" t="inlineStr">
        <is>
          <t>KC</t>
        </is>
      </c>
      <c r="D9" t="n">
        <v>5</v>
      </c>
      <c r="E9" s="4" t="n">
        <v>87</v>
      </c>
      <c r="F9" s="4" t="n">
        <v>97.40000000000001</v>
      </c>
      <c r="G9" t="inlineStr"/>
      <c r="H9" t="inlineStr"/>
      <c r="I9" t="inlineStr">
        <is>
          <t>Patrick Mahomes II</t>
        </is>
      </c>
      <c r="J9" t="n">
        <v>97.40000000000001</v>
      </c>
      <c r="K9" t="n">
        <v>0</v>
      </c>
      <c r="L9" t="n">
        <v>0</v>
      </c>
      <c r="M9" t="n">
        <v>15</v>
      </c>
      <c r="N9" t="n">
        <v>1</v>
      </c>
      <c r="O9" t="n">
        <v>64</v>
      </c>
      <c r="P9" t="n">
        <v>422</v>
      </c>
      <c r="Q9" t="n">
        <v>5</v>
      </c>
      <c r="R9" t="n">
        <v>0</v>
      </c>
      <c r="S9" t="n">
        <v>0</v>
      </c>
      <c r="T9" t="n">
        <v>0</v>
      </c>
      <c r="U9" t="n">
        <v>3587</v>
      </c>
      <c r="V9" t="n">
        <v>22</v>
      </c>
      <c r="W9" t="n">
        <v>4.38</v>
      </c>
      <c r="X9" t="n">
        <v>5.71</v>
      </c>
      <c r="Y9" t="n">
        <v>-1.33</v>
      </c>
      <c r="Z9" t="n">
        <v>0</v>
      </c>
      <c r="AA9" t="n">
        <v>1.82</v>
      </c>
      <c r="AB9" t="n">
        <v>7.15</v>
      </c>
      <c r="AC9" t="n">
        <v>7.69</v>
      </c>
      <c r="AD9" t="inlineStr"/>
      <c r="AE9" t="inlineStr"/>
      <c r="AF9" t="inlineStr"/>
      <c r="AG9" t="inlineStr"/>
      <c r="AH9" t="inlineStr"/>
      <c r="AI9" t="inlineStr"/>
      <c r="AJ9" t="n">
        <v>30</v>
      </c>
      <c r="AK9" t="inlineStr"/>
      <c r="AL9" t="inlineStr">
        <is>
          <t>1 games (2025 season)</t>
        </is>
      </c>
      <c r="AM9" t="inlineStr">
        <is>
          <t>Strong every-week QB1; frequent top-8 finishes expected.</t>
        </is>
      </c>
      <c r="AN9" t="inlineStr">
        <is>
          <t>He produced 21.1 PPR/FP points per game across 14 games. The workload/efficiency profile gives the model a rate-based reason to keep him here.</t>
        </is>
      </c>
      <c r="AO9" t="inlineStr">
        <is>
          <t>Passing-TD efficiency, rushing volume and supporting-cast health are the main swing factors.</t>
        </is>
      </c>
    </row>
    <row r="10">
      <c r="A10" t="inlineStr">
        <is>
          <t>QB</t>
        </is>
      </c>
      <c r="B10" t="inlineStr">
        <is>
          <t>Jayden Daniels</t>
        </is>
      </c>
      <c r="C10" t="inlineStr">
        <is>
          <t>WAS</t>
        </is>
      </c>
      <c r="D10" t="n">
        <v>7</v>
      </c>
      <c r="E10" s="4" t="n">
        <v>86.7</v>
      </c>
      <c r="F10" s="4" t="n">
        <v>67</v>
      </c>
      <c r="G10" t="inlineStr"/>
      <c r="H10" t="inlineStr"/>
      <c r="I10" t="inlineStr">
        <is>
          <t>Jayden Daniels</t>
        </is>
      </c>
      <c r="J10" t="n">
        <v>6</v>
      </c>
      <c r="K10" t="n">
        <v>0</v>
      </c>
      <c r="L10" t="n">
        <v>0</v>
      </c>
      <c r="M10" t="n">
        <v>7</v>
      </c>
      <c r="N10" t="n">
        <v>1</v>
      </c>
      <c r="O10" t="n">
        <v>58</v>
      </c>
      <c r="P10" t="n">
        <v>278</v>
      </c>
      <c r="Q10" t="n">
        <v>2</v>
      </c>
      <c r="R10" t="n">
        <v>0</v>
      </c>
      <c r="S10" t="n">
        <v>0</v>
      </c>
      <c r="T10" t="n">
        <v>0</v>
      </c>
      <c r="U10" t="n">
        <v>1262</v>
      </c>
      <c r="V10" t="n">
        <v>8</v>
      </c>
      <c r="W10" t="n">
        <v>4.26</v>
      </c>
      <c r="X10" t="n">
        <v>4.94</v>
      </c>
      <c r="Y10" t="n">
        <v>-0.68</v>
      </c>
      <c r="Z10" t="n">
        <v>0</v>
      </c>
      <c r="AA10" t="n">
        <v>1.8</v>
      </c>
      <c r="AB10" t="n">
        <v>6.71</v>
      </c>
      <c r="AC10" t="n">
        <v>7.23</v>
      </c>
      <c r="AD10" t="inlineStr"/>
      <c r="AE10" t="inlineStr"/>
      <c r="AF10" t="inlineStr"/>
      <c r="AG10" t="inlineStr"/>
      <c r="AH10" t="inlineStr"/>
      <c r="AI10" t="inlineStr"/>
      <c r="AJ10" t="n">
        <v>24</v>
      </c>
      <c r="AK10" t="inlineStr"/>
      <c r="AL10" t="inlineStr">
        <is>
          <t>1 games (2025 season)</t>
        </is>
      </c>
      <c r="AM10" t="inlineStr">
        <is>
          <t>Strong every-week QB1; frequent top-8 finishes expected.</t>
        </is>
      </c>
      <c r="AN10" t="inlineStr">
        <is>
          <t>He produced 16.7 PPR/FP points per game across 7 games. The workload/efficiency profile gives the model a rate-based reason to keep him here. Market price is favorable around ADP 78 versus model overall rank 64.</t>
        </is>
      </c>
      <c r="AO10" t="inlineStr">
        <is>
          <t>Availability/sample risk is elevated after only 7 games; talent is not being punished as heavily as durability.</t>
        </is>
      </c>
    </row>
    <row r="11">
      <c r="A11" t="inlineStr">
        <is>
          <t>QB</t>
        </is>
      </c>
      <c r="B11" t="inlineStr">
        <is>
          <t>Joe Burrow</t>
        </is>
      </c>
      <c r="C11" t="inlineStr">
        <is>
          <t>CIN</t>
        </is>
      </c>
      <c r="D11" t="n">
        <v>6</v>
      </c>
      <c r="E11" s="4" t="n">
        <v>85.59999999999999</v>
      </c>
      <c r="F11" s="4" t="n">
        <v>57.3</v>
      </c>
      <c r="G11" t="inlineStr"/>
      <c r="H11" t="inlineStr"/>
      <c r="I11" t="inlineStr">
        <is>
          <t>Joe Burrow</t>
        </is>
      </c>
      <c r="J11" t="n">
        <v>87.8</v>
      </c>
      <c r="K11" t="n">
        <v>0</v>
      </c>
      <c r="L11" t="n">
        <v>0</v>
      </c>
      <c r="M11" t="n">
        <v>2</v>
      </c>
      <c r="N11" t="n">
        <v>1</v>
      </c>
      <c r="O11" t="n">
        <v>14</v>
      </c>
      <c r="P11" t="n">
        <v>41</v>
      </c>
      <c r="Q11" t="n">
        <v>0</v>
      </c>
      <c r="R11" t="n">
        <v>0</v>
      </c>
      <c r="S11" t="n">
        <v>0</v>
      </c>
      <c r="T11" t="n">
        <v>0</v>
      </c>
      <c r="U11" t="n">
        <v>1809</v>
      </c>
      <c r="V11" t="n">
        <v>17</v>
      </c>
      <c r="W11" t="n">
        <v>6.56</v>
      </c>
      <c r="X11" t="n">
        <v>5.6</v>
      </c>
      <c r="Y11" t="n">
        <v>0.97</v>
      </c>
      <c r="Z11" t="n">
        <v>0</v>
      </c>
      <c r="AA11" t="n">
        <v>1.82</v>
      </c>
      <c r="AB11" t="n">
        <v>6.98</v>
      </c>
      <c r="AC11" t="n">
        <v>7.42</v>
      </c>
      <c r="AD11" t="inlineStr"/>
      <c r="AE11" t="inlineStr"/>
      <c r="AF11" t="inlineStr"/>
      <c r="AG11" t="inlineStr"/>
      <c r="AH11" t="inlineStr"/>
      <c r="AI11" t="inlineStr"/>
      <c r="AJ11" t="n">
        <v>28</v>
      </c>
      <c r="AK11" t="inlineStr"/>
      <c r="AL11" t="inlineStr">
        <is>
          <t>1 games (2025 season)</t>
        </is>
      </c>
      <c r="AM11" t="inlineStr">
        <is>
          <t>Low-end QB1/high-end QB2 in a 10-team league; startable most weeks.</t>
        </is>
      </c>
      <c r="AN11" t="inlineStr">
        <is>
          <t>He produced 17.4 PPR/FP points per game across 8 games. The workload/efficiency profile gives the model a rate-based reason to keep him here. Market price is favorable around ADP 86 versus model overall rank 70.</t>
        </is>
      </c>
      <c r="AO11" t="inlineStr">
        <is>
          <t>Availability/sample risk is elevated after only 8 games; talent is not being punished as heavily as durability.</t>
        </is>
      </c>
    </row>
    <row r="12">
      <c r="A12" t="inlineStr">
        <is>
          <t>QB</t>
        </is>
      </c>
      <c r="B12" t="inlineStr">
        <is>
          <t>Matthew Stafford</t>
        </is>
      </c>
      <c r="C12" t="inlineStr">
        <is>
          <t>LAR</t>
        </is>
      </c>
      <c r="D12" t="n">
        <v>11</v>
      </c>
      <c r="E12" s="4" t="n">
        <v>85.40000000000001</v>
      </c>
      <c r="F12" s="4" t="n">
        <v>83.7</v>
      </c>
      <c r="G12" t="inlineStr"/>
      <c r="H12" t="inlineStr"/>
      <c r="I12" t="inlineStr">
        <is>
          <t>Matthew Stafford</t>
        </is>
      </c>
      <c r="J12" t="n">
        <v>98.5</v>
      </c>
      <c r="K12" t="n">
        <v>0</v>
      </c>
      <c r="L12" t="n">
        <v>0</v>
      </c>
      <c r="M12" t="n">
        <v>7</v>
      </c>
      <c r="N12" t="n">
        <v>1</v>
      </c>
      <c r="O12" t="n">
        <v>29</v>
      </c>
      <c r="P12" t="n">
        <v>1</v>
      </c>
      <c r="Q12" t="n">
        <v>0</v>
      </c>
      <c r="R12" t="n">
        <v>0</v>
      </c>
      <c r="S12" t="n">
        <v>0</v>
      </c>
      <c r="T12" t="n">
        <v>0</v>
      </c>
      <c r="U12" t="n">
        <v>4707</v>
      </c>
      <c r="V12" t="n">
        <v>46</v>
      </c>
      <c r="W12" t="n">
        <v>7.71</v>
      </c>
      <c r="X12" t="n">
        <v>4.97</v>
      </c>
      <c r="Y12" t="n">
        <v>2.73</v>
      </c>
      <c r="Z12" t="n">
        <v>0</v>
      </c>
      <c r="AA12" t="n">
        <v>2.06</v>
      </c>
      <c r="AB12" t="n">
        <v>7.88</v>
      </c>
      <c r="AC12" t="n">
        <v>7.49</v>
      </c>
      <c r="AD12" t="inlineStr"/>
      <c r="AE12" t="inlineStr"/>
      <c r="AF12" t="inlineStr"/>
      <c r="AG12" t="inlineStr"/>
      <c r="AH12" t="inlineStr"/>
      <c r="AI12" t="inlineStr"/>
      <c r="AJ12" t="n">
        <v>37</v>
      </c>
      <c r="AK12" t="inlineStr"/>
      <c r="AL12" t="inlineStr">
        <is>
          <t>1 games (2025 season)</t>
        </is>
      </c>
      <c r="AM12" t="inlineStr">
        <is>
          <t>Low-end QB1/high-end QB2 in a 10-team league; startable most weeks.</t>
        </is>
      </c>
      <c r="AN12" t="inlineStr">
        <is>
          <t>He produced 21.1 PPR/FP points per game across 17 games. The workload/efficiency profile gives the model a rate-based reason to keep him here. Market price is favorable around ADP 94 versus model overall rank 77.</t>
        </is>
      </c>
      <c r="AO12" t="inlineStr">
        <is>
          <t>Passing-TD efficiency, rushing volume and supporting-cast health are the main swing factors.</t>
        </is>
      </c>
    </row>
    <row r="13">
      <c r="A13" t="inlineStr">
        <is>
          <t>QB</t>
        </is>
      </c>
      <c r="B13" t="inlineStr">
        <is>
          <t>Bo Nix</t>
        </is>
      </c>
      <c r="C13" t="inlineStr">
        <is>
          <t>DEN</t>
        </is>
      </c>
      <c r="D13" t="n">
        <v>10</v>
      </c>
      <c r="E13" s="4" t="n">
        <v>85.2</v>
      </c>
      <c r="F13" s="4" t="n">
        <v>121.5</v>
      </c>
      <c r="G13" t="inlineStr"/>
      <c r="H13" t="inlineStr"/>
      <c r="I13" t="inlineStr">
        <is>
          <t>Bo Nix</t>
        </is>
      </c>
      <c r="J13" t="n">
        <v>99.59999999999999</v>
      </c>
      <c r="K13" t="n">
        <v>0</v>
      </c>
      <c r="L13" t="n">
        <v>0</v>
      </c>
      <c r="M13" t="n">
        <v>18</v>
      </c>
      <c r="N13" t="n">
        <v>1</v>
      </c>
      <c r="O13" t="n">
        <v>83</v>
      </c>
      <c r="P13" t="n">
        <v>356</v>
      </c>
      <c r="Q13" t="n">
        <v>5</v>
      </c>
      <c r="R13" t="n">
        <v>0</v>
      </c>
      <c r="S13" t="n">
        <v>0</v>
      </c>
      <c r="T13" t="n">
        <v>0</v>
      </c>
      <c r="U13" t="n">
        <v>3931</v>
      </c>
      <c r="V13" t="n">
        <v>25</v>
      </c>
      <c r="W13" t="n">
        <v>4.08</v>
      </c>
      <c r="X13" t="n">
        <v>4.58</v>
      </c>
      <c r="Y13" t="n">
        <v>-0.5</v>
      </c>
      <c r="Z13" t="n">
        <v>0</v>
      </c>
      <c r="AA13" t="n">
        <v>1.95</v>
      </c>
      <c r="AB13" t="n">
        <v>6.42</v>
      </c>
      <c r="AC13" t="n">
        <v>6.54</v>
      </c>
      <c r="AD13" t="inlineStr"/>
      <c r="AE13" t="inlineStr"/>
      <c r="AF13" t="inlineStr"/>
      <c r="AG13" t="inlineStr"/>
      <c r="AH13" t="inlineStr"/>
      <c r="AI13" t="inlineStr"/>
      <c r="AJ13" t="n">
        <v>25</v>
      </c>
      <c r="AK13" t="inlineStr"/>
      <c r="AL13" t="inlineStr">
        <is>
          <t>1 games (2025 season)</t>
        </is>
      </c>
      <c r="AM13" t="inlineStr">
        <is>
          <t>Low-end QB1/high-end QB2 in a 10-team league; startable most weeks.</t>
        </is>
      </c>
      <c r="AN13" t="inlineStr">
        <is>
          <t>He produced 18.6 PPR/FP points per game across 17 games. The workload/efficiency profile gives the model a rate-based reason to keep him here. Market price is favorable around ADP 102 versus model overall rank 79.</t>
        </is>
      </c>
      <c r="AO13" t="inlineStr">
        <is>
          <t>Passing-TD efficiency, rushing volume and supporting-cast health are the main swing factors.</t>
        </is>
      </c>
    </row>
    <row r="14">
      <c r="A14" t="inlineStr">
        <is>
          <t>QB</t>
        </is>
      </c>
      <c r="B14" t="inlineStr">
        <is>
          <t>Dak Prescott</t>
        </is>
      </c>
      <c r="C14" t="inlineStr">
        <is>
          <t>DAL</t>
        </is>
      </c>
      <c r="D14" t="n">
        <v>14</v>
      </c>
      <c r="E14" s="4" t="n">
        <v>85.09999999999999</v>
      </c>
      <c r="F14" s="4" t="n">
        <v>65.40000000000001</v>
      </c>
      <c r="G14" t="inlineStr"/>
      <c r="H14" t="inlineStr"/>
      <c r="I14" t="inlineStr">
        <is>
          <t>Dak Prescott</t>
        </is>
      </c>
      <c r="J14" t="n">
        <v>95.09999999999999</v>
      </c>
      <c r="K14" t="n">
        <v>0</v>
      </c>
      <c r="L14" t="n">
        <v>0</v>
      </c>
      <c r="M14" t="n">
        <v>12</v>
      </c>
      <c r="N14" t="n">
        <v>1</v>
      </c>
      <c r="O14" t="n">
        <v>53</v>
      </c>
      <c r="P14" t="n">
        <v>177</v>
      </c>
      <c r="Q14" t="n">
        <v>2</v>
      </c>
      <c r="R14" t="n">
        <v>0</v>
      </c>
      <c r="S14" t="n">
        <v>0</v>
      </c>
      <c r="T14" t="n">
        <v>0</v>
      </c>
      <c r="U14" t="n">
        <v>4552</v>
      </c>
      <c r="V14" t="n">
        <v>30</v>
      </c>
      <c r="W14" t="n">
        <v>5</v>
      </c>
      <c r="X14" t="n">
        <v>5.11</v>
      </c>
      <c r="Y14" t="n">
        <v>-0.11</v>
      </c>
      <c r="Z14" t="n">
        <v>0</v>
      </c>
      <c r="AA14" t="n">
        <v>1.93</v>
      </c>
      <c r="AB14" t="n">
        <v>7.59</v>
      </c>
      <c r="AC14" t="n">
        <v>7.56</v>
      </c>
      <c r="AD14" t="inlineStr"/>
      <c r="AE14" t="inlineStr"/>
      <c r="AF14" t="inlineStr"/>
      <c r="AG14" t="inlineStr"/>
      <c r="AH14" t="inlineStr"/>
      <c r="AI14" t="inlineStr"/>
      <c r="AJ14" t="n">
        <v>32</v>
      </c>
      <c r="AK14" t="inlineStr"/>
      <c r="AL14" t="inlineStr">
        <is>
          <t>1 games (2025 season)</t>
        </is>
      </c>
      <c r="AM14" t="inlineStr">
        <is>
          <t>Low-end QB1/high-end QB2 in a 10-team league; startable most weeks.</t>
        </is>
      </c>
      <c r="AN14" t="inlineStr">
        <is>
          <t>He produced 19.0 PPR/FP points per game across 17 games. The workload/efficiency profile gives the model a rate-based reason to keep him here. Market price is favorable around ADP 110 versus model overall rank 82.</t>
        </is>
      </c>
      <c r="AO14" t="inlineStr">
        <is>
          <t>Passing-TD efficiency, rushing volume and supporting-cast health are the main swing factors.</t>
        </is>
      </c>
    </row>
    <row r="15">
      <c r="A15" t="inlineStr">
        <is>
          <t>QB</t>
        </is>
      </c>
      <c r="B15" t="inlineStr">
        <is>
          <t>Trevor Lawrence</t>
        </is>
      </c>
      <c r="C15" t="inlineStr">
        <is>
          <t>JAX</t>
        </is>
      </c>
      <c r="D15" t="n">
        <v>7</v>
      </c>
      <c r="E15" s="4" t="n">
        <v>84.7</v>
      </c>
      <c r="F15" s="4" t="n">
        <v>89.59999999999999</v>
      </c>
      <c r="G15" t="inlineStr"/>
      <c r="H15" t="inlineStr"/>
      <c r="I15" t="inlineStr">
        <is>
          <t>Trevor Lawrence</t>
        </is>
      </c>
      <c r="J15" t="n">
        <v>0</v>
      </c>
      <c r="K15" t="n">
        <v>0</v>
      </c>
      <c r="L15" t="n">
        <v>0</v>
      </c>
      <c r="M15" t="n">
        <v>24</v>
      </c>
      <c r="N15" t="n">
        <v>1</v>
      </c>
      <c r="O15" t="n">
        <v>82</v>
      </c>
      <c r="P15" t="n">
        <v>359</v>
      </c>
      <c r="Q15" t="n">
        <v>9</v>
      </c>
      <c r="R15" t="n">
        <v>0</v>
      </c>
      <c r="S15" t="n">
        <v>0</v>
      </c>
      <c r="T15" t="n">
        <v>0</v>
      </c>
      <c r="U15" t="n">
        <v>4007</v>
      </c>
      <c r="V15" t="n">
        <v>29</v>
      </c>
      <c r="W15" t="n">
        <v>5.18</v>
      </c>
      <c r="X15" t="n">
        <v>3.78</v>
      </c>
      <c r="Y15" t="n">
        <v>1.4</v>
      </c>
      <c r="Z15" t="n">
        <v>0</v>
      </c>
      <c r="AA15" t="n">
        <v>2.24</v>
      </c>
      <c r="AB15" t="n">
        <v>7.16</v>
      </c>
      <c r="AC15" t="n">
        <v>6.87</v>
      </c>
      <c r="AD15" t="inlineStr"/>
      <c r="AE15" t="inlineStr"/>
      <c r="AF15" t="inlineStr"/>
      <c r="AG15" t="inlineStr"/>
      <c r="AH15" t="inlineStr"/>
      <c r="AI15" t="inlineStr"/>
      <c r="AJ15" t="n">
        <v>25</v>
      </c>
      <c r="AK15" t="inlineStr"/>
      <c r="AL15" t="inlineStr">
        <is>
          <t>1 games (2025 season)</t>
        </is>
      </c>
      <c r="AM15" t="inlineStr">
        <is>
          <t>QB2/streaming tier; useful when matchup and supporting cast line up.</t>
        </is>
      </c>
      <c r="AN15" t="inlineStr">
        <is>
          <t>He produced 20.6 PPR/FP points per game across 17 games. The workload/efficiency profile gives the model a rate-based reason to keep him here. Market price is favorable around ADP 118 versus model overall rank 87.</t>
        </is>
      </c>
      <c r="AO15" t="inlineStr">
        <is>
          <t>Passing-TD efficiency, rushing volume and supporting-cast health are the main swing factors.</t>
        </is>
      </c>
    </row>
    <row r="16">
      <c r="A16" t="inlineStr">
        <is>
          <t>QB</t>
        </is>
      </c>
      <c r="B16" t="inlineStr">
        <is>
          <t>Brock Purdy</t>
        </is>
      </c>
      <c r="C16" t="inlineStr">
        <is>
          <t>SF</t>
        </is>
      </c>
      <c r="D16" t="n">
        <v>8</v>
      </c>
      <c r="E16" s="4" t="n">
        <v>83.8</v>
      </c>
      <c r="F16" s="4" t="n">
        <v>75.7</v>
      </c>
      <c r="G16" t="inlineStr"/>
      <c r="H16" t="inlineStr"/>
      <c r="I16" t="inlineStr">
        <is>
          <t>Brock Purdy</t>
        </is>
      </c>
      <c r="J16" t="n">
        <v>97.8</v>
      </c>
      <c r="K16" t="n">
        <v>0</v>
      </c>
      <c r="L16" t="n">
        <v>0</v>
      </c>
      <c r="M16" t="n">
        <v>7</v>
      </c>
      <c r="N16" t="n">
        <v>1</v>
      </c>
      <c r="O16" t="n">
        <v>33</v>
      </c>
      <c r="P16" t="n">
        <v>147</v>
      </c>
      <c r="Q16" t="n">
        <v>3</v>
      </c>
      <c r="R16" t="n">
        <v>0</v>
      </c>
      <c r="S16" t="n">
        <v>0</v>
      </c>
      <c r="T16" t="n">
        <v>0</v>
      </c>
      <c r="U16" t="n">
        <v>2167</v>
      </c>
      <c r="V16" t="n">
        <v>20</v>
      </c>
      <c r="W16" t="n">
        <v>7.04</v>
      </c>
      <c r="X16" t="n">
        <v>6.21</v>
      </c>
      <c r="Y16" t="n">
        <v>0.83</v>
      </c>
      <c r="Z16" t="n">
        <v>0</v>
      </c>
      <c r="AA16" t="n">
        <v>2.73</v>
      </c>
      <c r="AB16" t="n">
        <v>7.63</v>
      </c>
      <c r="AC16" t="n">
        <v>8.640000000000001</v>
      </c>
      <c r="AD16" t="inlineStr"/>
      <c r="AE16" t="inlineStr"/>
      <c r="AF16" t="inlineStr"/>
      <c r="AG16" t="inlineStr"/>
      <c r="AH16" t="inlineStr"/>
      <c r="AI16" t="inlineStr"/>
      <c r="AJ16" t="n">
        <v>25</v>
      </c>
      <c r="AK16" t="inlineStr"/>
      <c r="AL16" t="inlineStr">
        <is>
          <t>1 games (2025 season)</t>
        </is>
      </c>
      <c r="AM16" t="inlineStr">
        <is>
          <t>QB2/streaming tier; useful when matchup and supporting cast line up.</t>
        </is>
      </c>
      <c r="AN16" t="inlineStr">
        <is>
          <t>He produced 20.8 PPR/FP points per game across 9 games. The workload/efficiency profile gives the model a rate-based reason to keep him here. Market price is favorable around ADP 126 versus model overall rank 95.</t>
        </is>
      </c>
      <c r="AO16" t="inlineStr">
        <is>
          <t>Availability/sample risk is elevated after only 9 games; talent is not being punished as heavily as durability.</t>
        </is>
      </c>
    </row>
    <row r="17">
      <c r="A17" t="inlineStr">
        <is>
          <t>QB</t>
        </is>
      </c>
      <c r="B17" t="inlineStr">
        <is>
          <t>Jaxson Dart</t>
        </is>
      </c>
      <c r="C17" t="inlineStr">
        <is>
          <t>NYG</t>
        </is>
      </c>
      <c r="D17" t="n">
        <v>8</v>
      </c>
      <c r="E17" s="4" t="n">
        <v>83.09999999999999</v>
      </c>
      <c r="F17" s="4" t="n">
        <v>100.4</v>
      </c>
      <c r="G17" t="inlineStr"/>
      <c r="H17" t="inlineStr"/>
      <c r="I17" t="inlineStr">
        <is>
          <t>Jaxson Dart</t>
        </is>
      </c>
      <c r="J17" t="n">
        <v>83.59999999999999</v>
      </c>
      <c r="K17" t="n">
        <v>0</v>
      </c>
      <c r="L17" t="n">
        <v>0</v>
      </c>
      <c r="M17" t="n">
        <v>22</v>
      </c>
      <c r="N17" t="n">
        <v>1</v>
      </c>
      <c r="O17" t="n">
        <v>86</v>
      </c>
      <c r="P17" t="n">
        <v>487</v>
      </c>
      <c r="Q17" t="n">
        <v>9</v>
      </c>
      <c r="R17" t="n">
        <v>0</v>
      </c>
      <c r="S17" t="n">
        <v>0</v>
      </c>
      <c r="T17" t="n">
        <v>0</v>
      </c>
      <c r="U17" t="n">
        <v>2272</v>
      </c>
      <c r="V17" t="n">
        <v>15</v>
      </c>
      <c r="W17" t="n">
        <v>4.42</v>
      </c>
      <c r="X17" t="n">
        <v>4.42</v>
      </c>
      <c r="Y17" t="n">
        <v>0</v>
      </c>
      <c r="Z17" t="n">
        <v>0</v>
      </c>
      <c r="AA17" t="n">
        <v>1.47</v>
      </c>
      <c r="AB17" t="n">
        <v>6.7</v>
      </c>
      <c r="AC17" t="n">
        <v>6.7</v>
      </c>
      <c r="AD17" t="inlineStr"/>
      <c r="AE17" t="inlineStr"/>
      <c r="AF17" t="inlineStr"/>
      <c r="AG17" t="inlineStr"/>
      <c r="AH17" t="inlineStr"/>
      <c r="AI17" t="inlineStr"/>
      <c r="AJ17" t="n">
        <v>22</v>
      </c>
      <c r="AK17" t="inlineStr"/>
      <c r="AL17" t="inlineStr">
        <is>
          <t>1 games (2025 season)</t>
        </is>
      </c>
      <c r="AM17" t="inlineStr">
        <is>
          <t>QB2/streaming tier; useful when matchup and supporting cast line up.</t>
        </is>
      </c>
      <c r="AN17" t="inlineStr">
        <is>
          <t>He produced 17.6 PPR/FP points per game across 14 games. The workload/efficiency profile gives the model a rate-based reason to keep him here. Market price is favorable around ADP 134 versus model overall rank 101.</t>
        </is>
      </c>
      <c r="AO17" t="inlineStr">
        <is>
          <t>Passing-TD efficiency, rushing volume and supporting-cast health are the main swing factors.</t>
        </is>
      </c>
    </row>
    <row r="18">
      <c r="A18" t="inlineStr">
        <is>
          <t>QB</t>
        </is>
      </c>
      <c r="B18" t="inlineStr">
        <is>
          <t>Jared Goff</t>
        </is>
      </c>
      <c r="C18" t="inlineStr">
        <is>
          <t>DET</t>
        </is>
      </c>
      <c r="D18" t="n">
        <v>6</v>
      </c>
      <c r="E18" s="4" t="n">
        <v>82.59999999999999</v>
      </c>
      <c r="F18" s="4" t="n">
        <v>107.9</v>
      </c>
      <c r="G18" t="inlineStr"/>
      <c r="H18" t="inlineStr"/>
      <c r="I18" t="inlineStr">
        <is>
          <t>Jared Goff</t>
        </is>
      </c>
      <c r="J18" t="n">
        <v>98.5</v>
      </c>
      <c r="K18" t="n">
        <v>0</v>
      </c>
      <c r="L18" t="n">
        <v>0</v>
      </c>
      <c r="M18" t="n">
        <v>3</v>
      </c>
      <c r="N18" t="n">
        <v>1</v>
      </c>
      <c r="O18" t="n">
        <v>19</v>
      </c>
      <c r="P18" t="n">
        <v>45</v>
      </c>
      <c r="Q18" t="n">
        <v>0</v>
      </c>
      <c r="R18" t="n">
        <v>0</v>
      </c>
      <c r="S18" t="n">
        <v>0</v>
      </c>
      <c r="T18" t="n">
        <v>0</v>
      </c>
      <c r="U18" t="n">
        <v>4564</v>
      </c>
      <c r="V18" t="n">
        <v>34</v>
      </c>
      <c r="W18" t="n">
        <v>5.88</v>
      </c>
      <c r="X18" t="n">
        <v>4.9</v>
      </c>
      <c r="Y18" t="n">
        <v>0.98</v>
      </c>
      <c r="Z18" t="n">
        <v>0</v>
      </c>
      <c r="AA18" t="n">
        <v>1.95</v>
      </c>
      <c r="AB18" t="n">
        <v>7.9</v>
      </c>
      <c r="AC18" t="n">
        <v>7.58</v>
      </c>
      <c r="AD18" t="inlineStr"/>
      <c r="AE18" t="inlineStr"/>
      <c r="AF18" t="inlineStr"/>
      <c r="AG18" t="inlineStr"/>
      <c r="AH18" t="inlineStr"/>
      <c r="AI18" t="inlineStr"/>
      <c r="AJ18" t="n">
        <v>30</v>
      </c>
      <c r="AK18" t="inlineStr"/>
      <c r="AL18" t="inlineStr">
        <is>
          <t>1 games (2025 season)</t>
        </is>
      </c>
      <c r="AM18" t="inlineStr">
        <is>
          <t>QB2/streaming tier; useful when matchup and supporting cast line up.</t>
        </is>
      </c>
      <c r="AN18" t="inlineStr">
        <is>
          <t>He produced 17.9 PPR/FP points per game across 17 games. The workload/efficiency profile gives the model a rate-based reason to keep him here. Market price is favorable around ADP 142 versus model overall rank 106.</t>
        </is>
      </c>
      <c r="AO18" t="inlineStr">
        <is>
          <t>Passing-TD efficiency, rushing volume and supporting-cast health are the main swing factors.</t>
        </is>
      </c>
    </row>
    <row r="19">
      <c r="A19" t="inlineStr">
        <is>
          <t>QB</t>
        </is>
      </c>
      <c r="B19" t="inlineStr">
        <is>
          <t>Kyler Murray</t>
        </is>
      </c>
      <c r="C19" t="inlineStr">
        <is>
          <t>MIN</t>
        </is>
      </c>
      <c r="D19" t="n">
        <v>6</v>
      </c>
      <c r="E19" s="4" t="n">
        <v>80.7</v>
      </c>
      <c r="F19" s="4" t="n">
        <v>146.6</v>
      </c>
      <c r="G19" t="inlineStr"/>
      <c r="H19" t="inlineStr"/>
      <c r="I19" t="inlineStr">
        <is>
          <t>Kyler Murray</t>
        </is>
      </c>
      <c r="J19" t="n">
        <v>0</v>
      </c>
      <c r="K19" t="n">
        <v>0</v>
      </c>
      <c r="L19" t="n">
        <v>0</v>
      </c>
      <c r="M19" t="n">
        <v>4</v>
      </c>
      <c r="N19" t="n">
        <v>1</v>
      </c>
      <c r="O19" t="n">
        <v>29</v>
      </c>
      <c r="P19" t="n">
        <v>173</v>
      </c>
      <c r="Q19" t="n">
        <v>1</v>
      </c>
      <c r="R19" t="n">
        <v>0</v>
      </c>
      <c r="S19" t="n">
        <v>0</v>
      </c>
      <c r="T19" t="n">
        <v>0</v>
      </c>
      <c r="U19" t="n">
        <v>962</v>
      </c>
      <c r="V19" t="n">
        <v>6</v>
      </c>
      <c r="W19" t="n">
        <v>3.73</v>
      </c>
      <c r="X19" t="n">
        <v>4.11</v>
      </c>
      <c r="Y19" t="n">
        <v>-0.39</v>
      </c>
      <c r="Z19" t="n">
        <v>0</v>
      </c>
      <c r="AA19" t="n">
        <v>2.04</v>
      </c>
      <c r="AB19" t="n">
        <v>5.98</v>
      </c>
      <c r="AC19" t="n">
        <v>6.96</v>
      </c>
      <c r="AD19" t="inlineStr"/>
      <c r="AE19" t="inlineStr"/>
      <c r="AF19" t="inlineStr"/>
      <c r="AG19" t="inlineStr"/>
      <c r="AH19" t="inlineStr"/>
      <c r="AI19" t="inlineStr"/>
      <c r="AJ19" t="n">
        <v>28</v>
      </c>
      <c r="AK19" t="inlineStr"/>
      <c r="AL19" t="inlineStr">
        <is>
          <t>1 games (2025 season)</t>
        </is>
      </c>
      <c r="AM19" t="inlineStr">
        <is>
          <t>QB2/streaming tier; useful when matchup and supporting cast line up.</t>
        </is>
      </c>
      <c r="AN19" t="inlineStr">
        <is>
          <t>He produced 16.2 PPR/FP points per game across 5 games. The workload/efficiency profile gives the model a rate-based reason to keep him here. Market price is favorable around ADP 150 versus model overall rank 119.</t>
        </is>
      </c>
      <c r="AO19" t="inlineStr">
        <is>
          <t>Availability/sample risk is elevated after only 5 games; talent is not being punished as heavily as durability.</t>
        </is>
      </c>
    </row>
    <row r="20">
      <c r="A20" t="inlineStr">
        <is>
          <t>QB</t>
        </is>
      </c>
      <c r="B20" t="inlineStr">
        <is>
          <t>Jordan Love</t>
        </is>
      </c>
      <c r="C20" t="inlineStr">
        <is>
          <t>GB</t>
        </is>
      </c>
      <c r="D20" t="n">
        <v>11</v>
      </c>
      <c r="E20" s="4" t="n">
        <v>80</v>
      </c>
      <c r="F20" s="4" t="n">
        <v>150.5</v>
      </c>
      <c r="G20" t="inlineStr"/>
      <c r="H20" t="inlineStr"/>
      <c r="I20" t="inlineStr">
        <is>
          <t>Jordan Love</t>
        </is>
      </c>
      <c r="J20" t="n">
        <v>64.5</v>
      </c>
      <c r="K20" t="n">
        <v>0</v>
      </c>
      <c r="L20" t="n">
        <v>0</v>
      </c>
      <c r="M20" t="n">
        <v>6</v>
      </c>
      <c r="N20" t="n">
        <v>1</v>
      </c>
      <c r="O20" t="n">
        <v>47</v>
      </c>
      <c r="P20" t="n">
        <v>199</v>
      </c>
      <c r="Q20" t="n">
        <v>0</v>
      </c>
      <c r="R20" t="n">
        <v>0</v>
      </c>
      <c r="S20" t="n">
        <v>0</v>
      </c>
      <c r="T20" t="n">
        <v>0</v>
      </c>
      <c r="U20" t="n">
        <v>3381</v>
      </c>
      <c r="V20" t="n">
        <v>23</v>
      </c>
      <c r="W20" t="n">
        <v>5.24</v>
      </c>
      <c r="X20" t="n">
        <v>5.44</v>
      </c>
      <c r="Y20" t="n">
        <v>-0.2</v>
      </c>
      <c r="Z20" t="n">
        <v>0</v>
      </c>
      <c r="AA20" t="n">
        <v>2.03</v>
      </c>
      <c r="AB20" t="n">
        <v>7.7</v>
      </c>
      <c r="AC20" t="n">
        <v>7.56</v>
      </c>
      <c r="AD20" t="inlineStr"/>
      <c r="AE20" t="inlineStr"/>
      <c r="AF20" t="inlineStr"/>
      <c r="AG20" t="inlineStr"/>
      <c r="AH20" t="inlineStr"/>
      <c r="AI20" t="inlineStr"/>
      <c r="AJ20" t="n">
        <v>26</v>
      </c>
      <c r="AK20" t="inlineStr"/>
      <c r="AL20" t="inlineStr">
        <is>
          <t>1 games (2025 season)</t>
        </is>
      </c>
      <c r="AM20" t="inlineStr">
        <is>
          <t>QB2/streaming tier; useful when matchup and supporting cast line up.</t>
        </is>
      </c>
      <c r="AN20" t="inlineStr">
        <is>
          <t>He produced 16.1 PPR/FP points per game across 15 games. The workload/efficiency profile gives the model a rate-based reason to keep him here. Market price is favorable around ADP 158 versus model overall rank 126.</t>
        </is>
      </c>
      <c r="AO20" t="inlineStr">
        <is>
          <t>Passing-TD efficiency, rushing volume and supporting-cast health are the main swing factors.</t>
        </is>
      </c>
    </row>
    <row r="21">
      <c r="A21" t="inlineStr">
        <is>
          <t>QB</t>
        </is>
      </c>
      <c r="B21" t="inlineStr">
        <is>
          <t>Baker Mayfield</t>
        </is>
      </c>
      <c r="C21" t="inlineStr">
        <is>
          <t>TB</t>
        </is>
      </c>
      <c r="D21" t="n">
        <v>10</v>
      </c>
      <c r="E21" s="4" t="n">
        <v>79.8</v>
      </c>
      <c r="F21" s="4" t="n">
        <v>128.6</v>
      </c>
      <c r="G21" t="inlineStr"/>
      <c r="H21" t="inlineStr"/>
      <c r="I21" t="inlineStr">
        <is>
          <t>Baker Mayfield</t>
        </is>
      </c>
      <c r="J21" t="n">
        <v>97.09999999999999</v>
      </c>
      <c r="K21" t="n">
        <v>0</v>
      </c>
      <c r="L21" t="n">
        <v>0</v>
      </c>
      <c r="M21" t="n">
        <v>9</v>
      </c>
      <c r="N21" t="n">
        <v>1</v>
      </c>
      <c r="O21" t="n">
        <v>55</v>
      </c>
      <c r="P21" t="n">
        <v>382</v>
      </c>
      <c r="Q21" t="n">
        <v>1</v>
      </c>
      <c r="R21" t="n">
        <v>0</v>
      </c>
      <c r="S21" t="n">
        <v>0</v>
      </c>
      <c r="T21" t="n">
        <v>0</v>
      </c>
      <c r="U21" t="n">
        <v>3693</v>
      </c>
      <c r="V21" t="n">
        <v>26</v>
      </c>
      <c r="W21" t="n">
        <v>4.79</v>
      </c>
      <c r="X21" t="n">
        <v>5</v>
      </c>
      <c r="Y21" t="n">
        <v>-0.21</v>
      </c>
      <c r="Z21" t="n">
        <v>0</v>
      </c>
      <c r="AA21" t="n">
        <v>2.56</v>
      </c>
      <c r="AB21" t="n">
        <v>6.8</v>
      </c>
      <c r="AC21" t="n">
        <v>7.24</v>
      </c>
      <c r="AD21" t="inlineStr"/>
      <c r="AE21" t="inlineStr"/>
      <c r="AF21" t="inlineStr"/>
      <c r="AG21" t="inlineStr"/>
      <c r="AH21" t="inlineStr"/>
      <c r="AI21" t="inlineStr"/>
      <c r="AJ21" t="n">
        <v>30</v>
      </c>
      <c r="AK21" t="inlineStr"/>
      <c r="AL21" t="inlineStr">
        <is>
          <t>1 games (2025 season)</t>
        </is>
      </c>
      <c r="AM21" t="inlineStr">
        <is>
          <t>Bench/streaming option; needs matchup, rushing or TD spike weeks.</t>
        </is>
      </c>
      <c r="AN21" t="inlineStr">
        <is>
          <t>He produced 16.6 PPR/FP points per game across 17 games. The workload/efficiency profile gives the model a rate-based reason to keep him here. Market price is favorable around ADP 166 versus model overall rank 130.</t>
        </is>
      </c>
      <c r="AO21" t="inlineStr">
        <is>
          <t>Passing-TD efficiency, rushing volume and supporting-cast health are the main swing factors.</t>
        </is>
      </c>
    </row>
    <row r="22">
      <c r="A22" t="inlineStr">
        <is>
          <t>QB</t>
        </is>
      </c>
      <c r="B22" t="inlineStr">
        <is>
          <t>Tyler Shough</t>
        </is>
      </c>
      <c r="C22" t="inlineStr">
        <is>
          <t>NO</t>
        </is>
      </c>
      <c r="D22" t="n">
        <v>8</v>
      </c>
      <c r="E22" s="4" t="n">
        <v>77.40000000000001</v>
      </c>
      <c r="F22" s="4" t="n">
        <v>137.7</v>
      </c>
      <c r="G22" t="inlineStr"/>
      <c r="H22" t="inlineStr"/>
      <c r="I22" t="inlineStr">
        <is>
          <t>Tyler Shough</t>
        </is>
      </c>
      <c r="J22" t="n">
        <v>83.5</v>
      </c>
      <c r="K22" t="n">
        <v>0</v>
      </c>
      <c r="L22" t="n">
        <v>0</v>
      </c>
      <c r="M22" t="n">
        <v>14</v>
      </c>
      <c r="N22" t="n">
        <v>1</v>
      </c>
      <c r="O22" t="n">
        <v>45</v>
      </c>
      <c r="P22" t="n">
        <v>186</v>
      </c>
      <c r="Q22" t="n">
        <v>3</v>
      </c>
      <c r="R22" t="n">
        <v>0</v>
      </c>
      <c r="S22" t="n">
        <v>0</v>
      </c>
      <c r="T22" t="n">
        <v>0</v>
      </c>
      <c r="U22" t="n">
        <v>2384</v>
      </c>
      <c r="V22" t="n">
        <v>10</v>
      </c>
      <c r="W22" t="n">
        <v>3.06</v>
      </c>
      <c r="X22" t="n">
        <v>3.06</v>
      </c>
      <c r="Y22" t="n">
        <v>0</v>
      </c>
      <c r="Z22" t="n">
        <v>0</v>
      </c>
      <c r="AA22" t="n">
        <v>1.83</v>
      </c>
      <c r="AB22" t="n">
        <v>7.29</v>
      </c>
      <c r="AC22" t="n">
        <v>7.29</v>
      </c>
      <c r="AD22" t="inlineStr"/>
      <c r="AE22" t="inlineStr"/>
      <c r="AF22" t="inlineStr"/>
      <c r="AG22" t="inlineStr"/>
      <c r="AH22" t="inlineStr"/>
      <c r="AI22" t="inlineStr"/>
      <c r="AJ22" t="n">
        <v>25</v>
      </c>
      <c r="AK22" t="inlineStr"/>
      <c r="AL22" t="inlineStr">
        <is>
          <t>1 games (2025 season)</t>
        </is>
      </c>
      <c r="AM22" t="inlineStr">
        <is>
          <t>Bench/streaming option; needs matchup, rushing or TD spike weeks.</t>
        </is>
      </c>
      <c r="AN22" t="inlineStr">
        <is>
          <t>He produced 14.9 PPR/FP points per game across 11 games. The workload/efficiency profile gives the model a rate-based reason to keep him here. Market price is favorable around ADP 174 versus model overall rank 144.</t>
        </is>
      </c>
      <c r="AO22" t="inlineStr">
        <is>
          <t>Passing-TD efficiency, rushing volume and supporting-cast health are the main swing factors.</t>
        </is>
      </c>
    </row>
    <row r="23">
      <c r="A23" t="inlineStr">
        <is>
          <t>QB</t>
        </is>
      </c>
      <c r="B23" t="inlineStr">
        <is>
          <t>C.J. Stroud</t>
        </is>
      </c>
      <c r="C23" t="inlineStr">
        <is>
          <t>HOU</t>
        </is>
      </c>
      <c r="D23" t="n">
        <v>8</v>
      </c>
      <c r="E23" s="4" t="n">
        <v>75.8</v>
      </c>
      <c r="F23" s="4" t="n">
        <v>162.5</v>
      </c>
      <c r="G23" t="inlineStr"/>
      <c r="H23" t="inlineStr"/>
      <c r="I23" t="inlineStr">
        <is>
          <t>C.J. Stroud</t>
        </is>
      </c>
      <c r="J23" t="n">
        <v>91.2</v>
      </c>
      <c r="K23" t="n">
        <v>0</v>
      </c>
      <c r="L23" t="n">
        <v>0</v>
      </c>
      <c r="M23" t="n">
        <v>8</v>
      </c>
      <c r="N23" t="n">
        <v>1</v>
      </c>
      <c r="O23" t="n">
        <v>48</v>
      </c>
      <c r="P23" t="n">
        <v>209</v>
      </c>
      <c r="Q23" t="n">
        <v>1</v>
      </c>
      <c r="R23" t="n">
        <v>0</v>
      </c>
      <c r="S23" t="n">
        <v>0</v>
      </c>
      <c r="T23" t="n">
        <v>0</v>
      </c>
      <c r="U23" t="n">
        <v>3041</v>
      </c>
      <c r="V23" t="n">
        <v>19</v>
      </c>
      <c r="W23" t="n">
        <v>4.49</v>
      </c>
      <c r="X23" t="n">
        <v>4.26</v>
      </c>
      <c r="Y23" t="n">
        <v>0.23</v>
      </c>
      <c r="Z23" t="n">
        <v>0</v>
      </c>
      <c r="AA23" t="n">
        <v>1.72</v>
      </c>
      <c r="AB23" t="n">
        <v>7.19</v>
      </c>
      <c r="AC23" t="n">
        <v>7.48</v>
      </c>
      <c r="AD23" t="inlineStr"/>
      <c r="AE23" t="inlineStr"/>
      <c r="AF23" t="inlineStr"/>
      <c r="AG23" t="inlineStr"/>
      <c r="AH23" t="inlineStr"/>
      <c r="AI23" t="inlineStr"/>
      <c r="AJ23" t="n">
        <v>23</v>
      </c>
      <c r="AK23" t="inlineStr"/>
      <c r="AL23" t="inlineStr">
        <is>
          <t>1 games (2025 season)</t>
        </is>
      </c>
      <c r="AM23" t="inlineStr">
        <is>
          <t>Bench/streaming option; needs matchup, rushing or TD spike weeks.</t>
        </is>
      </c>
      <c r="AN23" t="inlineStr">
        <is>
          <t>He produced 15.5 PPR/FP points per game across 14 games. The workload/efficiency profile gives the model a rate-based reason to keep him here. Market price is favorable around ADP 182 versus model overall rank 154.</t>
        </is>
      </c>
      <c r="AO23" t="inlineStr">
        <is>
          <t>Passing-TD efficiency, rushing volume and supporting-cast health are the main swing factors.</t>
        </is>
      </c>
    </row>
    <row r="24">
      <c r="A24" t="inlineStr">
        <is>
          <t>QB</t>
        </is>
      </c>
      <c r="B24" t="inlineStr">
        <is>
          <t>Sam Darnold</t>
        </is>
      </c>
      <c r="C24" t="inlineStr">
        <is>
          <t>SEA</t>
        </is>
      </c>
      <c r="D24" t="n">
        <v>11</v>
      </c>
      <c r="E24" s="4" t="n">
        <v>75.59999999999999</v>
      </c>
      <c r="F24" s="4" t="n">
        <v>142.4</v>
      </c>
      <c r="G24" t="inlineStr"/>
      <c r="H24" t="inlineStr"/>
      <c r="I24" t="inlineStr">
        <is>
          <t>Sam Darnold</t>
        </is>
      </c>
      <c r="J24" t="n">
        <v>96.2</v>
      </c>
      <c r="K24" t="n">
        <v>0</v>
      </c>
      <c r="L24" t="n">
        <v>0</v>
      </c>
      <c r="M24" t="n">
        <v>6</v>
      </c>
      <c r="N24" t="n">
        <v>1</v>
      </c>
      <c r="O24" t="n">
        <v>35</v>
      </c>
      <c r="P24" t="n">
        <v>95</v>
      </c>
      <c r="Q24" t="n">
        <v>0</v>
      </c>
      <c r="R24" t="n">
        <v>0</v>
      </c>
      <c r="S24" t="n">
        <v>0</v>
      </c>
      <c r="T24" t="n">
        <v>0</v>
      </c>
      <c r="U24" t="n">
        <v>4048</v>
      </c>
      <c r="V24" t="n">
        <v>25</v>
      </c>
      <c r="W24" t="n">
        <v>5.24</v>
      </c>
      <c r="X24" t="n">
        <v>4.34</v>
      </c>
      <c r="Y24" t="n">
        <v>0.9</v>
      </c>
      <c r="Z24" t="n">
        <v>0</v>
      </c>
      <c r="AA24" t="n">
        <v>2.89</v>
      </c>
      <c r="AB24" t="n">
        <v>8.49</v>
      </c>
      <c r="AC24" t="n">
        <v>7.21</v>
      </c>
      <c r="AD24" t="inlineStr"/>
      <c r="AE24" t="inlineStr"/>
      <c r="AF24" t="inlineStr"/>
      <c r="AG24" t="inlineStr"/>
      <c r="AH24" t="inlineStr"/>
      <c r="AI24" t="inlineStr"/>
      <c r="AJ24" t="n">
        <v>28</v>
      </c>
      <c r="AK24" t="inlineStr"/>
      <c r="AL24" t="inlineStr">
        <is>
          <t>1 games (2025 season)</t>
        </is>
      </c>
      <c r="AM24" t="inlineStr">
        <is>
          <t>Bench/streaming option; needs matchup, rushing or TD spike weeks.</t>
        </is>
      </c>
      <c r="AN24" t="inlineStr">
        <is>
          <t>He produced 14.7 PPR/FP points per game across 17 games. The workload/efficiency profile gives the model a rate-based reason to keep him here. Market price is favorable around ADP 190 versus model overall rank 157.</t>
        </is>
      </c>
      <c r="AO24" t="inlineStr">
        <is>
          <t>Passing-TD efficiency, rushing volume and supporting-cast health are the main swing factors.</t>
        </is>
      </c>
    </row>
    <row r="25">
      <c r="A25" t="inlineStr">
        <is>
          <t>QB</t>
        </is>
      </c>
      <c r="B25" t="inlineStr">
        <is>
          <t>Daniel Jones</t>
        </is>
      </c>
      <c r="C25" t="inlineStr">
        <is>
          <t>IND</t>
        </is>
      </c>
      <c r="D25" t="n">
        <v>13</v>
      </c>
      <c r="E25" s="4" t="n">
        <v>74.8</v>
      </c>
      <c r="F25" s="4" t="n">
        <v>143.9</v>
      </c>
      <c r="G25" t="inlineStr"/>
      <c r="H25" t="inlineStr"/>
      <c r="I25" t="inlineStr">
        <is>
          <t>Daniel Jones</t>
        </is>
      </c>
      <c r="J25" t="n">
        <v>55.1</v>
      </c>
      <c r="K25" t="n">
        <v>0</v>
      </c>
      <c r="L25" t="n">
        <v>0</v>
      </c>
      <c r="M25" t="n">
        <v>16</v>
      </c>
      <c r="N25" t="n">
        <v>1</v>
      </c>
      <c r="O25" t="n">
        <v>45</v>
      </c>
      <c r="P25" t="n">
        <v>164</v>
      </c>
      <c r="Q25" t="n">
        <v>5</v>
      </c>
      <c r="R25" t="n">
        <v>0</v>
      </c>
      <c r="S25" t="n">
        <v>0</v>
      </c>
      <c r="T25" t="n">
        <v>0</v>
      </c>
      <c r="U25" t="n">
        <v>3101</v>
      </c>
      <c r="V25" t="n">
        <v>19</v>
      </c>
      <c r="W25" t="n">
        <v>4.95</v>
      </c>
      <c r="X25" t="n">
        <v>3.39</v>
      </c>
      <c r="Y25" t="n">
        <v>1.56</v>
      </c>
      <c r="Z25" t="n">
        <v>0</v>
      </c>
      <c r="AA25" t="n">
        <v>2.1</v>
      </c>
      <c r="AB25" t="n">
        <v>8.08</v>
      </c>
      <c r="AC25" t="n">
        <v>6.74</v>
      </c>
      <c r="AD25" t="inlineStr"/>
      <c r="AE25" t="inlineStr"/>
      <c r="AF25" t="inlineStr"/>
      <c r="AG25" t="inlineStr"/>
      <c r="AH25" t="inlineStr"/>
      <c r="AI25" t="inlineStr"/>
      <c r="AJ25" t="n">
        <v>28</v>
      </c>
      <c r="AK25" t="inlineStr"/>
      <c r="AL25" t="inlineStr">
        <is>
          <t>1 games (2025 season)</t>
        </is>
      </c>
      <c r="AM25" t="inlineStr">
        <is>
          <t>Bench/streaming option; needs matchup, rushing or TD spike weeks.</t>
        </is>
      </c>
      <c r="AN25" t="inlineStr">
        <is>
          <t>He produced 18.0 PPR/FP points per game across 13 games. The workload/efficiency profile gives the model a rate-based reason to keep him here. Market price is favorable around ADP 198 versus model overall rank 158.</t>
        </is>
      </c>
      <c r="AO25" t="inlineStr">
        <is>
          <t>Passing-TD efficiency, rushing volume and supporting-cast health are the main swing factors.</t>
        </is>
      </c>
    </row>
    <row r="26">
      <c r="A26" t="inlineStr">
        <is>
          <t>QB</t>
        </is>
      </c>
      <c r="B26" t="inlineStr">
        <is>
          <t>Malik Willis</t>
        </is>
      </c>
      <c r="C26" t="inlineStr">
        <is>
          <t>MIA</t>
        </is>
      </c>
      <c r="D26" t="n">
        <v>6</v>
      </c>
      <c r="E26" s="4" t="n">
        <v>74.2</v>
      </c>
      <c r="F26" s="4" t="n">
        <v>160.4</v>
      </c>
      <c r="G26" t="inlineStr"/>
      <c r="H26" t="inlineStr"/>
      <c r="I26" t="inlineStr">
        <is>
          <t>Malik Willis</t>
        </is>
      </c>
      <c r="J26" t="n">
        <v>2.8</v>
      </c>
      <c r="K26" t="n">
        <v>0</v>
      </c>
      <c r="L26" t="n">
        <v>0</v>
      </c>
      <c r="M26" t="n">
        <v>5</v>
      </c>
      <c r="N26" t="n">
        <v>1</v>
      </c>
      <c r="O26" t="n">
        <v>22</v>
      </c>
      <c r="P26" t="n">
        <v>123</v>
      </c>
      <c r="Q26" t="n">
        <v>2</v>
      </c>
      <c r="R26" t="n">
        <v>0</v>
      </c>
      <c r="S26" t="n">
        <v>0</v>
      </c>
      <c r="T26" t="n">
        <v>0</v>
      </c>
      <c r="U26" t="n">
        <v>422</v>
      </c>
      <c r="V26" t="n">
        <v>3</v>
      </c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/>
      <c r="AJ26" t="n">
        <v>26</v>
      </c>
      <c r="AK26" t="inlineStr"/>
      <c r="AL26" t="inlineStr">
        <is>
          <t>1 games (2025 season)</t>
        </is>
      </c>
      <c r="AM26" t="inlineStr">
        <is>
          <t>Bench/streaming option; needs matchup, rushing or TD spike weeks.</t>
        </is>
      </c>
      <c r="AN26" t="inlineStr">
        <is>
          <t>He produced 12.8 PPR/FP points per game across 4 games. The workload/efficiency profile gives the model a rate-based reason to keep him here. Market price is favorable around ADP 206 versus model overall rank 160.</t>
        </is>
      </c>
      <c r="AO26" t="inlineStr">
        <is>
          <t>Availability/sample risk is elevated after only 4 games; talent is not being punished as heavily as durability.</t>
        </is>
      </c>
    </row>
    <row r="27">
      <c r="A27" t="inlineStr">
        <is>
          <t>QB</t>
        </is>
      </c>
      <c r="B27" t="inlineStr">
        <is>
          <t>Bryce Young</t>
        </is>
      </c>
      <c r="C27" t="inlineStr">
        <is>
          <t>CAR</t>
        </is>
      </c>
      <c r="D27" t="n">
        <v>5</v>
      </c>
      <c r="E27" s="4" t="n">
        <v>72.8</v>
      </c>
      <c r="F27" s="4" t="n">
        <v>174.2</v>
      </c>
      <c r="G27" t="inlineStr"/>
      <c r="H27" t="inlineStr"/>
      <c r="I27" t="inlineStr">
        <is>
          <t>Bryce Young</t>
        </is>
      </c>
      <c r="J27" t="n">
        <v>96.8</v>
      </c>
      <c r="K27" t="n">
        <v>0</v>
      </c>
      <c r="L27" t="n">
        <v>0</v>
      </c>
      <c r="M27" t="n">
        <v>11</v>
      </c>
      <c r="N27" t="n">
        <v>1</v>
      </c>
      <c r="O27" t="n">
        <v>54</v>
      </c>
      <c r="P27" t="n">
        <v>216</v>
      </c>
      <c r="Q27" t="n">
        <v>2</v>
      </c>
      <c r="R27" t="n">
        <v>0</v>
      </c>
      <c r="S27" t="n">
        <v>0</v>
      </c>
      <c r="T27" t="n">
        <v>0</v>
      </c>
      <c r="U27" t="n">
        <v>3011</v>
      </c>
      <c r="V27" t="n">
        <v>23</v>
      </c>
      <c r="W27" t="n">
        <v>4.81</v>
      </c>
      <c r="X27" t="n">
        <v>3.53</v>
      </c>
      <c r="Y27" t="n">
        <v>1.28</v>
      </c>
      <c r="Z27" t="n">
        <v>0</v>
      </c>
      <c r="AA27" t="n">
        <v>2.16</v>
      </c>
      <c r="AB27" t="n">
        <v>6.3</v>
      </c>
      <c r="AC27" t="n">
        <v>5.97</v>
      </c>
      <c r="AD27" t="inlineStr"/>
      <c r="AE27" t="inlineStr"/>
      <c r="AF27" t="inlineStr"/>
      <c r="AG27" t="inlineStr"/>
      <c r="AH27" t="inlineStr"/>
      <c r="AI27" t="inlineStr"/>
      <c r="AJ27" t="n">
        <v>24</v>
      </c>
      <c r="AK27" t="inlineStr"/>
      <c r="AL27" t="inlineStr">
        <is>
          <t>1 games (2025 season)</t>
        </is>
      </c>
      <c r="AM27" t="inlineStr">
        <is>
          <t>Deep QB2; waiver-level in a normal 10-team format.</t>
        </is>
      </c>
      <c r="AN27" t="inlineStr">
        <is>
          <t>He produced 14.3 PPR/FP points per game across 16 games. The workload/efficiency profile gives the model a rate-based reason to keep him here. Market price is favorable around ADP 214 versus model overall rank 163.</t>
        </is>
      </c>
      <c r="AO27" t="inlineStr">
        <is>
          <t>Passing-TD efficiency, rushing volume and supporting-cast health are the main swing factors.</t>
        </is>
      </c>
    </row>
    <row r="28">
      <c r="A28" t="inlineStr">
        <is>
          <t>QB</t>
        </is>
      </c>
      <c r="B28" t="inlineStr">
        <is>
          <t>Cam Ward</t>
        </is>
      </c>
      <c r="C28" t="inlineStr">
        <is>
          <t>TEN</t>
        </is>
      </c>
      <c r="D28" t="n">
        <v>9</v>
      </c>
      <c r="E28" s="4" t="n">
        <v>72.7</v>
      </c>
      <c r="F28" s="4" t="n">
        <v>175.6</v>
      </c>
      <c r="G28" t="inlineStr"/>
      <c r="H28" t="inlineStr"/>
      <c r="I28" t="inlineStr">
        <is>
          <t>Cam Ward</t>
        </is>
      </c>
      <c r="J28" t="n">
        <v>0</v>
      </c>
      <c r="K28" t="n">
        <v>0</v>
      </c>
      <c r="L28" t="n">
        <v>0</v>
      </c>
      <c r="M28" t="n">
        <v>10</v>
      </c>
      <c r="N28" t="n">
        <v>1</v>
      </c>
      <c r="O28" t="n">
        <v>39</v>
      </c>
      <c r="P28" t="n">
        <v>159</v>
      </c>
      <c r="Q28" t="n">
        <v>2</v>
      </c>
      <c r="R28" t="n">
        <v>0</v>
      </c>
      <c r="S28" t="n">
        <v>0</v>
      </c>
      <c r="T28" t="n">
        <v>0</v>
      </c>
      <c r="U28" t="n">
        <v>3169</v>
      </c>
      <c r="V28" t="n">
        <v>15</v>
      </c>
      <c r="W28" t="n">
        <v>2.78</v>
      </c>
      <c r="X28" t="n">
        <v>2.78</v>
      </c>
      <c r="Y28" t="n">
        <v>0</v>
      </c>
      <c r="Z28" t="n">
        <v>0</v>
      </c>
      <c r="AA28" t="n">
        <v>1.3</v>
      </c>
      <c r="AB28" t="n">
        <v>5.87</v>
      </c>
      <c r="AC28" t="n">
        <v>5.87</v>
      </c>
      <c r="AD28" t="inlineStr"/>
      <c r="AE28" t="inlineStr"/>
      <c r="AF28" t="inlineStr"/>
      <c r="AG28" t="inlineStr"/>
      <c r="AH28" t="inlineStr"/>
      <c r="AI28" t="inlineStr"/>
      <c r="AJ28" t="n">
        <v>23</v>
      </c>
      <c r="AK28" t="inlineStr"/>
      <c r="AL28" t="inlineStr">
        <is>
          <t>1 games (2025 season)</t>
        </is>
      </c>
      <c r="AM28" t="inlineStr">
        <is>
          <t>Deep QB2; waiver-level in a normal 10-team format.</t>
        </is>
      </c>
      <c r="AN28" t="inlineStr">
        <is>
          <t>He produced 11.4 PPR/FP points per game across 17 games. The workload/efficiency profile gives the model a rate-based reason to keep him here. Market price is favorable around ADP 222 versus model overall rank 164.</t>
        </is>
      </c>
      <c r="AO28" t="inlineStr">
        <is>
          <t>Passing-TD efficiency, rushing volume and supporting-cast health are the main swing factors.</t>
        </is>
      </c>
    </row>
    <row r="29">
      <c r="A29" t="inlineStr">
        <is>
          <t>QB</t>
        </is>
      </c>
      <c r="B29" t="inlineStr">
        <is>
          <t>Jacoby Brissett</t>
        </is>
      </c>
      <c r="C29" t="inlineStr">
        <is>
          <t>ARI</t>
        </is>
      </c>
      <c r="D29" t="n">
        <v>14</v>
      </c>
      <c r="E29" s="4" t="n">
        <v>71.3</v>
      </c>
      <c r="F29" s="4" t="n">
        <v>167.4</v>
      </c>
      <c r="G29" t="inlineStr"/>
      <c r="H29" t="inlineStr"/>
      <c r="I29" t="inlineStr">
        <is>
          <t>Jacoby Brissett</t>
        </is>
      </c>
      <c r="J29" t="n">
        <v>85.7</v>
      </c>
      <c r="K29" t="n">
        <v>0</v>
      </c>
      <c r="L29" t="n">
        <v>0</v>
      </c>
      <c r="M29" t="n">
        <v>5</v>
      </c>
      <c r="N29" t="n">
        <v>1</v>
      </c>
      <c r="O29" t="n">
        <v>38</v>
      </c>
      <c r="P29" t="n">
        <v>168</v>
      </c>
      <c r="Q29" t="n">
        <v>1</v>
      </c>
      <c r="R29" t="n">
        <v>0</v>
      </c>
      <c r="S29" t="n">
        <v>0</v>
      </c>
      <c r="T29" t="n">
        <v>0</v>
      </c>
      <c r="U29" t="n">
        <v>3366</v>
      </c>
      <c r="V29" t="n">
        <v>23</v>
      </c>
      <c r="W29" t="n">
        <v>4.74</v>
      </c>
      <c r="X29" t="n">
        <v>3.38</v>
      </c>
      <c r="Y29" t="n">
        <v>1.36</v>
      </c>
      <c r="Z29" t="n">
        <v>0</v>
      </c>
      <c r="AA29" t="n">
        <v>1.42</v>
      </c>
      <c r="AB29" t="n">
        <v>6.94</v>
      </c>
      <c r="AC29" t="n">
        <v>6.57</v>
      </c>
      <c r="AD29" t="inlineStr"/>
      <c r="AE29" t="inlineStr"/>
      <c r="AF29" t="inlineStr"/>
      <c r="AG29" t="inlineStr"/>
      <c r="AH29" t="inlineStr"/>
      <c r="AI29" t="inlineStr"/>
      <c r="AJ29" t="n">
        <v>32</v>
      </c>
      <c r="AK29" t="inlineStr"/>
      <c r="AL29" t="inlineStr">
        <is>
          <t>1 games (2025 season)</t>
        </is>
      </c>
      <c r="AM29" t="inlineStr">
        <is>
          <t>Deep QB2; waiver-level in a normal 10-team format.</t>
        </is>
      </c>
      <c r="AN29" t="inlineStr">
        <is>
          <t>He produced 16.8 PPR/FP points per game across 14 games. The workload/efficiency profile gives the model a rate-based reason to keep him here. Market price is favorable around ADP 230 versus model overall rank 169.</t>
        </is>
      </c>
      <c r="AO29" t="inlineStr">
        <is>
          <t>Passing-TD efficiency, rushing volume and supporting-cast health are the main swing factors.</t>
        </is>
      </c>
    </row>
    <row r="30">
      <c r="A30" t="inlineStr">
        <is>
          <t>QB</t>
        </is>
      </c>
      <c r="B30" t="inlineStr">
        <is>
          <t>Geno Smith</t>
        </is>
      </c>
      <c r="C30" t="inlineStr">
        <is>
          <t>NYJ</t>
        </is>
      </c>
      <c r="D30" t="n">
        <v>13</v>
      </c>
      <c r="E30" s="4" t="n">
        <v>71.09999999999999</v>
      </c>
      <c r="F30" s="4" t="n">
        <v>238</v>
      </c>
      <c r="G30" t="inlineStr"/>
      <c r="H30" t="inlineStr"/>
      <c r="I30" t="inlineStr">
        <is>
          <t>Geno Smith</t>
        </is>
      </c>
      <c r="J30" t="n">
        <v>0</v>
      </c>
      <c r="K30" t="n">
        <v>0</v>
      </c>
      <c r="L30" t="n">
        <v>0</v>
      </c>
      <c r="M30" t="n">
        <v>7</v>
      </c>
      <c r="N30" t="n">
        <v>1</v>
      </c>
      <c r="O30" t="n">
        <v>41</v>
      </c>
      <c r="P30" t="n">
        <v>109</v>
      </c>
      <c r="Q30" t="n">
        <v>0</v>
      </c>
      <c r="R30" t="n">
        <v>0</v>
      </c>
      <c r="S30" t="n">
        <v>0</v>
      </c>
      <c r="T30" t="n">
        <v>0</v>
      </c>
      <c r="U30" t="n">
        <v>3025</v>
      </c>
      <c r="V30" t="n">
        <v>19</v>
      </c>
      <c r="W30" t="n">
        <v>4.24</v>
      </c>
      <c r="X30" t="n">
        <v>4</v>
      </c>
      <c r="Y30" t="n">
        <v>0.24</v>
      </c>
      <c r="Z30" t="n">
        <v>0</v>
      </c>
      <c r="AA30" t="n">
        <v>2.87</v>
      </c>
      <c r="AB30" t="n">
        <v>6.75</v>
      </c>
      <c r="AC30" t="n">
        <v>7.14</v>
      </c>
      <c r="AD30" t="inlineStr"/>
      <c r="AE30" t="inlineStr"/>
      <c r="AF30" t="inlineStr"/>
      <c r="AG30" t="inlineStr"/>
      <c r="AH30" t="inlineStr"/>
      <c r="AI30" t="inlineStr"/>
      <c r="AJ30" t="n">
        <v>34</v>
      </c>
      <c r="AK30" t="inlineStr"/>
      <c r="AL30" t="inlineStr">
        <is>
          <t>1 games (2025 season)</t>
        </is>
      </c>
      <c r="AM30" t="inlineStr">
        <is>
          <t>Deep QB2; waiver-level in a normal 10-team format.</t>
        </is>
      </c>
      <c r="AN30" t="inlineStr">
        <is>
          <t>He produced 12.7 PPR/FP points per game across 15 games. The workload/efficiency profile gives the model a rate-based reason to keep him here. Market price is favorable around ADP 238 versus model overall rank 170.</t>
        </is>
      </c>
      <c r="AO30" t="inlineStr">
        <is>
          <t>Passing-TD efficiency, rushing volume and supporting-cast health are the main swing factors.</t>
        </is>
      </c>
    </row>
    <row r="31">
      <c r="A31" t="inlineStr">
        <is>
          <t>QB</t>
        </is>
      </c>
      <c r="B31" t="inlineStr">
        <is>
          <t>Aaron Rodgers</t>
        </is>
      </c>
      <c r="C31" t="inlineStr">
        <is>
          <t>PIT</t>
        </is>
      </c>
      <c r="D31" t="n">
        <v>9</v>
      </c>
      <c r="E31" s="4" t="n">
        <v>70.90000000000001</v>
      </c>
      <c r="F31" s="4" t="n">
        <v>168.1</v>
      </c>
      <c r="G31" t="inlineStr"/>
      <c r="H31" t="inlineStr"/>
      <c r="I31" t="inlineStr">
        <is>
          <t>Aaron Rodgers</t>
        </is>
      </c>
      <c r="J31" t="n">
        <v>95.7</v>
      </c>
      <c r="K31" t="n">
        <v>0</v>
      </c>
      <c r="L31" t="n">
        <v>0</v>
      </c>
      <c r="M31" t="n">
        <v>3</v>
      </c>
      <c r="N31" t="n">
        <v>1</v>
      </c>
      <c r="O31" t="n">
        <v>21</v>
      </c>
      <c r="P31" t="n">
        <v>61</v>
      </c>
      <c r="Q31" t="n">
        <v>1</v>
      </c>
      <c r="R31" t="n">
        <v>0</v>
      </c>
      <c r="S31" t="n">
        <v>0</v>
      </c>
      <c r="T31" t="n">
        <v>0</v>
      </c>
      <c r="U31" t="n">
        <v>3322</v>
      </c>
      <c r="V31" t="n">
        <v>24</v>
      </c>
      <c r="W31" t="n">
        <v>4.82</v>
      </c>
      <c r="X31" t="n">
        <v>5.86</v>
      </c>
      <c r="Y31" t="n">
        <v>-1.04</v>
      </c>
      <c r="Z31" t="n">
        <v>0</v>
      </c>
      <c r="AA31" t="n">
        <v>1.27</v>
      </c>
      <c r="AB31" t="n">
        <v>6.67</v>
      </c>
      <c r="AC31" t="n">
        <v>7.34</v>
      </c>
      <c r="AD31" t="inlineStr"/>
      <c r="AE31" t="inlineStr"/>
      <c r="AF31" t="inlineStr"/>
      <c r="AG31" t="inlineStr"/>
      <c r="AH31" t="inlineStr"/>
      <c r="AI31" t="inlineStr"/>
      <c r="AJ31" t="n">
        <v>41</v>
      </c>
      <c r="AK31" t="inlineStr"/>
      <c r="AL31" t="inlineStr">
        <is>
          <t>1 games (2025 season)</t>
        </is>
      </c>
      <c r="AM31" t="inlineStr">
        <is>
          <t>Deep QB2; waiver-level in a normal 10-team format.</t>
        </is>
      </c>
      <c r="AN31" t="inlineStr">
        <is>
          <t>He produced 14.6 PPR/FP points per game across 16 games. The workload/efficiency profile gives the model a rate-based reason to keep him here. Market price is favorable around ADP 246 versus model overall rank 172.</t>
        </is>
      </c>
      <c r="AO31" t="inlineStr">
        <is>
          <t>Passing-TD efficiency, rushing volume and supporting-cast health are the main swing factors.</t>
        </is>
      </c>
    </row>
    <row r="32">
      <c r="A32" t="inlineStr">
        <is>
          <t>QB</t>
        </is>
      </c>
      <c r="B32" t="inlineStr">
        <is>
          <t>Tua Tagovailoa</t>
        </is>
      </c>
      <c r="C32" t="inlineStr">
        <is>
          <t>ATL</t>
        </is>
      </c>
      <c r="D32" t="n">
        <v>11</v>
      </c>
      <c r="E32" s="4" t="n">
        <v>67.90000000000001</v>
      </c>
      <c r="F32" s="4" t="n">
        <v>254</v>
      </c>
      <c r="G32" t="inlineStr"/>
      <c r="H32" t="inlineStr"/>
      <c r="I32" t="inlineStr">
        <is>
          <t>Tua Tagovailoa</t>
        </is>
      </c>
      <c r="J32" t="n">
        <v>95.40000000000001</v>
      </c>
      <c r="K32" t="n">
        <v>0</v>
      </c>
      <c r="L32" t="n">
        <v>0</v>
      </c>
      <c r="M32" t="n">
        <v>2</v>
      </c>
      <c r="N32" t="n">
        <v>1</v>
      </c>
      <c r="O32" t="n">
        <v>20</v>
      </c>
      <c r="P32" t="n">
        <v>43</v>
      </c>
      <c r="Q32" t="n">
        <v>0</v>
      </c>
      <c r="R32" t="n">
        <v>0</v>
      </c>
      <c r="S32" t="n">
        <v>0</v>
      </c>
      <c r="T32" t="n">
        <v>0</v>
      </c>
      <c r="U32" t="n">
        <v>2660</v>
      </c>
      <c r="V32" t="n">
        <v>20</v>
      </c>
      <c r="W32" t="n">
        <v>5.21</v>
      </c>
      <c r="X32" t="n">
        <v>4.96</v>
      </c>
      <c r="Y32" t="n">
        <v>0.25</v>
      </c>
      <c r="Z32" t="n">
        <v>0</v>
      </c>
      <c r="AA32" t="n">
        <v>2.44</v>
      </c>
      <c r="AB32" t="n">
        <v>6.93</v>
      </c>
      <c r="AC32" t="n">
        <v>7.5</v>
      </c>
      <c r="AD32" t="inlineStr"/>
      <c r="AE32" t="inlineStr"/>
      <c r="AF32" t="inlineStr"/>
      <c r="AG32" t="inlineStr"/>
      <c r="AH32" t="inlineStr"/>
      <c r="AI32" t="inlineStr"/>
      <c r="AJ32" t="n">
        <v>27</v>
      </c>
      <c r="AK32" t="inlineStr"/>
      <c r="AL32" t="inlineStr">
        <is>
          <t>1 games (2025 season)</t>
        </is>
      </c>
      <c r="AM32" t="inlineStr">
        <is>
          <t>Deep QB2; waiver-level in a normal 10-team format.</t>
        </is>
      </c>
      <c r="AN32" t="inlineStr">
        <is>
          <t>He produced 12.5 PPR/FP points per game across 14 games. The workload/efficiency profile gives the model a rate-based reason to keep him here. Market price is favorable around ADP 254 versus model overall rank 183.</t>
        </is>
      </c>
      <c r="AO32" t="inlineStr">
        <is>
          <t>Passing-TD efficiency, rushing volume and supporting-cast health are the main swing factors.</t>
        </is>
      </c>
    </row>
    <row r="33">
      <c r="A33" t="inlineStr">
        <is>
          <t>QB</t>
        </is>
      </c>
      <c r="B33" t="inlineStr">
        <is>
          <t>Kirk Cousins</t>
        </is>
      </c>
      <c r="C33" t="inlineStr">
        <is>
          <t>LV</t>
        </is>
      </c>
      <c r="D33" t="n">
        <v>13</v>
      </c>
      <c r="E33" s="4" t="n">
        <v>65.8</v>
      </c>
      <c r="F33" s="4" t="n">
        <v>262</v>
      </c>
      <c r="G33" t="inlineStr"/>
      <c r="H33" t="inlineStr"/>
      <c r="I33" t="inlineStr">
        <is>
          <t>Kirk Cousins</t>
        </is>
      </c>
      <c r="J33" t="n">
        <v>86.09999999999999</v>
      </c>
      <c r="K33" t="n">
        <v>0</v>
      </c>
      <c r="L33" t="n">
        <v>0</v>
      </c>
      <c r="M33" t="n">
        <v>1</v>
      </c>
      <c r="N33" t="n">
        <v>1</v>
      </c>
      <c r="O33" t="n">
        <v>14</v>
      </c>
      <c r="P33" t="n">
        <v>7</v>
      </c>
      <c r="Q33" t="n">
        <v>1</v>
      </c>
      <c r="R33" t="n">
        <v>0</v>
      </c>
      <c r="S33" t="n">
        <v>0</v>
      </c>
      <c r="T33" t="n">
        <v>0</v>
      </c>
      <c r="U33" t="n">
        <v>1721</v>
      </c>
      <c r="V33" t="n">
        <v>10</v>
      </c>
      <c r="W33" t="n">
        <v>3.72</v>
      </c>
      <c r="X33" t="n">
        <v>5.02</v>
      </c>
      <c r="Y33" t="n">
        <v>-1.31</v>
      </c>
      <c r="Z33" t="n">
        <v>0</v>
      </c>
      <c r="AA33" t="n">
        <v>2.19</v>
      </c>
      <c r="AB33" t="n">
        <v>6.4</v>
      </c>
      <c r="AC33" t="n">
        <v>7.56</v>
      </c>
      <c r="AD33" t="inlineStr"/>
      <c r="AE33" t="inlineStr"/>
      <c r="AF33" t="inlineStr"/>
      <c r="AG33" t="inlineStr"/>
      <c r="AH33" t="inlineStr"/>
      <c r="AI33" t="inlineStr"/>
      <c r="AJ33" t="n">
        <v>37</v>
      </c>
      <c r="AK33" t="inlineStr"/>
      <c r="AL33" t="inlineStr">
        <is>
          <t>1 games (2025 season)</t>
        </is>
      </c>
      <c r="AM33" t="inlineStr">
        <is>
          <t>Deep QB2; waiver-level in a normal 10-team format.</t>
        </is>
      </c>
      <c r="AN33" t="inlineStr">
        <is>
          <t>He produced 10.9 PPR/FP points per game across 10 games. The workload/efficiency profile gives the model a rate-based reason to keep him here. Market price is favorable around ADP 262 versus model overall rank 188.</t>
        </is>
      </c>
      <c r="AO33" t="inlineStr">
        <is>
          <t>Passing-TD efficiency, rushing volume and supporting-cast health are the main swing factors.</t>
        </is>
      </c>
    </row>
    <row r="34">
      <c r="A34" t="inlineStr">
        <is>
          <t>QB</t>
        </is>
      </c>
      <c r="B34" t="inlineStr">
        <is>
          <t>Deshaun Watson</t>
        </is>
      </c>
      <c r="C34" t="inlineStr">
        <is>
          <t>CLE</t>
        </is>
      </c>
      <c r="D34" t="n">
        <v>11</v>
      </c>
      <c r="E34" s="4" t="n">
        <v>60.2</v>
      </c>
      <c r="F34" s="4" t="n">
        <v>270</v>
      </c>
      <c r="G34" t="inlineStr"/>
      <c r="H34" t="inlineStr"/>
      <c r="I34" t="inlineStr">
        <is>
          <t>Deshaun Watson</t>
        </is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n">
        <v>29</v>
      </c>
      <c r="AK34" t="inlineStr"/>
      <c r="AL34" t="inlineStr">
        <is>
          <t>No stats match found</t>
        </is>
      </c>
      <c r="AM34" t="inlineStr">
        <is>
          <t>Deep QB2; waiver-level in a normal 10-team format.</t>
        </is>
      </c>
      <c r="AN34" t="inlineStr">
        <is>
          <t>The 2026 opportunity and projection carry most of the grade because detailed 2025 rate data is incomplete. Market price is favorable around ADP 270 versus model overall rank 200.</t>
        </is>
      </c>
      <c r="AO34" t="inlineStr">
        <is>
          <t>Evidence is thinner than for established veterans, so camp, depth-chart and role news can move the grade materially.</t>
        </is>
      </c>
    </row>
    <row r="35">
      <c r="A35" t="inlineStr">
        <is>
          <t>RB</t>
        </is>
      </c>
      <c r="B35" t="inlineStr">
        <is>
          <t>Bijan Robinson</t>
        </is>
      </c>
      <c r="C35" t="inlineStr">
        <is>
          <t>ATL</t>
        </is>
      </c>
      <c r="D35" t="n">
        <v>11</v>
      </c>
      <c r="E35" s="4" t="n">
        <v>97.40000000000001</v>
      </c>
      <c r="F35" s="4" t="n">
        <v>1.8</v>
      </c>
      <c r="G35" t="inlineStr">
        <is>
          <t>committee</t>
        </is>
      </c>
      <c r="H35" t="inlineStr">
        <is>
          <t>weakness</t>
        </is>
      </c>
      <c r="I35" t="inlineStr">
        <is>
          <t>Tua Tagovailoa</t>
        </is>
      </c>
      <c r="J35" t="n">
        <v>0</v>
      </c>
      <c r="K35" t="n">
        <v>20.4</v>
      </c>
      <c r="L35" t="n">
        <v>60.2</v>
      </c>
      <c r="M35" t="n">
        <v>66</v>
      </c>
      <c r="N35" t="n">
        <v>1</v>
      </c>
      <c r="O35" t="n">
        <v>287</v>
      </c>
      <c r="P35" t="n">
        <v>1478</v>
      </c>
      <c r="Q35" t="n">
        <v>7</v>
      </c>
      <c r="R35" t="n">
        <v>79</v>
      </c>
      <c r="S35" t="n">
        <v>820</v>
      </c>
      <c r="T35" t="n">
        <v>4</v>
      </c>
      <c r="U35" t="n">
        <v>0</v>
      </c>
      <c r="V35" t="n">
        <v>0</v>
      </c>
      <c r="W35" t="inlineStr"/>
      <c r="X35" t="inlineStr"/>
      <c r="Y35" t="inlineStr"/>
      <c r="Z35" t="inlineStr"/>
      <c r="AA35" t="inlineStr"/>
      <c r="AB35" t="inlineStr"/>
      <c r="AC35" t="inlineStr"/>
      <c r="AD35" t="n">
        <v>3.88</v>
      </c>
      <c r="AE35" t="n">
        <v>3.45</v>
      </c>
      <c r="AF35" t="n">
        <v>0.44</v>
      </c>
      <c r="AG35" t="n">
        <v>2.44</v>
      </c>
      <c r="AH35" t="n">
        <v>3.11</v>
      </c>
      <c r="AI35" t="n">
        <v>-0.67</v>
      </c>
      <c r="AJ35" t="n">
        <v>23</v>
      </c>
      <c r="AK35" t="inlineStr"/>
      <c r="AL35" t="inlineStr">
        <is>
          <t>1 games (2025 season)</t>
        </is>
      </c>
      <c r="AM35" t="inlineStr">
        <is>
          <t>Elite RB1 and first-round roster anchor with league-winning ceiling.</t>
        </is>
      </c>
      <c r="AN35" t="inlineStr">
        <is>
          <t>He produced 21.8 PPR/FP points per game across 17 games. The workload/efficiency profile gives the model a rate-based reason to keep him here.</t>
        </is>
      </c>
      <c r="AO35" t="inlineStr">
        <is>
          <t>Touchdown variance, receiving-role changes and backfield competition are the main downside paths.</t>
        </is>
      </c>
    </row>
    <row r="36">
      <c r="A36" t="inlineStr">
        <is>
          <t>RB</t>
        </is>
      </c>
      <c r="B36" t="inlineStr">
        <is>
          <t>Jahmyr Gibbs</t>
        </is>
      </c>
      <c r="C36" t="inlineStr">
        <is>
          <t>DET</t>
        </is>
      </c>
      <c r="D36" t="n">
        <v>6</v>
      </c>
      <c r="E36" s="4" t="n">
        <v>96.3</v>
      </c>
      <c r="F36" s="4" t="n">
        <v>1.8</v>
      </c>
      <c r="G36" t="inlineStr">
        <is>
          <t>feature</t>
        </is>
      </c>
      <c r="H36" t="inlineStr">
        <is>
          <t>elite</t>
        </is>
      </c>
      <c r="I36" t="inlineStr">
        <is>
          <t>Jared Goff</t>
        </is>
      </c>
      <c r="J36" t="n">
        <v>67</v>
      </c>
      <c r="K36" t="n">
        <v>17.1</v>
      </c>
      <c r="L36" t="n">
        <v>55</v>
      </c>
      <c r="M36" t="n">
        <v>67</v>
      </c>
      <c r="N36" t="n">
        <v>1</v>
      </c>
      <c r="O36" t="n">
        <v>243</v>
      </c>
      <c r="P36" t="n">
        <v>1223</v>
      </c>
      <c r="Q36" t="n">
        <v>13</v>
      </c>
      <c r="R36" t="n">
        <v>77</v>
      </c>
      <c r="S36" t="n">
        <v>616</v>
      </c>
      <c r="T36" t="n">
        <v>5</v>
      </c>
      <c r="U36" t="n">
        <v>0</v>
      </c>
      <c r="V36" t="n">
        <v>0</v>
      </c>
      <c r="W36" t="inlineStr"/>
      <c r="X36" t="inlineStr"/>
      <c r="Y36" t="inlineStr"/>
      <c r="Z36" t="inlineStr"/>
      <c r="AA36" t="inlineStr"/>
      <c r="AB36" t="inlineStr"/>
      <c r="AC36" t="inlineStr"/>
      <c r="AD36" t="n">
        <v>5.32</v>
      </c>
      <c r="AE36" t="n">
        <v>4.39</v>
      </c>
      <c r="AF36" t="n">
        <v>0.93</v>
      </c>
      <c r="AG36" t="n">
        <v>5.35</v>
      </c>
      <c r="AH36" t="n">
        <v>5.78</v>
      </c>
      <c r="AI36" t="n">
        <v>-0.43</v>
      </c>
      <c r="AJ36" t="n">
        <v>23</v>
      </c>
      <c r="AK36" t="inlineStr">
        <is>
          <t>Isiah Pacheco</t>
        </is>
      </c>
      <c r="AL36" t="inlineStr">
        <is>
          <t>1 games (2025 season)</t>
        </is>
      </c>
      <c r="AM36" t="inlineStr">
        <is>
          <t>Elite RB1 and first-round roster anchor with league-winning ceiling.</t>
        </is>
      </c>
      <c r="AN36" t="inlineStr">
        <is>
          <t>He produced 21.6 PPR/FP points per game across 17 games. The workload/efficiency profile gives the model a rate-based reason to keep him here.</t>
        </is>
      </c>
      <c r="AO36" t="inlineStr">
        <is>
          <t>Touchdown variance, receiving-role changes and backfield competition are the main downside paths.</t>
        </is>
      </c>
    </row>
    <row r="37">
      <c r="A37" t="inlineStr">
        <is>
          <t>RB</t>
        </is>
      </c>
      <c r="B37" t="inlineStr">
        <is>
          <t>Christian McCaffrey</t>
        </is>
      </c>
      <c r="C37" t="inlineStr">
        <is>
          <t>SF</t>
        </is>
      </c>
      <c r="D37" t="n">
        <v>8</v>
      </c>
      <c r="E37" s="4" t="n">
        <v>94.2</v>
      </c>
      <c r="F37" s="4" t="n">
        <v>4.2</v>
      </c>
      <c r="G37" t="inlineStr">
        <is>
          <t>feature</t>
        </is>
      </c>
      <c r="H37" t="inlineStr">
        <is>
          <t>elite</t>
        </is>
      </c>
      <c r="I37" t="inlineStr">
        <is>
          <t>Brock Purdy</t>
        </is>
      </c>
      <c r="J37" t="n">
        <v>83.09999999999999</v>
      </c>
      <c r="K37" t="n">
        <v>23.8</v>
      </c>
      <c r="L37" t="n">
        <v>64.7</v>
      </c>
      <c r="M37" t="n">
        <v>100</v>
      </c>
      <c r="N37" t="n">
        <v>1</v>
      </c>
      <c r="O37" t="n">
        <v>311</v>
      </c>
      <c r="P37" t="n">
        <v>1202</v>
      </c>
      <c r="Q37" t="n">
        <v>10</v>
      </c>
      <c r="R37" t="n">
        <v>102</v>
      </c>
      <c r="S37" t="n">
        <v>924</v>
      </c>
      <c r="T37" t="n">
        <v>7</v>
      </c>
      <c r="U37" t="n">
        <v>0</v>
      </c>
      <c r="V37" t="n">
        <v>0</v>
      </c>
      <c r="W37" t="inlineStr"/>
      <c r="X37" t="inlineStr"/>
      <c r="Y37" t="inlineStr"/>
      <c r="Z37" t="inlineStr"/>
      <c r="AA37" t="inlineStr"/>
      <c r="AB37" t="inlineStr"/>
      <c r="AC37" t="inlineStr"/>
      <c r="AD37" t="n">
        <v>5.43</v>
      </c>
      <c r="AE37" t="n">
        <v>4.63</v>
      </c>
      <c r="AF37" t="n">
        <v>0.8</v>
      </c>
      <c r="AG37" t="n">
        <v>3.22</v>
      </c>
      <c r="AH37" t="n">
        <v>3.74</v>
      </c>
      <c r="AI37" t="n">
        <v>-0.52</v>
      </c>
      <c r="AJ37" t="n">
        <v>29</v>
      </c>
      <c r="AK37" t="inlineStr"/>
      <c r="AL37" t="inlineStr">
        <is>
          <t>1 games (2025 season)</t>
        </is>
      </c>
      <c r="AM37" t="inlineStr">
        <is>
          <t>Elite RB1 and first-round roster anchor with league-winning ceiling.</t>
        </is>
      </c>
      <c r="AN37" t="inlineStr">
        <is>
          <t>He produced 24.5 PPR/FP points per game across 17 games. The workload/efficiency profile gives the model a rate-based reason to keep him here.</t>
        </is>
      </c>
      <c r="AO37" t="inlineStr">
        <is>
          <t>Touchdown variance, receiving-role changes and backfield competition are the main downside paths.</t>
        </is>
      </c>
    </row>
    <row r="38">
      <c r="A38" t="inlineStr">
        <is>
          <t>RB</t>
        </is>
      </c>
      <c r="B38" t="inlineStr">
        <is>
          <t>Jonathan Taylor</t>
        </is>
      </c>
      <c r="C38" t="inlineStr">
        <is>
          <t>IND</t>
        </is>
      </c>
      <c r="D38" t="n">
        <v>13</v>
      </c>
      <c r="E38" s="4" t="n">
        <v>92.09999999999999</v>
      </c>
      <c r="F38" s="4" t="n">
        <v>7.4</v>
      </c>
      <c r="G38" t="inlineStr">
        <is>
          <t>committee</t>
        </is>
      </c>
      <c r="H38" t="inlineStr">
        <is>
          <t>elite</t>
        </is>
      </c>
      <c r="I38" t="inlineStr">
        <is>
          <t>Daniel Jones</t>
        </is>
      </c>
      <c r="J38" t="n">
        <v>0</v>
      </c>
      <c r="K38" t="n">
        <v>10.7</v>
      </c>
      <c r="L38" t="n">
        <v>73.09999999999999</v>
      </c>
      <c r="M38" t="n">
        <v>76</v>
      </c>
      <c r="N38" t="n">
        <v>1</v>
      </c>
      <c r="O38" t="n">
        <v>323</v>
      </c>
      <c r="P38" t="n">
        <v>1585</v>
      </c>
      <c r="Q38" t="n">
        <v>18</v>
      </c>
      <c r="R38" t="n">
        <v>46</v>
      </c>
      <c r="S38" t="n">
        <v>378</v>
      </c>
      <c r="T38" t="n">
        <v>2</v>
      </c>
      <c r="U38" t="n">
        <v>0</v>
      </c>
      <c r="V38" t="n">
        <v>0</v>
      </c>
      <c r="W38" t="inlineStr"/>
      <c r="X38" t="inlineStr"/>
      <c r="Y38" t="inlineStr"/>
      <c r="Z38" t="inlineStr"/>
      <c r="AA38" t="inlineStr"/>
      <c r="AB38" t="inlineStr"/>
      <c r="AC38" t="inlineStr"/>
      <c r="AD38" t="n">
        <v>3.64</v>
      </c>
      <c r="AE38" t="n">
        <v>2.93</v>
      </c>
      <c r="AF38" t="n">
        <v>0.71</v>
      </c>
      <c r="AG38" t="n">
        <v>5.57</v>
      </c>
      <c r="AH38" t="n">
        <v>4.45</v>
      </c>
      <c r="AI38" t="n">
        <v>1.12</v>
      </c>
      <c r="AJ38" t="n">
        <v>26</v>
      </c>
      <c r="AK38" t="inlineStr"/>
      <c r="AL38" t="inlineStr">
        <is>
          <t>1 games (2025 season)</t>
        </is>
      </c>
      <c r="AM38" t="inlineStr">
        <is>
          <t>Elite RB1 and first-round roster anchor with league-winning ceiling.</t>
        </is>
      </c>
      <c r="AN38" t="inlineStr">
        <is>
          <t>He produced 21.3 PPR/FP points per game across 17 games. The workload/efficiency profile gives the model a rate-based reason to keep him here.</t>
        </is>
      </c>
      <c r="AO38" t="inlineStr">
        <is>
          <t>Touchdown variance, receiving-role changes and backfield competition are the main downside paths.</t>
        </is>
      </c>
    </row>
    <row r="39">
      <c r="A39" t="inlineStr">
        <is>
          <t>RB</t>
        </is>
      </c>
      <c r="B39" t="inlineStr">
        <is>
          <t>Jeremiyah Love</t>
        </is>
      </c>
      <c r="C39" t="inlineStr">
        <is>
          <t>ARI</t>
        </is>
      </c>
      <c r="D39" t="n">
        <v>14</v>
      </c>
      <c r="E39" s="4" t="n">
        <v>90.90000000000001</v>
      </c>
      <c r="F39" s="4" t="n">
        <v>26.2</v>
      </c>
      <c r="G39" t="inlineStr">
        <is>
          <t>unclear</t>
        </is>
      </c>
      <c r="H39" t="inlineStr">
        <is>
          <t>weakness</t>
        </is>
      </c>
      <c r="I39" t="inlineStr">
        <is>
          <t>Jacoby Brissett</t>
        </is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n">
        <v>27</v>
      </c>
      <c r="AK39" t="inlineStr">
        <is>
          <t>Tyler Allgeier</t>
        </is>
      </c>
      <c r="AL39" t="inlineStr">
        <is>
          <t>Rookie, no NFL sample</t>
        </is>
      </c>
      <c r="AM39" t="inlineStr">
        <is>
          <t>Elite RB1 and first-round roster anchor with league-winning ceiling.</t>
        </is>
      </c>
      <c r="AN39" t="inlineStr">
        <is>
          <t>Rookie score 98.0, backed by No. 3 draft capital and a 6.73 NFL prospect grade. The 2026 role projection is strong enough to replace missing NFL history.</t>
        </is>
      </c>
      <c r="AO39" t="inlineStr">
        <is>
          <t>NFL translation and exact weekly role are the main variables; preseason first-team usage can move this rating quickly.</t>
        </is>
      </c>
    </row>
    <row r="40">
      <c r="A40" t="inlineStr">
        <is>
          <t>RB</t>
        </is>
      </c>
      <c r="B40" t="inlineStr">
        <is>
          <t>Omarion Hampton</t>
        </is>
      </c>
      <c r="C40" t="inlineStr">
        <is>
          <t>LAC</t>
        </is>
      </c>
      <c r="D40" t="n">
        <v>7</v>
      </c>
      <c r="E40" s="4" t="n">
        <v>88.59999999999999</v>
      </c>
      <c r="F40" s="4" t="n">
        <v>19.6</v>
      </c>
      <c r="G40" t="inlineStr">
        <is>
          <t>committee</t>
        </is>
      </c>
      <c r="H40" t="inlineStr">
        <is>
          <t>elite</t>
        </is>
      </c>
      <c r="I40" t="inlineStr">
        <is>
          <t>Justin Herbert</t>
        </is>
      </c>
      <c r="J40" t="n">
        <v>0</v>
      </c>
      <c r="K40" t="n">
        <v>6.4</v>
      </c>
      <c r="L40" t="n">
        <v>26.9</v>
      </c>
      <c r="M40" t="n">
        <v>28</v>
      </c>
      <c r="N40" t="n">
        <v>1</v>
      </c>
      <c r="O40" t="n">
        <v>124</v>
      </c>
      <c r="P40" t="n">
        <v>545</v>
      </c>
      <c r="Q40" t="n">
        <v>4</v>
      </c>
      <c r="R40" t="n">
        <v>32</v>
      </c>
      <c r="S40" t="n">
        <v>192</v>
      </c>
      <c r="T40" t="n">
        <v>1</v>
      </c>
      <c r="U40" t="n">
        <v>0</v>
      </c>
      <c r="V40" t="n">
        <v>0</v>
      </c>
      <c r="W40" t="inlineStr"/>
      <c r="X40" t="inlineStr"/>
      <c r="Y40" t="inlineStr"/>
      <c r="Z40" t="inlineStr"/>
      <c r="AA40" t="inlineStr"/>
      <c r="AB40" t="inlineStr"/>
      <c r="AC40" t="inlineStr"/>
      <c r="AD40" t="n">
        <v>2.86</v>
      </c>
      <c r="AE40" t="n">
        <v>2.86</v>
      </c>
      <c r="AF40" t="n">
        <v>0</v>
      </c>
      <c r="AG40" t="n">
        <v>3.23</v>
      </c>
      <c r="AH40" t="n">
        <v>3.23</v>
      </c>
      <c r="AI40" t="n">
        <v>0</v>
      </c>
      <c r="AJ40" t="n">
        <v>22</v>
      </c>
      <c r="AK40" t="inlineStr">
        <is>
          <t>Keaton Mitchell</t>
        </is>
      </c>
      <c r="AL40" t="inlineStr">
        <is>
          <t>1 games (2025 season)</t>
        </is>
      </c>
      <c r="AM40" t="inlineStr">
        <is>
          <t>Strong RB1; weekly top-12 expectation with multi-touchdown ceiling.</t>
        </is>
      </c>
      <c r="AN40" t="inlineStr">
        <is>
          <t>He produced 15.1 PPR/FP points per game across 9 games. The workload/efficiency profile gives the model a rate-based reason to keep him here.</t>
        </is>
      </c>
      <c r="AO40" t="inlineStr">
        <is>
          <t>Availability/sample risk is elevated after only 9 games; talent is not being punished as heavily as durability.</t>
        </is>
      </c>
    </row>
    <row r="41">
      <c r="A41" t="inlineStr">
        <is>
          <t>RB</t>
        </is>
      </c>
      <c r="B41" t="inlineStr">
        <is>
          <t>De'Von Achane</t>
        </is>
      </c>
      <c r="C41" t="inlineStr">
        <is>
          <t>MIA</t>
        </is>
      </c>
      <c r="D41" t="n">
        <v>6</v>
      </c>
      <c r="E41" s="4" t="n">
        <v>87.90000000000001</v>
      </c>
      <c r="F41" s="4" t="n">
        <v>10.1</v>
      </c>
      <c r="G41" t="inlineStr">
        <is>
          <t>feature</t>
        </is>
      </c>
      <c r="H41" t="inlineStr">
        <is>
          <t>elite</t>
        </is>
      </c>
      <c r="I41" t="inlineStr">
        <is>
          <t>Malik Willis</t>
        </is>
      </c>
      <c r="J41" t="n">
        <v>75.40000000000001</v>
      </c>
      <c r="K41" t="n">
        <v>18.4</v>
      </c>
      <c r="L41" t="n">
        <v>55.1</v>
      </c>
      <c r="M41" t="n">
        <v>43</v>
      </c>
      <c r="N41" t="n">
        <v>1</v>
      </c>
      <c r="O41" t="n">
        <v>238</v>
      </c>
      <c r="P41" t="n">
        <v>1350</v>
      </c>
      <c r="Q41" t="n">
        <v>8</v>
      </c>
      <c r="R41" t="n">
        <v>67</v>
      </c>
      <c r="S41" t="n">
        <v>488</v>
      </c>
      <c r="T41" t="n">
        <v>4</v>
      </c>
      <c r="U41" t="n">
        <v>0</v>
      </c>
      <c r="V41" t="n">
        <v>0</v>
      </c>
      <c r="W41" t="inlineStr"/>
      <c r="X41" t="inlineStr"/>
      <c r="Y41" t="inlineStr"/>
      <c r="Z41" t="inlineStr"/>
      <c r="AA41" t="inlineStr"/>
      <c r="AB41" t="inlineStr"/>
      <c r="AC41" t="inlineStr"/>
      <c r="AD41" t="n">
        <v>4.71</v>
      </c>
      <c r="AE41" t="n">
        <v>6.22</v>
      </c>
      <c r="AF41" t="n">
        <v>-1.51</v>
      </c>
      <c r="AG41" t="n">
        <v>3.36</v>
      </c>
      <c r="AH41" t="n">
        <v>4.04</v>
      </c>
      <c r="AI41" t="n">
        <v>-0.68</v>
      </c>
      <c r="AJ41" t="n">
        <v>23</v>
      </c>
      <c r="AK41" t="inlineStr"/>
      <c r="AL41" t="inlineStr">
        <is>
          <t>1 games (2025 season)</t>
        </is>
      </c>
      <c r="AM41" t="inlineStr">
        <is>
          <t>Strong RB1; weekly top-12 expectation with multi-touchdown ceiling.</t>
        </is>
      </c>
      <c r="AN41" t="inlineStr">
        <is>
          <t>He produced 20.2 PPR/FP points per game across 16 games. The workload/efficiency profile gives the model a rate-based reason to keep him here.</t>
        </is>
      </c>
      <c r="AO41" t="inlineStr">
        <is>
          <t>Touchdown variance, receiving-role changes and backfield competition are the main downside paths.</t>
        </is>
      </c>
    </row>
    <row r="42">
      <c r="A42" t="inlineStr">
        <is>
          <t>RB</t>
        </is>
      </c>
      <c r="B42" t="inlineStr">
        <is>
          <t>Kenneth Walker III</t>
        </is>
      </c>
      <c r="C42" t="inlineStr">
        <is>
          <t>KC</t>
        </is>
      </c>
      <c r="D42" t="n">
        <v>5</v>
      </c>
      <c r="E42" s="4" t="n">
        <v>87.3</v>
      </c>
      <c r="F42" s="4" t="n">
        <v>26.2</v>
      </c>
      <c r="G42" t="inlineStr">
        <is>
          <t>committee</t>
        </is>
      </c>
      <c r="H42" t="inlineStr">
        <is>
          <t>elite</t>
        </is>
      </c>
      <c r="I42" t="inlineStr">
        <is>
          <t>Patrick Mahomes II</t>
        </is>
      </c>
      <c r="J42" t="n">
        <v>0</v>
      </c>
      <c r="K42" t="n">
        <v>6.9</v>
      </c>
      <c r="L42" t="n">
        <v>43</v>
      </c>
      <c r="M42" t="n">
        <v>0</v>
      </c>
      <c r="N42" t="n">
        <v>1</v>
      </c>
      <c r="O42" t="n">
        <v>221</v>
      </c>
      <c r="P42" t="n">
        <v>1027</v>
      </c>
      <c r="Q42" t="n">
        <v>5</v>
      </c>
      <c r="R42" t="n">
        <v>31</v>
      </c>
      <c r="S42" t="n">
        <v>282</v>
      </c>
      <c r="T42" t="n">
        <v>0</v>
      </c>
      <c r="U42" t="n">
        <v>0</v>
      </c>
      <c r="V42" t="n">
        <v>0</v>
      </c>
      <c r="W42" t="inlineStr"/>
      <c r="X42" t="inlineStr"/>
      <c r="Y42" t="inlineStr"/>
      <c r="Z42" t="inlineStr"/>
      <c r="AA42" t="inlineStr"/>
      <c r="AB42" t="inlineStr"/>
      <c r="AC42" t="inlineStr"/>
      <c r="AD42" t="n">
        <v>0</v>
      </c>
      <c r="AE42" t="n">
        <v>1.24</v>
      </c>
      <c r="AF42" t="n">
        <v>-1.24</v>
      </c>
      <c r="AG42" t="n">
        <v>2.26</v>
      </c>
      <c r="AH42" t="n">
        <v>3.53</v>
      </c>
      <c r="AI42" t="n">
        <v>-1.27</v>
      </c>
      <c r="AJ42" t="n">
        <v>24</v>
      </c>
      <c r="AK42" t="inlineStr"/>
      <c r="AL42" t="inlineStr">
        <is>
          <t>1 games (2025 season)</t>
        </is>
      </c>
      <c r="AM42" t="inlineStr">
        <is>
          <t>Strong RB1; weekly top-12 expectation with multi-touchdown ceiling.</t>
        </is>
      </c>
      <c r="AN42" t="inlineStr">
        <is>
          <t>He produced 11.3 PPR/FP points per game across 17 games. The workload/efficiency profile gives the model a rate-based reason to keep him here. Market price is favorable around ADP 31 versus model overall rank 16.</t>
        </is>
      </c>
      <c r="AO42" t="inlineStr">
        <is>
          <t>Touchdown variance, receiving-role changes and backfield competition are the main downside paths.</t>
        </is>
      </c>
    </row>
    <row r="43">
      <c r="A43" t="inlineStr">
        <is>
          <t>RB</t>
        </is>
      </c>
      <c r="B43" t="inlineStr">
        <is>
          <t>James Cook III</t>
        </is>
      </c>
      <c r="C43" t="inlineStr">
        <is>
          <t>BUF</t>
        </is>
      </c>
      <c r="D43" t="n">
        <v>7</v>
      </c>
      <c r="E43" s="4" t="n">
        <v>87.09999999999999</v>
      </c>
      <c r="F43" s="4" t="n">
        <v>14.9</v>
      </c>
      <c r="G43" t="inlineStr">
        <is>
          <t>unclear</t>
        </is>
      </c>
      <c r="H43" t="inlineStr">
        <is>
          <t>elite</t>
        </is>
      </c>
      <c r="I43" t="inlineStr">
        <is>
          <t>Josh Allen</t>
        </is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n">
        <v>28</v>
      </c>
      <c r="AK43" t="inlineStr"/>
      <c r="AL43" t="inlineStr">
        <is>
          <t>No stats match found</t>
        </is>
      </c>
      <c r="AM43" t="inlineStr">
        <is>
          <t>Strong RB1; weekly top-12 expectation with multi-touchdown ceiling.</t>
        </is>
      </c>
      <c r="AN43" t="inlineStr">
        <is>
          <t>He produced 17.7 PPR/FP points per game across 17 games. The workload/efficiency profile gives the model a rate-based reason to keep him here.</t>
        </is>
      </c>
      <c r="AO43" t="inlineStr">
        <is>
          <t>Touchdown variance, receiving-role changes and backfield competition are the main downside paths.</t>
        </is>
      </c>
    </row>
    <row r="44">
      <c r="A44" t="inlineStr">
        <is>
          <t>RB</t>
        </is>
      </c>
      <c r="B44" t="inlineStr">
        <is>
          <t>Kyren Williams</t>
        </is>
      </c>
      <c r="C44" t="inlineStr">
        <is>
          <t>LAR</t>
        </is>
      </c>
      <c r="D44" t="n">
        <v>11</v>
      </c>
      <c r="E44" s="4" t="n">
        <v>85.90000000000001</v>
      </c>
      <c r="F44" s="4" t="n">
        <v>33.1</v>
      </c>
      <c r="G44" t="inlineStr">
        <is>
          <t>committee</t>
        </is>
      </c>
      <c r="H44" t="inlineStr"/>
      <c r="I44" t="inlineStr">
        <is>
          <t>Matthew Stafford</t>
        </is>
      </c>
      <c r="J44" t="n">
        <v>0</v>
      </c>
      <c r="K44" t="n">
        <v>8.6</v>
      </c>
      <c r="L44" t="n">
        <v>55.7</v>
      </c>
      <c r="M44" t="n">
        <v>63</v>
      </c>
      <c r="N44" t="n">
        <v>1</v>
      </c>
      <c r="O44" t="n">
        <v>259</v>
      </c>
      <c r="P44" t="n">
        <v>1252</v>
      </c>
      <c r="Q44" t="n">
        <v>10</v>
      </c>
      <c r="R44" t="n">
        <v>36</v>
      </c>
      <c r="S44" t="n">
        <v>281</v>
      </c>
      <c r="T44" t="n">
        <v>3</v>
      </c>
      <c r="U44" t="n">
        <v>0</v>
      </c>
      <c r="V44" t="n">
        <v>0</v>
      </c>
      <c r="W44" t="inlineStr"/>
      <c r="X44" t="inlineStr"/>
      <c r="Y44" t="inlineStr"/>
      <c r="Z44" t="inlineStr"/>
      <c r="AA44" t="inlineStr"/>
      <c r="AB44" t="inlineStr"/>
      <c r="AC44" t="inlineStr"/>
      <c r="AD44" t="n">
        <v>6</v>
      </c>
      <c r="AE44" t="n">
        <v>5.33</v>
      </c>
      <c r="AF44" t="n">
        <v>0.67</v>
      </c>
      <c r="AG44" t="n">
        <v>3.86</v>
      </c>
      <c r="AH44" t="n">
        <v>4.3</v>
      </c>
      <c r="AI44" t="n">
        <v>-0.43</v>
      </c>
      <c r="AJ44" t="n">
        <v>25</v>
      </c>
      <c r="AK44" t="inlineStr">
        <is>
          <t>Blake Corum</t>
        </is>
      </c>
      <c r="AL44" t="inlineStr">
        <is>
          <t>1 games (2025 season)</t>
        </is>
      </c>
      <c r="AM44" t="inlineStr">
        <is>
          <t>Strong RB1; weekly top-12 expectation with multi-touchdown ceiling.</t>
        </is>
      </c>
      <c r="AN44" t="inlineStr">
        <is>
          <t>He produced 15.5 PPR/FP points per game across 17 games. The workload/efficiency profile gives the model a rate-based reason to keep him here. Market price is favorable around ADP 40 versus model overall rank 21.</t>
        </is>
      </c>
      <c r="AO44" t="inlineStr">
        <is>
          <t>Touchdown variance, receiving-role changes and backfield competition are the main downside paths.</t>
        </is>
      </c>
    </row>
    <row r="45">
      <c r="A45" t="inlineStr">
        <is>
          <t>RB</t>
        </is>
      </c>
      <c r="B45" t="inlineStr">
        <is>
          <t>Breece Hall</t>
        </is>
      </c>
      <c r="C45" t="inlineStr">
        <is>
          <t>NYJ</t>
        </is>
      </c>
      <c r="D45" t="n">
        <v>13</v>
      </c>
      <c r="E45" s="4" t="n">
        <v>85.90000000000001</v>
      </c>
      <c r="F45" s="4" t="n">
        <v>27</v>
      </c>
      <c r="G45" t="inlineStr">
        <is>
          <t>feature</t>
        </is>
      </c>
      <c r="H45" t="inlineStr">
        <is>
          <t>weakness</t>
        </is>
      </c>
      <c r="I45" t="inlineStr">
        <is>
          <t>Geno Smith</t>
        </is>
      </c>
      <c r="J45" t="n">
        <v>64.40000000000001</v>
      </c>
      <c r="K45" t="n">
        <v>9.800000000000001</v>
      </c>
      <c r="L45" t="n">
        <v>53.3</v>
      </c>
      <c r="M45" t="n">
        <v>33</v>
      </c>
      <c r="N45" t="n">
        <v>1</v>
      </c>
      <c r="O45" t="n">
        <v>243</v>
      </c>
      <c r="P45" t="n">
        <v>1065</v>
      </c>
      <c r="Q45" t="n">
        <v>4</v>
      </c>
      <c r="R45" t="n">
        <v>36</v>
      </c>
      <c r="S45" t="n">
        <v>350</v>
      </c>
      <c r="T45" t="n">
        <v>1</v>
      </c>
      <c r="U45" t="n">
        <v>0</v>
      </c>
      <c r="V45" t="n">
        <v>0</v>
      </c>
      <c r="W45" t="inlineStr"/>
      <c r="X45" t="inlineStr"/>
      <c r="Y45" t="inlineStr"/>
      <c r="Z45" t="inlineStr"/>
      <c r="AA45" t="inlineStr"/>
      <c r="AB45" t="inlineStr"/>
      <c r="AC45" t="inlineStr"/>
      <c r="AD45" t="n">
        <v>2.08</v>
      </c>
      <c r="AE45" t="n">
        <v>3.6</v>
      </c>
      <c r="AF45" t="n">
        <v>-1.52</v>
      </c>
      <c r="AG45" t="n">
        <v>1.65</v>
      </c>
      <c r="AH45" t="n">
        <v>2.38</v>
      </c>
      <c r="AI45" t="n">
        <v>-0.74</v>
      </c>
      <c r="AJ45" t="n">
        <v>24</v>
      </c>
      <c r="AK45" t="inlineStr"/>
      <c r="AL45" t="inlineStr">
        <is>
          <t>1 games (2025 season)</t>
        </is>
      </c>
      <c r="AM45" t="inlineStr">
        <is>
          <t>Strong RB1; weekly top-12 expectation with multi-touchdown ceiling.</t>
        </is>
      </c>
      <c r="AN45" t="inlineStr">
        <is>
          <t>He produced 12.9 PPR/FP points per game across 16 games. The workload/efficiency profile gives the model a rate-based reason to keep him here. Market price is favorable around ADP 44 versus model overall rank 23.</t>
        </is>
      </c>
      <c r="AO45" t="inlineStr">
        <is>
          <t>Touchdown variance, receiving-role changes and backfield competition are the main downside paths.</t>
        </is>
      </c>
    </row>
    <row r="46">
      <c r="A46" t="inlineStr">
        <is>
          <t>RB</t>
        </is>
      </c>
      <c r="B46" t="inlineStr">
        <is>
          <t>Ashton Jeanty</t>
        </is>
      </c>
      <c r="C46" t="inlineStr">
        <is>
          <t>LV</t>
        </is>
      </c>
      <c r="D46" t="n">
        <v>13</v>
      </c>
      <c r="E46" s="4" t="n">
        <v>85.8</v>
      </c>
      <c r="F46" s="4" t="n">
        <v>13.8</v>
      </c>
      <c r="G46" t="inlineStr">
        <is>
          <t>feature</t>
        </is>
      </c>
      <c r="H46" t="inlineStr">
        <is>
          <t>elite</t>
        </is>
      </c>
      <c r="I46" t="inlineStr">
        <is>
          <t>Kirk Cousins</t>
        </is>
      </c>
      <c r="J46" t="n">
        <v>77.90000000000001</v>
      </c>
      <c r="K46" t="n">
        <v>15.7</v>
      </c>
      <c r="L46" t="n">
        <v>72.09999999999999</v>
      </c>
      <c r="M46" t="n">
        <v>45</v>
      </c>
      <c r="N46" t="n">
        <v>1</v>
      </c>
      <c r="O46" t="n">
        <v>266</v>
      </c>
      <c r="P46" t="n">
        <v>975</v>
      </c>
      <c r="Q46" t="n">
        <v>5</v>
      </c>
      <c r="R46" t="n">
        <v>55</v>
      </c>
      <c r="S46" t="n">
        <v>346</v>
      </c>
      <c r="T46" t="n">
        <v>5</v>
      </c>
      <c r="U46" t="n">
        <v>0</v>
      </c>
      <c r="V46" t="n">
        <v>0</v>
      </c>
      <c r="W46" t="inlineStr"/>
      <c r="X46" t="inlineStr"/>
      <c r="Y46" t="inlineStr"/>
      <c r="Z46" t="inlineStr"/>
      <c r="AA46" t="inlineStr"/>
      <c r="AB46" t="inlineStr"/>
      <c r="AC46" t="inlineStr"/>
      <c r="AD46" t="n">
        <v>6.85</v>
      </c>
      <c r="AE46" t="n">
        <v>6.85</v>
      </c>
      <c r="AF46" t="n">
        <v>0</v>
      </c>
      <c r="AG46" t="n">
        <v>1.88</v>
      </c>
      <c r="AH46" t="n">
        <v>1.88</v>
      </c>
      <c r="AI46" t="n">
        <v>0</v>
      </c>
      <c r="AJ46" t="n">
        <v>21</v>
      </c>
      <c r="AK46" t="inlineStr"/>
      <c r="AL46" t="inlineStr">
        <is>
          <t>1 games (2025 season)</t>
        </is>
      </c>
      <c r="AM46" t="inlineStr">
        <is>
          <t>Strong RB1; weekly top-12 expectation with multi-touchdown ceiling.</t>
        </is>
      </c>
      <c r="AN46" t="inlineStr">
        <is>
          <t>He produced 14.4 PPR/FP points per game across 17 games. The workload/efficiency profile gives the model a rate-based reason to keep him here. The market is more aggressive at ADP 13 versus model overall rank 24, so price matters.</t>
        </is>
      </c>
      <c r="AO46" t="inlineStr">
        <is>
          <t>Price is the biggest risk: the market currently asks you to draft him earlier than the model prefers.</t>
        </is>
      </c>
    </row>
    <row r="47">
      <c r="A47" t="inlineStr">
        <is>
          <t>RB</t>
        </is>
      </c>
      <c r="B47" t="inlineStr">
        <is>
          <t>Derrick Henry</t>
        </is>
      </c>
      <c r="C47" t="inlineStr">
        <is>
          <t>BAL</t>
        </is>
      </c>
      <c r="D47" t="n">
        <v>13</v>
      </c>
      <c r="E47" s="4" t="n">
        <v>85.7</v>
      </c>
      <c r="F47" s="4" t="n">
        <v>15.4</v>
      </c>
      <c r="G47" t="inlineStr">
        <is>
          <t>feature</t>
        </is>
      </c>
      <c r="H47" t="inlineStr">
        <is>
          <t>elite</t>
        </is>
      </c>
      <c r="I47" t="inlineStr">
        <is>
          <t>Lamar Jackson</t>
        </is>
      </c>
      <c r="J47" t="n">
        <v>54.5</v>
      </c>
      <c r="K47" t="n">
        <v>5.2</v>
      </c>
      <c r="L47" t="n">
        <v>60.6</v>
      </c>
      <c r="M47" t="n">
        <v>65</v>
      </c>
      <c r="N47" t="n">
        <v>1</v>
      </c>
      <c r="O47" t="n">
        <v>307</v>
      </c>
      <c r="P47" t="n">
        <v>1595</v>
      </c>
      <c r="Q47" t="n">
        <v>16</v>
      </c>
      <c r="R47" t="n">
        <v>15</v>
      </c>
      <c r="S47" t="n">
        <v>150</v>
      </c>
      <c r="T47" t="n">
        <v>0</v>
      </c>
      <c r="U47" t="n">
        <v>0</v>
      </c>
      <c r="V47" t="n">
        <v>0</v>
      </c>
      <c r="W47" t="inlineStr"/>
      <c r="X47" t="inlineStr"/>
      <c r="Y47" t="inlineStr"/>
      <c r="Z47" t="inlineStr"/>
      <c r="AA47" t="inlineStr"/>
      <c r="AB47" t="inlineStr"/>
      <c r="AC47" t="inlineStr"/>
      <c r="AD47" t="n">
        <v>0</v>
      </c>
      <c r="AE47" t="n">
        <v>2.04</v>
      </c>
      <c r="AF47" t="n">
        <v>-2.04</v>
      </c>
      <c r="AG47" t="n">
        <v>5.21</v>
      </c>
      <c r="AH47" t="n">
        <v>4.58</v>
      </c>
      <c r="AI47" t="n">
        <v>0.63</v>
      </c>
      <c r="AJ47" t="n">
        <v>31</v>
      </c>
      <c r="AK47" t="inlineStr">
        <is>
          <t>Justice Hill</t>
        </is>
      </c>
      <c r="AL47" t="inlineStr">
        <is>
          <t>1 games (2025 season)</t>
        </is>
      </c>
      <c r="AM47" t="inlineStr">
        <is>
          <t>RB2 with RB1 weeks; should be a regular starter.</t>
        </is>
      </c>
      <c r="AN47" t="inlineStr">
        <is>
          <t>He produced 16.5 PPR/FP points per game across 17 games. The workload/efficiency profile gives the model a rate-based reason to keep him here. Market price is favorable around ADP 52 versus model overall rank 26.</t>
        </is>
      </c>
      <c r="AO47" t="inlineStr">
        <is>
          <t>Touchdown variance, receiving-role changes and backfield competition are the main downside paths.</t>
        </is>
      </c>
    </row>
    <row r="48">
      <c r="A48" t="inlineStr">
        <is>
          <t>RB</t>
        </is>
      </c>
      <c r="B48" t="inlineStr">
        <is>
          <t>Chase Brown</t>
        </is>
      </c>
      <c r="C48" t="inlineStr">
        <is>
          <t>CIN</t>
        </is>
      </c>
      <c r="D48" t="n">
        <v>6</v>
      </c>
      <c r="E48" s="4" t="n">
        <v>85.7</v>
      </c>
      <c r="F48" s="4" t="n">
        <v>12.1</v>
      </c>
      <c r="G48" t="inlineStr">
        <is>
          <t>feature</t>
        </is>
      </c>
      <c r="H48" t="inlineStr">
        <is>
          <t>weakness</t>
        </is>
      </c>
      <c r="I48" t="inlineStr">
        <is>
          <t>Joe Burrow</t>
        </is>
      </c>
      <c r="J48" t="n">
        <v>90.7</v>
      </c>
      <c r="K48" t="n">
        <v>14.5</v>
      </c>
      <c r="L48" t="n">
        <v>59.9</v>
      </c>
      <c r="M48" t="n">
        <v>49</v>
      </c>
      <c r="N48" t="n">
        <v>1</v>
      </c>
      <c r="O48" t="n">
        <v>232</v>
      </c>
      <c r="P48" t="n">
        <v>1019</v>
      </c>
      <c r="Q48" t="n">
        <v>6</v>
      </c>
      <c r="R48" t="n">
        <v>69</v>
      </c>
      <c r="S48" t="n">
        <v>437</v>
      </c>
      <c r="T48" t="n">
        <v>5</v>
      </c>
      <c r="U48" t="n">
        <v>0</v>
      </c>
      <c r="V48" t="n">
        <v>0</v>
      </c>
      <c r="W48" t="inlineStr"/>
      <c r="X48" t="inlineStr"/>
      <c r="Y48" t="inlineStr"/>
      <c r="Z48" t="inlineStr"/>
      <c r="AA48" t="inlineStr"/>
      <c r="AB48" t="inlineStr"/>
      <c r="AC48" t="inlineStr"/>
      <c r="AD48" t="n">
        <v>5.68</v>
      </c>
      <c r="AE48" t="n">
        <v>5.95</v>
      </c>
      <c r="AF48" t="n">
        <v>-0.27</v>
      </c>
      <c r="AG48" t="n">
        <v>2.59</v>
      </c>
      <c r="AH48" t="n">
        <v>2.57</v>
      </c>
      <c r="AI48" t="n">
        <v>0.01</v>
      </c>
      <c r="AJ48" t="n">
        <v>25</v>
      </c>
      <c r="AK48" t="inlineStr"/>
      <c r="AL48" t="inlineStr">
        <is>
          <t>1 games (2025 season)</t>
        </is>
      </c>
      <c r="AM48" t="inlineStr">
        <is>
          <t>RB2 with RB1 weeks; should be a regular starter.</t>
        </is>
      </c>
      <c r="AN48" t="inlineStr">
        <is>
          <t>He produced 16.7 PPR/FP points per game across 17 games. The workload/efficiency profile gives the model a rate-based reason to keep him here.</t>
        </is>
      </c>
      <c r="AO48" t="inlineStr">
        <is>
          <t>Touchdown variance, receiving-role changes and backfield competition are the main downside paths.</t>
        </is>
      </c>
    </row>
    <row r="49">
      <c r="A49" t="inlineStr">
        <is>
          <t>RB</t>
        </is>
      </c>
      <c r="B49" t="inlineStr">
        <is>
          <t>Josh Jacobs</t>
        </is>
      </c>
      <c r="C49" t="inlineStr">
        <is>
          <t>GB</t>
        </is>
      </c>
      <c r="D49" t="n">
        <v>11</v>
      </c>
      <c r="E49" s="4" t="n">
        <v>84.40000000000001</v>
      </c>
      <c r="F49" s="4" t="n">
        <v>24.2</v>
      </c>
      <c r="G49" t="inlineStr">
        <is>
          <t>committee</t>
        </is>
      </c>
      <c r="H49" t="inlineStr">
        <is>
          <t>elite</t>
        </is>
      </c>
      <c r="I49" t="inlineStr">
        <is>
          <t>Jordan Love</t>
        </is>
      </c>
      <c r="J49" t="n">
        <v>0</v>
      </c>
      <c r="K49" t="n">
        <v>9.6</v>
      </c>
      <c r="L49" t="n">
        <v>47.6</v>
      </c>
      <c r="M49" t="n">
        <v>58</v>
      </c>
      <c r="N49" t="n">
        <v>1</v>
      </c>
      <c r="O49" t="n">
        <v>234</v>
      </c>
      <c r="P49" t="n">
        <v>929</v>
      </c>
      <c r="Q49" t="n">
        <v>13</v>
      </c>
      <c r="R49" t="n">
        <v>36</v>
      </c>
      <c r="S49" t="n">
        <v>282</v>
      </c>
      <c r="T49" t="n">
        <v>1</v>
      </c>
      <c r="U49" t="n">
        <v>0</v>
      </c>
      <c r="V49" t="n">
        <v>0</v>
      </c>
      <c r="W49" t="inlineStr"/>
      <c r="X49" t="inlineStr"/>
      <c r="Y49" t="inlineStr"/>
      <c r="Z49" t="inlineStr"/>
      <c r="AA49" t="inlineStr"/>
      <c r="AB49" t="inlineStr"/>
      <c r="AC49" t="inlineStr"/>
      <c r="AD49" t="n">
        <v>2.27</v>
      </c>
      <c r="AE49" t="n">
        <v>0.59</v>
      </c>
      <c r="AF49" t="n">
        <v>1.69</v>
      </c>
      <c r="AG49" t="n">
        <v>5.56</v>
      </c>
      <c r="AH49" t="n">
        <v>4.02</v>
      </c>
      <c r="AI49" t="n">
        <v>1.53</v>
      </c>
      <c r="AJ49" t="n">
        <v>27</v>
      </c>
      <c r="AK49" t="inlineStr"/>
      <c r="AL49" t="inlineStr">
        <is>
          <t>1 games (2025 season)</t>
        </is>
      </c>
      <c r="AM49" t="inlineStr">
        <is>
          <t>RB2 with RB1 weeks; should be a regular starter.</t>
        </is>
      </c>
      <c r="AN49" t="inlineStr">
        <is>
          <t>He produced 15.8 PPR/FP points per game across 15 games. The workload/efficiency profile gives the model a rate-based reason to keep him here. Market price is favorable around ADP 61 versus model overall rank 33.</t>
        </is>
      </c>
      <c r="AO49" t="inlineStr">
        <is>
          <t>Touchdown variance, receiving-role changes and backfield competition are the main downside paths.</t>
        </is>
      </c>
    </row>
    <row r="50">
      <c r="A50" t="inlineStr">
        <is>
          <t>RB</t>
        </is>
      </c>
      <c r="B50" t="inlineStr">
        <is>
          <t>Saquon Barkley</t>
        </is>
      </c>
      <c r="C50" t="inlineStr">
        <is>
          <t>PHI</t>
        </is>
      </c>
      <c r="D50" t="n">
        <v>10</v>
      </c>
      <c r="E50" s="4" t="n">
        <v>84</v>
      </c>
      <c r="F50" s="4" t="n">
        <v>19</v>
      </c>
      <c r="G50" t="inlineStr">
        <is>
          <t>feature</t>
        </is>
      </c>
      <c r="H50" t="inlineStr">
        <is>
          <t>elite</t>
        </is>
      </c>
      <c r="I50" t="inlineStr">
        <is>
          <t>Jalen Hurts</t>
        </is>
      </c>
      <c r="J50" t="n">
        <v>78.3</v>
      </c>
      <c r="K50" t="n">
        <v>10.9</v>
      </c>
      <c r="L50" t="n">
        <v>58</v>
      </c>
      <c r="M50" t="n">
        <v>52</v>
      </c>
      <c r="N50" t="n">
        <v>1</v>
      </c>
      <c r="O50" t="n">
        <v>280</v>
      </c>
      <c r="P50" t="n">
        <v>1140</v>
      </c>
      <c r="Q50" t="n">
        <v>7</v>
      </c>
      <c r="R50" t="n">
        <v>37</v>
      </c>
      <c r="S50" t="n">
        <v>273</v>
      </c>
      <c r="T50" t="n">
        <v>2</v>
      </c>
      <c r="U50" t="n">
        <v>0</v>
      </c>
      <c r="V50" t="n">
        <v>0</v>
      </c>
      <c r="W50" t="inlineStr"/>
      <c r="X50" t="inlineStr"/>
      <c r="Y50" t="inlineStr"/>
      <c r="Z50" t="inlineStr"/>
      <c r="AA50" t="inlineStr"/>
      <c r="AB50" t="inlineStr"/>
      <c r="AC50" t="inlineStr"/>
      <c r="AD50" t="n">
        <v>4</v>
      </c>
      <c r="AE50" t="n">
        <v>3.27</v>
      </c>
      <c r="AF50" t="n">
        <v>0.73</v>
      </c>
      <c r="AG50" t="n">
        <v>2.5</v>
      </c>
      <c r="AH50" t="n">
        <v>3.01</v>
      </c>
      <c r="AI50" t="n">
        <v>-0.51</v>
      </c>
      <c r="AJ50" t="n">
        <v>28</v>
      </c>
      <c r="AK50" t="inlineStr"/>
      <c r="AL50" t="inlineStr">
        <is>
          <t>1 games (2025 season)</t>
        </is>
      </c>
      <c r="AM50" t="inlineStr">
        <is>
          <t>RB2 with RB1 weeks; should be a regular starter.</t>
        </is>
      </c>
      <c r="AN50" t="inlineStr">
        <is>
          <t>He produced 14.5 PPR/FP points per game across 16 games. The workload/efficiency profile gives the model a rate-based reason to keep him here. Market price is favorable around ADP 65 versus model overall rank 34.</t>
        </is>
      </c>
      <c r="AO50" t="inlineStr">
        <is>
          <t>Touchdown variance, receiving-role changes and backfield competition are the main downside paths.</t>
        </is>
      </c>
    </row>
    <row r="51">
      <c r="A51" t="inlineStr">
        <is>
          <t>RB</t>
        </is>
      </c>
      <c r="B51" t="inlineStr">
        <is>
          <t>Javonte Williams</t>
        </is>
      </c>
      <c r="C51" t="inlineStr">
        <is>
          <t>DAL</t>
        </is>
      </c>
      <c r="D51" t="n">
        <v>14</v>
      </c>
      <c r="E51" s="4" t="n">
        <v>83.8</v>
      </c>
      <c r="F51" s="4" t="n">
        <v>35.8</v>
      </c>
      <c r="G51" t="inlineStr">
        <is>
          <t>committee</t>
        </is>
      </c>
      <c r="H51" t="inlineStr">
        <is>
          <t>elite</t>
        </is>
      </c>
      <c r="I51" t="inlineStr">
        <is>
          <t>Dak Prescott</t>
        </is>
      </c>
      <c r="J51" t="n">
        <v>0</v>
      </c>
      <c r="K51" t="n">
        <v>8.4</v>
      </c>
      <c r="L51" t="n">
        <v>54.2</v>
      </c>
      <c r="M51" t="n">
        <v>76</v>
      </c>
      <c r="N51" t="n">
        <v>1</v>
      </c>
      <c r="O51" t="n">
        <v>252</v>
      </c>
      <c r="P51" t="n">
        <v>1201</v>
      </c>
      <c r="Q51" t="n">
        <v>11</v>
      </c>
      <c r="R51" t="n">
        <v>35</v>
      </c>
      <c r="S51" t="n">
        <v>137</v>
      </c>
      <c r="T51" t="n">
        <v>2</v>
      </c>
      <c r="U51" t="n">
        <v>0</v>
      </c>
      <c r="V51" t="n">
        <v>0</v>
      </c>
      <c r="W51" t="inlineStr"/>
      <c r="X51" t="inlineStr"/>
      <c r="Y51" t="inlineStr"/>
      <c r="Z51" t="inlineStr"/>
      <c r="AA51" t="inlineStr"/>
      <c r="AB51" t="inlineStr"/>
      <c r="AC51" t="inlineStr"/>
      <c r="AD51" t="n">
        <v>3.92</v>
      </c>
      <c r="AE51" t="n">
        <v>2.76</v>
      </c>
      <c r="AF51" t="n">
        <v>1.17</v>
      </c>
      <c r="AG51" t="n">
        <v>4.37</v>
      </c>
      <c r="AH51" t="n">
        <v>2.56</v>
      </c>
      <c r="AI51" t="n">
        <v>1.8</v>
      </c>
      <c r="AJ51" t="n">
        <v>25</v>
      </c>
      <c r="AK51" t="inlineStr"/>
      <c r="AL51" t="inlineStr">
        <is>
          <t>1 games (2025 season)</t>
        </is>
      </c>
      <c r="AM51" t="inlineStr">
        <is>
          <t>RB2 with RB1 weeks; should be a regular starter.</t>
        </is>
      </c>
      <c r="AN51" t="inlineStr">
        <is>
          <t>He produced 15.2 PPR/FP points per game across 16 games. The workload/efficiency profile gives the model a rate-based reason to keep him here. Market price is favorable around ADP 69 versus model overall rank 35.</t>
        </is>
      </c>
      <c r="AO51" t="inlineStr">
        <is>
          <t>Touchdown variance, receiving-role changes and backfield competition are the main downside paths.</t>
        </is>
      </c>
    </row>
    <row r="52">
      <c r="A52" t="inlineStr">
        <is>
          <t>RB</t>
        </is>
      </c>
      <c r="B52" t="inlineStr">
        <is>
          <t>Travis Etienne Jr.</t>
        </is>
      </c>
      <c r="C52" t="inlineStr">
        <is>
          <t>NO</t>
        </is>
      </c>
      <c r="D52" t="n">
        <v>8</v>
      </c>
      <c r="E52" s="4" t="n">
        <v>83</v>
      </c>
      <c r="F52" s="4" t="n">
        <v>38.4</v>
      </c>
      <c r="G52" t="inlineStr">
        <is>
          <t>unclear</t>
        </is>
      </c>
      <c r="H52" t="inlineStr">
        <is>
          <t>elite</t>
        </is>
      </c>
      <c r="I52" t="inlineStr">
        <is>
          <t>Tyler Shough</t>
        </is>
      </c>
      <c r="J52" t="n">
        <v>60.1</v>
      </c>
      <c r="K52" t="n">
        <v>8.699999999999999</v>
      </c>
      <c r="L52" t="n">
        <v>53.6</v>
      </c>
      <c r="M52" t="n">
        <v>68</v>
      </c>
      <c r="N52" t="n">
        <v>1</v>
      </c>
      <c r="O52" t="n">
        <v>260</v>
      </c>
      <c r="P52" t="n">
        <v>1107</v>
      </c>
      <c r="Q52" t="n">
        <v>7</v>
      </c>
      <c r="R52" t="n">
        <v>36</v>
      </c>
      <c r="S52" t="n">
        <v>292</v>
      </c>
      <c r="T52" t="n">
        <v>6</v>
      </c>
      <c r="U52" t="n">
        <v>0</v>
      </c>
      <c r="V52" t="n">
        <v>0</v>
      </c>
      <c r="W52" t="inlineStr"/>
      <c r="X52" t="inlineStr"/>
      <c r="Y52" t="inlineStr"/>
      <c r="Z52" t="inlineStr"/>
      <c r="AA52" t="inlineStr"/>
      <c r="AB52" t="inlineStr"/>
      <c r="AC52" t="inlineStr"/>
      <c r="AD52" t="n">
        <v>11.54</v>
      </c>
      <c r="AE52" t="n">
        <v>3.15</v>
      </c>
      <c r="AF52" t="n">
        <v>8.390000000000001</v>
      </c>
      <c r="AG52" t="n">
        <v>2.69</v>
      </c>
      <c r="AH52" t="n">
        <v>2.79</v>
      </c>
      <c r="AI52" t="n">
        <v>-0.09</v>
      </c>
      <c r="AJ52" t="n">
        <v>31</v>
      </c>
      <c r="AK52" t="inlineStr">
        <is>
          <t>Alvin Kamara</t>
        </is>
      </c>
      <c r="AL52" t="inlineStr">
        <is>
          <t>1 games (2025 season)</t>
        </is>
      </c>
      <c r="AM52" t="inlineStr">
        <is>
          <t>RB2 with RB1 weeks; should be a regular starter.</t>
        </is>
      </c>
      <c r="AN52" t="inlineStr">
        <is>
          <t>He produced 14.9 PPR/FP points per game across 17 games. The workload/efficiency profile gives the model a rate-based reason to keep him here. Market price is favorable around ADP 73 versus model overall rank 39.</t>
        </is>
      </c>
      <c r="AO52" t="inlineStr">
        <is>
          <t>Touchdown variance, receiving-role changes and backfield competition are the main downside paths.</t>
        </is>
      </c>
    </row>
    <row r="53">
      <c r="A53" t="inlineStr">
        <is>
          <t>RB</t>
        </is>
      </c>
      <c r="B53" t="inlineStr">
        <is>
          <t>Cam Skattebo</t>
        </is>
      </c>
      <c r="C53" t="inlineStr">
        <is>
          <t>NYG</t>
        </is>
      </c>
      <c r="D53" t="n">
        <v>8</v>
      </c>
      <c r="E53" s="4" t="n">
        <v>81.90000000000001</v>
      </c>
      <c r="F53" s="4" t="n">
        <v>30.8</v>
      </c>
      <c r="G53" t="inlineStr">
        <is>
          <t>handcuff</t>
        </is>
      </c>
      <c r="H53" t="inlineStr">
        <is>
          <t>weakness</t>
        </is>
      </c>
      <c r="I53" t="inlineStr">
        <is>
          <t>Jaxson Dart</t>
        </is>
      </c>
      <c r="J53" t="n">
        <v>52.2</v>
      </c>
      <c r="K53" t="n">
        <v>6.3</v>
      </c>
      <c r="L53" t="n">
        <v>19.8</v>
      </c>
      <c r="M53" t="n">
        <v>28</v>
      </c>
      <c r="N53" t="n">
        <v>1</v>
      </c>
      <c r="O53" t="n">
        <v>101</v>
      </c>
      <c r="P53" t="n">
        <v>410</v>
      </c>
      <c r="Q53" t="n">
        <v>5</v>
      </c>
      <c r="R53" t="n">
        <v>24</v>
      </c>
      <c r="S53" t="n">
        <v>207</v>
      </c>
      <c r="T53" t="n">
        <v>2</v>
      </c>
      <c r="U53" t="n">
        <v>0</v>
      </c>
      <c r="V53" t="n">
        <v>0</v>
      </c>
      <c r="W53" t="inlineStr"/>
      <c r="X53" t="inlineStr"/>
      <c r="Y53" t="inlineStr"/>
      <c r="Z53" t="inlineStr"/>
      <c r="AA53" t="inlineStr"/>
      <c r="AB53" t="inlineStr"/>
      <c r="AC53" t="inlineStr"/>
      <c r="AD53" t="n">
        <v>6.25</v>
      </c>
      <c r="AE53" t="n">
        <v>6.25</v>
      </c>
      <c r="AF53" t="n">
        <v>0</v>
      </c>
      <c r="AG53" t="n">
        <v>4.95</v>
      </c>
      <c r="AH53" t="n">
        <v>4.95</v>
      </c>
      <c r="AI53" t="n">
        <v>0</v>
      </c>
      <c r="AJ53" t="n">
        <v>23</v>
      </c>
      <c r="AK53" t="inlineStr">
        <is>
          <t>Tyrone Tracy Jr.</t>
        </is>
      </c>
      <c r="AL53" t="inlineStr">
        <is>
          <t>1 games (2025 season)</t>
        </is>
      </c>
      <c r="AM53" t="inlineStr">
        <is>
          <t>RB2 with RB1 weeks; should be a regular starter.</t>
        </is>
      </c>
      <c r="AN53" t="inlineStr">
        <is>
          <t>He produced 16.0 PPR/FP points per game across 8 games. The workload/efficiency profile gives the model a rate-based reason to keep him here. Market price is favorable around ADP 78 versus model overall rank 42.</t>
        </is>
      </c>
      <c r="AO53" t="inlineStr">
        <is>
          <t>Availability/sample risk is elevated after only 8 games; talent is not being punished as heavily as durability.</t>
        </is>
      </c>
    </row>
    <row r="54">
      <c r="A54" t="inlineStr">
        <is>
          <t>RB</t>
        </is>
      </c>
      <c r="B54" t="inlineStr">
        <is>
          <t>D'Andre Swift</t>
        </is>
      </c>
      <c r="C54" t="inlineStr">
        <is>
          <t>CHI</t>
        </is>
      </c>
      <c r="D54" t="n">
        <v>10</v>
      </c>
      <c r="E54" s="4" t="n">
        <v>80</v>
      </c>
      <c r="F54" s="4" t="n">
        <v>43.9</v>
      </c>
      <c r="G54" t="inlineStr">
        <is>
          <t>committee</t>
        </is>
      </c>
      <c r="H54" t="inlineStr">
        <is>
          <t>weakness</t>
        </is>
      </c>
      <c r="I54" t="inlineStr">
        <is>
          <t>Caleb Williams</t>
        </is>
      </c>
      <c r="J54" t="n">
        <v>57.9</v>
      </c>
      <c r="K54" t="n">
        <v>9</v>
      </c>
      <c r="L54" t="n">
        <v>44.2</v>
      </c>
      <c r="M54" t="n">
        <v>41</v>
      </c>
      <c r="N54" t="n">
        <v>1</v>
      </c>
      <c r="O54" t="n">
        <v>223</v>
      </c>
      <c r="P54" t="n">
        <v>1087</v>
      </c>
      <c r="Q54" t="n">
        <v>9</v>
      </c>
      <c r="R54" t="n">
        <v>34</v>
      </c>
      <c r="S54" t="n">
        <v>299</v>
      </c>
      <c r="T54" t="n">
        <v>1</v>
      </c>
      <c r="U54" t="n">
        <v>0</v>
      </c>
      <c r="V54" t="n">
        <v>0</v>
      </c>
      <c r="W54" t="inlineStr"/>
      <c r="X54" t="inlineStr"/>
      <c r="Y54" t="inlineStr"/>
      <c r="Z54" t="inlineStr"/>
      <c r="AA54" t="inlineStr"/>
      <c r="AB54" t="inlineStr"/>
      <c r="AC54" t="inlineStr"/>
      <c r="AD54" t="n">
        <v>2.08</v>
      </c>
      <c r="AE54" t="n">
        <v>2.54</v>
      </c>
      <c r="AF54" t="n">
        <v>-0.46</v>
      </c>
      <c r="AG54" t="n">
        <v>4.04</v>
      </c>
      <c r="AH54" t="n">
        <v>3.55</v>
      </c>
      <c r="AI54" t="n">
        <v>0.48</v>
      </c>
      <c r="AJ54" t="n">
        <v>26</v>
      </c>
      <c r="AK54" t="inlineStr">
        <is>
          <t>Kyle Monangai</t>
        </is>
      </c>
      <c r="AL54" t="inlineStr">
        <is>
          <t>1 games (2025 season)</t>
        </is>
      </c>
      <c r="AM54" t="inlineStr">
        <is>
          <t>RB2 with RB1 weeks; should be a regular starter.</t>
        </is>
      </c>
      <c r="AN54" t="inlineStr">
        <is>
          <t>He produced 14.3 PPR/FP points per game across 16 games. The workload/efficiency profile gives the model a rate-based reason to keep him here. Market price is favorable around ADP 82 versus model overall rank 47.</t>
        </is>
      </c>
      <c r="AO54" t="inlineStr">
        <is>
          <t>Touchdown variance, receiving-role changes and backfield competition are the main downside paths.</t>
        </is>
      </c>
    </row>
    <row r="55">
      <c r="A55" t="inlineStr">
        <is>
          <t>RB</t>
        </is>
      </c>
      <c r="B55" t="inlineStr">
        <is>
          <t>Bucky Irving</t>
        </is>
      </c>
      <c r="C55" t="inlineStr">
        <is>
          <t>TB</t>
        </is>
      </c>
      <c r="D55" t="n">
        <v>10</v>
      </c>
      <c r="E55" s="4" t="n">
        <v>79.90000000000001</v>
      </c>
      <c r="F55" s="4" t="n">
        <v>43</v>
      </c>
      <c r="G55" t="inlineStr">
        <is>
          <t>committee</t>
        </is>
      </c>
      <c r="H55" t="inlineStr">
        <is>
          <t>weakness</t>
        </is>
      </c>
      <c r="I55" t="inlineStr">
        <is>
          <t>Baker Mayfield</t>
        </is>
      </c>
      <c r="J55" t="n">
        <v>61.6</v>
      </c>
      <c r="K55" t="n">
        <v>6.5</v>
      </c>
      <c r="L55" t="n">
        <v>36.7</v>
      </c>
      <c r="M55" t="n">
        <v>22</v>
      </c>
      <c r="N55" t="n">
        <v>1</v>
      </c>
      <c r="O55" t="n">
        <v>173</v>
      </c>
      <c r="P55" t="n">
        <v>588</v>
      </c>
      <c r="Q55" t="n">
        <v>1</v>
      </c>
      <c r="R55" t="n">
        <v>30</v>
      </c>
      <c r="S55" t="n">
        <v>277</v>
      </c>
      <c r="T55" t="n">
        <v>3</v>
      </c>
      <c r="U55" t="n">
        <v>0</v>
      </c>
      <c r="V55" t="n">
        <v>0</v>
      </c>
      <c r="W55" t="inlineStr"/>
      <c r="X55" t="inlineStr"/>
      <c r="Y55" t="inlineStr"/>
      <c r="Z55" t="inlineStr"/>
      <c r="AA55" t="inlineStr"/>
      <c r="AB55" t="inlineStr"/>
      <c r="AC55" t="inlineStr"/>
      <c r="AD55" t="n">
        <v>8.57</v>
      </c>
      <c r="AE55" t="n">
        <v>3.45</v>
      </c>
      <c r="AF55" t="n">
        <v>5.12</v>
      </c>
      <c r="AG55" t="n">
        <v>0.58</v>
      </c>
      <c r="AH55" t="n">
        <v>2.37</v>
      </c>
      <c r="AI55" t="n">
        <v>-1.79</v>
      </c>
      <c r="AJ55" t="n">
        <v>23</v>
      </c>
      <c r="AK55" t="inlineStr">
        <is>
          <t>Kenneth Gainwell</t>
        </is>
      </c>
      <c r="AL55" t="inlineStr">
        <is>
          <t>1 games (2025 season)</t>
        </is>
      </c>
      <c r="AM55" t="inlineStr">
        <is>
          <t>RB2/FLEX; useful weekly but role and receiving volume matter.</t>
        </is>
      </c>
      <c r="AN55" t="inlineStr">
        <is>
          <t>He produced 13.8 PPR/FP points per game across 10 games. The workload/efficiency profile gives the model a rate-based reason to keep him here. Market price is favorable around ADP 86 versus model overall rank 48.</t>
        </is>
      </c>
      <c r="AO55" t="inlineStr">
        <is>
          <t>Touchdown variance, receiving-role changes and backfield competition are the main downside paths.</t>
        </is>
      </c>
    </row>
    <row r="56">
      <c r="A56" t="inlineStr">
        <is>
          <t>RB</t>
        </is>
      </c>
      <c r="B56" t="inlineStr">
        <is>
          <t>Quinshon Judkins</t>
        </is>
      </c>
      <c r="C56" t="inlineStr">
        <is>
          <t>CLE</t>
        </is>
      </c>
      <c r="D56" t="n">
        <v>11</v>
      </c>
      <c r="E56" s="4" t="n">
        <v>79.90000000000001</v>
      </c>
      <c r="F56" s="4" t="n">
        <v>49.9</v>
      </c>
      <c r="G56" t="inlineStr">
        <is>
          <t>feature</t>
        </is>
      </c>
      <c r="H56" t="inlineStr">
        <is>
          <t>weakness</t>
        </is>
      </c>
      <c r="I56" t="inlineStr">
        <is>
          <t>Deshaun Watson</t>
        </is>
      </c>
      <c r="J56" t="n">
        <v>50.5</v>
      </c>
      <c r="K56" t="n">
        <v>6.9</v>
      </c>
      <c r="L56" t="n">
        <v>55</v>
      </c>
      <c r="M56" t="n">
        <v>34</v>
      </c>
      <c r="N56" t="n">
        <v>1</v>
      </c>
      <c r="O56" t="n">
        <v>230</v>
      </c>
      <c r="P56" t="n">
        <v>827</v>
      </c>
      <c r="Q56" t="n">
        <v>7</v>
      </c>
      <c r="R56" t="n">
        <v>26</v>
      </c>
      <c r="S56" t="n">
        <v>171</v>
      </c>
      <c r="T56" t="n">
        <v>0</v>
      </c>
      <c r="U56" t="n">
        <v>0</v>
      </c>
      <c r="V56" t="n">
        <v>0</v>
      </c>
      <c r="W56" t="inlineStr"/>
      <c r="X56" t="inlineStr"/>
      <c r="Y56" t="inlineStr"/>
      <c r="Z56" t="inlineStr"/>
      <c r="AA56" t="inlineStr"/>
      <c r="AB56" t="inlineStr"/>
      <c r="AC56" t="inlineStr"/>
      <c r="AD56" t="n">
        <v>0</v>
      </c>
      <c r="AE56" t="n">
        <v>0</v>
      </c>
      <c r="AF56" t="n">
        <v>0</v>
      </c>
      <c r="AG56" t="n">
        <v>3.04</v>
      </c>
      <c r="AH56" t="n">
        <v>3.04</v>
      </c>
      <c r="AI56" t="n">
        <v>0</v>
      </c>
      <c r="AJ56" t="n">
        <v>21</v>
      </c>
      <c r="AK56" t="inlineStr"/>
      <c r="AL56" t="inlineStr">
        <is>
          <t>1 games (2025 season)</t>
        </is>
      </c>
      <c r="AM56" t="inlineStr">
        <is>
          <t>RB2/FLEX; useful weekly but role and receiving volume matter.</t>
        </is>
      </c>
      <c r="AN56" t="inlineStr">
        <is>
          <t>He produced 12.2 PPR/FP points per game across 14 games. The workload/efficiency profile gives the model a rate-based reason to keep him here. Market price is favorable around ADP 90 versus model overall rank 49.</t>
        </is>
      </c>
      <c r="AO56" t="inlineStr">
        <is>
          <t>Touchdown variance, receiving-role changes and backfield competition are the main downside paths.</t>
        </is>
      </c>
    </row>
    <row r="57">
      <c r="A57" t="inlineStr">
        <is>
          <t>RB</t>
        </is>
      </c>
      <c r="B57" t="inlineStr">
        <is>
          <t>David Montgomery</t>
        </is>
      </c>
      <c r="C57" t="inlineStr">
        <is>
          <t>HOU</t>
        </is>
      </c>
      <c r="D57" t="n">
        <v>8</v>
      </c>
      <c r="E57" s="4" t="n">
        <v>77.90000000000001</v>
      </c>
      <c r="F57" s="4" t="n">
        <v>66.40000000000001</v>
      </c>
      <c r="G57" t="inlineStr">
        <is>
          <t>committee</t>
        </is>
      </c>
      <c r="H57" t="inlineStr">
        <is>
          <t>weakness</t>
        </is>
      </c>
      <c r="I57" t="inlineStr">
        <is>
          <t>C.J. Stroud</t>
        </is>
      </c>
      <c r="J57" t="n">
        <v>37.1</v>
      </c>
      <c r="K57" t="n">
        <v>5.3</v>
      </c>
      <c r="L57" t="n">
        <v>35.7</v>
      </c>
      <c r="M57" t="n">
        <v>37</v>
      </c>
      <c r="N57" t="n">
        <v>1</v>
      </c>
      <c r="O57" t="n">
        <v>158</v>
      </c>
      <c r="P57" t="n">
        <v>716</v>
      </c>
      <c r="Q57" t="n">
        <v>8</v>
      </c>
      <c r="R57" t="n">
        <v>24</v>
      </c>
      <c r="S57" t="n">
        <v>192</v>
      </c>
      <c r="T57" t="n">
        <v>0</v>
      </c>
      <c r="U57" t="n">
        <v>0</v>
      </c>
      <c r="V57" t="n">
        <v>0</v>
      </c>
      <c r="W57" t="inlineStr"/>
      <c r="X57" t="inlineStr"/>
      <c r="Y57" t="inlineStr"/>
      <c r="Z57" t="inlineStr"/>
      <c r="AA57" t="inlineStr"/>
      <c r="AB57" t="inlineStr"/>
      <c r="AC57" t="inlineStr"/>
      <c r="AD57" t="n">
        <v>0</v>
      </c>
      <c r="AE57" t="n">
        <v>1.4</v>
      </c>
      <c r="AF57" t="n">
        <v>-1.4</v>
      </c>
      <c r="AG57" t="n">
        <v>5.06</v>
      </c>
      <c r="AH57" t="n">
        <v>3.99</v>
      </c>
      <c r="AI57" t="n">
        <v>1.07</v>
      </c>
      <c r="AJ57" t="n">
        <v>28</v>
      </c>
      <c r="AK57" t="inlineStr">
        <is>
          <t>Woody Marks</t>
        </is>
      </c>
      <c r="AL57" t="inlineStr">
        <is>
          <t>1 games (2025 season)</t>
        </is>
      </c>
      <c r="AM57" t="inlineStr">
        <is>
          <t>RB2/FLEX; useful weekly but role and receiving volume matter.</t>
        </is>
      </c>
      <c r="AN57" t="inlineStr">
        <is>
          <t>He produced 9.8 PPR/FP points per game across 17 games. The workload/efficiency profile gives the model a rate-based reason to keep him here. Market price is favorable around ADP 94 versus model overall rank 59.</t>
        </is>
      </c>
      <c r="AO57" t="inlineStr">
        <is>
          <t>Touchdown variance, receiving-role changes and backfield competition are the main downside paths.</t>
        </is>
      </c>
    </row>
    <row r="58">
      <c r="A58" t="inlineStr">
        <is>
          <t>RB</t>
        </is>
      </c>
      <c r="B58" t="inlineStr">
        <is>
          <t>TreVeyon Henderson</t>
        </is>
      </c>
      <c r="C58" t="inlineStr">
        <is>
          <t>NE</t>
        </is>
      </c>
      <c r="D58" t="n">
        <v>11</v>
      </c>
      <c r="E58" s="4" t="n">
        <v>77.8</v>
      </c>
      <c r="F58" s="4" t="n">
        <v>55.4</v>
      </c>
      <c r="G58" t="inlineStr">
        <is>
          <t>committee</t>
        </is>
      </c>
      <c r="H58" t="inlineStr">
        <is>
          <t>elite</t>
        </is>
      </c>
      <c r="I58" t="inlineStr">
        <is>
          <t>Drake Maye</t>
        </is>
      </c>
      <c r="J58" t="n">
        <v>0</v>
      </c>
      <c r="K58" t="n">
        <v>8.699999999999999</v>
      </c>
      <c r="L58" t="n">
        <v>36.4</v>
      </c>
      <c r="M58" t="n">
        <v>40</v>
      </c>
      <c r="N58" t="n">
        <v>1</v>
      </c>
      <c r="O58" t="n">
        <v>180</v>
      </c>
      <c r="P58" t="n">
        <v>911</v>
      </c>
      <c r="Q58" t="n">
        <v>9</v>
      </c>
      <c r="R58" t="n">
        <v>35</v>
      </c>
      <c r="S58" t="n">
        <v>221</v>
      </c>
      <c r="T58" t="n">
        <v>1</v>
      </c>
      <c r="U58" t="n">
        <v>0</v>
      </c>
      <c r="V58" t="n">
        <v>0</v>
      </c>
      <c r="W58" t="inlineStr"/>
      <c r="X58" t="inlineStr"/>
      <c r="Y58" t="inlineStr"/>
      <c r="Z58" t="inlineStr"/>
      <c r="AA58" t="inlineStr"/>
      <c r="AB58" t="inlineStr"/>
      <c r="AC58" t="inlineStr"/>
      <c r="AD58" t="n">
        <v>2.38</v>
      </c>
      <c r="AE58" t="n">
        <v>2.38</v>
      </c>
      <c r="AF58" t="n">
        <v>0</v>
      </c>
      <c r="AG58" t="n">
        <v>5</v>
      </c>
      <c r="AH58" t="n">
        <v>5</v>
      </c>
      <c r="AI58" t="n">
        <v>0</v>
      </c>
      <c r="AJ58" t="n">
        <v>22</v>
      </c>
      <c r="AK58" t="inlineStr">
        <is>
          <t>Rhamondre Stevenson</t>
        </is>
      </c>
      <c r="AL58" t="inlineStr">
        <is>
          <t>1 games (2025 season)</t>
        </is>
      </c>
      <c r="AM58" t="inlineStr">
        <is>
          <t>RB2/FLEX; useful weekly but role and receiving volume matter.</t>
        </is>
      </c>
      <c r="AN58" t="inlineStr">
        <is>
          <t>He produced 12.2 PPR/FP points per game across 17 games. The workload/efficiency profile gives the model a rate-based reason to keep him here. Market price is favorable around ADP 99 versus model overall rank 60.</t>
        </is>
      </c>
      <c r="AO58" t="inlineStr">
        <is>
          <t>Touchdown variance, receiving-role changes and backfield competition are the main downside paths.</t>
        </is>
      </c>
    </row>
    <row r="59">
      <c r="A59" t="inlineStr">
        <is>
          <t>RB</t>
        </is>
      </c>
      <c r="B59" t="inlineStr">
        <is>
          <t>Jadarian Price</t>
        </is>
      </c>
      <c r="C59" t="inlineStr">
        <is>
          <t>SEA</t>
        </is>
      </c>
      <c r="D59" t="n">
        <v>11</v>
      </c>
      <c r="E59" s="4" t="n">
        <v>76.7</v>
      </c>
      <c r="F59" s="4" t="n">
        <v>63</v>
      </c>
      <c r="G59" t="inlineStr">
        <is>
          <t>unclear</t>
        </is>
      </c>
      <c r="H59" t="inlineStr">
        <is>
          <t>elite</t>
        </is>
      </c>
      <c r="I59" t="inlineStr">
        <is>
          <t>Sam Darnold</t>
        </is>
      </c>
      <c r="J59" t="n">
        <v>1.8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/>
      <c r="AJ59" t="n">
        <v>27</v>
      </c>
      <c r="AK59" t="inlineStr">
        <is>
          <t>Zach Charbonnet, Emanuel Wilson</t>
        </is>
      </c>
      <c r="AL59" t="inlineStr">
        <is>
          <t>1 games (2025 season)</t>
        </is>
      </c>
      <c r="AM59" t="inlineStr">
        <is>
          <t>RB2/FLEX; useful weekly but role and receiving volume matter.</t>
        </is>
      </c>
      <c r="AN59" t="inlineStr">
        <is>
          <t>Rookie score 85.6, backed by No. 32 draft capital and a 6.38 NFL prospect grade. The 2026 role projection is strong enough to replace missing NFL history. Market price is favorable around ADP 103 versus model overall rank 66.</t>
        </is>
      </c>
      <c r="AO59" t="inlineStr">
        <is>
          <t>NFL translation and exact weekly role are the main variables; preseason first-team usage can move this rating quickly.</t>
        </is>
      </c>
    </row>
    <row r="60">
      <c r="A60" t="inlineStr">
        <is>
          <t>RB</t>
        </is>
      </c>
      <c r="B60" t="inlineStr">
        <is>
          <t>Jaylen Warren</t>
        </is>
      </c>
      <c r="C60" t="inlineStr">
        <is>
          <t>PIT</t>
        </is>
      </c>
      <c r="D60" t="n">
        <v>9</v>
      </c>
      <c r="E60" s="4" t="n">
        <v>76.09999999999999</v>
      </c>
      <c r="F60" s="4" t="n">
        <v>68.8</v>
      </c>
      <c r="G60" t="inlineStr">
        <is>
          <t>feature</t>
        </is>
      </c>
      <c r="H60" t="inlineStr">
        <is>
          <t>average</t>
        </is>
      </c>
      <c r="I60" t="inlineStr">
        <is>
          <t>Aaron Rodgers</t>
        </is>
      </c>
      <c r="J60" t="n">
        <v>50.8</v>
      </c>
      <c r="K60" t="n">
        <v>8.199999999999999</v>
      </c>
      <c r="L60" t="n">
        <v>51.8</v>
      </c>
      <c r="M60" t="n">
        <v>45</v>
      </c>
      <c r="N60" t="n">
        <v>1</v>
      </c>
      <c r="O60" t="n">
        <v>211</v>
      </c>
      <c r="P60" t="n">
        <v>958</v>
      </c>
      <c r="Q60" t="n">
        <v>6</v>
      </c>
      <c r="R60" t="n">
        <v>40</v>
      </c>
      <c r="S60" t="n">
        <v>333</v>
      </c>
      <c r="T60" t="n">
        <v>2</v>
      </c>
      <c r="U60" t="n">
        <v>0</v>
      </c>
      <c r="V60" t="n">
        <v>0</v>
      </c>
      <c r="W60" t="inlineStr"/>
      <c r="X60" t="inlineStr"/>
      <c r="Y60" t="inlineStr"/>
      <c r="Z60" t="inlineStr"/>
      <c r="AA60" t="inlineStr"/>
      <c r="AB60" t="inlineStr"/>
      <c r="AC60" t="inlineStr"/>
      <c r="AD60" t="n">
        <v>4.44</v>
      </c>
      <c r="AE60" t="n">
        <v>1.01</v>
      </c>
      <c r="AF60" t="n">
        <v>3.44</v>
      </c>
      <c r="AG60" t="n">
        <v>2.84</v>
      </c>
      <c r="AH60" t="n">
        <v>2.15</v>
      </c>
      <c r="AI60" t="n">
        <v>0.6899999999999999</v>
      </c>
      <c r="AJ60" t="n">
        <v>26</v>
      </c>
      <c r="AK60" t="inlineStr">
        <is>
          <t>Rico Dowdle</t>
        </is>
      </c>
      <c r="AL60" t="inlineStr">
        <is>
          <t>1 games (2025 season)</t>
        </is>
      </c>
      <c r="AM60" t="inlineStr">
        <is>
          <t>RB2/FLEX; useful weekly but role and receiving volume matter.</t>
        </is>
      </c>
      <c r="AN60" t="inlineStr">
        <is>
          <t>He produced 13.6 PPR/FP points per game across 16 games. The workload/efficiency profile gives the model a rate-based reason to keep him here. Market price is favorable around ADP 107 versus model overall rank 69.</t>
        </is>
      </c>
      <c r="AO60" t="inlineStr">
        <is>
          <t>Touchdown variance, receiving-role changes and backfield competition are the main downside paths.</t>
        </is>
      </c>
    </row>
    <row r="61">
      <c r="A61" t="inlineStr">
        <is>
          <t>RB</t>
        </is>
      </c>
      <c r="B61" t="inlineStr">
        <is>
          <t>Rico Dowdle</t>
        </is>
      </c>
      <c r="C61" t="inlineStr">
        <is>
          <t>PIT</t>
        </is>
      </c>
      <c r="D61" t="n">
        <v>9</v>
      </c>
      <c r="E61" s="4" t="n">
        <v>75.8</v>
      </c>
      <c r="F61" s="4" t="n">
        <v>64.8</v>
      </c>
      <c r="G61" t="inlineStr">
        <is>
          <t>feature</t>
        </is>
      </c>
      <c r="H61" t="inlineStr">
        <is>
          <t>average</t>
        </is>
      </c>
      <c r="I61" t="inlineStr">
        <is>
          <t>Aaron Rodgers</t>
        </is>
      </c>
      <c r="J61" t="n">
        <v>56.1</v>
      </c>
      <c r="K61" t="n">
        <v>10.4</v>
      </c>
      <c r="L61" t="n">
        <v>51.3</v>
      </c>
      <c r="M61" t="n">
        <v>40</v>
      </c>
      <c r="N61" t="n">
        <v>1</v>
      </c>
      <c r="O61" t="n">
        <v>236</v>
      </c>
      <c r="P61" t="n">
        <v>1076</v>
      </c>
      <c r="Q61" t="n">
        <v>6</v>
      </c>
      <c r="R61" t="n">
        <v>39</v>
      </c>
      <c r="S61" t="n">
        <v>297</v>
      </c>
      <c r="T61" t="n">
        <v>1</v>
      </c>
      <c r="U61" t="n">
        <v>0</v>
      </c>
      <c r="V61" t="n">
        <v>0</v>
      </c>
      <c r="W61" t="inlineStr"/>
      <c r="X61" t="inlineStr"/>
      <c r="Y61" t="inlineStr"/>
      <c r="Z61" t="inlineStr"/>
      <c r="AA61" t="inlineStr"/>
      <c r="AB61" t="inlineStr"/>
      <c r="AC61" t="inlineStr"/>
      <c r="AD61" t="n">
        <v>2</v>
      </c>
      <c r="AE61" t="n">
        <v>4.96</v>
      </c>
      <c r="AF61" t="n">
        <v>-2.96</v>
      </c>
      <c r="AG61" t="n">
        <v>2.54</v>
      </c>
      <c r="AH61" t="n">
        <v>1.76</v>
      </c>
      <c r="AI61" t="n">
        <v>0.78</v>
      </c>
      <c r="AJ61" t="n">
        <v>27</v>
      </c>
      <c r="AK61" t="inlineStr">
        <is>
          <t>Jaylen Warren</t>
        </is>
      </c>
      <c r="AL61" t="inlineStr">
        <is>
          <t>1 games (2025 season)</t>
        </is>
      </c>
      <c r="AM61" t="inlineStr">
        <is>
          <t>RB2/FLEX; useful weekly but role and receiving volume matter.</t>
        </is>
      </c>
      <c r="AN61" t="inlineStr">
        <is>
          <t>He produced 12.7 PPR/FP points per game across 17 games. The workload/efficiency profile gives the model a rate-based reason to keep him here. Market price is favorable around ADP 111 versus model overall rank 74.</t>
        </is>
      </c>
      <c r="AO61" t="inlineStr">
        <is>
          <t>Touchdown variance, receiving-role changes and backfield competition are the main downside paths.</t>
        </is>
      </c>
    </row>
    <row r="62">
      <c r="A62" t="inlineStr">
        <is>
          <t>RB</t>
        </is>
      </c>
      <c r="B62" t="inlineStr">
        <is>
          <t>Tony Pollard</t>
        </is>
      </c>
      <c r="C62" t="inlineStr">
        <is>
          <t>TEN</t>
        </is>
      </c>
      <c r="D62" t="n">
        <v>9</v>
      </c>
      <c r="E62" s="4" t="n">
        <v>75.09999999999999</v>
      </c>
      <c r="F62" s="4" t="n">
        <v>65.5</v>
      </c>
      <c r="G62" t="inlineStr">
        <is>
          <t>feature</t>
        </is>
      </c>
      <c r="H62" t="inlineStr">
        <is>
          <t>weakness</t>
        </is>
      </c>
      <c r="I62" t="inlineStr">
        <is>
          <t>Cam Ward</t>
        </is>
      </c>
      <c r="J62" t="n">
        <v>62.5</v>
      </c>
      <c r="K62" t="n">
        <v>8.1</v>
      </c>
      <c r="L62" t="n">
        <v>64</v>
      </c>
      <c r="M62" t="n">
        <v>20</v>
      </c>
      <c r="N62" t="n">
        <v>1</v>
      </c>
      <c r="O62" t="n">
        <v>242</v>
      </c>
      <c r="P62" t="n">
        <v>1082</v>
      </c>
      <c r="Q62" t="n">
        <v>5</v>
      </c>
      <c r="R62" t="n">
        <v>33</v>
      </c>
      <c r="S62" t="n">
        <v>206</v>
      </c>
      <c r="T62" t="n">
        <v>0</v>
      </c>
      <c r="U62" t="n">
        <v>0</v>
      </c>
      <c r="V62" t="n">
        <v>0</v>
      </c>
      <c r="W62" t="inlineStr"/>
      <c r="X62" t="inlineStr"/>
      <c r="Y62" t="inlineStr"/>
      <c r="Z62" t="inlineStr"/>
      <c r="AA62" t="inlineStr"/>
      <c r="AB62" t="inlineStr"/>
      <c r="AC62" t="inlineStr"/>
      <c r="AD62" t="n">
        <v>0</v>
      </c>
      <c r="AE62" t="n">
        <v>1.53</v>
      </c>
      <c r="AF62" t="n">
        <v>-1.53</v>
      </c>
      <c r="AG62" t="n">
        <v>2.07</v>
      </c>
      <c r="AH62" t="n">
        <v>2.61</v>
      </c>
      <c r="AI62" t="n">
        <v>-0.54</v>
      </c>
      <c r="AJ62" t="n">
        <v>28</v>
      </c>
      <c r="AK62" t="inlineStr">
        <is>
          <t>Tyjae Spears</t>
        </is>
      </c>
      <c r="AL62" t="inlineStr">
        <is>
          <t>1 games (2025 season)</t>
        </is>
      </c>
      <c r="AM62" t="inlineStr">
        <is>
          <t>RB2/FLEX; useful weekly but role and receiving volume matter.</t>
        </is>
      </c>
      <c r="AN62" t="inlineStr">
        <is>
          <t>He produced 10.9 PPR/FP points per game across 17 games. The workload/efficiency profile gives the model a rate-based reason to keep him here. Market price is favorable around ADP 115 versus model overall rank 81.</t>
        </is>
      </c>
      <c r="AO62" t="inlineStr">
        <is>
          <t>Touchdown variance, receiving-role changes and backfield competition are the main downside paths.</t>
        </is>
      </c>
    </row>
    <row r="63">
      <c r="A63" t="inlineStr">
        <is>
          <t>RB</t>
        </is>
      </c>
      <c r="B63" t="inlineStr">
        <is>
          <t>Rhamondre Stevenson</t>
        </is>
      </c>
      <c r="C63" t="inlineStr">
        <is>
          <t>NE</t>
        </is>
      </c>
      <c r="D63" t="n">
        <v>11</v>
      </c>
      <c r="E63" s="4" t="n">
        <v>74.59999999999999</v>
      </c>
      <c r="F63" s="4" t="n">
        <v>72.3</v>
      </c>
      <c r="G63" t="inlineStr">
        <is>
          <t>committee</t>
        </is>
      </c>
      <c r="H63" t="inlineStr">
        <is>
          <t>elite</t>
        </is>
      </c>
      <c r="I63" t="inlineStr">
        <is>
          <t>Drake Maye</t>
        </is>
      </c>
      <c r="J63" t="n">
        <v>59.4</v>
      </c>
      <c r="K63" t="n">
        <v>7.7</v>
      </c>
      <c r="L63" t="n">
        <v>26.3</v>
      </c>
      <c r="M63" t="n">
        <v>33</v>
      </c>
      <c r="N63" t="n">
        <v>1</v>
      </c>
      <c r="O63" t="n">
        <v>130</v>
      </c>
      <c r="P63" t="n">
        <v>603</v>
      </c>
      <c r="Q63" t="n">
        <v>7</v>
      </c>
      <c r="R63" t="n">
        <v>32</v>
      </c>
      <c r="S63" t="n">
        <v>345</v>
      </c>
      <c r="T63" t="n">
        <v>2</v>
      </c>
      <c r="U63" t="n">
        <v>0</v>
      </c>
      <c r="V63" t="n">
        <v>0</v>
      </c>
      <c r="W63" t="inlineStr"/>
      <c r="X63" t="inlineStr"/>
      <c r="Y63" t="inlineStr"/>
      <c r="Z63" t="inlineStr"/>
      <c r="AA63" t="inlineStr"/>
      <c r="AB63" t="inlineStr"/>
      <c r="AC63" t="inlineStr"/>
      <c r="AD63" t="n">
        <v>5.41</v>
      </c>
      <c r="AE63" t="n">
        <v>1.7</v>
      </c>
      <c r="AF63" t="n">
        <v>3.7</v>
      </c>
      <c r="AG63" t="n">
        <v>5.38</v>
      </c>
      <c r="AH63" t="n">
        <v>3.35</v>
      </c>
      <c r="AI63" t="n">
        <v>2.04</v>
      </c>
      <c r="AJ63" t="n">
        <v>27</v>
      </c>
      <c r="AK63" t="inlineStr">
        <is>
          <t>TreVeyon Henderson</t>
        </is>
      </c>
      <c r="AL63" t="inlineStr">
        <is>
          <t>1 games (2025 season)</t>
        </is>
      </c>
      <c r="AM63" t="inlineStr">
        <is>
          <t>RB2/FLEX; useful weekly but role and receiving volume matter.</t>
        </is>
      </c>
      <c r="AN63" t="inlineStr">
        <is>
          <t>He produced 12.8 PPR/FP points per game across 14 games. The workload/efficiency profile gives the model a rate-based reason to keep him here. Market price is favorable around ADP 120 versus model overall rank 84.</t>
        </is>
      </c>
      <c r="AO63" t="inlineStr">
        <is>
          <t>Touchdown variance, receiving-role changes and backfield competition are the main downside paths.</t>
        </is>
      </c>
    </row>
    <row r="64">
      <c r="A64" t="inlineStr">
        <is>
          <t>RB</t>
        </is>
      </c>
      <c r="B64" t="inlineStr">
        <is>
          <t>Kenneth Gainwell</t>
        </is>
      </c>
      <c r="C64" t="inlineStr">
        <is>
          <t>TB</t>
        </is>
      </c>
      <c r="D64" t="n">
        <v>10</v>
      </c>
      <c r="E64" s="4" t="n">
        <v>74.5</v>
      </c>
      <c r="F64" s="4" t="n">
        <v>123.8</v>
      </c>
      <c r="G64" t="inlineStr">
        <is>
          <t>unclear</t>
        </is>
      </c>
      <c r="H64" t="inlineStr">
        <is>
          <t>weakness</t>
        </is>
      </c>
      <c r="I64" t="inlineStr">
        <is>
          <t>Baker Mayfield</t>
        </is>
      </c>
      <c r="J64" t="n">
        <v>49.6</v>
      </c>
      <c r="K64" t="n">
        <v>15.5</v>
      </c>
      <c r="L64" t="n">
        <v>28</v>
      </c>
      <c r="M64" t="n">
        <v>40</v>
      </c>
      <c r="N64" t="n">
        <v>1</v>
      </c>
      <c r="O64" t="n">
        <v>114</v>
      </c>
      <c r="P64" t="n">
        <v>537</v>
      </c>
      <c r="Q64" t="n">
        <v>5</v>
      </c>
      <c r="R64" t="n">
        <v>73</v>
      </c>
      <c r="S64" t="n">
        <v>486</v>
      </c>
      <c r="T64" t="n">
        <v>3</v>
      </c>
      <c r="U64" t="n">
        <v>0</v>
      </c>
      <c r="V64" t="n">
        <v>0</v>
      </c>
      <c r="W64" t="inlineStr"/>
      <c r="X64" t="inlineStr"/>
      <c r="Y64" t="inlineStr"/>
      <c r="Z64" t="inlineStr"/>
      <c r="AA64" t="inlineStr"/>
      <c r="AB64" t="inlineStr"/>
      <c r="AC64" t="inlineStr"/>
      <c r="AD64" t="n">
        <v>3.53</v>
      </c>
      <c r="AE64" t="n">
        <v>1.79</v>
      </c>
      <c r="AF64" t="n">
        <v>1.74</v>
      </c>
      <c r="AG64" t="n">
        <v>4.39</v>
      </c>
      <c r="AH64" t="n">
        <v>4.31</v>
      </c>
      <c r="AI64" t="n">
        <v>0.07000000000000001</v>
      </c>
      <c r="AJ64" t="n">
        <v>26</v>
      </c>
      <c r="AK64" t="inlineStr">
        <is>
          <t>Bucky Irving</t>
        </is>
      </c>
      <c r="AL64" t="inlineStr">
        <is>
          <t>1 games (2025 season)</t>
        </is>
      </c>
      <c r="AM64" t="inlineStr">
        <is>
          <t>RB2/FLEX; useful weekly but role and receiving volume matter.</t>
        </is>
      </c>
      <c r="AN64" t="inlineStr">
        <is>
          <t>He produced 13.0 PPR/FP points per game across 17 games. The workload/efficiency profile gives the model a rate-based reason to keep him here. Market price is favorable around ADP 124 versus model overall rank 86.</t>
        </is>
      </c>
      <c r="AO64" t="inlineStr">
        <is>
          <t>Touchdown variance, receiving-role changes and backfield competition are the main downside paths.</t>
        </is>
      </c>
    </row>
    <row r="65">
      <c r="A65" t="inlineStr">
        <is>
          <t>RB</t>
        </is>
      </c>
      <c r="B65" t="inlineStr">
        <is>
          <t>Bhayshul Tuten</t>
        </is>
      </c>
      <c r="C65" t="inlineStr">
        <is>
          <t>JAX</t>
        </is>
      </c>
      <c r="D65" t="n">
        <v>7</v>
      </c>
      <c r="E65" s="4" t="n">
        <v>74.5</v>
      </c>
      <c r="F65" s="4" t="n">
        <v>52.3</v>
      </c>
      <c r="G65" t="inlineStr">
        <is>
          <t>handcuff</t>
        </is>
      </c>
      <c r="H65" t="inlineStr">
        <is>
          <t>weakness</t>
        </is>
      </c>
      <c r="I65" t="inlineStr">
        <is>
          <t>Trevor Lawrence</t>
        </is>
      </c>
      <c r="J65" t="n">
        <v>21.1</v>
      </c>
      <c r="K65" t="n">
        <v>2.3</v>
      </c>
      <c r="L65" t="n">
        <v>17.1</v>
      </c>
      <c r="M65" t="n">
        <v>28</v>
      </c>
      <c r="N65" t="n">
        <v>1</v>
      </c>
      <c r="O65" t="n">
        <v>83</v>
      </c>
      <c r="P65" t="n">
        <v>307</v>
      </c>
      <c r="Q65" t="n">
        <v>5</v>
      </c>
      <c r="R65" t="n">
        <v>10</v>
      </c>
      <c r="S65" t="n">
        <v>79</v>
      </c>
      <c r="T65" t="n">
        <v>2</v>
      </c>
      <c r="U65" t="n">
        <v>0</v>
      </c>
      <c r="V65" t="n">
        <v>0</v>
      </c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n">
        <v>6.02</v>
      </c>
      <c r="AH65" t="n">
        <v>6.02</v>
      </c>
      <c r="AI65" t="n">
        <v>0</v>
      </c>
      <c r="AJ65" t="n">
        <v>23</v>
      </c>
      <c r="AK65" t="inlineStr">
        <is>
          <t>Chris Rodriguez Jr.</t>
        </is>
      </c>
      <c r="AL65" t="inlineStr">
        <is>
          <t>1 games (2025 season)</t>
        </is>
      </c>
      <c r="AM65" t="inlineStr">
        <is>
          <t>FLEX/bench depth with upside if workload grows.</t>
        </is>
      </c>
      <c r="AN65" t="inlineStr">
        <is>
          <t>He produced 5.9 PPR/FP points per game across 15 games. The workload/efficiency profile gives the model a rate-based reason to keep him here. Market price is favorable around ADP 128 versus model overall rank 89.</t>
        </is>
      </c>
      <c r="AO65" t="inlineStr">
        <is>
          <t>Touchdown variance, receiving-role changes and backfield competition are the main downside paths.</t>
        </is>
      </c>
    </row>
    <row r="66">
      <c r="A66" t="inlineStr">
        <is>
          <t>RB</t>
        </is>
      </c>
      <c r="B66" t="inlineStr">
        <is>
          <t>RJ Harvey</t>
        </is>
      </c>
      <c r="C66" t="inlineStr">
        <is>
          <t>DEN</t>
        </is>
      </c>
      <c r="D66" t="n">
        <v>10</v>
      </c>
      <c r="E66" s="4" t="n">
        <v>73.59999999999999</v>
      </c>
      <c r="F66" s="4" t="n">
        <v>82.59999999999999</v>
      </c>
      <c r="G66" t="inlineStr">
        <is>
          <t>committee</t>
        </is>
      </c>
      <c r="H66" t="inlineStr">
        <is>
          <t>weakness</t>
        </is>
      </c>
      <c r="I66" t="inlineStr">
        <is>
          <t>Bo Nix</t>
        </is>
      </c>
      <c r="J66" t="n">
        <v>0</v>
      </c>
      <c r="K66" t="n">
        <v>9.800000000000001</v>
      </c>
      <c r="L66" t="n">
        <v>32</v>
      </c>
      <c r="M66" t="n">
        <v>40</v>
      </c>
      <c r="N66" t="n">
        <v>1</v>
      </c>
      <c r="O66" t="n">
        <v>146</v>
      </c>
      <c r="P66" t="n">
        <v>540</v>
      </c>
      <c r="Q66" t="n">
        <v>7</v>
      </c>
      <c r="R66" t="n">
        <v>47</v>
      </c>
      <c r="S66" t="n">
        <v>356</v>
      </c>
      <c r="T66" t="n">
        <v>5</v>
      </c>
      <c r="U66" t="n">
        <v>0</v>
      </c>
      <c r="V66" t="n">
        <v>0</v>
      </c>
      <c r="W66" t="inlineStr"/>
      <c r="X66" t="inlineStr"/>
      <c r="Y66" t="inlineStr"/>
      <c r="Z66" t="inlineStr"/>
      <c r="AA66" t="inlineStr"/>
      <c r="AB66" t="inlineStr"/>
      <c r="AC66" t="inlineStr"/>
      <c r="AD66" t="n">
        <v>8.619999999999999</v>
      </c>
      <c r="AE66" t="n">
        <v>8.619999999999999</v>
      </c>
      <c r="AF66" t="n">
        <v>0</v>
      </c>
      <c r="AG66" t="n">
        <v>4.79</v>
      </c>
      <c r="AH66" t="n">
        <v>4.79</v>
      </c>
      <c r="AI66" t="n">
        <v>0</v>
      </c>
      <c r="AJ66" t="n">
        <v>24</v>
      </c>
      <c r="AK66" t="inlineStr">
        <is>
          <t>J.K. Dobbins</t>
        </is>
      </c>
      <c r="AL66" t="inlineStr">
        <is>
          <t>1 games (2025 season)</t>
        </is>
      </c>
      <c r="AM66" t="inlineStr">
        <is>
          <t>FLEX/bench depth with upside if workload grows.</t>
        </is>
      </c>
      <c r="AN66" t="inlineStr">
        <is>
          <t>He produced 12.2 PPR/FP points per game across 17 games. The workload/efficiency profile gives the model a rate-based reason to keep him here. Market price is favorable around ADP 132 versus model overall rank 96.</t>
        </is>
      </c>
      <c r="AO66" t="inlineStr">
        <is>
          <t>Touchdown variance, receiving-role changes and backfield competition are the main downside paths.</t>
        </is>
      </c>
    </row>
    <row r="67">
      <c r="A67" t="inlineStr">
        <is>
          <t>RB</t>
        </is>
      </c>
      <c r="B67" t="inlineStr">
        <is>
          <t>Kyle Monangai</t>
        </is>
      </c>
      <c r="C67" t="inlineStr">
        <is>
          <t>CHI</t>
        </is>
      </c>
      <c r="D67" t="n">
        <v>10</v>
      </c>
      <c r="E67" s="4" t="n">
        <v>72.59999999999999</v>
      </c>
      <c r="F67" s="4" t="n">
        <v>100.3</v>
      </c>
      <c r="G67" t="inlineStr">
        <is>
          <t>committee</t>
        </is>
      </c>
      <c r="H67" t="inlineStr">
        <is>
          <t>weakness</t>
        </is>
      </c>
      <c r="I67" t="inlineStr">
        <is>
          <t>Caleb Williams</t>
        </is>
      </c>
      <c r="J67" t="n">
        <v>40.9</v>
      </c>
      <c r="K67" t="n">
        <v>5.6</v>
      </c>
      <c r="L67" t="n">
        <v>33.5</v>
      </c>
      <c r="M67" t="n">
        <v>41</v>
      </c>
      <c r="N67" t="n">
        <v>1</v>
      </c>
      <c r="O67" t="n">
        <v>169</v>
      </c>
      <c r="P67" t="n">
        <v>783</v>
      </c>
      <c r="Q67" t="n">
        <v>5</v>
      </c>
      <c r="R67" t="n">
        <v>18</v>
      </c>
      <c r="S67" t="n">
        <v>164</v>
      </c>
      <c r="T67" t="n">
        <v>0</v>
      </c>
      <c r="U67" t="n">
        <v>0</v>
      </c>
      <c r="V67" t="n">
        <v>0</v>
      </c>
      <c r="W67" t="inlineStr"/>
      <c r="X67" t="inlineStr"/>
      <c r="Y67" t="inlineStr"/>
      <c r="Z67" t="inlineStr"/>
      <c r="AA67" t="inlineStr"/>
      <c r="AB67" t="inlineStr"/>
      <c r="AC67" t="inlineStr"/>
      <c r="AD67" t="n">
        <v>0</v>
      </c>
      <c r="AE67" t="n">
        <v>0</v>
      </c>
      <c r="AF67" t="n">
        <v>0</v>
      </c>
      <c r="AG67" t="n">
        <v>2.96</v>
      </c>
      <c r="AH67" t="n">
        <v>2.96</v>
      </c>
      <c r="AI67" t="n">
        <v>0</v>
      </c>
      <c r="AJ67" t="n">
        <v>23</v>
      </c>
      <c r="AK67" t="inlineStr">
        <is>
          <t>D'Andre Swift</t>
        </is>
      </c>
      <c r="AL67" t="inlineStr">
        <is>
          <t>1 games (2025 season)</t>
        </is>
      </c>
      <c r="AM67" t="inlineStr">
        <is>
          <t>FLEX/bench depth with upside if workload grows.</t>
        </is>
      </c>
      <c r="AN67" t="inlineStr">
        <is>
          <t>He produced 8.7 PPR/FP points per game across 17 games. The workload/efficiency profile gives the model a rate-based reason to keep him here. Market price is favorable around ADP 136 versus model overall rank 102.</t>
        </is>
      </c>
      <c r="AO67" t="inlineStr">
        <is>
          <t>Touchdown variance, receiving-role changes and backfield competition are the main downside paths.</t>
        </is>
      </c>
    </row>
    <row r="68">
      <c r="A68" t="inlineStr">
        <is>
          <t>RB</t>
        </is>
      </c>
      <c r="B68" t="inlineStr">
        <is>
          <t>Chuba Hubbard</t>
        </is>
      </c>
      <c r="C68" t="inlineStr">
        <is>
          <t>CAR</t>
        </is>
      </c>
      <c r="D68" t="n">
        <v>5</v>
      </c>
      <c r="E68" s="4" t="n">
        <v>71.90000000000001</v>
      </c>
      <c r="F68" s="4" t="n">
        <v>75.90000000000001</v>
      </c>
      <c r="G68" t="inlineStr">
        <is>
          <t>committee</t>
        </is>
      </c>
      <c r="H68" t="inlineStr">
        <is>
          <t>elite</t>
        </is>
      </c>
      <c r="I68" t="inlineStr">
        <is>
          <t>Bryce Young</t>
        </is>
      </c>
      <c r="J68" t="n">
        <v>100</v>
      </c>
      <c r="K68" t="n">
        <v>8.1</v>
      </c>
      <c r="L68" t="n">
        <v>29.1</v>
      </c>
      <c r="M68" t="n">
        <v>25</v>
      </c>
      <c r="N68" t="n">
        <v>1</v>
      </c>
      <c r="O68" t="n">
        <v>134</v>
      </c>
      <c r="P68" t="n">
        <v>511</v>
      </c>
      <c r="Q68" t="n">
        <v>1</v>
      </c>
      <c r="R68" t="n">
        <v>30</v>
      </c>
      <c r="S68" t="n">
        <v>223</v>
      </c>
      <c r="T68" t="n">
        <v>3</v>
      </c>
      <c r="U68" t="n">
        <v>0</v>
      </c>
      <c r="V68" t="n">
        <v>0</v>
      </c>
      <c r="W68" t="inlineStr"/>
      <c r="X68" t="inlineStr"/>
      <c r="Y68" t="inlineStr"/>
      <c r="Z68" t="inlineStr"/>
      <c r="AA68" t="inlineStr"/>
      <c r="AB68" t="inlineStr"/>
      <c r="AC68" t="inlineStr"/>
      <c r="AD68" t="n">
        <v>7.69</v>
      </c>
      <c r="AE68" t="n">
        <v>2.62</v>
      </c>
      <c r="AF68" t="n">
        <v>5.07</v>
      </c>
      <c r="AG68" t="n">
        <v>0.75</v>
      </c>
      <c r="AH68" t="n">
        <v>2.59</v>
      </c>
      <c r="AI68" t="n">
        <v>-1.84</v>
      </c>
      <c r="AJ68" t="n">
        <v>26</v>
      </c>
      <c r="AK68" t="inlineStr">
        <is>
          <t>Jonathon Brooks</t>
        </is>
      </c>
      <c r="AL68" t="inlineStr">
        <is>
          <t>1 games (2025 season)</t>
        </is>
      </c>
      <c r="AM68" t="inlineStr">
        <is>
          <t>FLEX/bench depth with upside if workload grows.</t>
        </is>
      </c>
      <c r="AN68" t="inlineStr">
        <is>
          <t>He produced 8.4 PPR/FP points per game across 15 games. The workload/efficiency profile gives the model a rate-based reason to keep him here. Market price is favorable around ADP 141 versus model overall rank 107.</t>
        </is>
      </c>
      <c r="AO68" t="inlineStr">
        <is>
          <t>Touchdown variance, receiving-role changes and backfield competition are the main downside paths.</t>
        </is>
      </c>
    </row>
    <row r="69">
      <c r="A69" t="inlineStr">
        <is>
          <t>RB</t>
        </is>
      </c>
      <c r="B69" t="inlineStr">
        <is>
          <t>Aaron Jones Sr.</t>
        </is>
      </c>
      <c r="C69" t="inlineStr">
        <is>
          <t>MIN</t>
        </is>
      </c>
      <c r="D69" t="n">
        <v>6</v>
      </c>
      <c r="E69" s="4" t="n">
        <v>71.7</v>
      </c>
      <c r="F69" s="4" t="n">
        <v>90.7</v>
      </c>
      <c r="G69" t="inlineStr">
        <is>
          <t>unclear</t>
        </is>
      </c>
      <c r="H69" t="inlineStr">
        <is>
          <t>weakness</t>
        </is>
      </c>
      <c r="I69" t="inlineStr">
        <is>
          <t>Kyler Murray</t>
        </is>
      </c>
      <c r="J69" t="n">
        <v>55.1</v>
      </c>
      <c r="K69" t="n">
        <v>9.1</v>
      </c>
      <c r="L69" t="n">
        <v>32.6</v>
      </c>
      <c r="M69" t="n">
        <v>19</v>
      </c>
      <c r="N69" t="n">
        <v>1</v>
      </c>
      <c r="O69" t="n">
        <v>132</v>
      </c>
      <c r="P69" t="n">
        <v>548</v>
      </c>
      <c r="Q69" t="n">
        <v>2</v>
      </c>
      <c r="R69" t="n">
        <v>28</v>
      </c>
      <c r="S69" t="n">
        <v>199</v>
      </c>
      <c r="T69" t="n">
        <v>1</v>
      </c>
      <c r="U69" t="n">
        <v>0</v>
      </c>
      <c r="V69" t="n">
        <v>0</v>
      </c>
      <c r="W69" t="inlineStr"/>
      <c r="X69" t="inlineStr"/>
      <c r="Y69" t="inlineStr"/>
      <c r="Z69" t="inlineStr"/>
      <c r="AA69" t="inlineStr"/>
      <c r="AB69" t="inlineStr"/>
      <c r="AC69" t="inlineStr"/>
      <c r="AD69" t="n">
        <v>2.44</v>
      </c>
      <c r="AE69" t="n">
        <v>4.5</v>
      </c>
      <c r="AF69" t="n">
        <v>-2.06</v>
      </c>
      <c r="AG69" t="n">
        <v>1.52</v>
      </c>
      <c r="AH69" t="n">
        <v>3.32</v>
      </c>
      <c r="AI69" t="n">
        <v>-1.81</v>
      </c>
      <c r="AJ69" t="n">
        <v>29</v>
      </c>
      <c r="AK69" t="inlineStr">
        <is>
          <t>Jordan Mason</t>
        </is>
      </c>
      <c r="AL69" t="inlineStr">
        <is>
          <t>1 games (2025 season)</t>
        </is>
      </c>
      <c r="AM69" t="inlineStr">
        <is>
          <t>FLEX/bench depth with upside if workload grows.</t>
        </is>
      </c>
      <c r="AN69" t="inlineStr">
        <is>
          <t>He produced 9.9 PPR/FP points per game across 12 games. The workload/efficiency profile gives the model a rate-based reason to keep him here. Market price is favorable around ADP 145 versus model overall rank 111.</t>
        </is>
      </c>
      <c r="AO69" t="inlineStr">
        <is>
          <t>Touchdown variance, receiving-role changes and backfield competition are the main downside paths.</t>
        </is>
      </c>
    </row>
    <row r="70">
      <c r="A70" t="inlineStr">
        <is>
          <t>RB</t>
        </is>
      </c>
      <c r="B70" t="inlineStr">
        <is>
          <t>J.K. Dobbins</t>
        </is>
      </c>
      <c r="C70" t="inlineStr">
        <is>
          <t>DEN</t>
        </is>
      </c>
      <c r="D70" t="n">
        <v>10</v>
      </c>
      <c r="E70" s="4" t="n">
        <v>71.2</v>
      </c>
      <c r="F70" s="4" t="n">
        <v>91.90000000000001</v>
      </c>
      <c r="G70" t="inlineStr">
        <is>
          <t>committee</t>
        </is>
      </c>
      <c r="H70" t="inlineStr">
        <is>
          <t>weakness</t>
        </is>
      </c>
      <c r="I70" t="inlineStr">
        <is>
          <t>Bo Nix</t>
        </is>
      </c>
      <c r="J70" t="n">
        <v>51.1</v>
      </c>
      <c r="K70" t="n">
        <v>2.4</v>
      </c>
      <c r="L70" t="n">
        <v>33.6</v>
      </c>
      <c r="M70" t="n">
        <v>20</v>
      </c>
      <c r="N70" t="n">
        <v>1</v>
      </c>
      <c r="O70" t="n">
        <v>153</v>
      </c>
      <c r="P70" t="n">
        <v>772</v>
      </c>
      <c r="Q70" t="n">
        <v>4</v>
      </c>
      <c r="R70" t="n">
        <v>11</v>
      </c>
      <c r="S70" t="n">
        <v>37</v>
      </c>
      <c r="T70" t="n">
        <v>0</v>
      </c>
      <c r="U70" t="n">
        <v>0</v>
      </c>
      <c r="V70" t="n">
        <v>0</v>
      </c>
      <c r="W70" t="inlineStr"/>
      <c r="X70" t="inlineStr"/>
      <c r="Y70" t="inlineStr"/>
      <c r="Z70" t="inlineStr"/>
      <c r="AA70" t="inlineStr"/>
      <c r="AB70" t="inlineStr"/>
      <c r="AC70" t="inlineStr"/>
      <c r="AD70" t="n">
        <v>0</v>
      </c>
      <c r="AE70" t="n">
        <v>1.37</v>
      </c>
      <c r="AF70" t="n">
        <v>-1.37</v>
      </c>
      <c r="AG70" t="n">
        <v>2.61</v>
      </c>
      <c r="AH70" t="n">
        <v>4.3</v>
      </c>
      <c r="AI70" t="n">
        <v>-1.68</v>
      </c>
      <c r="AJ70" t="n">
        <v>26</v>
      </c>
      <c r="AK70" t="inlineStr">
        <is>
          <t>RJ Harvey</t>
        </is>
      </c>
      <c r="AL70" t="inlineStr">
        <is>
          <t>1 games (2025 season)</t>
        </is>
      </c>
      <c r="AM70" t="inlineStr">
        <is>
          <t>FLEX/bench depth with upside if workload grows.</t>
        </is>
      </c>
      <c r="AN70" t="inlineStr">
        <is>
          <t>He produced 11.6 PPR/FP points per game across 10 games. The workload/efficiency profile gives the model a rate-based reason to keep him here. Market price is favorable around ADP 149 versus model overall rank 113.</t>
        </is>
      </c>
      <c r="AO70" t="inlineStr">
        <is>
          <t>Touchdown variance, receiving-role changes and backfield competition are the main downside paths.</t>
        </is>
      </c>
    </row>
    <row r="71">
      <c r="A71" t="inlineStr">
        <is>
          <t>RB</t>
        </is>
      </c>
      <c r="B71" t="inlineStr">
        <is>
          <t>Blake Corum</t>
        </is>
      </c>
      <c r="C71" t="inlineStr">
        <is>
          <t>LAR</t>
        </is>
      </c>
      <c r="D71" t="n">
        <v>11</v>
      </c>
      <c r="E71" s="4" t="n">
        <v>69.5</v>
      </c>
      <c r="F71" s="4" t="n">
        <v>122.4</v>
      </c>
      <c r="G71" t="inlineStr">
        <is>
          <t>committee</t>
        </is>
      </c>
      <c r="H71" t="inlineStr"/>
      <c r="I71" t="inlineStr">
        <is>
          <t>Matthew Stafford</t>
        </is>
      </c>
      <c r="J71" t="n">
        <v>29.1</v>
      </c>
      <c r="K71" t="n">
        <v>2.4</v>
      </c>
      <c r="L71" t="n">
        <v>31.2</v>
      </c>
      <c r="M71" t="n">
        <v>28</v>
      </c>
      <c r="N71" t="n">
        <v>1</v>
      </c>
      <c r="O71" t="n">
        <v>145</v>
      </c>
      <c r="P71" t="n">
        <v>746</v>
      </c>
      <c r="Q71" t="n">
        <v>6</v>
      </c>
      <c r="R71" t="n">
        <v>8</v>
      </c>
      <c r="S71" t="n">
        <v>36</v>
      </c>
      <c r="T71" t="n">
        <v>0</v>
      </c>
      <c r="U71" t="n">
        <v>0</v>
      </c>
      <c r="V71" t="n">
        <v>0</v>
      </c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n">
        <v>4.14</v>
      </c>
      <c r="AH71" t="n">
        <v>2.96</v>
      </c>
      <c r="AI71" t="n">
        <v>1.18</v>
      </c>
      <c r="AJ71" t="n">
        <v>24</v>
      </c>
      <c r="AK71" t="inlineStr">
        <is>
          <t>Kyren Williams</t>
        </is>
      </c>
      <c r="AL71" t="inlineStr">
        <is>
          <t>1 games (2025 season)</t>
        </is>
      </c>
      <c r="AM71" t="inlineStr">
        <is>
          <t>FLEX/bench depth with upside if workload grows.</t>
        </is>
      </c>
      <c r="AN71" t="inlineStr">
        <is>
          <t>He produced 7.2 PPR/FP points per game across 17 games. The workload/efficiency profile gives the model a rate-based reason to keep him here. Market price is favorable around ADP 153 versus model overall rank 123.</t>
        </is>
      </c>
      <c r="AO71" t="inlineStr">
        <is>
          <t>Touchdown variance, receiving-role changes and backfield competition are the main downside paths.</t>
        </is>
      </c>
    </row>
    <row r="72">
      <c r="A72" t="inlineStr">
        <is>
          <t>RB</t>
        </is>
      </c>
      <c r="B72" t="inlineStr">
        <is>
          <t>Rachaad White</t>
        </is>
      </c>
      <c r="C72" t="inlineStr">
        <is>
          <t>WAS</t>
        </is>
      </c>
      <c r="D72" t="n">
        <v>7</v>
      </c>
      <c r="E72" s="4" t="n">
        <v>69.2</v>
      </c>
      <c r="F72" s="4" t="n">
        <v>99.90000000000001</v>
      </c>
      <c r="G72" t="inlineStr">
        <is>
          <t>committee</t>
        </is>
      </c>
      <c r="H72" t="inlineStr">
        <is>
          <t>elite</t>
        </is>
      </c>
      <c r="I72" t="inlineStr">
        <is>
          <t>Jayden Daniels</t>
        </is>
      </c>
      <c r="J72" t="n">
        <v>23.7</v>
      </c>
      <c r="K72" t="n">
        <v>8.300000000000001</v>
      </c>
      <c r="L72" t="n">
        <v>28</v>
      </c>
      <c r="M72" t="n">
        <v>29</v>
      </c>
      <c r="N72" t="n">
        <v>1</v>
      </c>
      <c r="O72" t="n">
        <v>132</v>
      </c>
      <c r="P72" t="n">
        <v>572</v>
      </c>
      <c r="Q72" t="n">
        <v>4</v>
      </c>
      <c r="R72" t="n">
        <v>40</v>
      </c>
      <c r="S72" t="n">
        <v>218</v>
      </c>
      <c r="T72" t="n">
        <v>0</v>
      </c>
      <c r="U72" t="n">
        <v>0</v>
      </c>
      <c r="V72" t="n">
        <v>0</v>
      </c>
      <c r="W72" t="inlineStr"/>
      <c r="X72" t="inlineStr"/>
      <c r="Y72" t="inlineStr"/>
      <c r="Z72" t="inlineStr"/>
      <c r="AA72" t="inlineStr"/>
      <c r="AB72" t="inlineStr"/>
      <c r="AC72" t="inlineStr"/>
      <c r="AD72" t="n">
        <v>0</v>
      </c>
      <c r="AE72" t="n">
        <v>4.78</v>
      </c>
      <c r="AF72" t="n">
        <v>-4.78</v>
      </c>
      <c r="AG72" t="n">
        <v>3.03</v>
      </c>
      <c r="AH72" t="n">
        <v>2.07</v>
      </c>
      <c r="AI72" t="n">
        <v>0.96</v>
      </c>
      <c r="AJ72" t="n">
        <v>26</v>
      </c>
      <c r="AK72" t="inlineStr">
        <is>
          <t>Jacory Croskey-Merritt</t>
        </is>
      </c>
      <c r="AL72" t="inlineStr">
        <is>
          <t>1 games (2025 season)</t>
        </is>
      </c>
      <c r="AM72" t="inlineStr">
        <is>
          <t>FLEX/bench depth with upside if workload grows.</t>
        </is>
      </c>
      <c r="AN72" t="inlineStr">
        <is>
          <t>He produced 8.5 PPR/FP points per game across 17 games. The workload/efficiency profile gives the model a rate-based reason to keep him here. Market price is favorable around ADP 157 versus model overall rank 127.</t>
        </is>
      </c>
      <c r="AO72" t="inlineStr">
        <is>
          <t>Touchdown variance, receiving-role changes and backfield competition are the main downside paths.</t>
        </is>
      </c>
    </row>
    <row r="73">
      <c r="A73" t="inlineStr">
        <is>
          <t>RB</t>
        </is>
      </c>
      <c r="B73" t="inlineStr">
        <is>
          <t>Jacory Croskey-Merritt</t>
        </is>
      </c>
      <c r="C73" t="inlineStr">
        <is>
          <t>WAS</t>
        </is>
      </c>
      <c r="D73" t="n">
        <v>7</v>
      </c>
      <c r="E73" s="4" t="n">
        <v>69</v>
      </c>
      <c r="F73" s="4" t="n">
        <v>111.3</v>
      </c>
      <c r="G73" t="inlineStr">
        <is>
          <t>committee</t>
        </is>
      </c>
      <c r="H73" t="inlineStr">
        <is>
          <t>elite</t>
        </is>
      </c>
      <c r="I73" t="inlineStr">
        <is>
          <t>Jayden Daniels</t>
        </is>
      </c>
      <c r="J73" t="n">
        <v>39.5</v>
      </c>
      <c r="K73" t="n">
        <v>3</v>
      </c>
      <c r="L73" t="n">
        <v>36.2</v>
      </c>
      <c r="M73" t="n">
        <v>33</v>
      </c>
      <c r="N73" t="n">
        <v>1</v>
      </c>
      <c r="O73" t="n">
        <v>175</v>
      </c>
      <c r="P73" t="n">
        <v>805</v>
      </c>
      <c r="Q73" t="n">
        <v>8</v>
      </c>
      <c r="R73" t="n">
        <v>9</v>
      </c>
      <c r="S73" t="n">
        <v>68</v>
      </c>
      <c r="T73" t="n">
        <v>0</v>
      </c>
      <c r="U73" t="n">
        <v>0</v>
      </c>
      <c r="V73" t="n">
        <v>0</v>
      </c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n">
        <v>4.57</v>
      </c>
      <c r="AH73" t="n">
        <v>4.57</v>
      </c>
      <c r="AI73" t="n">
        <v>0</v>
      </c>
      <c r="AJ73" t="n">
        <v>24</v>
      </c>
      <c r="AK73" t="inlineStr">
        <is>
          <t>Rachaad White</t>
        </is>
      </c>
      <c r="AL73" t="inlineStr">
        <is>
          <t>1 games (2025 season)</t>
        </is>
      </c>
      <c r="AM73" t="inlineStr">
        <is>
          <t>FLEX/bench depth with upside if workload grows.</t>
        </is>
      </c>
      <c r="AN73" t="inlineStr">
        <is>
          <t>He produced 8.2 PPR/FP points per game across 17 games. The workload/efficiency profile gives the model a rate-based reason to keep him here. Market price is favorable around ADP 162 versus model overall rank 129.</t>
        </is>
      </c>
      <c r="AO73" t="inlineStr">
        <is>
          <t>Touchdown variance, receiving-role changes and backfield competition are the main downside paths.</t>
        </is>
      </c>
    </row>
    <row r="74">
      <c r="A74" t="inlineStr">
        <is>
          <t>RB</t>
        </is>
      </c>
      <c r="B74" t="inlineStr">
        <is>
          <t>Jordan Mason</t>
        </is>
      </c>
      <c r="C74" t="inlineStr">
        <is>
          <t>MIN</t>
        </is>
      </c>
      <c r="D74" t="n">
        <v>6</v>
      </c>
      <c r="E74" s="4" t="n">
        <v>67.7</v>
      </c>
      <c r="F74" s="4" t="n">
        <v>122.8</v>
      </c>
      <c r="G74" t="inlineStr">
        <is>
          <t>committee</t>
        </is>
      </c>
      <c r="H74" t="inlineStr">
        <is>
          <t>weakness</t>
        </is>
      </c>
      <c r="I74" t="inlineStr">
        <is>
          <t>Kyler Murray</t>
        </is>
      </c>
      <c r="J74" t="n">
        <v>42.8</v>
      </c>
      <c r="K74" t="n">
        <v>3.6</v>
      </c>
      <c r="L74" t="n">
        <v>39.3</v>
      </c>
      <c r="M74" t="n">
        <v>30</v>
      </c>
      <c r="N74" t="n">
        <v>1</v>
      </c>
      <c r="O74" t="n">
        <v>159</v>
      </c>
      <c r="P74" t="n">
        <v>758</v>
      </c>
      <c r="Q74" t="n">
        <v>6</v>
      </c>
      <c r="R74" t="n">
        <v>14</v>
      </c>
      <c r="S74" t="n">
        <v>51</v>
      </c>
      <c r="T74" t="n">
        <v>0</v>
      </c>
      <c r="U74" t="n">
        <v>0</v>
      </c>
      <c r="V74" t="n">
        <v>0</v>
      </c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n">
        <v>3.77</v>
      </c>
      <c r="AH74" t="n">
        <v>3.29</v>
      </c>
      <c r="AI74" t="n">
        <v>0.48</v>
      </c>
      <c r="AJ74" t="n">
        <v>26</v>
      </c>
      <c r="AK74" t="inlineStr">
        <is>
          <t>Aaron Jones Sr.</t>
        </is>
      </c>
      <c r="AL74" t="inlineStr">
        <is>
          <t>1 games (2025 season)</t>
        </is>
      </c>
      <c r="AM74" t="inlineStr">
        <is>
          <t>FLEX/bench depth with upside if workload grows.</t>
        </is>
      </c>
      <c r="AN74" t="inlineStr">
        <is>
          <t>He produced 8.1 PPR/FP points per game across 16 games. The workload/efficiency profile gives the model a rate-based reason to keep him here. Market price is favorable around ADP 166 versus model overall rank 136.</t>
        </is>
      </c>
      <c r="AO74" t="inlineStr">
        <is>
          <t>Touchdown variance, receiving-role changes and backfield competition are the main downside paths.</t>
        </is>
      </c>
    </row>
    <row r="75">
      <c r="A75" t="inlineStr">
        <is>
          <t>RB</t>
        </is>
      </c>
      <c r="B75" t="inlineStr">
        <is>
          <t>Woody Marks</t>
        </is>
      </c>
      <c r="C75" t="inlineStr">
        <is>
          <t>HOU</t>
        </is>
      </c>
      <c r="D75" t="n">
        <v>8</v>
      </c>
      <c r="E75" s="4" t="n">
        <v>66.90000000000001</v>
      </c>
      <c r="F75" s="4" t="n">
        <v>149.2</v>
      </c>
      <c r="G75" t="inlineStr">
        <is>
          <t>committee</t>
        </is>
      </c>
      <c r="H75" t="inlineStr">
        <is>
          <t>weakness</t>
        </is>
      </c>
      <c r="I75" t="inlineStr">
        <is>
          <t>C.J. Stroud</t>
        </is>
      </c>
      <c r="J75" t="n">
        <v>51.5</v>
      </c>
      <c r="K75" t="n">
        <v>6.5</v>
      </c>
      <c r="L75" t="n">
        <v>42.2</v>
      </c>
      <c r="M75" t="n">
        <v>41</v>
      </c>
      <c r="N75" t="n">
        <v>1</v>
      </c>
      <c r="O75" t="n">
        <v>196</v>
      </c>
      <c r="P75" t="n">
        <v>703</v>
      </c>
      <c r="Q75" t="n">
        <v>2</v>
      </c>
      <c r="R75" t="n">
        <v>24</v>
      </c>
      <c r="S75" t="n">
        <v>208</v>
      </c>
      <c r="T75" t="n">
        <v>3</v>
      </c>
      <c r="U75" t="n">
        <v>0</v>
      </c>
      <c r="V75" t="n">
        <v>0</v>
      </c>
      <c r="W75" t="inlineStr"/>
      <c r="X75" t="inlineStr"/>
      <c r="Y75" t="inlineStr"/>
      <c r="Z75" t="inlineStr"/>
      <c r="AA75" t="inlineStr"/>
      <c r="AB75" t="inlineStr"/>
      <c r="AC75" t="inlineStr"/>
      <c r="AD75" t="n">
        <v>8.33</v>
      </c>
      <c r="AE75" t="n">
        <v>8.33</v>
      </c>
      <c r="AF75" t="n">
        <v>0</v>
      </c>
      <c r="AG75" t="n">
        <v>1.02</v>
      </c>
      <c r="AH75" t="n">
        <v>1.02</v>
      </c>
      <c r="AI75" t="n">
        <v>0</v>
      </c>
      <c r="AJ75" t="n">
        <v>24</v>
      </c>
      <c r="AK75" t="inlineStr">
        <is>
          <t>David Montgomery</t>
        </is>
      </c>
      <c r="AL75" t="inlineStr">
        <is>
          <t>1 games (2025 season)</t>
        </is>
      </c>
      <c r="AM75" t="inlineStr">
        <is>
          <t>Bench stash/handcuff profile; value is tied to role change or injury ahead.</t>
        </is>
      </c>
      <c r="AN75" t="inlineStr">
        <is>
          <t>He produced 9.4 PPR/FP points per game across 16 games. The workload/efficiency profile gives the model a rate-based reason to keep him here. Market price is favorable around ADP 170 versus model overall rank 143.</t>
        </is>
      </c>
      <c r="AO75" t="inlineStr">
        <is>
          <t>Touchdown variance, receiving-role changes and backfield competition are the main downside paths.</t>
        </is>
      </c>
    </row>
    <row r="76">
      <c r="A76" t="inlineStr">
        <is>
          <t>RB</t>
        </is>
      </c>
      <c r="B76" t="inlineStr">
        <is>
          <t>Chris Rodriguez Jr.</t>
        </is>
      </c>
      <c r="C76" t="inlineStr">
        <is>
          <t>JAX</t>
        </is>
      </c>
      <c r="D76" t="n">
        <v>7</v>
      </c>
      <c r="E76" s="4" t="n">
        <v>66.5</v>
      </c>
      <c r="F76" s="4" t="n">
        <v>163.6</v>
      </c>
      <c r="G76" t="inlineStr">
        <is>
          <t>handcuff</t>
        </is>
      </c>
      <c r="H76" t="inlineStr">
        <is>
          <t>weakness</t>
        </is>
      </c>
      <c r="I76" t="inlineStr">
        <is>
          <t>Trevor Lawrence</t>
        </is>
      </c>
      <c r="J76" t="n">
        <v>0</v>
      </c>
      <c r="K76" t="n">
        <v>0.9</v>
      </c>
      <c r="L76" t="n">
        <v>23.1</v>
      </c>
      <c r="M76" t="n">
        <v>0</v>
      </c>
      <c r="N76" t="n">
        <v>1</v>
      </c>
      <c r="O76" t="n">
        <v>112</v>
      </c>
      <c r="P76" t="n">
        <v>500</v>
      </c>
      <c r="Q76" t="n">
        <v>6</v>
      </c>
      <c r="R76" t="n">
        <v>3</v>
      </c>
      <c r="S76" t="n">
        <v>30</v>
      </c>
      <c r="T76" t="n">
        <v>0</v>
      </c>
      <c r="U76" t="n">
        <v>0</v>
      </c>
      <c r="V76" t="n">
        <v>0</v>
      </c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n">
        <v>5.36</v>
      </c>
      <c r="AH76" t="n">
        <v>5.05</v>
      </c>
      <c r="AI76" t="n">
        <v>0.31</v>
      </c>
      <c r="AJ76" t="n">
        <v>25</v>
      </c>
      <c r="AK76" t="inlineStr">
        <is>
          <t>Bhayshul Tuten</t>
        </is>
      </c>
      <c r="AL76" t="inlineStr">
        <is>
          <t>1 games (2025 season)</t>
        </is>
      </c>
      <c r="AM76" t="inlineStr">
        <is>
          <t>Bench stash/handcuff profile; value is tied to role change or injury ahead.</t>
        </is>
      </c>
      <c r="AN76" t="inlineStr">
        <is>
          <t>He produced 7.0 PPR/FP points per game across 13 games. The workload/efficiency profile gives the model a rate-based reason to keep him here. Market price is favorable around ADP 174 versus model overall rank 147.</t>
        </is>
      </c>
      <c r="AO76" t="inlineStr">
        <is>
          <t>Touchdown variance, receiving-role changes and backfield competition are the main downside paths.</t>
        </is>
      </c>
    </row>
    <row r="77">
      <c r="A77" t="inlineStr">
        <is>
          <t>RB</t>
        </is>
      </c>
      <c r="B77" t="inlineStr">
        <is>
          <t>Tyrone Tracy Jr.</t>
        </is>
      </c>
      <c r="C77" t="inlineStr">
        <is>
          <t>NYG</t>
        </is>
      </c>
      <c r="D77" t="n">
        <v>8</v>
      </c>
      <c r="E77" s="4" t="n">
        <v>66.5</v>
      </c>
      <c r="F77" s="4" t="n">
        <v>155.8</v>
      </c>
      <c r="G77" t="inlineStr">
        <is>
          <t>committee</t>
        </is>
      </c>
      <c r="H77" t="inlineStr">
        <is>
          <t>weakness</t>
        </is>
      </c>
      <c r="I77" t="inlineStr">
        <is>
          <t>Jaxson Dart</t>
        </is>
      </c>
      <c r="J77" t="n">
        <v>0</v>
      </c>
      <c r="K77" t="n">
        <v>9.5</v>
      </c>
      <c r="L77" t="n">
        <v>34.4</v>
      </c>
      <c r="M77" t="n">
        <v>0</v>
      </c>
      <c r="N77" t="n">
        <v>1</v>
      </c>
      <c r="O77" t="n">
        <v>176</v>
      </c>
      <c r="P77" t="n">
        <v>740</v>
      </c>
      <c r="Q77" t="n">
        <v>2</v>
      </c>
      <c r="R77" t="n">
        <v>36</v>
      </c>
      <c r="S77" t="n">
        <v>288</v>
      </c>
      <c r="T77" t="n">
        <v>2</v>
      </c>
      <c r="U77" t="n">
        <v>0</v>
      </c>
      <c r="V77" t="n">
        <v>0</v>
      </c>
      <c r="W77" t="inlineStr"/>
      <c r="X77" t="inlineStr"/>
      <c r="Y77" t="inlineStr"/>
      <c r="Z77" t="inlineStr"/>
      <c r="AA77" t="inlineStr"/>
      <c r="AB77" t="inlineStr"/>
      <c r="AC77" t="inlineStr"/>
      <c r="AD77" t="n">
        <v>4.17</v>
      </c>
      <c r="AE77" t="n">
        <v>2.97</v>
      </c>
      <c r="AF77" t="n">
        <v>1.2</v>
      </c>
      <c r="AG77" t="n">
        <v>1.14</v>
      </c>
      <c r="AH77" t="n">
        <v>1.9</v>
      </c>
      <c r="AI77" t="n">
        <v>-0.77</v>
      </c>
      <c r="AJ77" t="n">
        <v>25</v>
      </c>
      <c r="AK77" t="inlineStr">
        <is>
          <t>Cam Skattebo</t>
        </is>
      </c>
      <c r="AL77" t="inlineStr">
        <is>
          <t>1 games (2025 season)</t>
        </is>
      </c>
      <c r="AM77" t="inlineStr">
        <is>
          <t>Bench stash/handcuff profile; value is tied to role change or injury ahead.</t>
        </is>
      </c>
      <c r="AN77" t="inlineStr">
        <is>
          <t>He produced 10.7 PPR/FP points per game across 15 games. The workload/efficiency profile gives the model a rate-based reason to keep him here. Market price is favorable around ADP 178 versus model overall rank 149.</t>
        </is>
      </c>
      <c r="AO77" t="inlineStr">
        <is>
          <t>Touchdown variance, receiving-role changes and backfield competition are the main downside paths.</t>
        </is>
      </c>
    </row>
    <row r="78">
      <c r="A78" t="inlineStr">
        <is>
          <t>RB</t>
        </is>
      </c>
      <c r="B78" t="inlineStr">
        <is>
          <t>Tyler Allgeier</t>
        </is>
      </c>
      <c r="C78" t="inlineStr">
        <is>
          <t>ARI</t>
        </is>
      </c>
      <c r="D78" t="n">
        <v>14</v>
      </c>
      <c r="E78" s="4" t="n">
        <v>63</v>
      </c>
      <c r="F78" s="4" t="n">
        <v>164.3</v>
      </c>
      <c r="G78" t="inlineStr">
        <is>
          <t>committee</t>
        </is>
      </c>
      <c r="H78" t="inlineStr">
        <is>
          <t>weakness</t>
        </is>
      </c>
      <c r="I78" t="inlineStr">
        <is>
          <t>Jacoby Brissett</t>
        </is>
      </c>
      <c r="J78" t="n">
        <v>30.2</v>
      </c>
      <c r="K78" t="n">
        <v>3.2</v>
      </c>
      <c r="L78" t="n">
        <v>30</v>
      </c>
      <c r="M78" t="n">
        <v>33</v>
      </c>
      <c r="N78" t="n">
        <v>1</v>
      </c>
      <c r="O78" t="n">
        <v>143</v>
      </c>
      <c r="P78" t="n">
        <v>514</v>
      </c>
      <c r="Q78" t="n">
        <v>8</v>
      </c>
      <c r="R78" t="n">
        <v>14</v>
      </c>
      <c r="S78" t="n">
        <v>96</v>
      </c>
      <c r="T78" t="n">
        <v>0</v>
      </c>
      <c r="U78" t="n">
        <v>0</v>
      </c>
      <c r="V78" t="n">
        <v>0</v>
      </c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n">
        <v>5.59</v>
      </c>
      <c r="AH78" t="n">
        <v>2.66</v>
      </c>
      <c r="AI78" t="n">
        <v>2.93</v>
      </c>
      <c r="AJ78" t="n">
        <v>25</v>
      </c>
      <c r="AK78" t="inlineStr">
        <is>
          <t>Jeremiyah Love</t>
        </is>
      </c>
      <c r="AL78" t="inlineStr">
        <is>
          <t>1 games (2025 season)</t>
        </is>
      </c>
      <c r="AM78" t="inlineStr">
        <is>
          <t>Bench stash/handcuff profile; value is tied to role change or injury ahead.</t>
        </is>
      </c>
      <c r="AN78" t="inlineStr">
        <is>
          <t>He produced 7.2 PPR/FP points per game across 17 games. The workload/efficiency profile gives the model a rate-based reason to keep him here. Market price is favorable around ADP 183 versus model overall rank 168.</t>
        </is>
      </c>
      <c r="AO78" t="inlineStr">
        <is>
          <t>Touchdown variance, receiving-role changes and backfield competition are the main downside paths.</t>
        </is>
      </c>
    </row>
    <row r="79">
      <c r="A79" t="inlineStr">
        <is>
          <t>RB</t>
        </is>
      </c>
      <c r="B79" t="inlineStr">
        <is>
          <t>Zach Charbonnet</t>
        </is>
      </c>
      <c r="C79" t="inlineStr">
        <is>
          <t>SEA</t>
        </is>
      </c>
      <c r="D79" t="n">
        <v>11</v>
      </c>
      <c r="E79" s="4" t="n">
        <v>62.5</v>
      </c>
      <c r="F79" s="4" t="n">
        <v>139.8</v>
      </c>
      <c r="G79" t="inlineStr">
        <is>
          <t>committee</t>
        </is>
      </c>
      <c r="H79" t="inlineStr">
        <is>
          <t>elite</t>
        </is>
      </c>
      <c r="I79" t="inlineStr">
        <is>
          <t>Sam Darnold</t>
        </is>
      </c>
      <c r="J79" t="n">
        <v>48.4</v>
      </c>
      <c r="K79" t="n">
        <v>4.6</v>
      </c>
      <c r="L79" t="n">
        <v>35.8</v>
      </c>
      <c r="M79" t="n">
        <v>55</v>
      </c>
      <c r="N79" t="n">
        <v>1</v>
      </c>
      <c r="O79" t="n">
        <v>184</v>
      </c>
      <c r="P79" t="n">
        <v>730</v>
      </c>
      <c r="Q79" t="n">
        <v>12</v>
      </c>
      <c r="R79" t="n">
        <v>20</v>
      </c>
      <c r="S79" t="n">
        <v>144</v>
      </c>
      <c r="T79" t="n">
        <v>0</v>
      </c>
      <c r="U79" t="n">
        <v>0</v>
      </c>
      <c r="V79" t="n">
        <v>0</v>
      </c>
      <c r="W79" t="inlineStr"/>
      <c r="X79" t="inlineStr"/>
      <c r="Y79" t="inlineStr"/>
      <c r="Z79" t="inlineStr"/>
      <c r="AA79" t="inlineStr"/>
      <c r="AB79" t="inlineStr"/>
      <c r="AC79" t="inlineStr"/>
      <c r="AD79" t="n">
        <v>0</v>
      </c>
      <c r="AE79" t="n">
        <v>0.86</v>
      </c>
      <c r="AF79" t="n">
        <v>-0.86</v>
      </c>
      <c r="AG79" t="n">
        <v>6.52</v>
      </c>
      <c r="AH79" t="n">
        <v>4.92</v>
      </c>
      <c r="AI79" t="n">
        <v>1.6</v>
      </c>
      <c r="AJ79" t="n">
        <v>24</v>
      </c>
      <c r="AK79" t="inlineStr">
        <is>
          <t>Emanuel Wilson, Jadarian Price</t>
        </is>
      </c>
      <c r="AL79" t="inlineStr">
        <is>
          <t>1 games (2025 season)</t>
        </is>
      </c>
      <c r="AM79" t="inlineStr">
        <is>
          <t>Bench stash/handcuff profile; value is tied to role change or injury ahead.</t>
        </is>
      </c>
      <c r="AN79" t="inlineStr">
        <is>
          <t>He produced 11.3 PPR/FP points per game across 16 games. The workload/efficiency profile gives the model a rate-based reason to keep him here. Market price is favorable around ADP 187 versus model overall rank 173.</t>
        </is>
      </c>
      <c r="AO79" t="inlineStr">
        <is>
          <t>Touchdown variance, receiving-role changes and backfield competition are the main downside paths.</t>
        </is>
      </c>
    </row>
    <row r="80">
      <c r="A80" t="inlineStr">
        <is>
          <t>RB</t>
        </is>
      </c>
      <c r="B80" t="inlineStr">
        <is>
          <t>Jonathon Brooks</t>
        </is>
      </c>
      <c r="C80" t="inlineStr">
        <is>
          <t>CAR</t>
        </is>
      </c>
      <c r="D80" t="n">
        <v>5</v>
      </c>
      <c r="E80" s="4" t="n">
        <v>62.2</v>
      </c>
      <c r="F80" s="4" t="n">
        <v>109.4</v>
      </c>
      <c r="G80" t="inlineStr">
        <is>
          <t>unclear</t>
        </is>
      </c>
      <c r="H80" t="inlineStr">
        <is>
          <t>elite</t>
        </is>
      </c>
      <c r="I80" t="inlineStr">
        <is>
          <t>Bryce Young</t>
        </is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/>
      <c r="AJ80" t="n">
        <v>22</v>
      </c>
      <c r="AK80" t="inlineStr">
        <is>
          <t>Chuba Hubbard</t>
        </is>
      </c>
      <c r="AL80" t="inlineStr">
        <is>
          <t>No stats match found</t>
        </is>
      </c>
      <c r="AM80" t="inlineStr">
        <is>
          <t>Bench stash/handcuff profile; value is tied to role change or injury ahead.</t>
        </is>
      </c>
      <c r="AN80" t="inlineStr">
        <is>
          <t>The 2026 opportunity and projection carry most of the grade because detailed 2025 rate data is incomplete. Market price is favorable around ADP 191 versus model overall rank 177.</t>
        </is>
      </c>
      <c r="AO80" t="inlineStr">
        <is>
          <t>Evidence is thinner than for established veterans, so camp, depth-chart and role news can move the grade materially.</t>
        </is>
      </c>
    </row>
    <row r="81">
      <c r="A81" t="inlineStr">
        <is>
          <t>RB</t>
        </is>
      </c>
      <c r="B81" t="inlineStr">
        <is>
          <t>Emanuel Wilson</t>
        </is>
      </c>
      <c r="C81" t="inlineStr">
        <is>
          <t>SEA</t>
        </is>
      </c>
      <c r="D81" t="n">
        <v>11</v>
      </c>
      <c r="E81" s="4" t="n">
        <v>62</v>
      </c>
      <c r="F81" s="4" t="n">
        <v>195.2</v>
      </c>
      <c r="G81" t="inlineStr">
        <is>
          <t>committee</t>
        </is>
      </c>
      <c r="H81" t="inlineStr">
        <is>
          <t>elite</t>
        </is>
      </c>
      <c r="I81" t="inlineStr">
        <is>
          <t>Sam Darnold</t>
        </is>
      </c>
      <c r="J81" t="n">
        <v>35.5</v>
      </c>
      <c r="K81" t="n">
        <v>3.7</v>
      </c>
      <c r="L81" t="n">
        <v>25.4</v>
      </c>
      <c r="M81" t="n">
        <v>27</v>
      </c>
      <c r="N81" t="n">
        <v>1</v>
      </c>
      <c r="O81" t="n">
        <v>125</v>
      </c>
      <c r="P81" t="n">
        <v>496</v>
      </c>
      <c r="Q81" t="n">
        <v>3</v>
      </c>
      <c r="R81" t="n">
        <v>15</v>
      </c>
      <c r="S81" t="n">
        <v>99</v>
      </c>
      <c r="T81" t="n">
        <v>0</v>
      </c>
      <c r="U81" t="n">
        <v>0</v>
      </c>
      <c r="V81" t="n">
        <v>0</v>
      </c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n">
        <v>2.4</v>
      </c>
      <c r="AH81" t="n">
        <v>2.89</v>
      </c>
      <c r="AI81" t="n">
        <v>-0.49</v>
      </c>
      <c r="AJ81" t="n">
        <v>26</v>
      </c>
      <c r="AK81" t="inlineStr">
        <is>
          <t>Zach Charbonnet, Jadarian Price</t>
        </is>
      </c>
      <c r="AL81" t="inlineStr">
        <is>
          <t>1 games (2025 season)</t>
        </is>
      </c>
      <c r="AM81" t="inlineStr">
        <is>
          <t>Bench stash/handcuff profile; value is tied to role change or injury ahead.</t>
        </is>
      </c>
      <c r="AN81" t="inlineStr">
        <is>
          <t>He produced 5.6 PPR/FP points per game across 17 games. The workload/efficiency profile gives the model a rate-based reason to keep him here. Market price is favorable around ADP 195 versus model overall rank 180.</t>
        </is>
      </c>
      <c r="AO81" t="inlineStr">
        <is>
          <t>Touchdown variance, receiving-role changes and backfield competition are the main downside paths.</t>
        </is>
      </c>
    </row>
    <row r="82">
      <c r="A82" t="inlineStr">
        <is>
          <t>RB</t>
        </is>
      </c>
      <c r="B82" t="inlineStr">
        <is>
          <t>Isiah Pacheco</t>
        </is>
      </c>
      <c r="C82" t="inlineStr">
        <is>
          <t>DET</t>
        </is>
      </c>
      <c r="D82" t="n">
        <v>6</v>
      </c>
      <c r="E82" s="4" t="n">
        <v>60</v>
      </c>
      <c r="F82" s="4" t="n">
        <v>147.7</v>
      </c>
      <c r="G82" t="inlineStr">
        <is>
          <t>committee</t>
        </is>
      </c>
      <c r="H82" t="inlineStr">
        <is>
          <t>elite</t>
        </is>
      </c>
      <c r="I82" t="inlineStr">
        <is>
          <t>Jared Goff</t>
        </is>
      </c>
      <c r="J82" t="n">
        <v>51.7</v>
      </c>
      <c r="K82" t="n">
        <v>4.7</v>
      </c>
      <c r="L82" t="n">
        <v>26.8</v>
      </c>
      <c r="M82" t="n">
        <v>24</v>
      </c>
      <c r="N82" t="n">
        <v>1</v>
      </c>
      <c r="O82" t="n">
        <v>118</v>
      </c>
      <c r="P82" t="n">
        <v>462</v>
      </c>
      <c r="Q82" t="n">
        <v>1</v>
      </c>
      <c r="R82" t="n">
        <v>19</v>
      </c>
      <c r="S82" t="n">
        <v>101</v>
      </c>
      <c r="T82" t="n">
        <v>1</v>
      </c>
      <c r="U82" t="n">
        <v>0</v>
      </c>
      <c r="V82" t="n">
        <v>0</v>
      </c>
      <c r="W82" t="inlineStr"/>
      <c r="X82" t="inlineStr"/>
      <c r="Y82" t="inlineStr"/>
      <c r="Z82" t="inlineStr"/>
      <c r="AA82" t="inlineStr"/>
      <c r="AB82" t="inlineStr"/>
      <c r="AC82" t="inlineStr"/>
      <c r="AD82" t="n">
        <v>3.85</v>
      </c>
      <c r="AE82" t="n">
        <v>2.86</v>
      </c>
      <c r="AF82" t="n">
        <v>0.99</v>
      </c>
      <c r="AG82" t="n">
        <v>0.85</v>
      </c>
      <c r="AH82" t="n">
        <v>2.43</v>
      </c>
      <c r="AI82" t="n">
        <v>-1.58</v>
      </c>
      <c r="AJ82" t="n">
        <v>26</v>
      </c>
      <c r="AK82" t="inlineStr">
        <is>
          <t>Jahmyr Gibbs</t>
        </is>
      </c>
      <c r="AL82" t="inlineStr">
        <is>
          <t>1 games (2025 season)</t>
        </is>
      </c>
      <c r="AM82" t="inlineStr">
        <is>
          <t>Bench stash/handcuff profile; value is tied to role change or injury ahead.</t>
        </is>
      </c>
      <c r="AN82" t="inlineStr">
        <is>
          <t>The 2026 opportunity and projection carry most of the grade because detailed 2025 rate data is incomplete. Market price is favorable around ADP 199 versus model overall rank 187.</t>
        </is>
      </c>
      <c r="AO82" t="inlineStr">
        <is>
          <t>Touchdown variance, receiving-role changes and backfield competition are the main downside paths.</t>
        </is>
      </c>
    </row>
    <row r="83">
      <c r="A83" t="inlineStr">
        <is>
          <t>RB</t>
        </is>
      </c>
      <c r="B83" t="inlineStr">
        <is>
          <t>Alvin Kamara</t>
        </is>
      </c>
      <c r="C83" t="inlineStr">
        <is>
          <t>NO</t>
        </is>
      </c>
      <c r="D83" t="n">
        <v>8</v>
      </c>
      <c r="E83" s="4" t="n">
        <v>59.2</v>
      </c>
      <c r="F83" s="4" t="n">
        <v>134.1</v>
      </c>
      <c r="G83" t="inlineStr">
        <is>
          <t>committee</t>
        </is>
      </c>
      <c r="H83" t="inlineStr">
        <is>
          <t>elite</t>
        </is>
      </c>
      <c r="I83" t="inlineStr">
        <is>
          <t>Tyler Shough</t>
        </is>
      </c>
      <c r="J83" t="n">
        <v>63.7</v>
      </c>
      <c r="K83" t="n">
        <v>8.199999999999999</v>
      </c>
      <c r="L83" t="n">
        <v>30.1</v>
      </c>
      <c r="M83" t="n">
        <v>20</v>
      </c>
      <c r="N83" t="n">
        <v>1</v>
      </c>
      <c r="O83" t="n">
        <v>131</v>
      </c>
      <c r="P83" t="n">
        <v>471</v>
      </c>
      <c r="Q83" t="n">
        <v>1</v>
      </c>
      <c r="R83" t="n">
        <v>33</v>
      </c>
      <c r="S83" t="n">
        <v>186</v>
      </c>
      <c r="T83" t="n">
        <v>0</v>
      </c>
      <c r="U83" t="n">
        <v>0</v>
      </c>
      <c r="V83" t="n">
        <v>0</v>
      </c>
      <c r="W83" t="inlineStr"/>
      <c r="X83" t="inlineStr"/>
      <c r="Y83" t="inlineStr"/>
      <c r="Z83" t="inlineStr"/>
      <c r="AA83" t="inlineStr"/>
      <c r="AB83" t="inlineStr"/>
      <c r="AC83" t="inlineStr"/>
      <c r="AD83" t="n">
        <v>0</v>
      </c>
      <c r="AE83" t="n">
        <v>3.26</v>
      </c>
      <c r="AF83" t="n">
        <v>-3.26</v>
      </c>
      <c r="AG83" t="n">
        <v>0.76</v>
      </c>
      <c r="AH83" t="n">
        <v>3.64</v>
      </c>
      <c r="AI83" t="n">
        <v>-2.88</v>
      </c>
      <c r="AJ83" t="n">
        <v>30</v>
      </c>
      <c r="AK83" t="inlineStr">
        <is>
          <t>Travis Etienne Jr.</t>
        </is>
      </c>
      <c r="AL83" t="inlineStr">
        <is>
          <t>1 games (2025 season)</t>
        </is>
      </c>
      <c r="AM83" t="inlineStr">
        <is>
          <t>Bench stash/handcuff profile; value is tied to role change or injury ahead.</t>
        </is>
      </c>
      <c r="AN83" t="inlineStr">
        <is>
          <t>The 2026 opportunity and projection carry most of the grade because detailed 2025 rate data is incomplete. Market price is favorable around ADP 204 versus model overall rank 191.</t>
        </is>
      </c>
      <c r="AO83" t="inlineStr">
        <is>
          <t>Touchdown variance, receiving-role changes and backfield competition are the main downside paths.</t>
        </is>
      </c>
    </row>
    <row r="84">
      <c r="A84" t="inlineStr">
        <is>
          <t>RB</t>
        </is>
      </c>
      <c r="B84" t="inlineStr">
        <is>
          <t>Justice Hill</t>
        </is>
      </c>
      <c r="C84" t="inlineStr">
        <is>
          <t>BAL</t>
        </is>
      </c>
      <c r="D84" t="n">
        <v>13</v>
      </c>
      <c r="E84" s="4" t="n">
        <v>54.9</v>
      </c>
      <c r="F84" s="4" t="n">
        <v>165.6</v>
      </c>
      <c r="G84" t="inlineStr">
        <is>
          <t>handcuff</t>
        </is>
      </c>
      <c r="H84" t="inlineStr">
        <is>
          <t>elite</t>
        </is>
      </c>
      <c r="I84" t="inlineStr">
        <is>
          <t>Lamar Jackson</t>
        </is>
      </c>
      <c r="J84" t="n">
        <v>0</v>
      </c>
      <c r="K84" t="n">
        <v>6.7</v>
      </c>
      <c r="L84" t="n">
        <v>3.6</v>
      </c>
      <c r="M84" t="n">
        <v>8</v>
      </c>
      <c r="N84" t="n">
        <v>1</v>
      </c>
      <c r="O84" t="n">
        <v>18</v>
      </c>
      <c r="P84" t="n">
        <v>93</v>
      </c>
      <c r="Q84" t="n">
        <v>2</v>
      </c>
      <c r="R84" t="n">
        <v>21</v>
      </c>
      <c r="S84" t="n">
        <v>169</v>
      </c>
      <c r="T84" t="n">
        <v>1</v>
      </c>
      <c r="U84" t="n">
        <v>0</v>
      </c>
      <c r="V84" t="n">
        <v>0</v>
      </c>
      <c r="W84" t="inlineStr"/>
      <c r="X84" t="inlineStr"/>
      <c r="Y84" t="inlineStr"/>
      <c r="Z84" t="inlineStr"/>
      <c r="AA84" t="inlineStr"/>
      <c r="AB84" t="inlineStr"/>
      <c r="AC84" t="inlineStr"/>
      <c r="AD84" t="n">
        <v>3.7</v>
      </c>
      <c r="AE84" t="n">
        <v>3.36</v>
      </c>
      <c r="AF84" t="n">
        <v>0.35</v>
      </c>
      <c r="AG84" t="inlineStr"/>
      <c r="AH84" t="inlineStr"/>
      <c r="AI84" t="inlineStr"/>
      <c r="AJ84" t="n">
        <v>27</v>
      </c>
      <c r="AK84" t="inlineStr">
        <is>
          <t>Derrick Henry</t>
        </is>
      </c>
      <c r="AL84" t="inlineStr">
        <is>
          <t>1 games (2025 season)</t>
        </is>
      </c>
      <c r="AM84" t="inlineStr">
        <is>
          <t>Bench stash/handcuff profile; value is tied to role change or injury ahead.</t>
        </is>
      </c>
      <c r="AN84" t="inlineStr">
        <is>
          <t>The 2026 opportunity and projection carry most of the grade because detailed 2025 rate data is incomplete.</t>
        </is>
      </c>
      <c r="AO84" t="inlineStr">
        <is>
          <t>Touchdown variance, receiving-role changes and backfield competition are the main downside paths.</t>
        </is>
      </c>
    </row>
    <row r="85">
      <c r="A85" t="inlineStr">
        <is>
          <t>RB</t>
        </is>
      </c>
      <c r="B85" t="inlineStr">
        <is>
          <t>Tyjae Spears</t>
        </is>
      </c>
      <c r="C85" t="inlineStr">
        <is>
          <t>TEN</t>
        </is>
      </c>
      <c r="D85" t="n">
        <v>9</v>
      </c>
      <c r="E85" s="4" t="n">
        <v>63.4</v>
      </c>
      <c r="F85" s="4" t="n">
        <v>129.6</v>
      </c>
      <c r="G85" t="inlineStr">
        <is>
          <t>handcuff</t>
        </is>
      </c>
      <c r="H85" t="inlineStr">
        <is>
          <t>weakness</t>
        </is>
      </c>
      <c r="I85" t="inlineStr">
        <is>
          <t>Cam Ward</t>
        </is>
      </c>
      <c r="J85" t="n">
        <v>45.9</v>
      </c>
      <c r="K85" t="n">
        <v>9.800000000000001</v>
      </c>
      <c r="L85" t="n">
        <v>19</v>
      </c>
      <c r="M85" t="n">
        <v>17</v>
      </c>
      <c r="N85" t="n">
        <v>1</v>
      </c>
      <c r="O85" t="n">
        <v>72</v>
      </c>
      <c r="P85" t="n">
        <v>283</v>
      </c>
      <c r="Q85" t="n">
        <v>2</v>
      </c>
      <c r="R85" t="n">
        <v>45</v>
      </c>
      <c r="S85" t="n">
        <v>264</v>
      </c>
      <c r="T85" t="n">
        <v>0</v>
      </c>
      <c r="U85" t="n">
        <v>0</v>
      </c>
      <c r="V85" t="n">
        <v>0</v>
      </c>
      <c r="W85" t="inlineStr"/>
      <c r="X85" t="inlineStr"/>
      <c r="Y85" t="inlineStr"/>
      <c r="Z85" t="inlineStr"/>
      <c r="AA85" t="inlineStr"/>
      <c r="AB85" t="inlineStr"/>
      <c r="AC85" t="inlineStr"/>
      <c r="AD85" t="n">
        <v>0</v>
      </c>
      <c r="AE85" t="n">
        <v>1.29</v>
      </c>
      <c r="AF85" t="n">
        <v>-1.29</v>
      </c>
      <c r="AG85" t="n">
        <v>2.78</v>
      </c>
      <c r="AH85" t="n">
        <v>3.12</v>
      </c>
      <c r="AI85" t="n">
        <v>-0.35</v>
      </c>
      <c r="AJ85" t="n">
        <v>24</v>
      </c>
      <c r="AK85" t="inlineStr">
        <is>
          <t>Tony Pollard</t>
        </is>
      </c>
      <c r="AL85" t="inlineStr">
        <is>
          <t>1 games (2025 season)</t>
        </is>
      </c>
      <c r="AM85" t="inlineStr">
        <is>
          <t>Added 2026-08-12 from ESPN consensus (RB44).</t>
        </is>
      </c>
      <c r="AN85" t="inlineStr">
        <is>
          <t>Not in the original model pool; rating interpolated from the players ESPN ranks directly around him, so he sits at his consensus slot on our board.</t>
        </is>
      </c>
      <c r="AO85" t="inlineStr">
        <is>
          <t>No model projection behind this rating; it is market consensus only. Re-rate manually if you have a strong opinion.</t>
        </is>
      </c>
    </row>
    <row r="86">
      <c r="A86" t="inlineStr">
        <is>
          <t>RB</t>
        </is>
      </c>
      <c r="B86" t="inlineStr">
        <is>
          <t>Keaton Mitchell</t>
        </is>
      </c>
      <c r="C86" t="inlineStr">
        <is>
          <t>LAC</t>
        </is>
      </c>
      <c r="D86" t="n">
        <v>7</v>
      </c>
      <c r="E86" s="4" t="n">
        <v>59</v>
      </c>
      <c r="F86" s="4" t="n">
        <v>160.2</v>
      </c>
      <c r="G86" t="inlineStr">
        <is>
          <t>handcuff</t>
        </is>
      </c>
      <c r="H86" t="inlineStr">
        <is>
          <t>elite</t>
        </is>
      </c>
      <c r="I86" t="inlineStr">
        <is>
          <t>Justin Herbert</t>
        </is>
      </c>
      <c r="J86" t="n">
        <v>25.1</v>
      </c>
      <c r="K86" t="n">
        <v>3</v>
      </c>
      <c r="L86" t="n">
        <v>11.6</v>
      </c>
      <c r="M86" t="n">
        <v>14</v>
      </c>
      <c r="N86" t="n">
        <v>1</v>
      </c>
      <c r="O86" t="n">
        <v>59</v>
      </c>
      <c r="P86" t="n">
        <v>341</v>
      </c>
      <c r="Q86" t="n">
        <v>1</v>
      </c>
      <c r="R86" t="n">
        <v>9</v>
      </c>
      <c r="S86" t="n">
        <v>63</v>
      </c>
      <c r="T86" t="n">
        <v>0</v>
      </c>
      <c r="U86" t="n">
        <v>0</v>
      </c>
      <c r="V86" t="n">
        <v>0</v>
      </c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n">
        <v>1.69</v>
      </c>
      <c r="AH86" t="n">
        <v>2.48</v>
      </c>
      <c r="AI86" t="n">
        <v>-0.78</v>
      </c>
      <c r="AJ86" t="n">
        <v>23</v>
      </c>
      <c r="AK86" t="inlineStr">
        <is>
          <t>Omarion Hampton</t>
        </is>
      </c>
      <c r="AL86" t="inlineStr">
        <is>
          <t>1 games (2025 season)</t>
        </is>
      </c>
      <c r="AM86" t="inlineStr">
        <is>
          <t>Added 2026-08-12 from ESPN consensus (RB46).</t>
        </is>
      </c>
      <c r="AN86" t="inlineStr">
        <is>
          <t>Not in the original model pool; rating interpolated from the players ESPN ranks directly around him, so he sits at his consensus slot on our board.</t>
        </is>
      </c>
      <c r="AO86" t="inlineStr">
        <is>
          <t>No model projection behind this rating; it is market consensus only. Re-rate manually if you have a strong opinion.</t>
        </is>
      </c>
    </row>
    <row r="87">
      <c r="A87" t="inlineStr">
        <is>
          <t>WR</t>
        </is>
      </c>
      <c r="B87" t="inlineStr">
        <is>
          <t>Ja'Marr Chase</t>
        </is>
      </c>
      <c r="C87" t="inlineStr">
        <is>
          <t>CIN</t>
        </is>
      </c>
      <c r="D87" t="n">
        <v>6</v>
      </c>
      <c r="E87" s="4" t="n">
        <v>96.7</v>
      </c>
      <c r="F87" s="4" t="n">
        <v>3.1</v>
      </c>
      <c r="G87" t="inlineStr">
        <is>
          <t>committee</t>
        </is>
      </c>
      <c r="H87" t="inlineStr">
        <is>
          <t>weakness</t>
        </is>
      </c>
      <c r="I87" t="inlineStr">
        <is>
          <t>Joe Burrow</t>
        </is>
      </c>
      <c r="J87" t="n">
        <v>66.59999999999999</v>
      </c>
      <c r="K87" t="n">
        <v>30.4</v>
      </c>
      <c r="L87" t="n">
        <v>0</v>
      </c>
      <c r="M87" t="n">
        <v>22</v>
      </c>
      <c r="N87" t="n">
        <v>1</v>
      </c>
      <c r="O87" t="n">
        <v>0</v>
      </c>
      <c r="P87" t="n">
        <v>0</v>
      </c>
      <c r="Q87" t="n">
        <v>0</v>
      </c>
      <c r="R87" t="n">
        <v>125</v>
      </c>
      <c r="S87" t="n">
        <v>1412</v>
      </c>
      <c r="T87" t="n">
        <v>8</v>
      </c>
      <c r="U87" t="n">
        <v>0</v>
      </c>
      <c r="V87" t="n">
        <v>0</v>
      </c>
      <c r="W87" t="inlineStr"/>
      <c r="X87" t="inlineStr"/>
      <c r="Y87" t="inlineStr"/>
      <c r="Z87" t="inlineStr"/>
      <c r="AA87" t="inlineStr"/>
      <c r="AB87" t="inlineStr"/>
      <c r="AC87" t="inlineStr"/>
      <c r="AD87" t="n">
        <v>4.32</v>
      </c>
      <c r="AE87" t="n">
        <v>7.04</v>
      </c>
      <c r="AF87" t="n">
        <v>-2.72</v>
      </c>
      <c r="AG87" t="inlineStr"/>
      <c r="AH87" t="inlineStr"/>
      <c r="AI87" t="inlineStr"/>
      <c r="AJ87" t="n">
        <v>25</v>
      </c>
      <c r="AK87" t="inlineStr"/>
      <c r="AL87" t="inlineStr">
        <is>
          <t>1 games (2025 season)</t>
        </is>
      </c>
      <c r="AM87" t="inlineStr">
        <is>
          <t>Elite WR1 and first-round caliber target with overall WR1 upside.</t>
        </is>
      </c>
      <c r="AN87" t="inlineStr">
        <is>
          <t>He produced 19.6 PPR/FP points per game across 16 games. The workload/efficiency profile gives the model a rate-based reason to keep him here.</t>
        </is>
      </c>
      <c r="AO87" t="inlineStr">
        <is>
          <t>Target competition, quarterback efficiency and touchdown regression are the main downside paths.</t>
        </is>
      </c>
    </row>
    <row r="88">
      <c r="A88" t="inlineStr">
        <is>
          <t>WR</t>
        </is>
      </c>
      <c r="B88" t="inlineStr">
        <is>
          <t>Puka Nacua</t>
        </is>
      </c>
      <c r="C88" t="inlineStr">
        <is>
          <t>LAR</t>
        </is>
      </c>
      <c r="D88" t="n">
        <v>11</v>
      </c>
      <c r="E88" s="4" t="n">
        <v>98.5</v>
      </c>
      <c r="F88" s="4" t="n">
        <v>2.8</v>
      </c>
      <c r="G88" t="inlineStr">
        <is>
          <t>committee</t>
        </is>
      </c>
      <c r="H88" t="inlineStr"/>
      <c r="I88" t="inlineStr">
        <is>
          <t>Matthew Stafford</t>
        </is>
      </c>
      <c r="J88" t="n">
        <v>68.2</v>
      </c>
      <c r="K88" t="n">
        <v>28.6</v>
      </c>
      <c r="L88" t="n">
        <v>0</v>
      </c>
      <c r="M88" t="n">
        <v>18</v>
      </c>
      <c r="N88" t="n">
        <v>1</v>
      </c>
      <c r="O88" t="n">
        <v>0</v>
      </c>
      <c r="P88" t="n">
        <v>0</v>
      </c>
      <c r="Q88" t="n">
        <v>0</v>
      </c>
      <c r="R88" t="n">
        <v>129</v>
      </c>
      <c r="S88" t="n">
        <v>1715</v>
      </c>
      <c r="T88" t="n">
        <v>10</v>
      </c>
      <c r="U88" t="n">
        <v>0</v>
      </c>
      <c r="V88" t="n">
        <v>0</v>
      </c>
      <c r="W88" t="inlineStr"/>
      <c r="X88" t="inlineStr"/>
      <c r="Y88" t="inlineStr"/>
      <c r="Z88" t="inlineStr"/>
      <c r="AA88" t="inlineStr"/>
      <c r="AB88" t="inlineStr"/>
      <c r="AC88" t="inlineStr"/>
      <c r="AD88" t="n">
        <v>6.02</v>
      </c>
      <c r="AE88" t="n">
        <v>4.4</v>
      </c>
      <c r="AF88" t="n">
        <v>1.63</v>
      </c>
      <c r="AG88" t="inlineStr"/>
      <c r="AH88" t="inlineStr"/>
      <c r="AI88" t="inlineStr"/>
      <c r="AJ88" t="n">
        <v>24</v>
      </c>
      <c r="AK88" t="inlineStr"/>
      <c r="AL88" t="inlineStr">
        <is>
          <t>1 games (2025 season)</t>
        </is>
      </c>
      <c r="AM88" t="inlineStr">
        <is>
          <t>Elite WR1 and first-round caliber target with overall WR1 upside.</t>
        </is>
      </c>
      <c r="AN88" t="inlineStr">
        <is>
          <t>He produced 23.5 PPR/FP points per game across 16 games. The workload/efficiency profile gives the model a rate-based reason to keep him here.</t>
        </is>
      </c>
      <c r="AO88" t="inlineStr">
        <is>
          <t>Target competition, quarterback efficiency and touchdown regression are the main downside paths.</t>
        </is>
      </c>
    </row>
    <row r="89">
      <c r="A89" t="inlineStr">
        <is>
          <t>WR</t>
        </is>
      </c>
      <c r="B89" t="inlineStr">
        <is>
          <t>Jaxon Smith-Njigba</t>
        </is>
      </c>
      <c r="C89" t="inlineStr">
        <is>
          <t>SEA</t>
        </is>
      </c>
      <c r="D89" t="n">
        <v>11</v>
      </c>
      <c r="E89" s="4" t="n">
        <v>94.09999999999999</v>
      </c>
      <c r="F89" s="4" t="n">
        <v>5.5</v>
      </c>
      <c r="G89" t="inlineStr">
        <is>
          <t>feature</t>
        </is>
      </c>
      <c r="H89" t="inlineStr">
        <is>
          <t>elite</t>
        </is>
      </c>
      <c r="I89" t="inlineStr">
        <is>
          <t>Sam Darnold</t>
        </is>
      </c>
      <c r="J89" t="n">
        <v>77.40000000000001</v>
      </c>
      <c r="K89" t="n">
        <v>31.2</v>
      </c>
      <c r="L89" t="n">
        <v>0</v>
      </c>
      <c r="M89" t="n">
        <v>17</v>
      </c>
      <c r="N89" t="n">
        <v>1</v>
      </c>
      <c r="O89" t="n">
        <v>0</v>
      </c>
      <c r="P89" t="n">
        <v>0</v>
      </c>
      <c r="Q89" t="n">
        <v>0</v>
      </c>
      <c r="R89" t="n">
        <v>119</v>
      </c>
      <c r="S89" t="n">
        <v>1793</v>
      </c>
      <c r="T89" t="n">
        <v>10</v>
      </c>
      <c r="U89" t="n">
        <v>0</v>
      </c>
      <c r="V89" t="n">
        <v>0</v>
      </c>
      <c r="W89" t="inlineStr"/>
      <c r="X89" t="inlineStr"/>
      <c r="Y89" t="inlineStr"/>
      <c r="Z89" t="inlineStr"/>
      <c r="AA89" t="inlineStr"/>
      <c r="AB89" t="inlineStr"/>
      <c r="AC89" t="inlineStr"/>
      <c r="AD89" t="n">
        <v>6.13</v>
      </c>
      <c r="AE89" t="n">
        <v>5.09</v>
      </c>
      <c r="AF89" t="n">
        <v>1.05</v>
      </c>
      <c r="AG89" t="inlineStr"/>
      <c r="AH89" t="inlineStr"/>
      <c r="AI89" t="inlineStr"/>
      <c r="AJ89" t="n">
        <v>23</v>
      </c>
      <c r="AK89" t="inlineStr"/>
      <c r="AL89" t="inlineStr">
        <is>
          <t>1 games (2025 season)</t>
        </is>
      </c>
      <c r="AM89" t="inlineStr">
        <is>
          <t>Elite WR1 and first-round caliber target with overall WR1 upside.</t>
        </is>
      </c>
      <c r="AN89" t="inlineStr">
        <is>
          <t>He produced 21.2 PPR/FP points per game across 17 games. The workload/efficiency profile gives the model a rate-based reason to keep him here.</t>
        </is>
      </c>
      <c r="AO89" t="inlineStr">
        <is>
          <t>Target competition, quarterback efficiency and touchdown regression are the main downside paths.</t>
        </is>
      </c>
    </row>
    <row r="90">
      <c r="A90" t="inlineStr">
        <is>
          <t>WR</t>
        </is>
      </c>
      <c r="B90" t="inlineStr">
        <is>
          <t>Amon-Ra St. Brown</t>
        </is>
      </c>
      <c r="C90" t="inlineStr">
        <is>
          <t>DET</t>
        </is>
      </c>
      <c r="D90" t="n">
        <v>6</v>
      </c>
      <c r="E90" s="4" t="n">
        <v>93.3</v>
      </c>
      <c r="F90" s="4" t="n">
        <v>7</v>
      </c>
      <c r="G90" t="inlineStr">
        <is>
          <t>feature</t>
        </is>
      </c>
      <c r="H90" t="inlineStr">
        <is>
          <t>elite</t>
        </is>
      </c>
      <c r="I90" t="inlineStr">
        <is>
          <t>Jared Goff</t>
        </is>
      </c>
      <c r="J90" t="n">
        <v>90.7</v>
      </c>
      <c r="K90" t="n">
        <v>31.3</v>
      </c>
      <c r="L90" t="n">
        <v>0</v>
      </c>
      <c r="M90" t="n">
        <v>13</v>
      </c>
      <c r="N90" t="n">
        <v>1</v>
      </c>
      <c r="O90" t="n">
        <v>0</v>
      </c>
      <c r="P90" t="n">
        <v>0</v>
      </c>
      <c r="Q90" t="n">
        <v>0</v>
      </c>
      <c r="R90" t="n">
        <v>117</v>
      </c>
      <c r="S90" t="n">
        <v>1401</v>
      </c>
      <c r="T90" t="n">
        <v>11</v>
      </c>
      <c r="U90" t="n">
        <v>0</v>
      </c>
      <c r="V90" t="n">
        <v>0</v>
      </c>
      <c r="W90" t="inlineStr"/>
      <c r="X90" t="inlineStr"/>
      <c r="Y90" t="inlineStr"/>
      <c r="Z90" t="inlineStr"/>
      <c r="AA90" t="inlineStr"/>
      <c r="AB90" t="inlineStr"/>
      <c r="AC90" t="inlineStr"/>
      <c r="AD90" t="n">
        <v>6.4</v>
      </c>
      <c r="AE90" t="n">
        <v>5.93</v>
      </c>
      <c r="AF90" t="n">
        <v>0.47</v>
      </c>
      <c r="AG90" t="inlineStr"/>
      <c r="AH90" t="inlineStr"/>
      <c r="AI90" t="inlineStr"/>
      <c r="AJ90" t="n">
        <v>25</v>
      </c>
      <c r="AK90" t="inlineStr"/>
      <c r="AL90" t="inlineStr">
        <is>
          <t>1 games (2025 season)</t>
        </is>
      </c>
      <c r="AM90" t="inlineStr">
        <is>
          <t>Elite WR1 and first-round caliber target with overall WR1 upside.</t>
        </is>
      </c>
      <c r="AN90" t="inlineStr">
        <is>
          <t>He produced 19.1 PPR/FP points per game across 17 games. The workload/efficiency profile gives the model a rate-based reason to keep him here.</t>
        </is>
      </c>
      <c r="AO90" t="inlineStr">
        <is>
          <t>Target competition, quarterback efficiency and touchdown regression are the main downside paths.</t>
        </is>
      </c>
    </row>
    <row r="91">
      <c r="A91" t="inlineStr">
        <is>
          <t>WR</t>
        </is>
      </c>
      <c r="B91" t="inlineStr">
        <is>
          <t>A.J. Brown</t>
        </is>
      </c>
      <c r="C91" t="inlineStr">
        <is>
          <t>NE</t>
        </is>
      </c>
      <c r="D91" t="n">
        <v>11</v>
      </c>
      <c r="E91" s="4" t="n">
        <v>83.2</v>
      </c>
      <c r="F91" s="4" t="n">
        <v>17.8</v>
      </c>
      <c r="G91" t="inlineStr">
        <is>
          <t>feature</t>
        </is>
      </c>
      <c r="H91" t="inlineStr">
        <is>
          <t>elite</t>
        </is>
      </c>
      <c r="I91" t="inlineStr">
        <is>
          <t>Drake Maye</t>
        </is>
      </c>
      <c r="J91" t="n">
        <v>90.7</v>
      </c>
      <c r="K91" t="n">
        <v>26.3</v>
      </c>
      <c r="L91" t="n">
        <v>0</v>
      </c>
      <c r="M91" t="n">
        <v>13</v>
      </c>
      <c r="N91" t="n">
        <v>1</v>
      </c>
      <c r="O91" t="n">
        <v>0</v>
      </c>
      <c r="P91" t="n">
        <v>0</v>
      </c>
      <c r="Q91" t="n">
        <v>0</v>
      </c>
      <c r="R91" t="n">
        <v>78</v>
      </c>
      <c r="S91" t="n">
        <v>1003</v>
      </c>
      <c r="T91" t="n">
        <v>7</v>
      </c>
      <c r="U91" t="n">
        <v>0</v>
      </c>
      <c r="V91" t="n">
        <v>0</v>
      </c>
      <c r="W91" t="inlineStr"/>
      <c r="X91" t="inlineStr"/>
      <c r="Y91" t="inlineStr"/>
      <c r="Z91" t="inlineStr"/>
      <c r="AA91" t="inlineStr"/>
      <c r="AB91" t="inlineStr"/>
      <c r="AC91" t="inlineStr"/>
      <c r="AD91" t="n">
        <v>5.79</v>
      </c>
      <c r="AE91" t="n">
        <v>6.86</v>
      </c>
      <c r="AF91" t="n">
        <v>-1.08</v>
      </c>
      <c r="AG91" t="inlineStr"/>
      <c r="AH91" t="inlineStr"/>
      <c r="AI91" t="inlineStr"/>
      <c r="AJ91" t="n">
        <v>28</v>
      </c>
      <c r="AK91" t="inlineStr"/>
      <c r="AL91" t="inlineStr">
        <is>
          <t>1 games (2025 season)</t>
        </is>
      </c>
      <c r="AM91" t="inlineStr">
        <is>
          <t>Strong WR2 with top-12 weekly upside.</t>
        </is>
      </c>
      <c r="AN91" t="inlineStr">
        <is>
          <t>He produced 14.7 PPR/FP points per game across 15 games. The workload/efficiency profile gives the model a rate-based reason to keep him here. The market is more aggressive at ADP 14 versus model overall rank 41, so price matters.</t>
        </is>
      </c>
      <c r="AO91" t="inlineStr">
        <is>
          <t>Price is the biggest risk: the market currently asks you to draft him earlier than the model prefers.</t>
        </is>
      </c>
    </row>
    <row r="92">
      <c r="A92" t="inlineStr">
        <is>
          <t>WR</t>
        </is>
      </c>
      <c r="B92" t="inlineStr">
        <is>
          <t>CeeDee Lamb</t>
        </is>
      </c>
      <c r="C92" t="inlineStr">
        <is>
          <t>DAL</t>
        </is>
      </c>
      <c r="D92" t="n">
        <v>14</v>
      </c>
      <c r="E92" s="4" t="n">
        <v>85.7</v>
      </c>
      <c r="F92" s="4" t="n">
        <v>11.2</v>
      </c>
      <c r="G92" t="inlineStr">
        <is>
          <t>committee</t>
        </is>
      </c>
      <c r="H92" t="inlineStr">
        <is>
          <t>elite</t>
        </is>
      </c>
      <c r="I92" t="inlineStr">
        <is>
          <t>Dak Prescott</t>
        </is>
      </c>
      <c r="J92" t="n">
        <v>72.90000000000001</v>
      </c>
      <c r="K92" t="n">
        <v>19.3</v>
      </c>
      <c r="L92" t="n">
        <v>0</v>
      </c>
      <c r="M92" t="n">
        <v>17</v>
      </c>
      <c r="N92" t="n">
        <v>1</v>
      </c>
      <c r="O92" t="n">
        <v>0</v>
      </c>
      <c r="P92" t="n">
        <v>0</v>
      </c>
      <c r="Q92" t="n">
        <v>0</v>
      </c>
      <c r="R92" t="n">
        <v>75</v>
      </c>
      <c r="S92" t="n">
        <v>1077</v>
      </c>
      <c r="T92" t="n">
        <v>3</v>
      </c>
      <c r="U92" t="n">
        <v>0</v>
      </c>
      <c r="V92" t="n">
        <v>0</v>
      </c>
      <c r="W92" t="inlineStr"/>
      <c r="X92" t="inlineStr"/>
      <c r="Y92" t="inlineStr"/>
      <c r="Z92" t="inlineStr"/>
      <c r="AA92" t="inlineStr"/>
      <c r="AB92" t="inlineStr"/>
      <c r="AC92" t="inlineStr"/>
      <c r="AD92" t="n">
        <v>2.56</v>
      </c>
      <c r="AE92" t="n">
        <v>4.9</v>
      </c>
      <c r="AF92" t="n">
        <v>-2.33</v>
      </c>
      <c r="AG92" t="inlineStr"/>
      <c r="AH92" t="inlineStr"/>
      <c r="AI92" t="inlineStr"/>
      <c r="AJ92" t="n">
        <v>26</v>
      </c>
      <c r="AK92" t="inlineStr"/>
      <c r="AL92" t="inlineStr">
        <is>
          <t>1 games (2025 season)</t>
        </is>
      </c>
      <c r="AM92" t="inlineStr">
        <is>
          <t>Strong WR1; bankable weekly starter with spike-week ceiling.</t>
        </is>
      </c>
      <c r="AN92" t="inlineStr">
        <is>
          <t>He produced 14.4 PPR/FP points per game across 14 games. The workload/efficiency profile gives the model a rate-based reason to keep him here. The market is more aggressive at ADP 8 versus model overall rank 18, so price matters.</t>
        </is>
      </c>
      <c r="AO92" t="inlineStr">
        <is>
          <t>Price is the biggest risk: the market currently asks you to draft him earlier than the model prefers.</t>
        </is>
      </c>
    </row>
    <row r="93">
      <c r="A93" t="inlineStr">
        <is>
          <t>WR</t>
        </is>
      </c>
      <c r="B93" t="inlineStr">
        <is>
          <t>Justin Jefferson</t>
        </is>
      </c>
      <c r="C93" t="inlineStr">
        <is>
          <t>MIN</t>
        </is>
      </c>
      <c r="D93" t="n">
        <v>6</v>
      </c>
      <c r="E93" s="4" t="n">
        <v>84.8</v>
      </c>
      <c r="F93" s="4" t="n">
        <v>14.6</v>
      </c>
      <c r="G93" t="inlineStr">
        <is>
          <t>committee</t>
        </is>
      </c>
      <c r="H93" t="inlineStr">
        <is>
          <t>weakness</t>
        </is>
      </c>
      <c r="I93" t="inlineStr">
        <is>
          <t>Kyler Murray</t>
        </is>
      </c>
      <c r="J93" t="n">
        <v>0</v>
      </c>
      <c r="K93" t="n">
        <v>31.4</v>
      </c>
      <c r="L93" t="n">
        <v>0</v>
      </c>
      <c r="M93" t="n">
        <v>19</v>
      </c>
      <c r="N93" t="n">
        <v>1</v>
      </c>
      <c r="O93" t="n">
        <v>0</v>
      </c>
      <c r="P93" t="n">
        <v>0</v>
      </c>
      <c r="Q93" t="n">
        <v>0</v>
      </c>
      <c r="R93" t="n">
        <v>84</v>
      </c>
      <c r="S93" t="n">
        <v>1048</v>
      </c>
      <c r="T93" t="n">
        <v>2</v>
      </c>
      <c r="U93" t="n">
        <v>0</v>
      </c>
      <c r="V93" t="n">
        <v>0</v>
      </c>
      <c r="W93" t="inlineStr"/>
      <c r="X93" t="inlineStr"/>
      <c r="Y93" t="inlineStr"/>
      <c r="Z93" t="inlineStr"/>
      <c r="AA93" t="inlineStr"/>
      <c r="AB93" t="inlineStr"/>
      <c r="AC93" t="inlineStr"/>
      <c r="AD93" t="n">
        <v>1.42</v>
      </c>
      <c r="AE93" t="n">
        <v>4.82</v>
      </c>
      <c r="AF93" t="n">
        <v>-3.4</v>
      </c>
      <c r="AG93" t="inlineStr"/>
      <c r="AH93" t="inlineStr"/>
      <c r="AI93" t="inlineStr"/>
      <c r="AJ93" t="n">
        <v>26</v>
      </c>
      <c r="AK93" t="inlineStr"/>
      <c r="AL93" t="inlineStr">
        <is>
          <t>1 games (2025 season)</t>
        </is>
      </c>
      <c r="AM93" t="inlineStr">
        <is>
          <t>Strong WR2 with top-12 weekly upside.</t>
        </is>
      </c>
      <c r="AN93" t="inlineStr">
        <is>
          <t>Recent production has not matched his peak years, and QB quality is a material concern until proven otherwise. Maybe he isn't the 12th-best WR in 2026, but the uncertainty is real. Market asks you to draft him at ADP 15 versus model overall rank 32.</t>
        </is>
      </c>
      <c r="AO93" t="inlineStr">
        <is>
          <t>Vikings passing game efficiency, QB play quality, and target volume in a run-first offense are the main downside paths. Price compounds the risk.</t>
        </is>
      </c>
    </row>
    <row r="94">
      <c r="A94" t="inlineStr">
        <is>
          <t>WR</t>
        </is>
      </c>
      <c r="B94" t="inlineStr">
        <is>
          <t>George Pickens</t>
        </is>
      </c>
      <c r="C94" t="inlineStr">
        <is>
          <t>DAL</t>
        </is>
      </c>
      <c r="D94" t="n">
        <v>14</v>
      </c>
      <c r="E94" s="4" t="n">
        <v>81.8</v>
      </c>
      <c r="F94" s="4" t="n">
        <v>21.1</v>
      </c>
      <c r="G94" t="inlineStr">
        <is>
          <t>committee</t>
        </is>
      </c>
      <c r="H94" t="inlineStr">
        <is>
          <t>elite</t>
        </is>
      </c>
      <c r="I94" t="inlineStr">
        <is>
          <t>Dak Prescott</t>
        </is>
      </c>
      <c r="J94" t="n">
        <v>81.09999999999999</v>
      </c>
      <c r="K94" t="n">
        <v>22.6</v>
      </c>
      <c r="L94" t="n">
        <v>0</v>
      </c>
      <c r="M94" t="n">
        <v>24</v>
      </c>
      <c r="N94" t="n">
        <v>1</v>
      </c>
      <c r="O94" t="n">
        <v>0</v>
      </c>
      <c r="P94" t="n">
        <v>0</v>
      </c>
      <c r="Q94" t="n">
        <v>0</v>
      </c>
      <c r="R94" t="n">
        <v>93</v>
      </c>
      <c r="S94" t="n">
        <v>1429</v>
      </c>
      <c r="T94" t="n">
        <v>9</v>
      </c>
      <c r="U94" t="n">
        <v>0</v>
      </c>
      <c r="V94" t="n">
        <v>0</v>
      </c>
      <c r="W94" t="inlineStr"/>
      <c r="X94" t="inlineStr"/>
      <c r="Y94" t="inlineStr"/>
      <c r="Z94" t="inlineStr"/>
      <c r="AA94" t="inlineStr"/>
      <c r="AB94" t="inlineStr"/>
      <c r="AC94" t="inlineStr"/>
      <c r="AD94" t="n">
        <v>6.57</v>
      </c>
      <c r="AE94" t="n">
        <v>4.88</v>
      </c>
      <c r="AF94" t="n">
        <v>1.69</v>
      </c>
      <c r="AG94" t="inlineStr"/>
      <c r="AH94" t="inlineStr"/>
      <c r="AI94" t="inlineStr"/>
      <c r="AJ94" t="n">
        <v>24</v>
      </c>
      <c r="AK94" t="inlineStr"/>
      <c r="AL94" t="inlineStr">
        <is>
          <t>1 games (2025 season)</t>
        </is>
      </c>
      <c r="AM94" t="inlineStr">
        <is>
          <t>Strong WR2 with top-12 weekly upside.</t>
        </is>
      </c>
      <c r="AN94" t="inlineStr">
        <is>
          <t>He produced 17.2 PPR/FP points per game across 17 games. The workload/efficiency profile gives the model a rate-based reason to keep him here. The market is more aggressive at ADP 16 versus model overall rank 45, so price matters.</t>
        </is>
      </c>
      <c r="AO94" t="inlineStr">
        <is>
          <t>Price is the biggest risk: the market currently asks you to draft him earlier than the model prefers.</t>
        </is>
      </c>
    </row>
    <row r="95">
      <c r="A95" t="inlineStr">
        <is>
          <t>WR</t>
        </is>
      </c>
      <c r="B95" t="inlineStr">
        <is>
          <t>Drake London</t>
        </is>
      </c>
      <c r="C95" t="inlineStr">
        <is>
          <t>ATL</t>
        </is>
      </c>
      <c r="D95" t="n">
        <v>11</v>
      </c>
      <c r="E95" s="4" t="n">
        <v>87.5</v>
      </c>
      <c r="F95" s="4" t="n">
        <v>10.2</v>
      </c>
      <c r="G95" t="inlineStr">
        <is>
          <t>committee</t>
        </is>
      </c>
      <c r="H95" t="inlineStr">
        <is>
          <t>weakness</t>
        </is>
      </c>
      <c r="I95" t="inlineStr">
        <is>
          <t>Tua Tagovailoa</t>
        </is>
      </c>
      <c r="J95" t="n">
        <v>90.7</v>
      </c>
      <c r="K95" t="n">
        <v>22.2</v>
      </c>
      <c r="L95" t="n">
        <v>0</v>
      </c>
      <c r="M95" t="n">
        <v>16</v>
      </c>
      <c r="N95" t="n">
        <v>1</v>
      </c>
      <c r="O95" t="n">
        <v>0</v>
      </c>
      <c r="P95" t="n">
        <v>0</v>
      </c>
      <c r="Q95" t="n">
        <v>0</v>
      </c>
      <c r="R95" t="n">
        <v>68</v>
      </c>
      <c r="S95" t="n">
        <v>919</v>
      </c>
      <c r="T95" t="n">
        <v>7</v>
      </c>
      <c r="U95" t="n">
        <v>0</v>
      </c>
      <c r="V95" t="n">
        <v>0</v>
      </c>
      <c r="W95" t="inlineStr"/>
      <c r="X95" t="inlineStr"/>
      <c r="Y95" t="inlineStr"/>
      <c r="Z95" t="inlineStr"/>
      <c r="AA95" t="inlineStr"/>
      <c r="AB95" t="inlineStr"/>
      <c r="AC95" t="inlineStr"/>
      <c r="AD95" t="n">
        <v>6.25</v>
      </c>
      <c r="AE95" t="n">
        <v>4.43</v>
      </c>
      <c r="AF95" t="n">
        <v>1.82</v>
      </c>
      <c r="AG95" t="inlineStr"/>
      <c r="AH95" t="inlineStr"/>
      <c r="AI95" t="inlineStr"/>
      <c r="AJ95" t="n">
        <v>24</v>
      </c>
      <c r="AK95" t="inlineStr"/>
      <c r="AL95" t="inlineStr">
        <is>
          <t>1 games (2025 season)</t>
        </is>
      </c>
      <c r="AM95" t="inlineStr">
        <is>
          <t>Strong WR1; bankable weekly starter with spike-week ceiling.</t>
        </is>
      </c>
      <c r="AN95" t="inlineStr">
        <is>
          <t>He produced 16.9 PPR/FP points per game across 12 games. The workload/efficiency profile gives the model a rate-based reason to keep him here.</t>
        </is>
      </c>
      <c r="AO95" t="inlineStr">
        <is>
          <t>Target competition, quarterback efficiency and touchdown regression are the main downside paths.</t>
        </is>
      </c>
    </row>
    <row r="96">
      <c r="A96" t="inlineStr">
        <is>
          <t>WR</t>
        </is>
      </c>
      <c r="B96" t="inlineStr">
        <is>
          <t>Nico Collins</t>
        </is>
      </c>
      <c r="C96" t="inlineStr">
        <is>
          <t>HOU</t>
        </is>
      </c>
      <c r="D96" t="n">
        <v>8</v>
      </c>
      <c r="E96" s="4" t="n">
        <v>91.5</v>
      </c>
      <c r="F96" s="4" t="n">
        <v>23.8</v>
      </c>
      <c r="G96" t="inlineStr">
        <is>
          <t>committee</t>
        </is>
      </c>
      <c r="H96" t="inlineStr">
        <is>
          <t>weakness</t>
        </is>
      </c>
      <c r="I96" t="inlineStr">
        <is>
          <t>C.J. Stroud</t>
        </is>
      </c>
      <c r="J96" t="n">
        <v>0</v>
      </c>
      <c r="K96" t="n">
        <v>21.8</v>
      </c>
      <c r="L96" t="n">
        <v>0</v>
      </c>
      <c r="M96" t="n">
        <v>20</v>
      </c>
      <c r="N96" t="n">
        <v>1</v>
      </c>
      <c r="O96" t="n">
        <v>0</v>
      </c>
      <c r="P96" t="n">
        <v>0</v>
      </c>
      <c r="Q96" t="n">
        <v>0</v>
      </c>
      <c r="R96" t="n">
        <v>71</v>
      </c>
      <c r="S96" t="n">
        <v>1117</v>
      </c>
      <c r="T96" t="n">
        <v>6</v>
      </c>
      <c r="U96" t="n">
        <v>0</v>
      </c>
      <c r="V96" t="n">
        <v>0</v>
      </c>
      <c r="W96" t="inlineStr"/>
      <c r="X96" t="inlineStr"/>
      <c r="Y96" t="inlineStr"/>
      <c r="Z96" t="inlineStr"/>
      <c r="AA96" t="inlineStr"/>
      <c r="AB96" t="inlineStr"/>
      <c r="AC96" t="inlineStr"/>
      <c r="AD96" t="n">
        <v>5</v>
      </c>
      <c r="AE96" t="n">
        <v>5.29</v>
      </c>
      <c r="AF96" t="n">
        <v>-0.29</v>
      </c>
      <c r="AG96" t="inlineStr"/>
      <c r="AH96" t="inlineStr"/>
      <c r="AI96" t="inlineStr"/>
      <c r="AJ96" t="n">
        <v>26</v>
      </c>
      <c r="AK96" t="inlineStr"/>
      <c r="AL96" t="inlineStr">
        <is>
          <t>1 games (2025 season)</t>
        </is>
      </c>
      <c r="AM96" t="inlineStr">
        <is>
          <t>Elite WR1 and first-round caliber target with overall WR1 upside.</t>
        </is>
      </c>
      <c r="AN96" t="inlineStr">
        <is>
          <t>He produced 15.0 PPR/FP points per game across 15 games. The workload/efficiency profile gives the model a rate-based reason to keep him here.</t>
        </is>
      </c>
      <c r="AO96" t="inlineStr">
        <is>
          <t>Target competition, quarterback efficiency and touchdown regression are the main downside paths.</t>
        </is>
      </c>
    </row>
    <row r="97">
      <c r="A97" t="inlineStr">
        <is>
          <t>WR</t>
        </is>
      </c>
      <c r="B97" t="inlineStr">
        <is>
          <t>Rashee Rice</t>
        </is>
      </c>
      <c r="C97" t="inlineStr">
        <is>
          <t>KC</t>
        </is>
      </c>
      <c r="D97" t="n">
        <v>5</v>
      </c>
      <c r="E97" s="4" t="n">
        <v>84.09999999999999</v>
      </c>
      <c r="F97" s="4" t="n">
        <v>11.5</v>
      </c>
      <c r="G97" t="inlineStr">
        <is>
          <t>unclear</t>
        </is>
      </c>
      <c r="H97" t="inlineStr">
        <is>
          <t>elite</t>
        </is>
      </c>
      <c r="I97" t="inlineStr">
        <is>
          <t>Patrick Mahomes II</t>
        </is>
      </c>
      <c r="J97" t="n">
        <v>2</v>
      </c>
      <c r="K97" t="n">
        <v>14.2</v>
      </c>
      <c r="L97" t="n">
        <v>0</v>
      </c>
      <c r="M97" t="n">
        <v>22</v>
      </c>
      <c r="N97" t="n">
        <v>1</v>
      </c>
      <c r="O97" t="n">
        <v>0</v>
      </c>
      <c r="P97" t="n">
        <v>0</v>
      </c>
      <c r="Q97" t="n">
        <v>0</v>
      </c>
      <c r="R97" t="n">
        <v>53</v>
      </c>
      <c r="S97" t="n">
        <v>571</v>
      </c>
      <c r="T97" t="n">
        <v>5</v>
      </c>
      <c r="U97" t="n">
        <v>0</v>
      </c>
      <c r="V97" t="n">
        <v>0</v>
      </c>
      <c r="W97" t="inlineStr"/>
      <c r="X97" t="inlineStr"/>
      <c r="Y97" t="inlineStr"/>
      <c r="Z97" t="inlineStr"/>
      <c r="AA97" t="inlineStr"/>
      <c r="AB97" t="inlineStr"/>
      <c r="AC97" t="inlineStr"/>
      <c r="AD97" t="n">
        <v>6.41</v>
      </c>
      <c r="AE97" t="n">
        <v>6.7</v>
      </c>
      <c r="AF97" t="n">
        <v>-0.29</v>
      </c>
      <c r="AG97" t="inlineStr"/>
      <c r="AH97" t="inlineStr"/>
      <c r="AI97" t="inlineStr"/>
      <c r="AJ97" t="n">
        <v>25</v>
      </c>
      <c r="AK97" t="inlineStr"/>
      <c r="AL97" t="inlineStr">
        <is>
          <t>1 games (2025 season)</t>
        </is>
      </c>
      <c r="AM97" t="inlineStr">
        <is>
          <t>Strong WR2 with top-12 weekly upside.</t>
        </is>
      </c>
      <c r="AN97" t="inlineStr">
        <is>
          <t>He produced 18.7 PPR/FP points per game across 8 games. The workload/efficiency profile gives the model a rate-based reason to keep him here. The market is more aggressive at ADP 22 versus model overall rank 40, so price matters.</t>
        </is>
      </c>
      <c r="AO97" t="inlineStr">
        <is>
          <t>Availability/sample risk is elevated after only 8 games; talent is not being punished as heavily as durability.</t>
        </is>
      </c>
    </row>
    <row r="98">
      <c r="A98" t="inlineStr">
        <is>
          <t>WR</t>
        </is>
      </c>
      <c r="B98" t="inlineStr">
        <is>
          <t>Chris Olave</t>
        </is>
      </c>
      <c r="C98" t="inlineStr">
        <is>
          <t>NO</t>
        </is>
      </c>
      <c r="D98" t="n">
        <v>8</v>
      </c>
      <c r="E98" s="4" t="n">
        <v>88.90000000000001</v>
      </c>
      <c r="F98" s="4" t="n">
        <v>20.4</v>
      </c>
      <c r="G98" t="inlineStr">
        <is>
          <t>feature</t>
        </is>
      </c>
      <c r="H98" t="inlineStr">
        <is>
          <t>elite</t>
        </is>
      </c>
      <c r="I98" t="inlineStr">
        <is>
          <t>Tyler Shough</t>
        </is>
      </c>
      <c r="J98" t="n">
        <v>84.3</v>
      </c>
      <c r="K98" t="n">
        <v>32.8</v>
      </c>
      <c r="L98" t="n">
        <v>0</v>
      </c>
      <c r="M98" t="n">
        <v>15</v>
      </c>
      <c r="N98" t="n">
        <v>1</v>
      </c>
      <c r="O98" t="n">
        <v>0</v>
      </c>
      <c r="P98" t="n">
        <v>0</v>
      </c>
      <c r="Q98" t="n">
        <v>0</v>
      </c>
      <c r="R98" t="n">
        <v>100</v>
      </c>
      <c r="S98" t="n">
        <v>1163</v>
      </c>
      <c r="T98" t="n">
        <v>9</v>
      </c>
      <c r="U98" t="n">
        <v>0</v>
      </c>
      <c r="V98" t="n">
        <v>0</v>
      </c>
      <c r="W98" t="inlineStr"/>
      <c r="X98" t="inlineStr"/>
      <c r="Y98" t="inlineStr"/>
      <c r="Z98" t="inlineStr"/>
      <c r="AA98" t="inlineStr"/>
      <c r="AB98" t="inlineStr"/>
      <c r="AC98" t="inlineStr"/>
      <c r="AD98" t="n">
        <v>5.77</v>
      </c>
      <c r="AE98" t="n">
        <v>4.16</v>
      </c>
      <c r="AF98" t="n">
        <v>1.61</v>
      </c>
      <c r="AG98" t="inlineStr"/>
      <c r="AH98" t="inlineStr"/>
      <c r="AI98" t="inlineStr"/>
      <c r="AJ98" t="n">
        <v>25</v>
      </c>
      <c r="AK98" t="inlineStr"/>
      <c r="AL98" t="inlineStr">
        <is>
          <t>1 games (2025 season)</t>
        </is>
      </c>
      <c r="AM98" t="inlineStr">
        <is>
          <t>Strong WR1; bankable weekly starter with spike-week ceiling.</t>
        </is>
      </c>
      <c r="AN98" t="inlineStr">
        <is>
          <t>He produced 16.9 PPR/FP points per game across 16 games. The workload/efficiency profile gives the model a rate-based reason to keep him here.</t>
        </is>
      </c>
      <c r="AO98" t="inlineStr">
        <is>
          <t>Target competition, quarterback efficiency and touchdown regression are the main downside paths.</t>
        </is>
      </c>
    </row>
    <row r="99">
      <c r="A99" t="inlineStr">
        <is>
          <t>WR</t>
        </is>
      </c>
      <c r="B99" t="inlineStr">
        <is>
          <t>Tetairoa McMillan</t>
        </is>
      </c>
      <c r="C99" t="inlineStr">
        <is>
          <t>CAR</t>
        </is>
      </c>
      <c r="D99" t="n">
        <v>5</v>
      </c>
      <c r="E99" s="4" t="n">
        <v>85.7</v>
      </c>
      <c r="F99" s="4" t="n">
        <v>34.4</v>
      </c>
      <c r="G99" t="inlineStr">
        <is>
          <t>committee</t>
        </is>
      </c>
      <c r="H99" t="inlineStr">
        <is>
          <t>elite</t>
        </is>
      </c>
      <c r="I99" t="inlineStr">
        <is>
          <t>Bryce Young</t>
        </is>
      </c>
      <c r="J99" t="n">
        <v>51.5</v>
      </c>
      <c r="K99" t="n">
        <v>25.4</v>
      </c>
      <c r="L99" t="n">
        <v>0</v>
      </c>
      <c r="M99" t="n">
        <v>15</v>
      </c>
      <c r="N99" t="n">
        <v>1</v>
      </c>
      <c r="O99" t="n">
        <v>0</v>
      </c>
      <c r="P99" t="n">
        <v>0</v>
      </c>
      <c r="Q99" t="n">
        <v>0</v>
      </c>
      <c r="R99" t="n">
        <v>70</v>
      </c>
      <c r="S99" t="n">
        <v>1014</v>
      </c>
      <c r="T99" t="n">
        <v>7</v>
      </c>
      <c r="U99" t="n">
        <v>0</v>
      </c>
      <c r="V99" t="n">
        <v>0</v>
      </c>
      <c r="W99" t="inlineStr"/>
      <c r="X99" t="inlineStr"/>
      <c r="Y99" t="inlineStr"/>
      <c r="Z99" t="inlineStr"/>
      <c r="AA99" t="inlineStr"/>
      <c r="AB99" t="inlineStr"/>
      <c r="AC99" t="inlineStr"/>
      <c r="AD99" t="n">
        <v>5.74</v>
      </c>
      <c r="AE99" t="n">
        <v>5.74</v>
      </c>
      <c r="AF99" t="n">
        <v>0</v>
      </c>
      <c r="AG99" t="inlineStr"/>
      <c r="AH99" t="inlineStr"/>
      <c r="AI99" t="inlineStr"/>
      <c r="AJ99" t="n">
        <v>22</v>
      </c>
      <c r="AK99" t="inlineStr"/>
      <c r="AL99" t="inlineStr">
        <is>
          <t>1 games (2025 season)</t>
        </is>
      </c>
      <c r="AM99" t="inlineStr">
        <is>
          <t>Strong WR1; bankable weekly starter with spike-week ceiling.</t>
        </is>
      </c>
      <c r="AN99" t="inlineStr">
        <is>
          <t>He produced 12.4 PPR/FP points per game across 17 games. The workload/efficiency profile gives the model a rate-based reason to keep him here. Market price is favorable around ADP 50 versus model overall rank 28.</t>
        </is>
      </c>
      <c r="AO99" t="inlineStr">
        <is>
          <t>Target competition, quarterback efficiency and touchdown regression are the main downside paths.</t>
        </is>
      </c>
    </row>
    <row r="100">
      <c r="A100" t="inlineStr">
        <is>
          <t>WR</t>
        </is>
      </c>
      <c r="B100" t="inlineStr">
        <is>
          <t>Tee Higgins</t>
        </is>
      </c>
      <c r="C100" t="inlineStr">
        <is>
          <t>CIN</t>
        </is>
      </c>
      <c r="D100" t="n">
        <v>6</v>
      </c>
      <c r="E100" s="4" t="n">
        <v>84.8</v>
      </c>
      <c r="F100" s="4" t="n">
        <v>38.6</v>
      </c>
      <c r="G100" t="inlineStr">
        <is>
          <t>committee</t>
        </is>
      </c>
      <c r="H100" t="inlineStr">
        <is>
          <t>weakness</t>
        </is>
      </c>
      <c r="I100" t="inlineStr">
        <is>
          <t>Joe Burrow</t>
        </is>
      </c>
      <c r="J100" t="n">
        <v>42.5</v>
      </c>
      <c r="K100" t="n">
        <v>16.1</v>
      </c>
      <c r="L100" t="n">
        <v>0</v>
      </c>
      <c r="M100" t="n">
        <v>16</v>
      </c>
      <c r="N100" t="n">
        <v>1</v>
      </c>
      <c r="O100" t="n">
        <v>0</v>
      </c>
      <c r="P100" t="n">
        <v>0</v>
      </c>
      <c r="Q100" t="n">
        <v>0</v>
      </c>
      <c r="R100" t="n">
        <v>59</v>
      </c>
      <c r="S100" t="n">
        <v>846</v>
      </c>
      <c r="T100" t="n">
        <v>11</v>
      </c>
      <c r="U100" t="n">
        <v>0</v>
      </c>
      <c r="V100" t="n">
        <v>0</v>
      </c>
      <c r="W100" t="inlineStr"/>
      <c r="X100" t="inlineStr"/>
      <c r="Y100" t="inlineStr"/>
      <c r="Z100" t="inlineStr"/>
      <c r="AA100" t="inlineStr"/>
      <c r="AB100" t="inlineStr"/>
      <c r="AC100" t="inlineStr"/>
      <c r="AD100" t="n">
        <v>11.22</v>
      </c>
      <c r="AE100" t="n">
        <v>7.38</v>
      </c>
      <c r="AF100" t="n">
        <v>3.85</v>
      </c>
      <c r="AG100" t="inlineStr"/>
      <c r="AH100" t="inlineStr"/>
      <c r="AI100" t="inlineStr"/>
      <c r="AJ100" t="n">
        <v>26</v>
      </c>
      <c r="AK100" t="inlineStr"/>
      <c r="AL100" t="inlineStr">
        <is>
          <t>1 games (2025 season)</t>
        </is>
      </c>
      <c r="AM100" t="inlineStr">
        <is>
          <t>Strong WR2 with top-12 weekly upside.</t>
        </is>
      </c>
      <c r="AN100" t="inlineStr">
        <is>
          <t>He produced 14.1 PPR/FP points per game across 15 games. The workload/efficiency profile gives the model a rate-based reason to keep him here. Market price is favorable around ADP 54 versus model overall rank 37.</t>
        </is>
      </c>
      <c r="AO100" t="inlineStr">
        <is>
          <t>Target competition, quarterback efficiency and touchdown regression are the main downside paths.</t>
        </is>
      </c>
    </row>
    <row r="101">
      <c r="A101" t="inlineStr">
        <is>
          <t>WR</t>
        </is>
      </c>
      <c r="B101" t="inlineStr">
        <is>
          <t>Garrett Wilson</t>
        </is>
      </c>
      <c r="C101" t="inlineStr">
        <is>
          <t>NYJ</t>
        </is>
      </c>
      <c r="D101" t="n">
        <v>13</v>
      </c>
      <c r="E101" s="4" t="n">
        <v>86.2</v>
      </c>
      <c r="F101" s="4" t="n">
        <v>29</v>
      </c>
      <c r="G101" t="inlineStr">
        <is>
          <t>unclear</t>
        </is>
      </c>
      <c r="H101" t="inlineStr">
        <is>
          <t>weakness</t>
        </is>
      </c>
      <c r="I101" t="inlineStr">
        <is>
          <t>Geno Smith</t>
        </is>
      </c>
      <c r="J101" t="n">
        <v>35.5</v>
      </c>
      <c r="K101" t="n">
        <v>12</v>
      </c>
      <c r="L101" t="n">
        <v>0</v>
      </c>
      <c r="M101" t="n">
        <v>5</v>
      </c>
      <c r="N101" t="n">
        <v>1</v>
      </c>
      <c r="O101" t="n">
        <v>0</v>
      </c>
      <c r="P101" t="n">
        <v>0</v>
      </c>
      <c r="Q101" t="n">
        <v>0</v>
      </c>
      <c r="R101" t="n">
        <v>36</v>
      </c>
      <c r="S101" t="n">
        <v>395</v>
      </c>
      <c r="T101" t="n">
        <v>4</v>
      </c>
      <c r="U101" t="n">
        <v>0</v>
      </c>
      <c r="V101" t="n">
        <v>0</v>
      </c>
      <c r="W101" t="inlineStr"/>
      <c r="X101" t="inlineStr"/>
      <c r="Y101" t="inlineStr"/>
      <c r="Z101" t="inlineStr"/>
      <c r="AA101" t="inlineStr"/>
      <c r="AB101" t="inlineStr"/>
      <c r="AC101" t="inlineStr"/>
      <c r="AD101" t="n">
        <v>6.78</v>
      </c>
      <c r="AE101" t="n">
        <v>3.41</v>
      </c>
      <c r="AF101" t="n">
        <v>3.37</v>
      </c>
      <c r="AG101" t="inlineStr"/>
      <c r="AH101" t="inlineStr"/>
      <c r="AI101" t="inlineStr"/>
      <c r="AJ101" t="n">
        <v>25</v>
      </c>
      <c r="AK101" t="inlineStr"/>
      <c r="AL101" t="inlineStr">
        <is>
          <t>1 games (2025 season)</t>
        </is>
      </c>
      <c r="AM101" t="inlineStr">
        <is>
          <t>Strong WR1; bankable weekly starter with spike-week ceiling.</t>
        </is>
      </c>
      <c r="AN101" t="inlineStr">
        <is>
          <t>He produced 14.2 PPR/FP points per game across 7 games. The workload/efficiency profile gives the model a rate-based reason to keep him here. Market price is favorable around ADP 58 versus model overall rank 31.</t>
        </is>
      </c>
      <c r="AO101" t="inlineStr">
        <is>
          <t>Availability/sample risk is elevated after only 7 games; talent is not being punished as heavily as durability.</t>
        </is>
      </c>
    </row>
    <row r="102">
      <c r="A102" t="inlineStr">
        <is>
          <t>WR</t>
        </is>
      </c>
      <c r="B102" t="inlineStr">
        <is>
          <t>DeVonta Smith</t>
        </is>
      </c>
      <c r="C102" t="inlineStr">
        <is>
          <t>PHI</t>
        </is>
      </c>
      <c r="D102" t="n">
        <v>10</v>
      </c>
      <c r="E102" s="4" t="n">
        <v>87.5</v>
      </c>
      <c r="F102" s="4" t="n">
        <v>29.5</v>
      </c>
      <c r="G102" t="inlineStr">
        <is>
          <t>committee</t>
        </is>
      </c>
      <c r="H102" t="inlineStr">
        <is>
          <t>elite</t>
        </is>
      </c>
      <c r="I102" t="inlineStr">
        <is>
          <t>Jalen Hurts</t>
        </is>
      </c>
      <c r="J102" t="n">
        <v>0</v>
      </c>
      <c r="K102" t="n">
        <v>24.6</v>
      </c>
      <c r="L102" t="n">
        <v>0</v>
      </c>
      <c r="M102" t="n">
        <v>12</v>
      </c>
      <c r="N102" t="n">
        <v>1</v>
      </c>
      <c r="O102" t="n">
        <v>0</v>
      </c>
      <c r="P102" t="n">
        <v>0</v>
      </c>
      <c r="Q102" t="n">
        <v>0</v>
      </c>
      <c r="R102" t="n">
        <v>77</v>
      </c>
      <c r="S102" t="n">
        <v>1008</v>
      </c>
      <c r="T102" t="n">
        <v>4</v>
      </c>
      <c r="U102" t="n">
        <v>0</v>
      </c>
      <c r="V102" t="n">
        <v>0</v>
      </c>
      <c r="W102" t="inlineStr"/>
      <c r="X102" t="inlineStr"/>
      <c r="Y102" t="inlineStr"/>
      <c r="Z102" t="inlineStr"/>
      <c r="AA102" t="inlineStr"/>
      <c r="AB102" t="inlineStr"/>
      <c r="AC102" t="inlineStr"/>
      <c r="AD102" t="n">
        <v>3.54</v>
      </c>
      <c r="AE102" t="n">
        <v>5.6</v>
      </c>
      <c r="AF102" t="n">
        <v>-2.06</v>
      </c>
      <c r="AG102" t="inlineStr"/>
      <c r="AH102" t="inlineStr"/>
      <c r="AI102" t="inlineStr"/>
      <c r="AJ102" t="n">
        <v>26</v>
      </c>
      <c r="AK102" t="inlineStr"/>
      <c r="AL102" t="inlineStr">
        <is>
          <t>1 games (2025 season)</t>
        </is>
      </c>
      <c r="AM102" t="inlineStr">
        <is>
          <t>Strong WR1; bankable weekly starter with spike-week ceiling.</t>
        </is>
      </c>
      <c r="AN102" t="inlineStr">
        <is>
          <t>He produced 11.8 PPR/FP points per game across 17 games. The workload/efficiency profile gives the model a rate-based reason to keep him here.</t>
        </is>
      </c>
      <c r="AO102" t="inlineStr">
        <is>
          <t>Target competition, quarterback efficiency and touchdown regression are the main downside paths.</t>
        </is>
      </c>
    </row>
    <row r="103">
      <c r="A103" t="inlineStr">
        <is>
          <t>WR</t>
        </is>
      </c>
      <c r="B103" t="inlineStr">
        <is>
          <t>Zay Flowers</t>
        </is>
      </c>
      <c r="C103" t="inlineStr">
        <is>
          <t>BAL</t>
        </is>
      </c>
      <c r="D103" t="n">
        <v>13</v>
      </c>
      <c r="E103" s="4" t="n">
        <v>86.59999999999999</v>
      </c>
      <c r="F103" s="4" t="n">
        <v>26.4</v>
      </c>
      <c r="G103" t="inlineStr">
        <is>
          <t>committee</t>
        </is>
      </c>
      <c r="H103" t="inlineStr">
        <is>
          <t>elite</t>
        </is>
      </c>
      <c r="I103" t="inlineStr">
        <is>
          <t>Lamar Jackson</t>
        </is>
      </c>
      <c r="J103" t="n">
        <v>0</v>
      </c>
      <c r="K103" t="n">
        <v>29.1</v>
      </c>
      <c r="L103" t="n">
        <v>0</v>
      </c>
      <c r="M103" t="n">
        <v>13</v>
      </c>
      <c r="N103" t="n">
        <v>1</v>
      </c>
      <c r="O103" t="n">
        <v>0</v>
      </c>
      <c r="P103" t="n">
        <v>0</v>
      </c>
      <c r="Q103" t="n">
        <v>0</v>
      </c>
      <c r="R103" t="n">
        <v>86</v>
      </c>
      <c r="S103" t="n">
        <v>1211</v>
      </c>
      <c r="T103" t="n">
        <v>5</v>
      </c>
      <c r="U103" t="n">
        <v>0</v>
      </c>
      <c r="V103" t="n">
        <v>0</v>
      </c>
      <c r="W103" t="inlineStr"/>
      <c r="X103" t="inlineStr"/>
      <c r="Y103" t="inlineStr"/>
      <c r="Z103" t="inlineStr"/>
      <c r="AA103" t="inlineStr"/>
      <c r="AB103" t="inlineStr"/>
      <c r="AC103" t="inlineStr"/>
      <c r="AD103" t="n">
        <v>4.24</v>
      </c>
      <c r="AE103" t="n">
        <v>4.09</v>
      </c>
      <c r="AF103" t="n">
        <v>0.14</v>
      </c>
      <c r="AG103" t="inlineStr"/>
      <c r="AH103" t="inlineStr"/>
      <c r="AI103" t="inlineStr"/>
      <c r="AJ103" t="n">
        <v>24</v>
      </c>
      <c r="AK103" t="inlineStr"/>
      <c r="AL103" t="inlineStr">
        <is>
          <t>1 games (2025 season)</t>
        </is>
      </c>
      <c r="AM103" t="inlineStr">
        <is>
          <t>Strong WR1; bankable weekly starter with spike-week ceiling.</t>
        </is>
      </c>
      <c r="AN103" t="inlineStr">
        <is>
          <t>He produced 14.4 PPR/FP points per game across 17 games. The workload/efficiency profile gives the model a rate-based reason to keep him here. Market price is favorable around ADP 65 versus model overall rank 32.</t>
        </is>
      </c>
      <c r="AO103" t="inlineStr">
        <is>
          <t>Target competition, quarterback efficiency and touchdown regression are the main downside paths.</t>
        </is>
      </c>
    </row>
    <row r="104">
      <c r="A104" t="inlineStr">
        <is>
          <t>WR</t>
        </is>
      </c>
      <c r="B104" t="inlineStr">
        <is>
          <t>Malik Nabers</t>
        </is>
      </c>
      <c r="C104" t="inlineStr">
        <is>
          <t>NYG</t>
        </is>
      </c>
      <c r="D104" t="n">
        <v>8</v>
      </c>
      <c r="E104" s="4" t="n">
        <v>81.2</v>
      </c>
      <c r="F104" s="4" t="n">
        <v>31.9</v>
      </c>
      <c r="G104" t="inlineStr">
        <is>
          <t>unclear</t>
        </is>
      </c>
      <c r="H104" t="inlineStr">
        <is>
          <t>weakness</t>
        </is>
      </c>
      <c r="I104" t="inlineStr">
        <is>
          <t>Jaxson Dart</t>
        </is>
      </c>
      <c r="J104" t="n">
        <v>79.5</v>
      </c>
      <c r="K104" t="n">
        <v>6.9</v>
      </c>
      <c r="L104" t="n">
        <v>0</v>
      </c>
      <c r="M104" t="n">
        <v>4</v>
      </c>
      <c r="N104" t="n">
        <v>1</v>
      </c>
      <c r="O104" t="n">
        <v>0</v>
      </c>
      <c r="P104" t="n">
        <v>0</v>
      </c>
      <c r="Q104" t="n">
        <v>0</v>
      </c>
      <c r="R104" t="n">
        <v>18</v>
      </c>
      <c r="S104" t="n">
        <v>271</v>
      </c>
      <c r="T104" t="n">
        <v>2</v>
      </c>
      <c r="U104" t="n">
        <v>0</v>
      </c>
      <c r="V104" t="n">
        <v>0</v>
      </c>
      <c r="W104" t="inlineStr"/>
      <c r="X104" t="inlineStr"/>
      <c r="Y104" t="inlineStr"/>
      <c r="Z104" t="inlineStr"/>
      <c r="AA104" t="inlineStr"/>
      <c r="AB104" t="inlineStr"/>
      <c r="AC104" t="inlineStr"/>
      <c r="AD104" t="n">
        <v>5.71</v>
      </c>
      <c r="AE104" t="n">
        <v>4.39</v>
      </c>
      <c r="AF104" t="n">
        <v>1.32</v>
      </c>
      <c r="AG104" t="inlineStr"/>
      <c r="AH104" t="inlineStr"/>
      <c r="AI104" t="inlineStr"/>
      <c r="AJ104" t="n">
        <v>22</v>
      </c>
      <c r="AK104" t="inlineStr"/>
      <c r="AL104" t="inlineStr">
        <is>
          <t>1 games (2025 season)</t>
        </is>
      </c>
      <c r="AM104" t="inlineStr">
        <is>
          <t>Strong WR2 with top-12 weekly upside.</t>
        </is>
      </c>
      <c r="AN104" t="inlineStr">
        <is>
          <t>The 2026 opportunity and projection carry most of the grade because detailed 2025 rate data is incomplete. Market price is favorable around ADP 69 versus model overall rank 57.</t>
        </is>
      </c>
      <c r="AO104" t="inlineStr">
        <is>
          <t>Evidence is thinner than for established veterans, so camp, depth-chart and role news can move the grade materially.</t>
        </is>
      </c>
    </row>
    <row r="105">
      <c r="A105" t="inlineStr">
        <is>
          <t>WR</t>
        </is>
      </c>
      <c r="B105" t="inlineStr">
        <is>
          <t>Emeka Egbuka</t>
        </is>
      </c>
      <c r="C105" t="inlineStr">
        <is>
          <t>TB</t>
        </is>
      </c>
      <c r="D105" t="n">
        <v>10</v>
      </c>
      <c r="E105" s="4" t="n">
        <v>81.7</v>
      </c>
      <c r="F105" s="4" t="n">
        <v>34.4</v>
      </c>
      <c r="G105" t="inlineStr">
        <is>
          <t>committee</t>
        </is>
      </c>
      <c r="H105" t="inlineStr">
        <is>
          <t>weakness</t>
        </is>
      </c>
      <c r="I105" t="inlineStr">
        <is>
          <t>Baker Mayfield</t>
        </is>
      </c>
      <c r="J105" t="n">
        <v>77.59999999999999</v>
      </c>
      <c r="K105" t="n">
        <v>23.5</v>
      </c>
      <c r="L105" t="n">
        <v>0</v>
      </c>
      <c r="M105" t="n">
        <v>16</v>
      </c>
      <c r="N105" t="n">
        <v>1</v>
      </c>
      <c r="O105" t="n">
        <v>0</v>
      </c>
      <c r="P105" t="n">
        <v>0</v>
      </c>
      <c r="Q105" t="n">
        <v>0</v>
      </c>
      <c r="R105" t="n">
        <v>63</v>
      </c>
      <c r="S105" t="n">
        <v>938</v>
      </c>
      <c r="T105" t="n">
        <v>6</v>
      </c>
      <c r="U105" t="n">
        <v>0</v>
      </c>
      <c r="V105" t="n">
        <v>0</v>
      </c>
      <c r="W105" t="inlineStr"/>
      <c r="X105" t="inlineStr"/>
      <c r="Y105" t="inlineStr"/>
      <c r="Z105" t="inlineStr"/>
      <c r="AA105" t="inlineStr"/>
      <c r="AB105" t="inlineStr"/>
      <c r="AC105" t="inlineStr"/>
      <c r="AD105" t="n">
        <v>4.72</v>
      </c>
      <c r="AE105" t="n">
        <v>4.72</v>
      </c>
      <c r="AF105" t="n">
        <v>0</v>
      </c>
      <c r="AG105" t="inlineStr"/>
      <c r="AH105" t="inlineStr"/>
      <c r="AI105" t="inlineStr"/>
      <c r="AJ105" t="n">
        <v>22</v>
      </c>
      <c r="AK105" t="inlineStr"/>
      <c r="AL105" t="inlineStr">
        <is>
          <t>1 games (2025 season)</t>
        </is>
      </c>
      <c r="AM105" t="inlineStr">
        <is>
          <t>Strong WR2 with top-12 weekly upside.</t>
        </is>
      </c>
      <c r="AN105" t="inlineStr">
        <is>
          <t>He produced 11.5 PPR/FP points per game across 17 games. The workload/efficiency profile gives the model a rate-based reason to keep him here. Market price is favorable around ADP 73 versus model overall rank 55.</t>
        </is>
      </c>
      <c r="AO105" t="inlineStr">
        <is>
          <t>Target competition, quarterback efficiency and touchdown regression are the main downside paths.</t>
        </is>
      </c>
    </row>
    <row r="106">
      <c r="A106" t="inlineStr">
        <is>
          <t>WR</t>
        </is>
      </c>
      <c r="B106" t="inlineStr">
        <is>
          <t>Jaylen Waddle</t>
        </is>
      </c>
      <c r="C106" t="inlineStr">
        <is>
          <t>DEN</t>
        </is>
      </c>
      <c r="D106" t="n">
        <v>10</v>
      </c>
      <c r="E106" s="4" t="n">
        <v>82.3</v>
      </c>
      <c r="F106" s="4" t="n">
        <v>48.9</v>
      </c>
      <c r="G106" t="inlineStr">
        <is>
          <t>committee</t>
        </is>
      </c>
      <c r="H106" t="inlineStr">
        <is>
          <t>weakness</t>
        </is>
      </c>
      <c r="I106" t="inlineStr">
        <is>
          <t>Bo Nix</t>
        </is>
      </c>
      <c r="J106" t="n">
        <v>77.59999999999999</v>
      </c>
      <c r="K106" t="n">
        <v>21.6</v>
      </c>
      <c r="L106" t="n">
        <v>0</v>
      </c>
      <c r="M106" t="n">
        <v>11</v>
      </c>
      <c r="N106" t="n">
        <v>1</v>
      </c>
      <c r="O106" t="n">
        <v>0</v>
      </c>
      <c r="P106" t="n">
        <v>0</v>
      </c>
      <c r="Q106" t="n">
        <v>0</v>
      </c>
      <c r="R106" t="n">
        <v>64</v>
      </c>
      <c r="S106" t="n">
        <v>910</v>
      </c>
      <c r="T106" t="n">
        <v>6</v>
      </c>
      <c r="U106" t="n">
        <v>0</v>
      </c>
      <c r="V106" t="n">
        <v>0</v>
      </c>
      <c r="W106" t="inlineStr"/>
      <c r="X106" t="inlineStr"/>
      <c r="Y106" t="inlineStr"/>
      <c r="Z106" t="inlineStr"/>
      <c r="AA106" t="inlineStr"/>
      <c r="AB106" t="inlineStr"/>
      <c r="AC106" t="inlineStr"/>
      <c r="AD106" t="n">
        <v>6</v>
      </c>
      <c r="AE106" t="n">
        <v>4.78</v>
      </c>
      <c r="AF106" t="n">
        <v>1.22</v>
      </c>
      <c r="AG106" t="inlineStr"/>
      <c r="AH106" t="inlineStr"/>
      <c r="AI106" t="inlineStr"/>
      <c r="AJ106" t="n">
        <v>26</v>
      </c>
      <c r="AK106" t="inlineStr"/>
      <c r="AL106" t="inlineStr">
        <is>
          <t>1 games (2025 season)</t>
        </is>
      </c>
      <c r="AM106" t="inlineStr">
        <is>
          <t>Strong WR2 with top-12 weekly upside.</t>
        </is>
      </c>
      <c r="AN106" t="inlineStr">
        <is>
          <t>He produced 12.1 PPR/FP points per game across 16 games. The workload/efficiency profile gives the model a rate-based reason to keep him here. Market price is favorable around ADP 77 versus model overall rank 52.</t>
        </is>
      </c>
      <c r="AO106" t="inlineStr">
        <is>
          <t>Target competition, quarterback efficiency and touchdown regression are the main downside paths.</t>
        </is>
      </c>
    </row>
    <row r="107">
      <c r="A107" t="inlineStr">
        <is>
          <t>WR</t>
        </is>
      </c>
      <c r="B107" t="inlineStr">
        <is>
          <t>Terry McLaurin</t>
        </is>
      </c>
      <c r="C107" t="inlineStr">
        <is>
          <t>WAS</t>
        </is>
      </c>
      <c r="D107" t="n">
        <v>7</v>
      </c>
      <c r="E107" s="4" t="n">
        <v>79.90000000000001</v>
      </c>
      <c r="F107" s="4" t="n">
        <v>43</v>
      </c>
      <c r="G107" t="inlineStr">
        <is>
          <t>unclear</t>
        </is>
      </c>
      <c r="H107" t="inlineStr">
        <is>
          <t>elite</t>
        </is>
      </c>
      <c r="I107" t="inlineStr">
        <is>
          <t>Jayden Daniels</t>
        </is>
      </c>
      <c r="J107" t="n">
        <v>70.40000000000001</v>
      </c>
      <c r="K107" t="n">
        <v>13.9</v>
      </c>
      <c r="L107" t="n">
        <v>0</v>
      </c>
      <c r="M107" t="n">
        <v>8</v>
      </c>
      <c r="N107" t="n">
        <v>1</v>
      </c>
      <c r="O107" t="n">
        <v>0</v>
      </c>
      <c r="P107" t="n">
        <v>0</v>
      </c>
      <c r="Q107" t="n">
        <v>0</v>
      </c>
      <c r="R107" t="n">
        <v>38</v>
      </c>
      <c r="S107" t="n">
        <v>582</v>
      </c>
      <c r="T107" t="n">
        <v>3</v>
      </c>
      <c r="U107" t="n">
        <v>0</v>
      </c>
      <c r="V107" t="n">
        <v>0</v>
      </c>
      <c r="W107" t="inlineStr"/>
      <c r="X107" t="inlineStr"/>
      <c r="Y107" t="inlineStr"/>
      <c r="Z107" t="inlineStr"/>
      <c r="AA107" t="inlineStr"/>
      <c r="AB107" t="inlineStr"/>
      <c r="AC107" t="inlineStr"/>
      <c r="AD107" t="n">
        <v>5</v>
      </c>
      <c r="AE107" t="n">
        <v>5.22</v>
      </c>
      <c r="AF107" t="n">
        <v>-0.22</v>
      </c>
      <c r="AG107" t="inlineStr"/>
      <c r="AH107" t="inlineStr"/>
      <c r="AI107" t="inlineStr"/>
      <c r="AJ107" t="n">
        <v>29</v>
      </c>
      <c r="AK107" t="inlineStr"/>
      <c r="AL107" t="inlineStr">
        <is>
          <t>1 games (2025 season)</t>
        </is>
      </c>
      <c r="AM107" t="inlineStr">
        <is>
          <t>Strong WR2 with top-12 weekly upside.</t>
        </is>
      </c>
      <c r="AN107" t="inlineStr">
        <is>
          <t>He produced 11.4 PPR/FP points per game across 10 games. The workload/efficiency profile gives the model a rate-based reason to keep him here. Market price is favorable around ADP 81 versus model overall rank 62.</t>
        </is>
      </c>
      <c r="AO107" t="inlineStr">
        <is>
          <t>Target competition, quarterback efficiency and touchdown regression are the main downside paths.</t>
        </is>
      </c>
    </row>
    <row r="108">
      <c r="A108" t="inlineStr">
        <is>
          <t>WR</t>
        </is>
      </c>
      <c r="B108" t="inlineStr">
        <is>
          <t>Ladd McConkey</t>
        </is>
      </c>
      <c r="C108" t="inlineStr">
        <is>
          <t>LAC</t>
        </is>
      </c>
      <c r="D108" t="n">
        <v>7</v>
      </c>
      <c r="E108" s="4" t="n">
        <v>82.7</v>
      </c>
      <c r="F108" s="4" t="n">
        <v>44.3</v>
      </c>
      <c r="G108" t="inlineStr">
        <is>
          <t>committee</t>
        </is>
      </c>
      <c r="H108" t="inlineStr">
        <is>
          <t>elite</t>
        </is>
      </c>
      <c r="I108" t="inlineStr">
        <is>
          <t>Justin Herbert</t>
        </is>
      </c>
      <c r="J108" t="n">
        <v>77.5</v>
      </c>
      <c r="K108" t="n">
        <v>19.5</v>
      </c>
      <c r="L108" t="n">
        <v>0</v>
      </c>
      <c r="M108" t="n">
        <v>15</v>
      </c>
      <c r="N108" t="n">
        <v>1</v>
      </c>
      <c r="O108" t="n">
        <v>0</v>
      </c>
      <c r="P108" t="n">
        <v>0</v>
      </c>
      <c r="Q108" t="n">
        <v>0</v>
      </c>
      <c r="R108" t="n">
        <v>66</v>
      </c>
      <c r="S108" t="n">
        <v>789</v>
      </c>
      <c r="T108" t="n">
        <v>6</v>
      </c>
      <c r="U108" t="n">
        <v>0</v>
      </c>
      <c r="V108" t="n">
        <v>0</v>
      </c>
      <c r="W108" t="inlineStr"/>
      <c r="X108" t="inlineStr"/>
      <c r="Y108" t="inlineStr"/>
      <c r="Z108" t="inlineStr"/>
      <c r="AA108" t="inlineStr"/>
      <c r="AB108" t="inlineStr"/>
      <c r="AC108" t="inlineStr"/>
      <c r="AD108" t="n">
        <v>5.66</v>
      </c>
      <c r="AE108" t="n">
        <v>5.96</v>
      </c>
      <c r="AF108" t="n">
        <v>-0.3</v>
      </c>
      <c r="AG108" t="inlineStr"/>
      <c r="AH108" t="inlineStr"/>
      <c r="AI108" t="inlineStr"/>
      <c r="AJ108" t="n">
        <v>23</v>
      </c>
      <c r="AK108" t="inlineStr"/>
      <c r="AL108" t="inlineStr">
        <is>
          <t>1 games (2025 season)</t>
        </is>
      </c>
      <c r="AM108" t="inlineStr">
        <is>
          <t>Strong WR2 with top-12 weekly upside.</t>
        </is>
      </c>
      <c r="AN108" t="inlineStr">
        <is>
          <t>The 2026 opportunity and projection carry most of the grade because detailed 2025 rate data is incomplete. Market price is favorable around ADP 85 versus model overall rank 51.</t>
        </is>
      </c>
      <c r="AO108" t="inlineStr">
        <is>
          <t>Target competition, quarterback efficiency and touchdown regression are the main downside paths.</t>
        </is>
      </c>
    </row>
    <row r="109">
      <c r="A109" t="inlineStr">
        <is>
          <t>WR</t>
        </is>
      </c>
      <c r="B109" t="inlineStr">
        <is>
          <t>Davante Adams</t>
        </is>
      </c>
      <c r="C109" t="inlineStr">
        <is>
          <t>LAR</t>
        </is>
      </c>
      <c r="D109" t="n">
        <v>11</v>
      </c>
      <c r="E109" s="4" t="n">
        <v>78.09999999999999</v>
      </c>
      <c r="F109" s="4" t="n">
        <v>41.5</v>
      </c>
      <c r="G109" t="inlineStr">
        <is>
          <t>committee</t>
        </is>
      </c>
      <c r="H109" t="inlineStr"/>
      <c r="I109" t="inlineStr">
        <is>
          <t>Matthew Stafford</t>
        </is>
      </c>
      <c r="J109" t="n">
        <v>71.40000000000001</v>
      </c>
      <c r="K109" t="n">
        <v>19.6</v>
      </c>
      <c r="L109" t="n">
        <v>0</v>
      </c>
      <c r="M109" t="n">
        <v>32</v>
      </c>
      <c r="N109" t="n">
        <v>1</v>
      </c>
      <c r="O109" t="n">
        <v>0</v>
      </c>
      <c r="P109" t="n">
        <v>0</v>
      </c>
      <c r="Q109" t="n">
        <v>0</v>
      </c>
      <c r="R109" t="n">
        <v>60</v>
      </c>
      <c r="S109" t="n">
        <v>789</v>
      </c>
      <c r="T109" t="n">
        <v>14</v>
      </c>
      <c r="U109" t="n">
        <v>0</v>
      </c>
      <c r="V109" t="n">
        <v>0</v>
      </c>
      <c r="W109" t="inlineStr"/>
      <c r="X109" t="inlineStr"/>
      <c r="Y109" t="inlineStr"/>
      <c r="Z109" t="inlineStr"/>
      <c r="AA109" t="inlineStr"/>
      <c r="AB109" t="inlineStr"/>
      <c r="AC109" t="inlineStr"/>
      <c r="AD109" t="n">
        <v>12.28</v>
      </c>
      <c r="AE109" t="n">
        <v>7.21</v>
      </c>
      <c r="AF109" t="n">
        <v>5.07</v>
      </c>
      <c r="AG109" t="inlineStr"/>
      <c r="AH109" t="inlineStr"/>
      <c r="AI109" t="inlineStr"/>
      <c r="AJ109" t="n">
        <v>32</v>
      </c>
      <c r="AK109" t="inlineStr"/>
      <c r="AL109" t="inlineStr">
        <is>
          <t>1 games (2025 season)</t>
        </is>
      </c>
      <c r="AM109" t="inlineStr">
        <is>
          <t>Strong WR2 with top-12 weekly upside.</t>
        </is>
      </c>
      <c r="AN109" t="inlineStr">
        <is>
          <t>He produced 15.9 PPR/FP points per game across 14 games. The workload/efficiency profile gives the model a rate-based reason to keep him here. Market price is favorable around ADP 89 versus model overall rank 76.</t>
        </is>
      </c>
      <c r="AO109" t="inlineStr">
        <is>
          <t>Target competition, quarterback efficiency and touchdown regression are the main downside paths.</t>
        </is>
      </c>
    </row>
    <row r="110">
      <c r="A110" t="inlineStr">
        <is>
          <t>WR</t>
        </is>
      </c>
      <c r="B110" t="inlineStr">
        <is>
          <t>Luther Burden III</t>
        </is>
      </c>
      <c r="C110" t="inlineStr">
        <is>
          <t>CHI</t>
        </is>
      </c>
      <c r="D110" t="n">
        <v>10</v>
      </c>
      <c r="E110" s="4" t="n">
        <v>78.59999999999999</v>
      </c>
      <c r="F110" s="4" t="n">
        <v>53.1</v>
      </c>
      <c r="G110" t="inlineStr">
        <is>
          <t>unclear</t>
        </is>
      </c>
      <c r="H110" t="inlineStr">
        <is>
          <t>weakness</t>
        </is>
      </c>
      <c r="I110" t="inlineStr">
        <is>
          <t>Caleb Williams</t>
        </is>
      </c>
      <c r="J110" t="n">
        <v>0</v>
      </c>
      <c r="K110" t="n">
        <v>11.3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0</v>
      </c>
      <c r="R110" t="n">
        <v>47</v>
      </c>
      <c r="S110" t="n">
        <v>652</v>
      </c>
      <c r="T110" t="n">
        <v>2</v>
      </c>
      <c r="U110" t="n">
        <v>0</v>
      </c>
      <c r="V110" t="n">
        <v>0</v>
      </c>
      <c r="W110" t="inlineStr"/>
      <c r="X110" t="inlineStr"/>
      <c r="Y110" t="inlineStr"/>
      <c r="Z110" t="inlineStr"/>
      <c r="AA110" t="inlineStr"/>
      <c r="AB110" t="inlineStr"/>
      <c r="AC110" t="inlineStr"/>
      <c r="AD110" t="n">
        <v>3.33</v>
      </c>
      <c r="AE110" t="n">
        <v>3.33</v>
      </c>
      <c r="AF110" t="n">
        <v>0</v>
      </c>
      <c r="AG110" t="inlineStr"/>
      <c r="AH110" t="inlineStr"/>
      <c r="AI110" t="inlineStr"/>
      <c r="AJ110" t="n">
        <v>21</v>
      </c>
      <c r="AK110" t="inlineStr"/>
      <c r="AL110" t="inlineStr">
        <is>
          <t>1 games (2025 season)</t>
        </is>
      </c>
      <c r="AM110" t="inlineStr">
        <is>
          <t>Strong WR2 with top-12 weekly upside.</t>
        </is>
      </c>
      <c r="AN110" t="inlineStr">
        <is>
          <t>He produced 8.5 PPR/FP points per game across 15 games. The workload/efficiency profile gives the model a rate-based reason to keep him here. Market price is favorable around ADP 93 versus model overall rank 71.</t>
        </is>
      </c>
      <c r="AO110" t="inlineStr">
        <is>
          <t>Target competition, quarterback efficiency and touchdown regression are the main downside paths.</t>
        </is>
      </c>
    </row>
    <row r="111">
      <c r="A111" t="inlineStr">
        <is>
          <t>WR</t>
        </is>
      </c>
      <c r="B111" t="inlineStr">
        <is>
          <t>DJ Moore</t>
        </is>
      </c>
      <c r="C111" t="inlineStr">
        <is>
          <t>BUF</t>
        </is>
      </c>
      <c r="D111" t="n">
        <v>7</v>
      </c>
      <c r="E111" s="4" t="n">
        <v>75.5</v>
      </c>
      <c r="F111" s="4" t="n">
        <v>52.9</v>
      </c>
      <c r="G111" t="inlineStr">
        <is>
          <t>committee</t>
        </is>
      </c>
      <c r="H111" t="inlineStr">
        <is>
          <t>elite</t>
        </is>
      </c>
      <c r="I111" t="inlineStr">
        <is>
          <t>Josh Allen</t>
        </is>
      </c>
      <c r="J111" t="n">
        <v>48.6</v>
      </c>
      <c r="K111" t="n">
        <v>16</v>
      </c>
      <c r="L111" t="n">
        <v>0</v>
      </c>
      <c r="M111" t="n">
        <v>13</v>
      </c>
      <c r="N111" t="n">
        <v>1</v>
      </c>
      <c r="O111" t="n">
        <v>0</v>
      </c>
      <c r="P111" t="n">
        <v>0</v>
      </c>
      <c r="Q111" t="n">
        <v>0</v>
      </c>
      <c r="R111" t="n">
        <v>50</v>
      </c>
      <c r="S111" t="n">
        <v>682</v>
      </c>
      <c r="T111" t="n">
        <v>6</v>
      </c>
      <c r="U111" t="n">
        <v>0</v>
      </c>
      <c r="V111" t="n">
        <v>0</v>
      </c>
      <c r="W111" t="inlineStr"/>
      <c r="X111" t="inlineStr"/>
      <c r="Y111" t="inlineStr"/>
      <c r="Z111" t="inlineStr"/>
      <c r="AA111" t="inlineStr"/>
      <c r="AB111" t="inlineStr"/>
      <c r="AC111" t="inlineStr"/>
      <c r="AD111" t="n">
        <v>7.06</v>
      </c>
      <c r="AE111" t="n">
        <v>4.2</v>
      </c>
      <c r="AF111" t="n">
        <v>2.86</v>
      </c>
      <c r="AG111" t="inlineStr"/>
      <c r="AH111" t="inlineStr"/>
      <c r="AI111" t="inlineStr"/>
      <c r="AJ111" t="n">
        <v>28</v>
      </c>
      <c r="AK111" t="inlineStr"/>
      <c r="AL111" t="inlineStr">
        <is>
          <t>1 games (2025 season)</t>
        </is>
      </c>
      <c r="AM111" t="inlineStr">
        <is>
          <t>WR2/FLEX; dependable lineup option with matchup-driven ceiling.</t>
        </is>
      </c>
      <c r="AN111" t="inlineStr">
        <is>
          <t>He produced 10.0 PPR/FP points per game across 17 games. The workload/efficiency profile gives the model a rate-based reason to keep him here.</t>
        </is>
      </c>
      <c r="AO111" t="inlineStr">
        <is>
          <t>Target competition, quarterback efficiency and touchdown regression are the main downside paths.</t>
        </is>
      </c>
    </row>
    <row r="112">
      <c r="A112" t="inlineStr">
        <is>
          <t>WR</t>
        </is>
      </c>
      <c r="B112" t="inlineStr">
        <is>
          <t>Jameson Williams</t>
        </is>
      </c>
      <c r="C112" t="inlineStr">
        <is>
          <t>DET</t>
        </is>
      </c>
      <c r="D112" t="n">
        <v>6</v>
      </c>
      <c r="E112" s="4" t="n">
        <v>76.09999999999999</v>
      </c>
      <c r="F112" s="4" t="n">
        <v>45.8</v>
      </c>
      <c r="G112" t="inlineStr">
        <is>
          <t>committee</t>
        </is>
      </c>
      <c r="H112" t="inlineStr">
        <is>
          <t>elite</t>
        </is>
      </c>
      <c r="I112" t="inlineStr">
        <is>
          <t>Jared Goff</t>
        </is>
      </c>
      <c r="J112" t="n">
        <v>0</v>
      </c>
      <c r="K112" t="n">
        <v>18.5</v>
      </c>
      <c r="L112" t="n">
        <v>0</v>
      </c>
      <c r="M112" t="n">
        <v>76</v>
      </c>
      <c r="N112" t="n">
        <v>1</v>
      </c>
      <c r="O112" t="n">
        <v>0</v>
      </c>
      <c r="P112" t="n">
        <v>0</v>
      </c>
      <c r="Q112" t="n">
        <v>0</v>
      </c>
      <c r="R112" t="n">
        <v>65</v>
      </c>
      <c r="S112" t="n">
        <v>1117</v>
      </c>
      <c r="T112" t="n">
        <v>7</v>
      </c>
      <c r="U112" t="n">
        <v>0</v>
      </c>
      <c r="V112" t="n">
        <v>0</v>
      </c>
      <c r="W112" t="inlineStr"/>
      <c r="X112" t="inlineStr"/>
      <c r="Y112" t="inlineStr"/>
      <c r="Z112" t="inlineStr"/>
      <c r="AA112" t="inlineStr"/>
      <c r="AB112" t="inlineStr"/>
      <c r="AC112" t="inlineStr"/>
      <c r="AD112" t="n">
        <v>6.86</v>
      </c>
      <c r="AE112" t="n">
        <v>6.97</v>
      </c>
      <c r="AF112" t="n">
        <v>-0.1</v>
      </c>
      <c r="AG112" t="inlineStr"/>
      <c r="AH112" t="inlineStr"/>
      <c r="AI112" t="inlineStr"/>
      <c r="AJ112" t="n">
        <v>24</v>
      </c>
      <c r="AK112" t="inlineStr"/>
      <c r="AL112" t="inlineStr">
        <is>
          <t>1 games (2025 season)</t>
        </is>
      </c>
      <c r="AM112" t="inlineStr">
        <is>
          <t>WR2/FLEX; dependable lineup option with matchup-driven ceiling.</t>
        </is>
      </c>
      <c r="AN112" t="inlineStr">
        <is>
          <t>He produced 12.9 PPR/FP points per game across 17 games. The workload/efficiency profile gives the model a rate-based reason to keep him here.</t>
        </is>
      </c>
      <c r="AO112" t="inlineStr">
        <is>
          <t>Target competition, quarterback efficiency and touchdown regression are the main downside paths.</t>
        </is>
      </c>
    </row>
    <row r="113">
      <c r="A113" t="inlineStr">
        <is>
          <t>WR</t>
        </is>
      </c>
      <c r="B113" t="inlineStr">
        <is>
          <t>Rome Odunze</t>
        </is>
      </c>
      <c r="C113" t="inlineStr">
        <is>
          <t>CHI</t>
        </is>
      </c>
      <c r="D113" t="n">
        <v>10</v>
      </c>
      <c r="E113" s="4" t="n">
        <v>73.59999999999999</v>
      </c>
      <c r="F113" s="4" t="n">
        <v>49.3</v>
      </c>
      <c r="G113" t="inlineStr">
        <is>
          <t>committee</t>
        </is>
      </c>
      <c r="H113" t="inlineStr">
        <is>
          <t>weakness</t>
        </is>
      </c>
      <c r="I113" t="inlineStr">
        <is>
          <t>Caleb Williams</t>
        </is>
      </c>
      <c r="J113" t="n">
        <v>88.09999999999999</v>
      </c>
      <c r="K113" t="n">
        <v>16.9</v>
      </c>
      <c r="L113" t="n">
        <v>0</v>
      </c>
      <c r="M113" t="n">
        <v>13</v>
      </c>
      <c r="N113" t="n">
        <v>1</v>
      </c>
      <c r="O113" t="n">
        <v>0</v>
      </c>
      <c r="P113" t="n">
        <v>0</v>
      </c>
      <c r="Q113" t="n">
        <v>0</v>
      </c>
      <c r="R113" t="n">
        <v>44</v>
      </c>
      <c r="S113" t="n">
        <v>661</v>
      </c>
      <c r="T113" t="n">
        <v>6</v>
      </c>
      <c r="U113" t="n">
        <v>0</v>
      </c>
      <c r="V113" t="n">
        <v>0</v>
      </c>
      <c r="W113" t="inlineStr"/>
      <c r="X113" t="inlineStr"/>
      <c r="Y113" t="inlineStr"/>
      <c r="Z113" t="inlineStr"/>
      <c r="AA113" t="inlineStr"/>
      <c r="AB113" t="inlineStr"/>
      <c r="AC113" t="inlineStr"/>
      <c r="AD113" t="n">
        <v>6.67</v>
      </c>
      <c r="AE113" t="n">
        <v>4.71</v>
      </c>
      <c r="AF113" t="n">
        <v>1.95</v>
      </c>
      <c r="AG113" t="inlineStr"/>
      <c r="AH113" t="inlineStr"/>
      <c r="AI113" t="inlineStr"/>
      <c r="AJ113" t="n">
        <v>23</v>
      </c>
      <c r="AK113" t="inlineStr"/>
      <c r="AL113" t="inlineStr">
        <is>
          <t>1 games (2025 season)</t>
        </is>
      </c>
      <c r="AM113" t="inlineStr">
        <is>
          <t>WR2/FLEX; dependable lineup option with matchup-driven ceiling.</t>
        </is>
      </c>
      <c r="AN113" t="inlineStr">
        <is>
          <t>He produced 12.2 PPR/FP points per game across 12 games. The workload/efficiency profile gives the model a rate-based reason to keep him here.</t>
        </is>
      </c>
      <c r="AO113" t="inlineStr">
        <is>
          <t>Target competition, quarterback efficiency and touchdown regression are the main downside paths.</t>
        </is>
      </c>
    </row>
    <row r="114">
      <c r="A114" t="inlineStr">
        <is>
          <t>WR</t>
        </is>
      </c>
      <c r="B114" t="inlineStr">
        <is>
          <t>Mike Evans</t>
        </is>
      </c>
      <c r="C114" t="inlineStr">
        <is>
          <t>SF</t>
        </is>
      </c>
      <c r="D114" t="n">
        <v>8</v>
      </c>
      <c r="E114" s="4" t="n">
        <v>76.5</v>
      </c>
      <c r="F114" s="4" t="n">
        <v>59.4</v>
      </c>
      <c r="G114" t="inlineStr">
        <is>
          <t>unclear</t>
        </is>
      </c>
      <c r="H114" t="inlineStr">
        <is>
          <t>elite</t>
        </is>
      </c>
      <c r="I114" t="inlineStr">
        <is>
          <t>Brock Purdy</t>
        </is>
      </c>
      <c r="J114" t="n">
        <v>0</v>
      </c>
      <c r="K114" t="n">
        <v>11.5</v>
      </c>
      <c r="L114" t="n">
        <v>0</v>
      </c>
      <c r="M114" t="n">
        <v>13</v>
      </c>
      <c r="N114" t="n">
        <v>1</v>
      </c>
      <c r="O114" t="n">
        <v>0</v>
      </c>
      <c r="P114" t="n">
        <v>0</v>
      </c>
      <c r="Q114" t="n">
        <v>0</v>
      </c>
      <c r="R114" t="n">
        <v>30</v>
      </c>
      <c r="S114" t="n">
        <v>368</v>
      </c>
      <c r="T114" t="n">
        <v>3</v>
      </c>
      <c r="U114" t="n">
        <v>0</v>
      </c>
      <c r="V114" t="n">
        <v>0</v>
      </c>
      <c r="W114" t="inlineStr"/>
      <c r="X114" t="inlineStr"/>
      <c r="Y114" t="inlineStr"/>
      <c r="Z114" t="inlineStr"/>
      <c r="AA114" t="inlineStr"/>
      <c r="AB114" t="inlineStr"/>
      <c r="AC114" t="inlineStr"/>
      <c r="AD114" t="n">
        <v>4.84</v>
      </c>
      <c r="AE114" t="n">
        <v>7.23</v>
      </c>
      <c r="AF114" t="n">
        <v>-2.39</v>
      </c>
      <c r="AG114" t="inlineStr"/>
      <c r="AH114" t="inlineStr"/>
      <c r="AI114" t="inlineStr"/>
      <c r="AJ114" t="n">
        <v>32</v>
      </c>
      <c r="AK114" t="inlineStr"/>
      <c r="AL114" t="inlineStr">
        <is>
          <t>1 games (2025 season)</t>
        </is>
      </c>
      <c r="AM114" t="inlineStr">
        <is>
          <t>WR2/FLEX; dependable lineup option with matchup-driven ceiling.</t>
        </is>
      </c>
      <c r="AN114" t="inlineStr">
        <is>
          <t>The 2026 opportunity and projection carry most of the grade because detailed 2025 rate data is incomplete. Market price is favorable around ADP 108 versus model overall rank 91.</t>
        </is>
      </c>
      <c r="AO114" t="inlineStr">
        <is>
          <t>Evidence is thinner than for established veterans, so camp, depth-chart and role news can move the grade materially.</t>
        </is>
      </c>
    </row>
    <row r="115">
      <c r="A115" t="inlineStr">
        <is>
          <t>WR</t>
        </is>
      </c>
      <c r="B115" t="inlineStr">
        <is>
          <t>Marvin Harrison Jr.</t>
        </is>
      </c>
      <c r="C115" t="inlineStr">
        <is>
          <t>ARI</t>
        </is>
      </c>
      <c r="D115" t="n">
        <v>14</v>
      </c>
      <c r="E115" s="4" t="n">
        <v>71.8</v>
      </c>
      <c r="F115" s="4" t="n">
        <v>63.9</v>
      </c>
      <c r="G115" t="inlineStr">
        <is>
          <t>unclear</t>
        </is>
      </c>
      <c r="H115" t="inlineStr">
        <is>
          <t>weakness</t>
        </is>
      </c>
      <c r="I115" t="inlineStr">
        <is>
          <t>Jacoby Brissett</t>
        </is>
      </c>
      <c r="J115" t="n">
        <v>0</v>
      </c>
      <c r="K115" t="n">
        <v>11.8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0</v>
      </c>
      <c r="R115" t="n">
        <v>41</v>
      </c>
      <c r="S115" t="n">
        <v>608</v>
      </c>
      <c r="T115" t="n">
        <v>4</v>
      </c>
      <c r="U115" t="n">
        <v>0</v>
      </c>
      <c r="V115" t="n">
        <v>0</v>
      </c>
      <c r="W115" t="inlineStr"/>
      <c r="X115" t="inlineStr"/>
      <c r="Y115" t="inlineStr"/>
      <c r="Z115" t="inlineStr"/>
      <c r="AA115" t="inlineStr"/>
      <c r="AB115" t="inlineStr"/>
      <c r="AC115" t="inlineStr"/>
      <c r="AD115" t="n">
        <v>5.48</v>
      </c>
      <c r="AE115" t="n">
        <v>6.35</v>
      </c>
      <c r="AF115" t="n">
        <v>-0.87</v>
      </c>
      <c r="AG115" t="inlineStr"/>
      <c r="AH115" t="inlineStr"/>
      <c r="AI115" t="inlineStr"/>
      <c r="AJ115" t="n">
        <v>23</v>
      </c>
      <c r="AK115" t="inlineStr"/>
      <c r="AL115" t="inlineStr">
        <is>
          <t>1 games (2025 season)</t>
        </is>
      </c>
      <c r="AM115" t="inlineStr">
        <is>
          <t>FLEX/bench receiver; needs target growth or efficiency spikes.</t>
        </is>
      </c>
      <c r="AN115" t="inlineStr">
        <is>
          <t>He produced 10.6 PPR/FP points per game across 12 games. The workload/efficiency profile gives the model a rate-based reason to keep him here.</t>
        </is>
      </c>
      <c r="AO115" t="inlineStr">
        <is>
          <t>Target competition, quarterback efficiency and touchdown regression are the main downside paths.</t>
        </is>
      </c>
    </row>
    <row r="116">
      <c r="A116" t="inlineStr">
        <is>
          <t>WR</t>
        </is>
      </c>
      <c r="B116" t="inlineStr">
        <is>
          <t>Christian Watson</t>
        </is>
      </c>
      <c r="C116" t="inlineStr">
        <is>
          <t>GB</t>
        </is>
      </c>
      <c r="D116" t="n">
        <v>11</v>
      </c>
      <c r="E116" s="4" t="n">
        <v>73.90000000000001</v>
      </c>
      <c r="F116" s="4" t="n">
        <v>70.90000000000001</v>
      </c>
      <c r="G116" t="inlineStr">
        <is>
          <t>unclear</t>
        </is>
      </c>
      <c r="H116" t="inlineStr">
        <is>
          <t>elite</t>
        </is>
      </c>
      <c r="I116" t="inlineStr">
        <is>
          <t>Jordan Love</t>
        </is>
      </c>
      <c r="J116" t="n">
        <v>67.7</v>
      </c>
      <c r="K116" t="n">
        <v>12</v>
      </c>
      <c r="L116" t="n">
        <v>0</v>
      </c>
      <c r="M116" t="n">
        <v>7</v>
      </c>
      <c r="N116" t="n">
        <v>1</v>
      </c>
      <c r="O116" t="n">
        <v>0</v>
      </c>
      <c r="P116" t="n">
        <v>0</v>
      </c>
      <c r="Q116" t="n">
        <v>0</v>
      </c>
      <c r="R116" t="n">
        <v>35</v>
      </c>
      <c r="S116" t="n">
        <v>611</v>
      </c>
      <c r="T116" t="n">
        <v>6</v>
      </c>
      <c r="U116" t="n">
        <v>0</v>
      </c>
      <c r="V116" t="n">
        <v>0</v>
      </c>
      <c r="W116" t="inlineStr"/>
      <c r="X116" t="inlineStr"/>
      <c r="Y116" t="inlineStr"/>
      <c r="Z116" t="inlineStr"/>
      <c r="AA116" t="inlineStr"/>
      <c r="AB116" t="inlineStr"/>
      <c r="AC116" t="inlineStr"/>
      <c r="AD116" t="n">
        <v>10.91</v>
      </c>
      <c r="AE116" t="n">
        <v>8.81</v>
      </c>
      <c r="AF116" t="n">
        <v>2.1</v>
      </c>
      <c r="AG116" t="inlineStr"/>
      <c r="AH116" t="inlineStr"/>
      <c r="AI116" t="inlineStr"/>
      <c r="AJ116" t="n">
        <v>26</v>
      </c>
      <c r="AK116" t="inlineStr"/>
      <c r="AL116" t="inlineStr">
        <is>
          <t>1 games (2025 season)</t>
        </is>
      </c>
      <c r="AM116" t="inlineStr">
        <is>
          <t>WR2/FLEX; dependable lineup option with matchup-driven ceiling.</t>
        </is>
      </c>
      <c r="AN116" t="inlineStr">
        <is>
          <t>He produced 13.2 PPR/FP points per game across 10 games. The workload/efficiency profile gives the model a rate-based reason to keep him here.</t>
        </is>
      </c>
      <c r="AO116" t="inlineStr">
        <is>
          <t>Target competition, quarterback efficiency and touchdown regression are the main downside paths.</t>
        </is>
      </c>
    </row>
    <row r="117">
      <c r="A117" t="inlineStr">
        <is>
          <t>WR</t>
        </is>
      </c>
      <c r="B117" t="inlineStr">
        <is>
          <t>Alec Pierce</t>
        </is>
      </c>
      <c r="C117" t="inlineStr">
        <is>
          <t>IND</t>
        </is>
      </c>
      <c r="D117" t="n">
        <v>13</v>
      </c>
      <c r="E117" s="4" t="n">
        <v>70.7</v>
      </c>
      <c r="F117" s="4" t="n">
        <v>55.3</v>
      </c>
      <c r="G117" t="inlineStr">
        <is>
          <t>committee</t>
        </is>
      </c>
      <c r="H117" t="inlineStr">
        <is>
          <t>elite</t>
        </is>
      </c>
      <c r="I117" t="inlineStr">
        <is>
          <t>Daniel Jones</t>
        </is>
      </c>
      <c r="J117" t="n">
        <v>85.90000000000001</v>
      </c>
      <c r="K117" t="n">
        <v>16.3</v>
      </c>
      <c r="L117" t="n">
        <v>0</v>
      </c>
      <c r="M117" t="n">
        <v>9</v>
      </c>
      <c r="N117" t="n">
        <v>1</v>
      </c>
      <c r="O117" t="n">
        <v>0</v>
      </c>
      <c r="P117" t="n">
        <v>0</v>
      </c>
      <c r="Q117" t="n">
        <v>0</v>
      </c>
      <c r="R117" t="n">
        <v>47</v>
      </c>
      <c r="S117" t="n">
        <v>1003</v>
      </c>
      <c r="T117" t="n">
        <v>6</v>
      </c>
      <c r="U117" t="n">
        <v>0</v>
      </c>
      <c r="V117" t="n">
        <v>0</v>
      </c>
      <c r="W117" t="inlineStr"/>
      <c r="X117" t="inlineStr"/>
      <c r="Y117" t="inlineStr"/>
      <c r="Z117" t="inlineStr"/>
      <c r="AA117" t="inlineStr"/>
      <c r="AB117" t="inlineStr"/>
      <c r="AC117" t="inlineStr"/>
      <c r="AD117" t="n">
        <v>7.14</v>
      </c>
      <c r="AE117" t="n">
        <v>5.74</v>
      </c>
      <c r="AF117" t="n">
        <v>1.4</v>
      </c>
      <c r="AG117" t="inlineStr"/>
      <c r="AH117" t="inlineStr"/>
      <c r="AI117" t="inlineStr"/>
      <c r="AJ117" t="n">
        <v>25</v>
      </c>
      <c r="AK117" t="inlineStr"/>
      <c r="AL117" t="inlineStr">
        <is>
          <t>1 games (2025 season)</t>
        </is>
      </c>
      <c r="AM117" t="inlineStr">
        <is>
          <t>FLEX/bench receiver; needs target growth or efficiency spikes.</t>
        </is>
      </c>
      <c r="AN117" t="inlineStr">
        <is>
          <t>He produced 12.2 PPR/FP points per game across 15 games. The workload/efficiency profile gives the model a rate-based reason to keep him here.</t>
        </is>
      </c>
      <c r="AO117" t="inlineStr">
        <is>
          <t>Target competition, quarterback efficiency and touchdown regression are the main downside paths.</t>
        </is>
      </c>
    </row>
    <row r="118">
      <c r="A118" t="inlineStr">
        <is>
          <t>WR</t>
        </is>
      </c>
      <c r="B118" t="inlineStr">
        <is>
          <t>DK Metcalf</t>
        </is>
      </c>
      <c r="C118" t="inlineStr">
        <is>
          <t>PIT</t>
        </is>
      </c>
      <c r="D118" t="n">
        <v>9</v>
      </c>
      <c r="E118" s="4" t="n">
        <v>69.8</v>
      </c>
      <c r="F118" s="4" t="n">
        <v>65.90000000000001</v>
      </c>
      <c r="G118" t="inlineStr">
        <is>
          <t>committee</t>
        </is>
      </c>
      <c r="H118" t="inlineStr">
        <is>
          <t>average</t>
        </is>
      </c>
      <c r="I118" t="inlineStr">
        <is>
          <t>Aaron Rodgers</t>
        </is>
      </c>
      <c r="J118" t="n">
        <v>87.3</v>
      </c>
      <c r="K118" t="n">
        <v>18.1</v>
      </c>
      <c r="L118" t="n">
        <v>0</v>
      </c>
      <c r="M118" t="n">
        <v>14</v>
      </c>
      <c r="N118" t="n">
        <v>1</v>
      </c>
      <c r="O118" t="n">
        <v>0</v>
      </c>
      <c r="P118" t="n">
        <v>0</v>
      </c>
      <c r="Q118" t="n">
        <v>0</v>
      </c>
      <c r="R118" t="n">
        <v>59</v>
      </c>
      <c r="S118" t="n">
        <v>850</v>
      </c>
      <c r="T118" t="n">
        <v>6</v>
      </c>
      <c r="U118" t="n">
        <v>0</v>
      </c>
      <c r="V118" t="n">
        <v>0</v>
      </c>
      <c r="W118" t="inlineStr"/>
      <c r="X118" t="inlineStr"/>
      <c r="Y118" t="inlineStr"/>
      <c r="Z118" t="inlineStr"/>
      <c r="AA118" t="inlineStr"/>
      <c r="AB118" t="inlineStr"/>
      <c r="AC118" t="inlineStr"/>
      <c r="AD118" t="n">
        <v>6.06</v>
      </c>
      <c r="AE118" t="n">
        <v>6.55</v>
      </c>
      <c r="AF118" t="n">
        <v>-0.48</v>
      </c>
      <c r="AG118" t="inlineStr"/>
      <c r="AH118" t="inlineStr"/>
      <c r="AI118" t="inlineStr"/>
      <c r="AJ118" t="n">
        <v>27</v>
      </c>
      <c r="AK118" t="inlineStr"/>
      <c r="AL118" t="inlineStr">
        <is>
          <t>1 games (2025 season)</t>
        </is>
      </c>
      <c r="AM118" t="inlineStr">
        <is>
          <t>FLEX/bench receiver; needs target growth or efficiency spikes.</t>
        </is>
      </c>
      <c r="AN118" t="inlineStr">
        <is>
          <t>He produced 12.4 PPR/FP points per game across 15 games. The workload/efficiency profile gives the model a rate-based reason to keep him here. The market is more aggressive at ADP 124 versus model overall rank 134, so price matters.</t>
        </is>
      </c>
      <c r="AO118" t="inlineStr">
        <is>
          <t>Price is the biggest risk: the market currently asks you to draft him earlier than the model prefers.</t>
        </is>
      </c>
    </row>
    <row r="119">
      <c r="A119" t="inlineStr">
        <is>
          <t>WR</t>
        </is>
      </c>
      <c r="B119" t="inlineStr">
        <is>
          <t>Carnell Tate</t>
        </is>
      </c>
      <c r="C119" t="inlineStr">
        <is>
          <t>TEN</t>
        </is>
      </c>
      <c r="D119" t="n">
        <v>9</v>
      </c>
      <c r="E119" s="4" t="n">
        <v>71.90000000000001</v>
      </c>
      <c r="F119" s="4" t="n">
        <v>77.40000000000001</v>
      </c>
      <c r="G119" t="inlineStr">
        <is>
          <t>unclear</t>
        </is>
      </c>
      <c r="H119" t="inlineStr">
        <is>
          <t>weakness</t>
        </is>
      </c>
      <c r="I119" t="inlineStr">
        <is>
          <t>Cam Ward</t>
        </is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inlineStr"/>
      <c r="X119" t="inlineStr"/>
      <c r="Y119" t="inlineStr"/>
      <c r="Z119" t="inlineStr"/>
      <c r="AA119" t="inlineStr"/>
      <c r="AB119" t="inlineStr"/>
      <c r="AC119" t="inlineStr"/>
      <c r="AD119" t="inlineStr"/>
      <c r="AE119" t="inlineStr"/>
      <c r="AF119" t="inlineStr"/>
      <c r="AG119" t="inlineStr"/>
      <c r="AH119" t="inlineStr"/>
      <c r="AI119" t="inlineStr"/>
      <c r="AJ119" t="n">
        <v>24</v>
      </c>
      <c r="AK119" t="inlineStr"/>
      <c r="AL119" t="inlineStr">
        <is>
          <t>No stats match found</t>
        </is>
      </c>
      <c r="AM119" t="inlineStr">
        <is>
          <t>WR2/FLEX; dependable lineup option with matchup-driven ceiling.</t>
        </is>
      </c>
      <c r="AN119" t="inlineStr">
        <is>
          <t>Rookie score 95.1, backed by No. 4 draft capital and a 6.71 NFL prospect grade. The 2026 role projection is strong enough to replace missing NFL history.</t>
        </is>
      </c>
      <c r="AO119" t="inlineStr">
        <is>
          <t>NFL translation and exact weekly role are the main variables; preseason first-team usage can move this rating quickly.</t>
        </is>
      </c>
    </row>
    <row r="120">
      <c r="A120" t="inlineStr">
        <is>
          <t>WR</t>
        </is>
      </c>
      <c r="B120" t="inlineStr">
        <is>
          <t>Courtland Sutton</t>
        </is>
      </c>
      <c r="C120" t="inlineStr">
        <is>
          <t>DEN</t>
        </is>
      </c>
      <c r="D120" t="n">
        <v>10</v>
      </c>
      <c r="E120" s="4" t="n">
        <v>68.7</v>
      </c>
      <c r="F120" s="4" t="n">
        <v>59.6</v>
      </c>
      <c r="G120" t="inlineStr">
        <is>
          <t>committee</t>
        </is>
      </c>
      <c r="H120" t="inlineStr">
        <is>
          <t>weakness</t>
        </is>
      </c>
      <c r="I120" t="inlineStr">
        <is>
          <t>Bo Nix</t>
        </is>
      </c>
      <c r="J120" t="n">
        <v>85.40000000000001</v>
      </c>
      <c r="K120" t="n">
        <v>21</v>
      </c>
      <c r="L120" t="n">
        <v>0</v>
      </c>
      <c r="M120" t="n">
        <v>20</v>
      </c>
      <c r="N120" t="n">
        <v>1</v>
      </c>
      <c r="O120" t="n">
        <v>0</v>
      </c>
      <c r="P120" t="n">
        <v>0</v>
      </c>
      <c r="Q120" t="n">
        <v>0</v>
      </c>
      <c r="R120" t="n">
        <v>74</v>
      </c>
      <c r="S120" t="n">
        <v>1017</v>
      </c>
      <c r="T120" t="n">
        <v>7</v>
      </c>
      <c r="U120" t="n">
        <v>0</v>
      </c>
      <c r="V120" t="n">
        <v>0</v>
      </c>
      <c r="W120" t="inlineStr"/>
      <c r="X120" t="inlineStr"/>
      <c r="Y120" t="inlineStr"/>
      <c r="Z120" t="inlineStr"/>
      <c r="AA120" t="inlineStr"/>
      <c r="AB120" t="inlineStr"/>
      <c r="AC120" t="inlineStr"/>
      <c r="AD120" t="n">
        <v>5.65</v>
      </c>
      <c r="AE120" t="n">
        <v>5.06</v>
      </c>
      <c r="AF120" t="n">
        <v>0.58</v>
      </c>
      <c r="AG120" t="inlineStr"/>
      <c r="AH120" t="inlineStr"/>
      <c r="AI120" t="inlineStr"/>
      <c r="AJ120" t="n">
        <v>29</v>
      </c>
      <c r="AK120" t="inlineStr"/>
      <c r="AL120" t="inlineStr">
        <is>
          <t>1 games (2025 season)</t>
        </is>
      </c>
      <c r="AM120" t="inlineStr">
        <is>
          <t>FLEX/bench receiver; needs target growth or efficiency spikes.</t>
        </is>
      </c>
      <c r="AN120" t="inlineStr">
        <is>
          <t>He produced 13.0 PPR/FP points per game across 17 games. The workload/efficiency profile gives the model a rate-based reason to keep him here.</t>
        </is>
      </c>
      <c r="AO120" t="inlineStr">
        <is>
          <t>Target competition, quarterback efficiency and touchdown regression are the main downside paths.</t>
        </is>
      </c>
    </row>
    <row r="121">
      <c r="A121" t="inlineStr">
        <is>
          <t>WR</t>
        </is>
      </c>
      <c r="B121" t="inlineStr">
        <is>
          <t>Jordyn Tyson</t>
        </is>
      </c>
      <c r="C121" t="inlineStr">
        <is>
          <t>NO</t>
        </is>
      </c>
      <c r="D121" t="n">
        <v>8</v>
      </c>
      <c r="E121" s="4" t="n">
        <v>76.2</v>
      </c>
      <c r="F121" s="4" t="n">
        <v>87.09999999999999</v>
      </c>
      <c r="G121" t="inlineStr">
        <is>
          <t>unclear</t>
        </is>
      </c>
      <c r="H121" t="inlineStr">
        <is>
          <t>elite</t>
        </is>
      </c>
      <c r="I121" t="inlineStr">
        <is>
          <t>Tyler Shough</t>
        </is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inlineStr"/>
      <c r="X121" t="inlineStr"/>
      <c r="Y121" t="inlineStr"/>
      <c r="Z121" t="inlineStr"/>
      <c r="AA121" t="inlineStr"/>
      <c r="AB121" t="inlineStr"/>
      <c r="AC121" t="inlineStr"/>
      <c r="AD121" t="inlineStr"/>
      <c r="AE121" t="inlineStr"/>
      <c r="AF121" t="inlineStr"/>
      <c r="AG121" t="inlineStr"/>
      <c r="AH121" t="inlineStr"/>
      <c r="AI121" t="inlineStr"/>
      <c r="AJ121" t="n">
        <v>25</v>
      </c>
      <c r="AK121" t="inlineStr"/>
      <c r="AL121" t="inlineStr">
        <is>
          <t>No stats match found</t>
        </is>
      </c>
      <c r="AM121" t="inlineStr">
        <is>
          <t>WR2/FLEX; dependable lineup option with matchup-driven ceiling.</t>
        </is>
      </c>
      <c r="AN121" t="inlineStr">
        <is>
          <t>Rookie score 92.4, backed by No. 8 draft capital and a 6.43 NFL prospect grade. The 2026 role projection is strong enough to replace missing NFL history. Market price is favorable around ADP 136 versus model overall rank 98.</t>
        </is>
      </c>
      <c r="AO121" t="inlineStr">
        <is>
          <t>NFL translation and exact weekly role are the main variables; preseason first-team usage can move this rating quickly.</t>
        </is>
      </c>
    </row>
    <row r="122">
      <c r="A122" t="inlineStr">
        <is>
          <t>WR</t>
        </is>
      </c>
      <c r="B122" t="inlineStr">
        <is>
          <t>Michael Pittman Jr.</t>
        </is>
      </c>
      <c r="C122" t="inlineStr">
        <is>
          <t>PIT</t>
        </is>
      </c>
      <c r="D122" t="n">
        <v>9</v>
      </c>
      <c r="E122" s="4" t="n">
        <v>75.5</v>
      </c>
      <c r="F122" s="4" t="n">
        <v>72.2</v>
      </c>
      <c r="G122" t="inlineStr">
        <is>
          <t>unclear</t>
        </is>
      </c>
      <c r="H122" t="inlineStr">
        <is>
          <t>average</t>
        </is>
      </c>
      <c r="I122" t="inlineStr">
        <is>
          <t>Aaron Rodgers</t>
        </is>
      </c>
      <c r="J122" t="n">
        <v>0</v>
      </c>
      <c r="K122" t="n">
        <v>21.6</v>
      </c>
      <c r="L122" t="n">
        <v>0</v>
      </c>
      <c r="M122" t="n">
        <v>18</v>
      </c>
      <c r="N122" t="n">
        <v>1</v>
      </c>
      <c r="O122" t="n">
        <v>0</v>
      </c>
      <c r="P122" t="n">
        <v>0</v>
      </c>
      <c r="Q122" t="n">
        <v>0</v>
      </c>
      <c r="R122" t="n">
        <v>80</v>
      </c>
      <c r="S122" t="n">
        <v>784</v>
      </c>
      <c r="T122" t="n">
        <v>7</v>
      </c>
      <c r="U122" t="n">
        <v>0</v>
      </c>
      <c r="V122" t="n">
        <v>0</v>
      </c>
      <c r="W122" t="inlineStr"/>
      <c r="X122" t="inlineStr"/>
      <c r="Y122" t="inlineStr"/>
      <c r="Z122" t="inlineStr"/>
      <c r="AA122" t="inlineStr"/>
      <c r="AB122" t="inlineStr"/>
      <c r="AC122" t="inlineStr"/>
      <c r="AD122" t="n">
        <v>6.31</v>
      </c>
      <c r="AE122" t="n">
        <v>3.53</v>
      </c>
      <c r="AF122" t="n">
        <v>2.78</v>
      </c>
      <c r="AG122" t="inlineStr"/>
      <c r="AH122" t="inlineStr"/>
      <c r="AI122" t="inlineStr"/>
      <c r="AJ122" t="n">
        <v>31</v>
      </c>
      <c r="AK122" t="inlineStr"/>
      <c r="AL122" t="inlineStr">
        <is>
          <t>1 games (2025 season)</t>
        </is>
      </c>
      <c r="AM122" t="inlineStr">
        <is>
          <t>WR2/FLEX; dependable lineup option with matchup-driven ceiling.</t>
        </is>
      </c>
      <c r="AN122" t="inlineStr">
        <is>
          <t>He produced 11.9 PPR/FP points per game across 17 games. The workload/efficiency profile gives the model a rate-based reason to keep him here. Market price is favorable around ADP 140 versus model overall rank 105.</t>
        </is>
      </c>
      <c r="AO122" t="inlineStr">
        <is>
          <t>Target competition, quarterback efficiency and touchdown regression are the main downside paths.</t>
        </is>
      </c>
    </row>
    <row r="123">
      <c r="A123" t="inlineStr">
        <is>
          <t>WR</t>
        </is>
      </c>
      <c r="B123" t="inlineStr">
        <is>
          <t>Jakobi Meyers</t>
        </is>
      </c>
      <c r="C123" t="inlineStr">
        <is>
          <t>JAX</t>
        </is>
      </c>
      <c r="D123" t="n">
        <v>7</v>
      </c>
      <c r="E123" s="4" t="n">
        <v>74.90000000000001</v>
      </c>
      <c r="F123" s="4" t="n">
        <v>75.59999999999999</v>
      </c>
      <c r="G123" t="inlineStr">
        <is>
          <t>committee</t>
        </is>
      </c>
      <c r="H123" t="inlineStr">
        <is>
          <t>weakness</t>
        </is>
      </c>
      <c r="I123" t="inlineStr">
        <is>
          <t>Trevor Lawrence</t>
        </is>
      </c>
      <c r="J123" t="n">
        <v>79.3</v>
      </c>
      <c r="K123" t="n">
        <v>18.5</v>
      </c>
      <c r="L123" t="n">
        <v>0</v>
      </c>
      <c r="M123" t="n">
        <v>17</v>
      </c>
      <c r="N123" t="n">
        <v>1</v>
      </c>
      <c r="O123" t="n">
        <v>0</v>
      </c>
      <c r="P123" t="n">
        <v>0</v>
      </c>
      <c r="Q123" t="n">
        <v>0</v>
      </c>
      <c r="R123" t="n">
        <v>75</v>
      </c>
      <c r="S123" t="n">
        <v>835</v>
      </c>
      <c r="T123" t="n">
        <v>3</v>
      </c>
      <c r="U123" t="n">
        <v>0</v>
      </c>
      <c r="V123" t="n">
        <v>0</v>
      </c>
      <c r="W123" t="inlineStr"/>
      <c r="X123" t="inlineStr"/>
      <c r="Y123" t="inlineStr"/>
      <c r="Z123" t="inlineStr"/>
      <c r="AA123" t="inlineStr"/>
      <c r="AB123" t="inlineStr"/>
      <c r="AC123" t="inlineStr"/>
      <c r="AD123" t="n">
        <v>2.73</v>
      </c>
      <c r="AE123" t="n">
        <v>3.34</v>
      </c>
      <c r="AF123" t="n">
        <v>-0.61</v>
      </c>
      <c r="AG123" t="inlineStr"/>
      <c r="AH123" t="inlineStr"/>
      <c r="AI123" t="inlineStr"/>
      <c r="AJ123" t="n">
        <v>28</v>
      </c>
      <c r="AK123" t="inlineStr"/>
      <c r="AL123" t="inlineStr">
        <is>
          <t>1 games (2025 season)</t>
        </is>
      </c>
      <c r="AM123" t="inlineStr">
        <is>
          <t>WR2/FLEX; dependable lineup option with matchup-driven ceiling.</t>
        </is>
      </c>
      <c r="AN123" t="inlineStr">
        <is>
          <t>He produced 11.0 PPR/FP points per game across 16 games. The workload/efficiency profile gives the model a rate-based reason to keep him here. Market price is favorable around ADP 143 versus model overall rank 110.</t>
        </is>
      </c>
      <c r="AO123" t="inlineStr">
        <is>
          <t>Target competition, quarterback efficiency and touchdown regression are the main downside paths.</t>
        </is>
      </c>
    </row>
    <row r="124">
      <c r="A124" t="inlineStr">
        <is>
          <t>WR</t>
        </is>
      </c>
      <c r="B124" t="inlineStr">
        <is>
          <t>Jordan Addison</t>
        </is>
      </c>
      <c r="C124" t="inlineStr">
        <is>
          <t>MIN</t>
        </is>
      </c>
      <c r="D124" t="n">
        <v>6</v>
      </c>
      <c r="E124" s="4" t="n">
        <v>74.2</v>
      </c>
      <c r="F124" s="4" t="n">
        <v>103.3</v>
      </c>
      <c r="G124" t="inlineStr">
        <is>
          <t>committee</t>
        </is>
      </c>
      <c r="H124" t="inlineStr">
        <is>
          <t>weakness</t>
        </is>
      </c>
      <c r="I124" t="inlineStr">
        <is>
          <t>Kyler Murray</t>
        </is>
      </c>
      <c r="J124" t="n">
        <v>85.09999999999999</v>
      </c>
      <c r="K124" t="n">
        <v>17.6</v>
      </c>
      <c r="L124" t="n">
        <v>0</v>
      </c>
      <c r="M124" t="n">
        <v>13</v>
      </c>
      <c r="N124" t="n">
        <v>1</v>
      </c>
      <c r="O124" t="n">
        <v>0</v>
      </c>
      <c r="P124" t="n">
        <v>0</v>
      </c>
      <c r="Q124" t="n">
        <v>0</v>
      </c>
      <c r="R124" t="n">
        <v>42</v>
      </c>
      <c r="S124" t="n">
        <v>610</v>
      </c>
      <c r="T124" t="n">
        <v>3</v>
      </c>
      <c r="U124" t="n">
        <v>0</v>
      </c>
      <c r="V124" t="n">
        <v>0</v>
      </c>
      <c r="W124" t="inlineStr"/>
      <c r="X124" t="inlineStr"/>
      <c r="Y124" t="inlineStr"/>
      <c r="Z124" t="inlineStr"/>
      <c r="AA124" t="inlineStr"/>
      <c r="AB124" t="inlineStr"/>
      <c r="AC124" t="inlineStr"/>
      <c r="AD124" t="n">
        <v>3.8</v>
      </c>
      <c r="AE124" t="n">
        <v>7.69</v>
      </c>
      <c r="AF124" t="n">
        <v>-3.89</v>
      </c>
      <c r="AG124" t="inlineStr"/>
      <c r="AH124" t="inlineStr"/>
      <c r="AI124" t="inlineStr"/>
      <c r="AJ124" t="n">
        <v>23</v>
      </c>
      <c r="AK124" t="inlineStr"/>
      <c r="AL124" t="inlineStr">
        <is>
          <t>1 games (2025 season)</t>
        </is>
      </c>
      <c r="AM124" t="inlineStr">
        <is>
          <t>WR2/FLEX; dependable lineup option with matchup-driven ceiling.</t>
        </is>
      </c>
      <c r="AN124" t="inlineStr">
        <is>
          <t>He produced 9.6 PPR/FP points per game across 14 games. The workload/efficiency profile gives the model a rate-based reason to keep him here. Market price is favorable around ADP 147 versus model overall rank 114.</t>
        </is>
      </c>
      <c r="AO124" t="inlineStr">
        <is>
          <t>Target competition, quarterback efficiency and touchdown regression are the main downside paths.</t>
        </is>
      </c>
    </row>
    <row r="125">
      <c r="A125" t="inlineStr">
        <is>
          <t>WR</t>
        </is>
      </c>
      <c r="B125" t="inlineStr">
        <is>
          <t>Wan'Dale Robinson</t>
        </is>
      </c>
      <c r="C125" t="inlineStr">
        <is>
          <t>TEN</t>
        </is>
      </c>
      <c r="D125" t="n">
        <v>9</v>
      </c>
      <c r="E125" s="4" t="n">
        <v>73.5</v>
      </c>
      <c r="F125" s="4" t="n">
        <v>71</v>
      </c>
      <c r="G125" t="inlineStr">
        <is>
          <t>committee</t>
        </is>
      </c>
      <c r="H125" t="inlineStr">
        <is>
          <t>weakness</t>
        </is>
      </c>
      <c r="I125" t="inlineStr">
        <is>
          <t>Cam Ward</t>
        </is>
      </c>
      <c r="J125" t="n">
        <v>0</v>
      </c>
      <c r="K125" t="n">
        <v>27.6</v>
      </c>
      <c r="L125" t="n">
        <v>0</v>
      </c>
      <c r="M125" t="n">
        <v>14</v>
      </c>
      <c r="N125" t="n">
        <v>1</v>
      </c>
      <c r="O125" t="n">
        <v>0</v>
      </c>
      <c r="P125" t="n">
        <v>0</v>
      </c>
      <c r="Q125" t="n">
        <v>0</v>
      </c>
      <c r="R125" t="n">
        <v>92</v>
      </c>
      <c r="S125" t="n">
        <v>1014</v>
      </c>
      <c r="T125" t="n">
        <v>4</v>
      </c>
      <c r="U125" t="n">
        <v>0</v>
      </c>
      <c r="V125" t="n">
        <v>0</v>
      </c>
      <c r="W125" t="inlineStr"/>
      <c r="X125" t="inlineStr"/>
      <c r="Y125" t="inlineStr"/>
      <c r="Z125" t="inlineStr"/>
      <c r="AA125" t="inlineStr"/>
      <c r="AB125" t="inlineStr"/>
      <c r="AC125" t="inlineStr"/>
      <c r="AD125" t="n">
        <v>2.86</v>
      </c>
      <c r="AE125" t="n">
        <v>2.31</v>
      </c>
      <c r="AF125" t="n">
        <v>0.54</v>
      </c>
      <c r="AG125" t="inlineStr"/>
      <c r="AH125" t="inlineStr"/>
      <c r="AI125" t="inlineStr"/>
      <c r="AJ125" t="n">
        <v>24</v>
      </c>
      <c r="AK125" t="inlineStr"/>
      <c r="AL125" t="inlineStr">
        <is>
          <t>1 games (2025 season)</t>
        </is>
      </c>
      <c r="AM125" t="inlineStr">
        <is>
          <t>WR2/FLEX; dependable lineup option with matchup-driven ceiling.</t>
        </is>
      </c>
      <c r="AN125" t="inlineStr">
        <is>
          <t>He produced 13.7 PPR/FP points per game across 16 games. The workload/efficiency profile gives the model a rate-based reason to keep him here. Market price is favorable around ADP 151 versus model overall rank 118.</t>
        </is>
      </c>
      <c r="AO125" t="inlineStr">
        <is>
          <t>Target competition, quarterback efficiency and touchdown regression are the main downside paths.</t>
        </is>
      </c>
    </row>
    <row r="126">
      <c r="A126" t="inlineStr">
        <is>
          <t>WR</t>
        </is>
      </c>
      <c r="B126" t="inlineStr">
        <is>
          <t>Brian Thomas Jr.</t>
        </is>
      </c>
      <c r="C126" t="inlineStr">
        <is>
          <t>JAX</t>
        </is>
      </c>
      <c r="D126" t="n">
        <v>7</v>
      </c>
      <c r="E126" s="4" t="n">
        <v>67</v>
      </c>
      <c r="F126" s="4" t="n">
        <v>81.09999999999999</v>
      </c>
      <c r="G126" t="inlineStr">
        <is>
          <t>committee</t>
        </is>
      </c>
      <c r="H126" t="inlineStr">
        <is>
          <t>weakness</t>
        </is>
      </c>
      <c r="I126" t="inlineStr">
        <is>
          <t>Trevor Lawrence</t>
        </is>
      </c>
      <c r="J126" t="n">
        <v>0</v>
      </c>
      <c r="K126" t="n">
        <v>15.3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0</v>
      </c>
      <c r="R126" t="n">
        <v>48</v>
      </c>
      <c r="S126" t="n">
        <v>707</v>
      </c>
      <c r="T126" t="n">
        <v>2</v>
      </c>
      <c r="U126" t="n">
        <v>0</v>
      </c>
      <c r="V126" t="n">
        <v>0</v>
      </c>
      <c r="W126" t="inlineStr"/>
      <c r="X126" t="inlineStr"/>
      <c r="Y126" t="inlineStr"/>
      <c r="Z126" t="inlineStr"/>
      <c r="AA126" t="inlineStr"/>
      <c r="AB126" t="inlineStr"/>
      <c r="AC126" t="inlineStr"/>
      <c r="AD126" t="n">
        <v>2.2</v>
      </c>
      <c r="AE126" t="n">
        <v>5.36</v>
      </c>
      <c r="AF126" t="n">
        <v>-3.16</v>
      </c>
      <c r="AG126" t="inlineStr"/>
      <c r="AH126" t="inlineStr"/>
      <c r="AI126" t="inlineStr"/>
      <c r="AJ126" t="n">
        <v>22</v>
      </c>
      <c r="AK126" t="inlineStr"/>
      <c r="AL126" t="inlineStr">
        <is>
          <t>1 games (2025 season)</t>
        </is>
      </c>
      <c r="AM126" t="inlineStr">
        <is>
          <t>FLEX/bench receiver; needs target growth or efficiency spikes.</t>
        </is>
      </c>
      <c r="AN126" t="inlineStr">
        <is>
          <t>The 2026 opportunity and projection carry most of the grade because detailed 2025 rate data is incomplete.</t>
        </is>
      </c>
      <c r="AO126" t="inlineStr">
        <is>
          <t>Target competition, quarterback efficiency and touchdown regression are the main downside paths.</t>
        </is>
      </c>
    </row>
    <row r="127">
      <c r="A127" t="inlineStr">
        <is>
          <t>WR</t>
        </is>
      </c>
      <c r="B127" t="inlineStr">
        <is>
          <t>Makai Lemon</t>
        </is>
      </c>
      <c r="C127" t="inlineStr">
        <is>
          <t>PHI</t>
        </is>
      </c>
      <c r="D127" t="n">
        <v>10</v>
      </c>
      <c r="E127" s="4" t="n">
        <v>72.2</v>
      </c>
      <c r="F127" s="4" t="n">
        <v>108.5</v>
      </c>
      <c r="G127" t="inlineStr">
        <is>
          <t>unclear</t>
        </is>
      </c>
      <c r="H127" t="inlineStr">
        <is>
          <t>elite</t>
        </is>
      </c>
      <c r="I127" t="inlineStr">
        <is>
          <t>Jalen Hurts</t>
        </is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inlineStr"/>
      <c r="X127" t="inlineStr"/>
      <c r="Y127" t="inlineStr"/>
      <c r="Z127" t="inlineStr"/>
      <c r="AA127" t="inlineStr"/>
      <c r="AB127" t="inlineStr"/>
      <c r="AC127" t="inlineStr"/>
      <c r="AD127" t="inlineStr"/>
      <c r="AE127" t="inlineStr"/>
      <c r="AF127" t="inlineStr"/>
      <c r="AG127" t="inlineStr"/>
      <c r="AH127" t="inlineStr"/>
      <c r="AI127" t="inlineStr"/>
      <c r="AJ127" t="n">
        <v>28</v>
      </c>
      <c r="AK127" t="inlineStr"/>
      <c r="AL127" t="inlineStr">
        <is>
          <t>No stats match found</t>
        </is>
      </c>
      <c r="AM127" t="inlineStr">
        <is>
          <t>WR2/FLEX; dependable lineup option with matchup-driven ceiling.</t>
        </is>
      </c>
      <c r="AN127" t="inlineStr">
        <is>
          <t>Rookie score 89.2, backed by No. 20 draft capital and a 6.47 NFL prospect grade. The 2026 role projection is strong enough to replace missing NFL history. Market price is favorable around ADP 159 versus model overall rank 145.</t>
        </is>
      </c>
      <c r="AO127" t="inlineStr">
        <is>
          <t>NFL translation and exact weekly role are the main variables; preseason first-team usage can move this rating quickly.</t>
        </is>
      </c>
    </row>
    <row r="128">
      <c r="A128" t="inlineStr">
        <is>
          <t>WR</t>
        </is>
      </c>
      <c r="B128" t="inlineStr">
        <is>
          <t>Parker Washington</t>
        </is>
      </c>
      <c r="C128" t="inlineStr">
        <is>
          <t>JAX</t>
        </is>
      </c>
      <c r="D128" t="n">
        <v>7</v>
      </c>
      <c r="E128" s="4" t="n">
        <v>71.5</v>
      </c>
      <c r="F128" s="4" t="n">
        <v>72.3</v>
      </c>
      <c r="G128" t="inlineStr">
        <is>
          <t>committee</t>
        </is>
      </c>
      <c r="H128" t="inlineStr">
        <is>
          <t>weakness</t>
        </is>
      </c>
      <c r="I128" t="inlineStr">
        <is>
          <t>Trevor Lawrence</t>
        </is>
      </c>
      <c r="J128" t="n">
        <v>0</v>
      </c>
      <c r="K128" t="n">
        <v>15.9</v>
      </c>
      <c r="L128" t="n">
        <v>0</v>
      </c>
      <c r="M128" t="n">
        <v>17</v>
      </c>
      <c r="N128" t="n">
        <v>1</v>
      </c>
      <c r="O128" t="n">
        <v>0</v>
      </c>
      <c r="P128" t="n">
        <v>0</v>
      </c>
      <c r="Q128" t="n">
        <v>0</v>
      </c>
      <c r="R128" t="n">
        <v>58</v>
      </c>
      <c r="S128" t="n">
        <v>847</v>
      </c>
      <c r="T128" t="n">
        <v>5</v>
      </c>
      <c r="U128" t="n">
        <v>0</v>
      </c>
      <c r="V128" t="n">
        <v>0</v>
      </c>
      <c r="W128" t="inlineStr"/>
      <c r="X128" t="inlineStr"/>
      <c r="Y128" t="inlineStr"/>
      <c r="Z128" t="inlineStr"/>
      <c r="AA128" t="inlineStr"/>
      <c r="AB128" t="inlineStr"/>
      <c r="AC128" t="inlineStr"/>
      <c r="AD128" t="n">
        <v>5.26</v>
      </c>
      <c r="AE128" t="n">
        <v>5.99</v>
      </c>
      <c r="AF128" t="n">
        <v>-0.72</v>
      </c>
      <c r="AG128" t="inlineStr"/>
      <c r="AH128" t="inlineStr"/>
      <c r="AI128" t="inlineStr"/>
      <c r="AJ128" t="n">
        <v>23</v>
      </c>
      <c r="AK128" t="inlineStr"/>
      <c r="AL128" t="inlineStr">
        <is>
          <t>1 games (2025 season)</t>
        </is>
      </c>
      <c r="AM128" t="inlineStr">
        <is>
          <t>FLEX/bench receiver; needs target growth or efficiency spikes.</t>
        </is>
      </c>
      <c r="AN128" t="inlineStr">
        <is>
          <t>He produced 11.5 PPR/FP points per game across 16 games. The workload/efficiency profile gives the model a rate-based reason to keep him here. Market price is favorable around ADP 163 versus model overall rank 133.</t>
        </is>
      </c>
      <c r="AO128" t="inlineStr">
        <is>
          <t>Target competition, quarterback efficiency and touchdown regression are the main downside paths.</t>
        </is>
      </c>
    </row>
    <row r="129">
      <c r="A129" t="inlineStr">
        <is>
          <t>WR</t>
        </is>
      </c>
      <c r="B129" t="inlineStr">
        <is>
          <t>Chris Godwin Jr.</t>
        </is>
      </c>
      <c r="C129" t="inlineStr">
        <is>
          <t>TB</t>
        </is>
      </c>
      <c r="D129" t="n">
        <v>10</v>
      </c>
      <c r="E129" s="4" t="n">
        <v>70.90000000000001</v>
      </c>
      <c r="F129" s="4" t="n">
        <v>92.40000000000001</v>
      </c>
      <c r="G129" t="inlineStr">
        <is>
          <t>unclear</t>
        </is>
      </c>
      <c r="H129" t="inlineStr">
        <is>
          <t>weakness</t>
        </is>
      </c>
      <c r="I129" t="inlineStr">
        <is>
          <t>Baker Mayfield</t>
        </is>
      </c>
      <c r="J129" t="n">
        <v>0</v>
      </c>
      <c r="K129" t="n">
        <v>9.4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0</v>
      </c>
      <c r="R129" t="n">
        <v>33</v>
      </c>
      <c r="S129" t="n">
        <v>360</v>
      </c>
      <c r="T129" t="n">
        <v>2</v>
      </c>
      <c r="U129" t="n">
        <v>0</v>
      </c>
      <c r="V129" t="n">
        <v>0</v>
      </c>
      <c r="W129" t="inlineStr"/>
      <c r="X129" t="inlineStr"/>
      <c r="Y129" t="inlineStr"/>
      <c r="Z129" t="inlineStr"/>
      <c r="AA129" t="inlineStr"/>
      <c r="AB129" t="inlineStr"/>
      <c r="AC129" t="inlineStr"/>
      <c r="AD129" t="n">
        <v>3.92</v>
      </c>
      <c r="AE129" t="n">
        <v>4.73</v>
      </c>
      <c r="AF129" t="n">
        <v>-0.8100000000000001</v>
      </c>
      <c r="AG129" t="inlineStr"/>
      <c r="AH129" t="inlineStr"/>
      <c r="AI129" t="inlineStr"/>
      <c r="AJ129" t="n">
        <v>29</v>
      </c>
      <c r="AK129" t="inlineStr"/>
      <c r="AL129" t="inlineStr">
        <is>
          <t>1 games (2025 season)</t>
        </is>
      </c>
      <c r="AM129" t="inlineStr">
        <is>
          <t>FLEX/bench receiver; needs target growth or efficiency spikes.</t>
        </is>
      </c>
      <c r="AN129" t="inlineStr">
        <is>
          <t>The 2026 opportunity and projection carry most of the grade because detailed 2025 rate data is incomplete. Market price is favorable around ADP 167 versus model overall rank 137.</t>
        </is>
      </c>
      <c r="AO129" t="inlineStr">
        <is>
          <t>Evidence is thinner than for established veterans, so camp, depth-chart and role news can move the grade materially.</t>
        </is>
      </c>
    </row>
    <row r="130">
      <c r="A130" t="inlineStr">
        <is>
          <t>WR</t>
        </is>
      </c>
      <c r="B130" t="inlineStr">
        <is>
          <t>Quentin Johnston</t>
        </is>
      </c>
      <c r="C130" t="inlineStr">
        <is>
          <t>LAC</t>
        </is>
      </c>
      <c r="D130" t="n">
        <v>7</v>
      </c>
      <c r="E130" s="4" t="n">
        <v>70.2</v>
      </c>
      <c r="F130" s="4" t="n">
        <v>95.59999999999999</v>
      </c>
      <c r="G130" t="inlineStr">
        <is>
          <t>committee</t>
        </is>
      </c>
      <c r="H130" t="inlineStr">
        <is>
          <t>elite</t>
        </is>
      </c>
      <c r="I130" t="inlineStr">
        <is>
          <t>Justin Herbert</t>
        </is>
      </c>
      <c r="J130" t="n">
        <v>0</v>
      </c>
      <c r="K130" t="n">
        <v>15.5</v>
      </c>
      <c r="L130" t="n">
        <v>0</v>
      </c>
      <c r="M130" t="n">
        <v>15</v>
      </c>
      <c r="N130" t="n">
        <v>1</v>
      </c>
      <c r="O130" t="n">
        <v>0</v>
      </c>
      <c r="P130" t="n">
        <v>0</v>
      </c>
      <c r="Q130" t="n">
        <v>0</v>
      </c>
      <c r="R130" t="n">
        <v>51</v>
      </c>
      <c r="S130" t="n">
        <v>735</v>
      </c>
      <c r="T130" t="n">
        <v>8</v>
      </c>
      <c r="U130" t="n">
        <v>0</v>
      </c>
      <c r="V130" t="n">
        <v>0</v>
      </c>
      <c r="W130" t="inlineStr"/>
      <c r="X130" t="inlineStr"/>
      <c r="Y130" t="inlineStr"/>
      <c r="Z130" t="inlineStr"/>
      <c r="AA130" t="inlineStr"/>
      <c r="AB130" t="inlineStr"/>
      <c r="AC130" t="inlineStr"/>
      <c r="AD130" t="n">
        <v>9.52</v>
      </c>
      <c r="AE130" t="n">
        <v>7.44</v>
      </c>
      <c r="AF130" t="n">
        <v>2.09</v>
      </c>
      <c r="AG130" t="inlineStr"/>
      <c r="AH130" t="inlineStr"/>
      <c r="AI130" t="inlineStr"/>
      <c r="AJ130" t="n">
        <v>23</v>
      </c>
      <c r="AK130" t="inlineStr"/>
      <c r="AL130" t="inlineStr">
        <is>
          <t>1 games (2025 season)</t>
        </is>
      </c>
      <c r="AM130" t="inlineStr">
        <is>
          <t>FLEX/bench receiver; needs target growth or efficiency spikes.</t>
        </is>
      </c>
      <c r="AN130" t="inlineStr">
        <is>
          <t>He produced 12.2 PPR/FP points per game across 14 games. The workload/efficiency profile gives the model a rate-based reason to keep him here. Market price is favorable around ADP 171 versus model overall rank 142.</t>
        </is>
      </c>
      <c r="AO130" t="inlineStr">
        <is>
          <t>Target competition, quarterback efficiency and touchdown regression are the main downside paths.</t>
        </is>
      </c>
    </row>
    <row r="131">
      <c r="A131" t="inlineStr">
        <is>
          <t>WR</t>
        </is>
      </c>
      <c r="B131" t="inlineStr">
        <is>
          <t>Ricky Pearsall</t>
        </is>
      </c>
      <c r="C131" t="inlineStr">
        <is>
          <t>SF</t>
        </is>
      </c>
      <c r="D131" t="n">
        <v>8</v>
      </c>
      <c r="E131" s="4" t="n">
        <v>69.5</v>
      </c>
      <c r="F131" s="4" t="n">
        <v>112.3</v>
      </c>
      <c r="G131" t="inlineStr">
        <is>
          <t>unclear</t>
        </is>
      </c>
      <c r="H131" t="inlineStr">
        <is>
          <t>elite</t>
        </is>
      </c>
      <c r="I131" t="inlineStr">
        <is>
          <t>Brock Purdy</t>
        </is>
      </c>
      <c r="J131" t="n">
        <v>78.09999999999999</v>
      </c>
      <c r="K131" t="n">
        <v>9.800000000000001</v>
      </c>
      <c r="L131" t="n">
        <v>0</v>
      </c>
      <c r="M131" t="n">
        <v>4</v>
      </c>
      <c r="N131" t="n">
        <v>1</v>
      </c>
      <c r="O131" t="n">
        <v>0</v>
      </c>
      <c r="P131" t="n">
        <v>0</v>
      </c>
      <c r="Q131" t="n">
        <v>0</v>
      </c>
      <c r="R131" t="n">
        <v>36</v>
      </c>
      <c r="S131" t="n">
        <v>528</v>
      </c>
      <c r="T131" t="n">
        <v>0</v>
      </c>
      <c r="U131" t="n">
        <v>0</v>
      </c>
      <c r="V131" t="n">
        <v>0</v>
      </c>
      <c r="W131" t="inlineStr"/>
      <c r="X131" t="inlineStr"/>
      <c r="Y131" t="inlineStr"/>
      <c r="Z131" t="inlineStr"/>
      <c r="AA131" t="inlineStr"/>
      <c r="AB131" t="inlineStr"/>
      <c r="AC131" t="inlineStr"/>
      <c r="AD131" t="n">
        <v>0</v>
      </c>
      <c r="AE131" t="n">
        <v>3.03</v>
      </c>
      <c r="AF131" t="n">
        <v>-3.03</v>
      </c>
      <c r="AG131" t="inlineStr"/>
      <c r="AH131" t="inlineStr"/>
      <c r="AI131" t="inlineStr"/>
      <c r="AJ131" t="n">
        <v>24</v>
      </c>
      <c r="AK131" t="inlineStr"/>
      <c r="AL131" t="inlineStr">
        <is>
          <t>1 games (2025 season)</t>
        </is>
      </c>
      <c r="AM131" t="inlineStr">
        <is>
          <t>Out for the year; do not draft.</t>
        </is>
      </c>
      <c r="AN131" t="inlineStr">
        <is>
          <t>Season-ending PCL surgery announced 8/1/2026 (NFL.com). The −60 adjustment reflects zero expected 2026 production.</t>
        </is>
      </c>
      <c r="AO131" t="inlineStr">
        <is>
          <t>Medical timeline is the only variable; he will not play this season.</t>
        </is>
      </c>
    </row>
    <row r="132">
      <c r="A132" t="inlineStr">
        <is>
          <t>WR</t>
        </is>
      </c>
      <c r="B132" t="inlineStr">
        <is>
          <t>Michael Wilson</t>
        </is>
      </c>
      <c r="C132" t="inlineStr">
        <is>
          <t>ARI</t>
        </is>
      </c>
      <c r="D132" t="n">
        <v>14</v>
      </c>
      <c r="E132" s="4" t="n">
        <v>68.8</v>
      </c>
      <c r="F132" s="4" t="n">
        <v>88.59999999999999</v>
      </c>
      <c r="G132" t="inlineStr">
        <is>
          <t>committee</t>
        </is>
      </c>
      <c r="H132" t="inlineStr">
        <is>
          <t>weakness</t>
        </is>
      </c>
      <c r="I132" t="inlineStr">
        <is>
          <t>Jacoby Brissett</t>
        </is>
      </c>
      <c r="J132" t="n">
        <v>35.5</v>
      </c>
      <c r="K132" t="n">
        <v>20.3</v>
      </c>
      <c r="L132" t="n">
        <v>0</v>
      </c>
      <c r="M132" t="n">
        <v>11</v>
      </c>
      <c r="N132" t="n">
        <v>1</v>
      </c>
      <c r="O132" t="n">
        <v>0</v>
      </c>
      <c r="P132" t="n">
        <v>0</v>
      </c>
      <c r="Q132" t="n">
        <v>0</v>
      </c>
      <c r="R132" t="n">
        <v>78</v>
      </c>
      <c r="S132" t="n">
        <v>1006</v>
      </c>
      <c r="T132" t="n">
        <v>7</v>
      </c>
      <c r="U132" t="n">
        <v>0</v>
      </c>
      <c r="V132" t="n">
        <v>0</v>
      </c>
      <c r="W132" t="inlineStr"/>
      <c r="X132" t="inlineStr"/>
      <c r="Y132" t="inlineStr"/>
      <c r="Z132" t="inlineStr"/>
      <c r="AA132" t="inlineStr"/>
      <c r="AB132" t="inlineStr"/>
      <c r="AC132" t="inlineStr"/>
      <c r="AD132" t="n">
        <v>5.56</v>
      </c>
      <c r="AE132" t="n">
        <v>5.49</v>
      </c>
      <c r="AF132" t="n">
        <v>0.07000000000000001</v>
      </c>
      <c r="AG132" t="inlineStr"/>
      <c r="AH132" t="inlineStr"/>
      <c r="AI132" t="inlineStr"/>
      <c r="AJ132" t="n">
        <v>25</v>
      </c>
      <c r="AK132" t="inlineStr"/>
      <c r="AL132" t="inlineStr">
        <is>
          <t>1 games (2025 season)</t>
        </is>
      </c>
      <c r="AM132" t="inlineStr">
        <is>
          <t>FLEX/bench receiver; needs target growth or efficiency spikes.</t>
        </is>
      </c>
      <c r="AN132" t="inlineStr">
        <is>
          <t>He produced 13.0 PPR/FP points per game across 17 games. The workload/efficiency profile gives the model a rate-based reason to keep him here. Market price is favorable around ADP 178 versus model overall rank 153.</t>
        </is>
      </c>
      <c r="AO132" t="inlineStr">
        <is>
          <t>Target competition, quarterback efficiency and touchdown regression are the main downside paths.</t>
        </is>
      </c>
    </row>
    <row r="133">
      <c r="A133" t="inlineStr">
        <is>
          <t>WR</t>
        </is>
      </c>
      <c r="B133" t="inlineStr">
        <is>
          <t>Xavier Worthy</t>
        </is>
      </c>
      <c r="C133" t="inlineStr">
        <is>
          <t>KC</t>
        </is>
      </c>
      <c r="D133" t="n">
        <v>5</v>
      </c>
      <c r="E133" s="4" t="n">
        <v>68.2</v>
      </c>
      <c r="F133" s="4" t="n">
        <v>105.9</v>
      </c>
      <c r="G133" t="inlineStr">
        <is>
          <t>unclear</t>
        </is>
      </c>
      <c r="H133" t="inlineStr">
        <is>
          <t>elite</t>
        </is>
      </c>
      <c r="I133" t="inlineStr">
        <is>
          <t>Patrick Mahomes II</t>
        </is>
      </c>
      <c r="J133" t="n">
        <v>70.59999999999999</v>
      </c>
      <c r="K133" t="n">
        <v>13.3</v>
      </c>
      <c r="L133" t="n">
        <v>0</v>
      </c>
      <c r="M133" t="n">
        <v>6</v>
      </c>
      <c r="N133" t="n">
        <v>1</v>
      </c>
      <c r="O133" t="n">
        <v>0</v>
      </c>
      <c r="P133" t="n">
        <v>0</v>
      </c>
      <c r="Q133" t="n">
        <v>0</v>
      </c>
      <c r="R133" t="n">
        <v>42</v>
      </c>
      <c r="S133" t="n">
        <v>532</v>
      </c>
      <c r="T133" t="n">
        <v>1</v>
      </c>
      <c r="U133" t="n">
        <v>0</v>
      </c>
      <c r="V133" t="n">
        <v>0</v>
      </c>
      <c r="W133" t="inlineStr"/>
      <c r="X133" t="inlineStr"/>
      <c r="Y133" t="inlineStr"/>
      <c r="Z133" t="inlineStr"/>
      <c r="AA133" t="inlineStr"/>
      <c r="AB133" t="inlineStr"/>
      <c r="AC133" t="inlineStr"/>
      <c r="AD133" t="n">
        <v>1.37</v>
      </c>
      <c r="AE133" t="n">
        <v>4.09</v>
      </c>
      <c r="AF133" t="n">
        <v>-2.72</v>
      </c>
      <c r="AG133" t="inlineStr"/>
      <c r="AH133" t="inlineStr"/>
      <c r="AI133" t="inlineStr"/>
      <c r="AJ133" t="n">
        <v>22</v>
      </c>
      <c r="AK133" t="inlineStr"/>
      <c r="AL133" t="inlineStr">
        <is>
          <t>1 games (2025 season)</t>
        </is>
      </c>
      <c r="AM133" t="inlineStr">
        <is>
          <t>FLEX/bench receiver; needs target growth or efficiency spikes.</t>
        </is>
      </c>
      <c r="AN133" t="inlineStr">
        <is>
          <t>He produced 7.9 PPR/FP points per game across 14 games. The workload/efficiency profile gives the model a rate-based reason to keep him here. Market price is favorable around ADP 182 versus model overall rank 155.</t>
        </is>
      </c>
      <c r="AO133" t="inlineStr">
        <is>
          <t>Target competition, quarterback efficiency and touchdown regression are the main downside paths.</t>
        </is>
      </c>
    </row>
    <row r="134">
      <c r="A134" t="inlineStr">
        <is>
          <t>WR</t>
        </is>
      </c>
      <c r="B134" t="inlineStr">
        <is>
          <t>Matthew Golden</t>
        </is>
      </c>
      <c r="C134" t="inlineStr">
        <is>
          <t>GB</t>
        </is>
      </c>
      <c r="D134" t="n">
        <v>11</v>
      </c>
      <c r="E134" s="4" t="n">
        <v>67.5</v>
      </c>
      <c r="F134" s="4" t="n">
        <v>122.6</v>
      </c>
      <c r="G134" t="inlineStr">
        <is>
          <t>unclear</t>
        </is>
      </c>
      <c r="H134" t="inlineStr">
        <is>
          <t>elite</t>
        </is>
      </c>
      <c r="I134" t="inlineStr">
        <is>
          <t>Jordan Love</t>
        </is>
      </c>
      <c r="J134" t="n">
        <v>53.2</v>
      </c>
      <c r="K134" t="n">
        <v>9.6</v>
      </c>
      <c r="L134" t="n">
        <v>0</v>
      </c>
      <c r="M134" t="n">
        <v>4</v>
      </c>
      <c r="N134" t="n">
        <v>1</v>
      </c>
      <c r="O134" t="n">
        <v>0</v>
      </c>
      <c r="P134" t="n">
        <v>0</v>
      </c>
      <c r="Q134" t="n">
        <v>0</v>
      </c>
      <c r="R134" t="n">
        <v>29</v>
      </c>
      <c r="S134" t="n">
        <v>361</v>
      </c>
      <c r="T134" t="n">
        <v>0</v>
      </c>
      <c r="U134" t="n">
        <v>0</v>
      </c>
      <c r="V134" t="n">
        <v>0</v>
      </c>
      <c r="W134" t="inlineStr"/>
      <c r="X134" t="inlineStr"/>
      <c r="Y134" t="inlineStr"/>
      <c r="Z134" t="inlineStr"/>
      <c r="AA134" t="inlineStr"/>
      <c r="AB134" t="inlineStr"/>
      <c r="AC134" t="inlineStr"/>
      <c r="AD134" t="n">
        <v>0</v>
      </c>
      <c r="AE134" t="n">
        <v>0</v>
      </c>
      <c r="AF134" t="n">
        <v>0</v>
      </c>
      <c r="AG134" t="inlineStr"/>
      <c r="AH134" t="inlineStr"/>
      <c r="AI134" t="inlineStr"/>
      <c r="AJ134" t="n">
        <v>22</v>
      </c>
      <c r="AK134" t="inlineStr"/>
      <c r="AL134" t="inlineStr">
        <is>
          <t>1 games (2025 season)</t>
        </is>
      </c>
      <c r="AM134" t="inlineStr">
        <is>
          <t>FLEX/bench receiver; needs target growth or efficiency spikes.</t>
        </is>
      </c>
      <c r="AN134" t="inlineStr">
        <is>
          <t>The 2026 opportunity and projection carry most of the grade because detailed 2025 rate data is incomplete. Market price is favorable around ADP 186 versus model overall rank 159.</t>
        </is>
      </c>
      <c r="AO134" t="inlineStr">
        <is>
          <t>Evidence is thinner than for established veterans, so camp, depth-chart and role news can move the grade materially.</t>
        </is>
      </c>
    </row>
    <row r="135">
      <c r="A135" t="inlineStr">
        <is>
          <t>WR</t>
        </is>
      </c>
      <c r="B135" t="inlineStr">
        <is>
          <t>Josh Downs</t>
        </is>
      </c>
      <c r="C135" t="inlineStr">
        <is>
          <t>IND</t>
        </is>
      </c>
      <c r="D135" t="n">
        <v>13</v>
      </c>
      <c r="E135" s="4" t="n">
        <v>66.8</v>
      </c>
      <c r="F135" s="4" t="n">
        <v>92.09999999999999</v>
      </c>
      <c r="G135" t="inlineStr">
        <is>
          <t>committee</t>
        </is>
      </c>
      <c r="H135" t="inlineStr">
        <is>
          <t>elite</t>
        </is>
      </c>
      <c r="I135" t="inlineStr">
        <is>
          <t>Daniel Jones</t>
        </is>
      </c>
      <c r="J135" t="n">
        <v>0</v>
      </c>
      <c r="K135" t="n">
        <v>17.1</v>
      </c>
      <c r="L135" t="n">
        <v>0</v>
      </c>
      <c r="M135" t="n">
        <v>15</v>
      </c>
      <c r="N135" t="n">
        <v>1</v>
      </c>
      <c r="O135" t="n">
        <v>0</v>
      </c>
      <c r="P135" t="n">
        <v>0</v>
      </c>
      <c r="Q135" t="n">
        <v>0</v>
      </c>
      <c r="R135" t="n">
        <v>58</v>
      </c>
      <c r="S135" t="n">
        <v>566</v>
      </c>
      <c r="T135" t="n">
        <v>4</v>
      </c>
      <c r="U135" t="n">
        <v>0</v>
      </c>
      <c r="V135" t="n">
        <v>0</v>
      </c>
      <c r="W135" t="inlineStr"/>
      <c r="X135" t="inlineStr"/>
      <c r="Y135" t="inlineStr"/>
      <c r="Z135" t="inlineStr"/>
      <c r="AA135" t="inlineStr"/>
      <c r="AB135" t="inlineStr"/>
      <c r="AC135" t="inlineStr"/>
      <c r="AD135" t="n">
        <v>4.55</v>
      </c>
      <c r="AE135" t="n">
        <v>3.75</v>
      </c>
      <c r="AF135" t="n">
        <v>0.79</v>
      </c>
      <c r="AG135" t="inlineStr"/>
      <c r="AH135" t="inlineStr"/>
      <c r="AI135" t="inlineStr"/>
      <c r="AJ135" t="n">
        <v>24</v>
      </c>
      <c r="AK135" t="inlineStr"/>
      <c r="AL135" t="inlineStr">
        <is>
          <t>1 games (2025 season)</t>
        </is>
      </c>
      <c r="AM135" t="inlineStr">
        <is>
          <t>FLEX/bench receiver; needs target growth or efficiency spikes.</t>
        </is>
      </c>
      <c r="AN135" t="inlineStr">
        <is>
          <t>He produced 8.5 PPR/FP points per game across 16 games. The workload/efficiency profile gives the model a rate-based reason to keep him here. Market price is favorable around ADP 190 versus model overall rank 162.</t>
        </is>
      </c>
      <c r="AO135" t="inlineStr">
        <is>
          <t>Target competition, quarterback efficiency and touchdown regression are the main downside paths.</t>
        </is>
      </c>
    </row>
    <row r="136">
      <c r="A136" t="inlineStr">
        <is>
          <t>WR</t>
        </is>
      </c>
      <c r="B136" t="inlineStr">
        <is>
          <t>Jayden Reed</t>
        </is>
      </c>
      <c r="C136" t="inlineStr">
        <is>
          <t>GB</t>
        </is>
      </c>
      <c r="D136" t="n">
        <v>11</v>
      </c>
      <c r="E136" s="4" t="n">
        <v>66.2</v>
      </c>
      <c r="F136" s="4" t="n">
        <v>97.2</v>
      </c>
      <c r="G136" t="inlineStr">
        <is>
          <t>unclear</t>
        </is>
      </c>
      <c r="H136" t="inlineStr">
        <is>
          <t>elite</t>
        </is>
      </c>
      <c r="I136" t="inlineStr">
        <is>
          <t>Jordan Love</t>
        </is>
      </c>
      <c r="J136" t="n">
        <v>98.5</v>
      </c>
      <c r="K136" t="n">
        <v>4.8</v>
      </c>
      <c r="L136" t="n">
        <v>0</v>
      </c>
      <c r="M136" t="n">
        <v>4</v>
      </c>
      <c r="N136" t="n">
        <v>1</v>
      </c>
      <c r="O136" t="n">
        <v>0</v>
      </c>
      <c r="P136" t="n">
        <v>0</v>
      </c>
      <c r="Q136" t="n">
        <v>0</v>
      </c>
      <c r="R136" t="n">
        <v>19</v>
      </c>
      <c r="S136" t="n">
        <v>207</v>
      </c>
      <c r="T136" t="n">
        <v>1</v>
      </c>
      <c r="U136" t="n">
        <v>0</v>
      </c>
      <c r="V136" t="n">
        <v>0</v>
      </c>
      <c r="W136" t="inlineStr"/>
      <c r="X136" t="inlineStr"/>
      <c r="Y136" t="inlineStr"/>
      <c r="Z136" t="inlineStr"/>
      <c r="AA136" t="inlineStr"/>
      <c r="AB136" t="inlineStr"/>
      <c r="AC136" t="inlineStr"/>
      <c r="AD136" t="n">
        <v>4.55</v>
      </c>
      <c r="AE136" t="n">
        <v>7.85</v>
      </c>
      <c r="AF136" t="n">
        <v>-3.31</v>
      </c>
      <c r="AG136" t="inlineStr"/>
      <c r="AH136" t="inlineStr"/>
      <c r="AI136" t="inlineStr"/>
      <c r="AJ136" t="n">
        <v>25</v>
      </c>
      <c r="AK136" t="inlineStr"/>
      <c r="AL136" t="inlineStr">
        <is>
          <t>1 games (2025 season)</t>
        </is>
      </c>
      <c r="AM136" t="inlineStr">
        <is>
          <t>FLEX/bench receiver; needs target growth or efficiency spikes.</t>
        </is>
      </c>
      <c r="AN136" t="inlineStr">
        <is>
          <t>The 2026 opportunity and projection carry most of the grade because detailed 2025 rate data is incomplete. Market price is favorable around ADP 194 versus model overall rank 167.</t>
        </is>
      </c>
      <c r="AO136" t="inlineStr">
        <is>
          <t>Evidence is thinner than for established veterans, so camp, depth-chart and role news can move the grade materially.</t>
        </is>
      </c>
    </row>
    <row r="137">
      <c r="A137" t="inlineStr">
        <is>
          <t>WR</t>
        </is>
      </c>
      <c r="B137" t="inlineStr">
        <is>
          <t>Khalil Shakir</t>
        </is>
      </c>
      <c r="C137" t="inlineStr">
        <is>
          <t>BUF</t>
        </is>
      </c>
      <c r="D137" t="n">
        <v>7</v>
      </c>
      <c r="E137" s="4" t="n">
        <v>65.5</v>
      </c>
      <c r="F137" s="4" t="n">
        <v>102</v>
      </c>
      <c r="G137" t="inlineStr">
        <is>
          <t>committee</t>
        </is>
      </c>
      <c r="H137" t="inlineStr">
        <is>
          <t>elite</t>
        </is>
      </c>
      <c r="I137" t="inlineStr">
        <is>
          <t>Josh Allen</t>
        </is>
      </c>
      <c r="J137" t="n">
        <v>59.8</v>
      </c>
      <c r="K137" t="n">
        <v>18.8</v>
      </c>
      <c r="L137" t="n">
        <v>0</v>
      </c>
      <c r="M137" t="n">
        <v>15</v>
      </c>
      <c r="N137" t="n">
        <v>1</v>
      </c>
      <c r="O137" t="n">
        <v>0</v>
      </c>
      <c r="P137" t="n">
        <v>0</v>
      </c>
      <c r="Q137" t="n">
        <v>0</v>
      </c>
      <c r="R137" t="n">
        <v>72</v>
      </c>
      <c r="S137" t="n">
        <v>719</v>
      </c>
      <c r="T137" t="n">
        <v>4</v>
      </c>
      <c r="U137" t="n">
        <v>0</v>
      </c>
      <c r="V137" t="n">
        <v>0</v>
      </c>
      <c r="W137" t="inlineStr"/>
      <c r="X137" t="inlineStr"/>
      <c r="Y137" t="inlineStr"/>
      <c r="Z137" t="inlineStr"/>
      <c r="AA137" t="inlineStr"/>
      <c r="AB137" t="inlineStr"/>
      <c r="AC137" t="inlineStr"/>
      <c r="AD137" t="n">
        <v>4.21</v>
      </c>
      <c r="AE137" t="n">
        <v>4.23</v>
      </c>
      <c r="AF137" t="n">
        <v>-0.02</v>
      </c>
      <c r="AG137" t="inlineStr"/>
      <c r="AH137" t="inlineStr"/>
      <c r="AI137" t="inlineStr"/>
      <c r="AJ137" t="n">
        <v>25</v>
      </c>
      <c r="AK137" t="inlineStr"/>
      <c r="AL137" t="inlineStr">
        <is>
          <t>1 games (2025 season)</t>
        </is>
      </c>
      <c r="AM137" t="inlineStr">
        <is>
          <t>Late-round bench upside; role growth is required for weekly relevance.</t>
        </is>
      </c>
      <c r="AN137" t="inlineStr">
        <is>
          <t>He produced 10.4 PPR/FP points per game across 16 games. The workload/efficiency profile gives the model a rate-based reason to keep him here. Market price is favorable around ADP 198 versus model overall rank 171.</t>
        </is>
      </c>
      <c r="AO137" t="inlineStr">
        <is>
          <t>Target competition, quarterback efficiency and touchdown regression are the main downside paths.</t>
        </is>
      </c>
    </row>
    <row r="138">
      <c r="A138" t="inlineStr">
        <is>
          <t>WR</t>
        </is>
      </c>
      <c r="B138" t="inlineStr">
        <is>
          <t>Jalin Hyatt</t>
        </is>
      </c>
      <c r="C138" t="inlineStr">
        <is>
          <t>NYG</t>
        </is>
      </c>
      <c r="D138" t="n">
        <v>8</v>
      </c>
      <c r="E138" s="4" t="n">
        <v>64.8</v>
      </c>
      <c r="F138" s="4" t="n">
        <v>201.9</v>
      </c>
      <c r="G138" t="inlineStr">
        <is>
          <t>unclear</t>
        </is>
      </c>
      <c r="H138" t="inlineStr">
        <is>
          <t>weakness</t>
        </is>
      </c>
      <c r="I138" t="inlineStr">
        <is>
          <t>Jaxson Dart</t>
        </is>
      </c>
      <c r="J138" t="n">
        <v>29.4</v>
      </c>
      <c r="K138" t="n">
        <v>2.8</v>
      </c>
      <c r="L138" t="n">
        <v>0</v>
      </c>
      <c r="M138" t="n">
        <v>1</v>
      </c>
      <c r="N138" t="n">
        <v>1</v>
      </c>
      <c r="O138" t="n">
        <v>0</v>
      </c>
      <c r="P138" t="n">
        <v>0</v>
      </c>
      <c r="Q138" t="n">
        <v>0</v>
      </c>
      <c r="R138" t="n">
        <v>5</v>
      </c>
      <c r="S138" t="n">
        <v>35</v>
      </c>
      <c r="T138" t="n">
        <v>0</v>
      </c>
      <c r="U138" t="n">
        <v>0</v>
      </c>
      <c r="V138" t="n">
        <v>0</v>
      </c>
      <c r="W138" t="inlineStr"/>
      <c r="X138" t="inlineStr"/>
      <c r="Y138" t="inlineStr"/>
      <c r="Z138" t="inlineStr"/>
      <c r="AA138" t="inlineStr"/>
      <c r="AB138" t="inlineStr"/>
      <c r="AC138" t="inlineStr"/>
      <c r="AD138" t="inlineStr"/>
      <c r="AE138" t="inlineStr"/>
      <c r="AF138" t="inlineStr"/>
      <c r="AG138" t="inlineStr"/>
      <c r="AH138" t="inlineStr"/>
      <c r="AI138" t="inlineStr"/>
      <c r="AJ138" t="n">
        <v>23</v>
      </c>
      <c r="AK138" t="inlineStr"/>
      <c r="AL138" t="inlineStr">
        <is>
          <t>1 games (2025 season)</t>
        </is>
      </c>
      <c r="AM138" t="inlineStr">
        <is>
          <t>Late-round bench upside; role growth is required for weekly relevance.</t>
        </is>
      </c>
      <c r="AN138" t="inlineStr">
        <is>
          <t>The 2026 opportunity and projection carry most of the grade because detailed 2025 rate data is incomplete. Market price is favorable around ADP 202 versus model overall rank 174.</t>
        </is>
      </c>
      <c r="AO138" t="inlineStr">
        <is>
          <t>Evidence is thinner than for established veterans, so camp, depth-chart and role news can move the grade materially.</t>
        </is>
      </c>
    </row>
    <row r="139">
      <c r="A139" t="inlineStr">
        <is>
          <t>WR</t>
        </is>
      </c>
      <c r="B139" t="inlineStr">
        <is>
          <t>Romeo Doubs</t>
        </is>
      </c>
      <c r="C139" t="inlineStr">
        <is>
          <t>NE</t>
        </is>
      </c>
      <c r="D139" t="n">
        <v>11</v>
      </c>
      <c r="E139" s="4" t="n">
        <v>64.2</v>
      </c>
      <c r="F139" s="4" t="n">
        <v>116</v>
      </c>
      <c r="G139" t="inlineStr">
        <is>
          <t>committee</t>
        </is>
      </c>
      <c r="H139" t="inlineStr">
        <is>
          <t>elite</t>
        </is>
      </c>
      <c r="I139" t="inlineStr">
        <is>
          <t>Drake Maye</t>
        </is>
      </c>
      <c r="J139" t="n">
        <v>77.59999999999999</v>
      </c>
      <c r="K139" t="n">
        <v>18.5</v>
      </c>
      <c r="L139" t="n">
        <v>0</v>
      </c>
      <c r="M139" t="n">
        <v>18</v>
      </c>
      <c r="N139" t="n">
        <v>1</v>
      </c>
      <c r="O139" t="n">
        <v>0</v>
      </c>
      <c r="P139" t="n">
        <v>0</v>
      </c>
      <c r="Q139" t="n">
        <v>0</v>
      </c>
      <c r="R139" t="n">
        <v>55</v>
      </c>
      <c r="S139" t="n">
        <v>724</v>
      </c>
      <c r="T139" t="n">
        <v>6</v>
      </c>
      <c r="U139" t="n">
        <v>0</v>
      </c>
      <c r="V139" t="n">
        <v>0</v>
      </c>
      <c r="W139" t="inlineStr"/>
      <c r="X139" t="inlineStr"/>
      <c r="Y139" t="inlineStr"/>
      <c r="Z139" t="inlineStr"/>
      <c r="AA139" t="inlineStr"/>
      <c r="AB139" t="inlineStr"/>
      <c r="AC139" t="inlineStr"/>
      <c r="AD139" t="n">
        <v>7.06</v>
      </c>
      <c r="AE139" t="n">
        <v>6.56</v>
      </c>
      <c r="AF139" t="n">
        <v>0.5</v>
      </c>
      <c r="AG139" t="inlineStr"/>
      <c r="AH139" t="inlineStr"/>
      <c r="AI139" t="inlineStr"/>
      <c r="AJ139" t="n">
        <v>25</v>
      </c>
      <c r="AK139" t="inlineStr"/>
      <c r="AL139" t="inlineStr">
        <is>
          <t>1 games (2025 season)</t>
        </is>
      </c>
      <c r="AM139" t="inlineStr">
        <is>
          <t>Late-round bench upside; role growth is required for weekly relevance.</t>
        </is>
      </c>
      <c r="AN139" t="inlineStr">
        <is>
          <t>He produced 10.3 PPR/FP points per game across 16 games. The workload/efficiency profile gives the model a rate-based reason to keep him here. Market price is favorable around ADP 206 versus model overall rank 178.</t>
        </is>
      </c>
      <c r="AO139" t="inlineStr">
        <is>
          <t>Target competition, quarterback efficiency and touchdown regression are the main downside paths.</t>
        </is>
      </c>
    </row>
    <row r="140">
      <c r="A140" t="inlineStr">
        <is>
          <t>WR</t>
        </is>
      </c>
      <c r="B140" t="inlineStr">
        <is>
          <t>Jalen Coker</t>
        </is>
      </c>
      <c r="C140" t="inlineStr">
        <is>
          <t>CAR</t>
        </is>
      </c>
      <c r="D140" t="n">
        <v>5</v>
      </c>
      <c r="E140" s="4" t="n">
        <v>63.5</v>
      </c>
      <c r="F140" s="4" t="n">
        <v>127.3</v>
      </c>
      <c r="G140" t="inlineStr">
        <is>
          <t>unclear</t>
        </is>
      </c>
      <c r="H140" t="inlineStr">
        <is>
          <t>elite</t>
        </is>
      </c>
      <c r="I140" t="inlineStr">
        <is>
          <t>Bryce Young</t>
        </is>
      </c>
      <c r="J140" t="n">
        <v>69.40000000000001</v>
      </c>
      <c r="K140" t="n">
        <v>9</v>
      </c>
      <c r="L140" t="n">
        <v>0</v>
      </c>
      <c r="M140" t="n">
        <v>5</v>
      </c>
      <c r="N140" t="n">
        <v>1</v>
      </c>
      <c r="O140" t="n">
        <v>0</v>
      </c>
      <c r="P140" t="n">
        <v>0</v>
      </c>
      <c r="Q140" t="n">
        <v>0</v>
      </c>
      <c r="R140" t="n">
        <v>33</v>
      </c>
      <c r="S140" t="n">
        <v>394</v>
      </c>
      <c r="T140" t="n">
        <v>3</v>
      </c>
      <c r="U140" t="n">
        <v>0</v>
      </c>
      <c r="V140" t="n">
        <v>0</v>
      </c>
      <c r="W140" t="inlineStr"/>
      <c r="X140" t="inlineStr"/>
      <c r="Y140" t="inlineStr"/>
      <c r="Z140" t="inlineStr"/>
      <c r="AA140" t="inlineStr"/>
      <c r="AB140" t="inlineStr"/>
      <c r="AC140" t="inlineStr"/>
      <c r="AD140" t="n">
        <v>6.98</v>
      </c>
      <c r="AE140" t="n">
        <v>5.62</v>
      </c>
      <c r="AF140" t="n">
        <v>1.36</v>
      </c>
      <c r="AG140" t="inlineStr"/>
      <c r="AH140" t="inlineStr"/>
      <c r="AI140" t="inlineStr"/>
      <c r="AJ140" t="n">
        <v>23</v>
      </c>
      <c r="AK140" t="inlineStr"/>
      <c r="AL140" t="inlineStr">
        <is>
          <t>1 games (2025 season)</t>
        </is>
      </c>
      <c r="AM140" t="inlineStr">
        <is>
          <t>Late-round bench upside; role growth is required for weekly relevance.</t>
        </is>
      </c>
      <c r="AN140" t="inlineStr">
        <is>
          <t>He produced 8.2 PPR/FP points per game across 11 games. The workload/efficiency profile gives the model a rate-based reason to keep him here. Market price is favorable around ADP 210 versus model overall rank 179.</t>
        </is>
      </c>
      <c r="AO140" t="inlineStr">
        <is>
          <t>Target competition, quarterback efficiency and touchdown regression are the main downside paths.</t>
        </is>
      </c>
    </row>
    <row r="141">
      <c r="A141" t="inlineStr">
        <is>
          <t>WR</t>
        </is>
      </c>
      <c r="B141" t="inlineStr">
        <is>
          <t>KC Concepcion</t>
        </is>
      </c>
      <c r="C141" t="inlineStr">
        <is>
          <t>CLE</t>
        </is>
      </c>
      <c r="D141" t="n">
        <v>11</v>
      </c>
      <c r="E141" s="4" t="n">
        <v>62.8</v>
      </c>
      <c r="F141" s="4" t="n">
        <v>130.7</v>
      </c>
      <c r="G141" t="inlineStr">
        <is>
          <t>unclear</t>
        </is>
      </c>
      <c r="H141" t="inlineStr">
        <is>
          <t>weakness</t>
        </is>
      </c>
      <c r="I141" t="inlineStr">
        <is>
          <t>Deshaun Watson</t>
        </is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inlineStr"/>
      <c r="X141" t="inlineStr"/>
      <c r="Y141" t="inlineStr"/>
      <c r="Z141" t="inlineStr"/>
      <c r="AA141" t="inlineStr"/>
      <c r="AB141" t="inlineStr"/>
      <c r="AC141" t="inlineStr"/>
      <c r="AD141" t="inlineStr"/>
      <c r="AE141" t="inlineStr"/>
      <c r="AF141" t="inlineStr"/>
      <c r="AG141" t="inlineStr"/>
      <c r="AH141" t="inlineStr"/>
      <c r="AI141" t="inlineStr"/>
      <c r="AJ141" t="inlineStr"/>
      <c r="AK141" t="inlineStr"/>
      <c r="AL141" t="inlineStr">
        <is>
          <t>No stats match found</t>
        </is>
      </c>
      <c r="AM141" t="inlineStr">
        <is>
          <t>Late-round bench upside; role growth is required for weekly relevance.</t>
        </is>
      </c>
      <c r="AN141" t="inlineStr">
        <is>
          <t>Rookie score 85.3, backed by No. 24 draft capital and a 6.42 NFL prospect grade. The 2026 role projection is strong enough to replace missing NFL history. Market price is favorable around ADP 214 versus model overall rank 181.</t>
        </is>
      </c>
      <c r="AO141" t="inlineStr">
        <is>
          <t>NFL translation and exact weekly role are the main variables; preseason first-team usage can move this rating quickly.</t>
        </is>
      </c>
    </row>
    <row r="142">
      <c r="A142" t="inlineStr">
        <is>
          <t>WR</t>
        </is>
      </c>
      <c r="B142" t="inlineStr">
        <is>
          <t>Rashid Shaheed</t>
        </is>
      </c>
      <c r="C142" t="inlineStr">
        <is>
          <t>SEA</t>
        </is>
      </c>
      <c r="D142" t="n">
        <v>11</v>
      </c>
      <c r="E142" s="4" t="n">
        <v>62.1</v>
      </c>
      <c r="F142" s="4" t="n">
        <v>121.9</v>
      </c>
      <c r="G142" t="inlineStr">
        <is>
          <t>committee</t>
        </is>
      </c>
      <c r="H142" t="inlineStr">
        <is>
          <t>elite</t>
        </is>
      </c>
      <c r="I142" t="inlineStr">
        <is>
          <t>Sam Darnold</t>
        </is>
      </c>
      <c r="J142" t="n">
        <v>73.90000000000001</v>
      </c>
      <c r="K142" t="n">
        <v>17.6</v>
      </c>
      <c r="L142" t="n">
        <v>0</v>
      </c>
      <c r="M142" t="n">
        <v>10</v>
      </c>
      <c r="N142" t="n">
        <v>1</v>
      </c>
      <c r="O142" t="n">
        <v>0</v>
      </c>
      <c r="P142" t="n">
        <v>0</v>
      </c>
      <c r="Q142" t="n">
        <v>0</v>
      </c>
      <c r="R142" t="n">
        <v>59</v>
      </c>
      <c r="S142" t="n">
        <v>687</v>
      </c>
      <c r="T142" t="n">
        <v>2</v>
      </c>
      <c r="U142" t="n">
        <v>0</v>
      </c>
      <c r="V142" t="n">
        <v>0</v>
      </c>
      <c r="W142" t="inlineStr"/>
      <c r="X142" t="inlineStr"/>
      <c r="Y142" t="inlineStr"/>
      <c r="Z142" t="inlineStr"/>
      <c r="AA142" t="inlineStr"/>
      <c r="AB142" t="inlineStr"/>
      <c r="AC142" t="inlineStr"/>
      <c r="AD142" t="n">
        <v>2.17</v>
      </c>
      <c r="AE142" t="n">
        <v>4.96</v>
      </c>
      <c r="AF142" t="n">
        <v>-2.78</v>
      </c>
      <c r="AG142" t="inlineStr"/>
      <c r="AH142" t="inlineStr"/>
      <c r="AI142" t="inlineStr"/>
      <c r="AJ142" t="n">
        <v>27</v>
      </c>
      <c r="AK142" t="inlineStr"/>
      <c r="AL142" t="inlineStr">
        <is>
          <t>1 games (2025 season)</t>
        </is>
      </c>
      <c r="AM142" t="inlineStr">
        <is>
          <t>Late-round bench upside; role growth is required for weekly relevance.</t>
        </is>
      </c>
      <c r="AN142" t="inlineStr">
        <is>
          <t>He produced 8.7 PPR/FP points per game across 18 games. The workload/efficiency profile gives the model a rate-based reason to keep him here. Market price is favorable around ADP 218 versus model overall rank 184.</t>
        </is>
      </c>
      <c r="AO142" t="inlineStr">
        <is>
          <t>Target competition, quarterback efficiency and touchdown regression are the main downside paths.</t>
        </is>
      </c>
    </row>
    <row r="143">
      <c r="A143" t="inlineStr">
        <is>
          <t>WR</t>
        </is>
      </c>
      <c r="B143" t="inlineStr">
        <is>
          <t>Calvin Ridley</t>
        </is>
      </c>
      <c r="C143" t="inlineStr">
        <is>
          <t>TEN</t>
        </is>
      </c>
      <c r="D143" t="n">
        <v>9</v>
      </c>
      <c r="E143" s="4" t="n">
        <v>61.5</v>
      </c>
      <c r="F143" s="4" t="n">
        <v>132.8</v>
      </c>
      <c r="G143" t="inlineStr">
        <is>
          <t>unclear</t>
        </is>
      </c>
      <c r="H143" t="inlineStr">
        <is>
          <t>weakness</t>
        </is>
      </c>
      <c r="I143" t="inlineStr">
        <is>
          <t>Cam Ward</t>
        </is>
      </c>
      <c r="J143" t="n">
        <v>57.1</v>
      </c>
      <c r="K143" t="n">
        <v>7.1</v>
      </c>
      <c r="L143" t="n">
        <v>0</v>
      </c>
      <c r="M143" t="n">
        <v>2</v>
      </c>
      <c r="N143" t="n">
        <v>1</v>
      </c>
      <c r="O143" t="n">
        <v>0</v>
      </c>
      <c r="P143" t="n">
        <v>0</v>
      </c>
      <c r="Q143" t="n">
        <v>0</v>
      </c>
      <c r="R143" t="n">
        <v>17</v>
      </c>
      <c r="S143" t="n">
        <v>303</v>
      </c>
      <c r="T143" t="n">
        <v>0</v>
      </c>
      <c r="U143" t="n">
        <v>0</v>
      </c>
      <c r="V143" t="n">
        <v>0</v>
      </c>
      <c r="W143" t="inlineStr"/>
      <c r="X143" t="inlineStr"/>
      <c r="Y143" t="inlineStr"/>
      <c r="Z143" t="inlineStr"/>
      <c r="AA143" t="inlineStr"/>
      <c r="AB143" t="inlineStr"/>
      <c r="AC143" t="inlineStr"/>
      <c r="AD143" t="n">
        <v>0</v>
      </c>
      <c r="AE143" t="n">
        <v>5.95</v>
      </c>
      <c r="AF143" t="n">
        <v>-5.95</v>
      </c>
      <c r="AG143" t="inlineStr"/>
      <c r="AH143" t="inlineStr"/>
      <c r="AI143" t="inlineStr"/>
      <c r="AJ143" t="n">
        <v>30</v>
      </c>
      <c r="AK143" t="inlineStr"/>
      <c r="AL143" t="inlineStr">
        <is>
          <t>1 games (2025 season)</t>
        </is>
      </c>
      <c r="AM143" t="inlineStr">
        <is>
          <t>Late-round bench upside; role growth is required for weekly relevance.</t>
        </is>
      </c>
      <c r="AN143" t="inlineStr">
        <is>
          <t>The 2026 opportunity and projection carry most of the grade because detailed 2025 rate data is incomplete. Market price is favorable around ADP 221 versus model overall rank 185.</t>
        </is>
      </c>
      <c r="AO143" t="inlineStr">
        <is>
          <t>Evidence is thinner than for established veterans, so camp, depth-chart and role news can move the grade materially.</t>
        </is>
      </c>
    </row>
    <row r="144">
      <c r="A144" t="inlineStr">
        <is>
          <t>WR</t>
        </is>
      </c>
      <c r="B144" t="inlineStr">
        <is>
          <t>Omar Cooper Jr.</t>
        </is>
      </c>
      <c r="C144" t="inlineStr">
        <is>
          <t>NYJ</t>
        </is>
      </c>
      <c r="D144" t="n">
        <v>13</v>
      </c>
      <c r="E144" s="4" t="n">
        <v>60.8</v>
      </c>
      <c r="F144" s="4" t="n">
        <v>165.4</v>
      </c>
      <c r="G144" t="inlineStr">
        <is>
          <t>unclear</t>
        </is>
      </c>
      <c r="H144" t="inlineStr">
        <is>
          <t>weakness</t>
        </is>
      </c>
      <c r="I144" t="inlineStr">
        <is>
          <t>Geno Smith</t>
        </is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inlineStr"/>
      <c r="X144" t="inlineStr"/>
      <c r="Y144" t="inlineStr"/>
      <c r="Z144" t="inlineStr"/>
      <c r="AA144" t="inlineStr"/>
      <c r="AB144" t="inlineStr"/>
      <c r="AC144" t="inlineStr"/>
      <c r="AD144" t="inlineStr"/>
      <c r="AE144" t="inlineStr"/>
      <c r="AF144" t="inlineStr"/>
      <c r="AG144" t="inlineStr"/>
      <c r="AH144" t="inlineStr"/>
      <c r="AI144" t="inlineStr"/>
      <c r="AJ144" t="n">
        <v>31</v>
      </c>
      <c r="AK144" t="inlineStr"/>
      <c r="AL144" t="inlineStr">
        <is>
          <t>Rookie, no NFL sample</t>
        </is>
      </c>
      <c r="AM144" t="inlineStr">
        <is>
          <t>Late-round bench upside; role growth is required for weekly relevance.</t>
        </is>
      </c>
      <c r="AN144" t="inlineStr">
        <is>
          <t>Rookie score 82.1, backed by No. 30 draft capital and a 6.39 NFL prospect grade. The 2026 role projection is strong enough to replace missing NFL history. Market price is favorable around ADP 225 versus model overall rank 186.</t>
        </is>
      </c>
      <c r="AO144" t="inlineStr">
        <is>
          <t>NFL translation and exact weekly role are the main variables; preseason first-team usage can move this rating quickly.</t>
        </is>
      </c>
    </row>
    <row r="145">
      <c r="A145" t="inlineStr">
        <is>
          <t>WR</t>
        </is>
      </c>
      <c r="B145" t="inlineStr">
        <is>
          <t>Jerry Jeudy</t>
        </is>
      </c>
      <c r="C145" t="inlineStr">
        <is>
          <t>CLE</t>
        </is>
      </c>
      <c r="D145" t="n">
        <v>11</v>
      </c>
      <c r="E145" s="4" t="n">
        <v>60.1</v>
      </c>
      <c r="F145" s="4" t="n">
        <v>134.7</v>
      </c>
      <c r="G145" t="inlineStr">
        <is>
          <t>committee</t>
        </is>
      </c>
      <c r="H145" t="inlineStr">
        <is>
          <t>weakness</t>
        </is>
      </c>
      <c r="I145" t="inlineStr">
        <is>
          <t>Deshaun Watson</t>
        </is>
      </c>
      <c r="J145" t="n">
        <v>84.5</v>
      </c>
      <c r="K145" t="n">
        <v>20.2</v>
      </c>
      <c r="L145" t="n">
        <v>0</v>
      </c>
      <c r="M145" t="n">
        <v>9</v>
      </c>
      <c r="N145" t="n">
        <v>1</v>
      </c>
      <c r="O145" t="n">
        <v>0</v>
      </c>
      <c r="P145" t="n">
        <v>0</v>
      </c>
      <c r="Q145" t="n">
        <v>0</v>
      </c>
      <c r="R145" t="n">
        <v>50</v>
      </c>
      <c r="S145" t="n">
        <v>602</v>
      </c>
      <c r="T145" t="n">
        <v>2</v>
      </c>
      <c r="U145" t="n">
        <v>0</v>
      </c>
      <c r="V145" t="n">
        <v>0</v>
      </c>
      <c r="W145" t="inlineStr"/>
      <c r="X145" t="inlineStr"/>
      <c r="Y145" t="inlineStr"/>
      <c r="Z145" t="inlineStr"/>
      <c r="AA145" t="inlineStr"/>
      <c r="AB145" t="inlineStr"/>
      <c r="AC145" t="inlineStr"/>
      <c r="AD145" t="n">
        <v>1.89</v>
      </c>
      <c r="AE145" t="n">
        <v>2.8</v>
      </c>
      <c r="AF145" t="n">
        <v>-0.91</v>
      </c>
      <c r="AG145" t="inlineStr"/>
      <c r="AH145" t="inlineStr"/>
      <c r="AI145" t="inlineStr"/>
      <c r="AJ145" t="n">
        <v>26</v>
      </c>
      <c r="AK145" t="inlineStr"/>
      <c r="AL145" t="inlineStr">
        <is>
          <t>1 games (2025 season)</t>
        </is>
      </c>
      <c r="AM145" t="inlineStr">
        <is>
          <t>Late-round bench upside; role growth is required for weekly relevance.</t>
        </is>
      </c>
      <c r="AN145" t="inlineStr">
        <is>
          <t>He produced 7.1 PPR/FP points per game across 17 games. The workload/efficiency profile gives the model a rate-based reason to keep him here. Market price is favorable around ADP 229 versus model overall rank 189.</t>
        </is>
      </c>
      <c r="AO145" t="inlineStr">
        <is>
          <t>Target competition, quarterback efficiency and touchdown regression are the main downside paths.</t>
        </is>
      </c>
    </row>
    <row r="146">
      <c r="A146" t="inlineStr">
        <is>
          <t>WR</t>
        </is>
      </c>
      <c r="B146" t="inlineStr">
        <is>
          <t>Jalen Nailor</t>
        </is>
      </c>
      <c r="C146" t="inlineStr">
        <is>
          <t>LV</t>
        </is>
      </c>
      <c r="D146" t="n">
        <v>13</v>
      </c>
      <c r="E146" s="4" t="n">
        <v>59.5</v>
      </c>
      <c r="F146" s="4" t="n">
        <v>160.6</v>
      </c>
      <c r="G146" t="inlineStr">
        <is>
          <t>unclear</t>
        </is>
      </c>
      <c r="H146" t="inlineStr">
        <is>
          <t>elite</t>
        </is>
      </c>
      <c r="I146" t="inlineStr">
        <is>
          <t>Kirk Cousins</t>
        </is>
      </c>
      <c r="J146" t="n">
        <v>65.40000000000001</v>
      </c>
      <c r="K146" t="n">
        <v>11.8</v>
      </c>
      <c r="L146" t="n">
        <v>0</v>
      </c>
      <c r="M146" t="n">
        <v>13</v>
      </c>
      <c r="N146" t="n">
        <v>1</v>
      </c>
      <c r="O146" t="n">
        <v>0</v>
      </c>
      <c r="P146" t="n">
        <v>0</v>
      </c>
      <c r="Q146" t="n">
        <v>0</v>
      </c>
      <c r="R146" t="n">
        <v>29</v>
      </c>
      <c r="S146" t="n">
        <v>444</v>
      </c>
      <c r="T146" t="n">
        <v>4</v>
      </c>
      <c r="U146" t="n">
        <v>0</v>
      </c>
      <c r="V146" t="n">
        <v>0</v>
      </c>
      <c r="W146" t="inlineStr"/>
      <c r="X146" t="inlineStr"/>
      <c r="Y146" t="inlineStr"/>
      <c r="Z146" t="inlineStr"/>
      <c r="AA146" t="inlineStr"/>
      <c r="AB146" t="inlineStr"/>
      <c r="AC146" t="inlineStr"/>
      <c r="AD146" t="n">
        <v>7.55</v>
      </c>
      <c r="AE146" t="n">
        <v>9.65</v>
      </c>
      <c r="AF146" t="n">
        <v>-2.1</v>
      </c>
      <c r="AG146" t="inlineStr"/>
      <c r="AH146" t="inlineStr"/>
      <c r="AI146" t="inlineStr"/>
      <c r="AJ146" t="n">
        <v>26</v>
      </c>
      <c r="AK146" t="inlineStr"/>
      <c r="AL146" t="inlineStr">
        <is>
          <t>1 games (2025 season)</t>
        </is>
      </c>
      <c r="AM146" t="inlineStr">
        <is>
          <t>Late-round bench upside; role growth is required for weekly relevance.</t>
        </is>
      </c>
      <c r="AN146" t="inlineStr">
        <is>
          <t>He produced 5.9 PPR/FP points per game across 17 games. The workload/efficiency profile gives the model a rate-based reason to keep him here. Market price is favorable around ADP 233 versus model overall rank 190.</t>
        </is>
      </c>
      <c r="AO146" t="inlineStr">
        <is>
          <t>Target competition, quarterback efficiency and touchdown regression are the main downside paths.</t>
        </is>
      </c>
    </row>
    <row r="147">
      <c r="A147" t="inlineStr">
        <is>
          <t>WR</t>
        </is>
      </c>
      <c r="B147" t="inlineStr">
        <is>
          <t>Jalen McMillan</t>
        </is>
      </c>
      <c r="C147" t="inlineStr">
        <is>
          <t>TB</t>
        </is>
      </c>
      <c r="D147" t="n">
        <v>10</v>
      </c>
      <c r="E147" s="4" t="n">
        <v>58.8</v>
      </c>
      <c r="F147" s="4" t="n">
        <v>152.8</v>
      </c>
      <c r="G147" t="inlineStr">
        <is>
          <t>unclear</t>
        </is>
      </c>
      <c r="H147" t="inlineStr">
        <is>
          <t>weakness</t>
        </is>
      </c>
      <c r="I147" t="inlineStr">
        <is>
          <t>Baker Mayfield</t>
        </is>
      </c>
      <c r="J147" t="n">
        <v>51.5</v>
      </c>
      <c r="K147" t="n">
        <v>2.8</v>
      </c>
      <c r="L147" t="n">
        <v>0</v>
      </c>
      <c r="M147" t="n">
        <v>2</v>
      </c>
      <c r="N147" t="n">
        <v>1</v>
      </c>
      <c r="O147" t="n">
        <v>0</v>
      </c>
      <c r="P147" t="n">
        <v>0</v>
      </c>
      <c r="Q147" t="n">
        <v>0</v>
      </c>
      <c r="R147" t="n">
        <v>12</v>
      </c>
      <c r="S147" t="n">
        <v>178</v>
      </c>
      <c r="T147" t="n">
        <v>0</v>
      </c>
      <c r="U147" t="n">
        <v>0</v>
      </c>
      <c r="V147" t="n">
        <v>0</v>
      </c>
      <c r="W147" t="inlineStr"/>
      <c r="X147" t="inlineStr"/>
      <c r="Y147" t="inlineStr"/>
      <c r="Z147" t="inlineStr"/>
      <c r="AA147" t="inlineStr"/>
      <c r="AB147" t="inlineStr"/>
      <c r="AC147" t="inlineStr"/>
      <c r="AD147" t="inlineStr"/>
      <c r="AE147" t="inlineStr"/>
      <c r="AF147" t="inlineStr"/>
      <c r="AG147" t="inlineStr"/>
      <c r="AH147" t="inlineStr"/>
      <c r="AI147" t="inlineStr"/>
      <c r="AJ147" t="n">
        <v>23</v>
      </c>
      <c r="AK147" t="inlineStr"/>
      <c r="AL147" t="inlineStr">
        <is>
          <t>1 games (2025 season)</t>
        </is>
      </c>
      <c r="AM147" t="inlineStr">
        <is>
          <t>Late-round bench upside; role growth is required for weekly relevance.</t>
        </is>
      </c>
      <c r="AN147" t="inlineStr">
        <is>
          <t>The 2026 opportunity and projection carry most of the grade because detailed 2025 rate data is incomplete. Market price is favorable around ADP 237 versus model overall rank 192.</t>
        </is>
      </c>
      <c r="AO147" t="inlineStr">
        <is>
          <t>Evidence is thinner than for established veterans, so camp, depth-chart and role news can move the grade materially.</t>
        </is>
      </c>
    </row>
    <row r="148">
      <c r="A148" t="inlineStr">
        <is>
          <t>WR</t>
        </is>
      </c>
      <c r="B148" t="inlineStr">
        <is>
          <t>Adonai Mitchell</t>
        </is>
      </c>
      <c r="C148" t="inlineStr">
        <is>
          <t>NYJ</t>
        </is>
      </c>
      <c r="D148" t="n">
        <v>13</v>
      </c>
      <c r="E148" s="4" t="n">
        <v>58.1</v>
      </c>
      <c r="F148" s="4" t="n">
        <v>163.1</v>
      </c>
      <c r="G148" t="inlineStr">
        <is>
          <t>committee</t>
        </is>
      </c>
      <c r="H148" t="inlineStr">
        <is>
          <t>weakness</t>
        </is>
      </c>
      <c r="I148" t="inlineStr">
        <is>
          <t>Geno Smith</t>
        </is>
      </c>
      <c r="J148" t="n">
        <v>25.1</v>
      </c>
      <c r="K148" t="n">
        <v>15</v>
      </c>
      <c r="L148" t="n">
        <v>0</v>
      </c>
      <c r="M148" t="n">
        <v>8</v>
      </c>
      <c r="N148" t="n">
        <v>1</v>
      </c>
      <c r="O148" t="n">
        <v>0</v>
      </c>
      <c r="P148" t="n">
        <v>0</v>
      </c>
      <c r="Q148" t="n">
        <v>0</v>
      </c>
      <c r="R148" t="n">
        <v>33</v>
      </c>
      <c r="S148" t="n">
        <v>453</v>
      </c>
      <c r="T148" t="n">
        <v>2</v>
      </c>
      <c r="U148" t="n">
        <v>0</v>
      </c>
      <c r="V148" t="n">
        <v>0</v>
      </c>
      <c r="W148" t="inlineStr"/>
      <c r="X148" t="inlineStr"/>
      <c r="Y148" t="inlineStr"/>
      <c r="Z148" t="inlineStr"/>
      <c r="AA148" t="inlineStr"/>
      <c r="AB148" t="inlineStr"/>
      <c r="AC148" t="inlineStr"/>
      <c r="AD148" t="n">
        <v>2.7</v>
      </c>
      <c r="AE148" t="n">
        <v>1.55</v>
      </c>
      <c r="AF148" t="n">
        <v>1.15</v>
      </c>
      <c r="AG148" t="inlineStr"/>
      <c r="AH148" t="inlineStr"/>
      <c r="AI148" t="inlineStr"/>
      <c r="AJ148" t="n">
        <v>22</v>
      </c>
      <c r="AK148" t="inlineStr"/>
      <c r="AL148" t="inlineStr">
        <is>
          <t>1 games (2025 season)</t>
        </is>
      </c>
      <c r="AM148" t="inlineStr">
        <is>
          <t>Late-round bench upside; role growth is required for weekly relevance.</t>
        </is>
      </c>
      <c r="AN148" t="inlineStr">
        <is>
          <t>The 2026 opportunity and projection carry most of the grade because detailed 2025 rate data is incomplete. Market price is favorable around ADP 241 versus model overall rank 193.</t>
        </is>
      </c>
      <c r="AO148" t="inlineStr">
        <is>
          <t>Evidence is thinner than for established veterans, so camp, depth-chart and role news can move the grade materially.</t>
        </is>
      </c>
    </row>
    <row r="149">
      <c r="A149" t="inlineStr">
        <is>
          <t>WR</t>
        </is>
      </c>
      <c r="B149" t="inlineStr">
        <is>
          <t>Isaac TeSlaa</t>
        </is>
      </c>
      <c r="C149" t="inlineStr">
        <is>
          <t>DET</t>
        </is>
      </c>
      <c r="D149" t="n">
        <v>6</v>
      </c>
      <c r="E149" s="4" t="n">
        <v>57.5</v>
      </c>
      <c r="F149" s="4" t="n">
        <v>176.3</v>
      </c>
      <c r="G149" t="inlineStr">
        <is>
          <t>unclear</t>
        </is>
      </c>
      <c r="H149" t="inlineStr">
        <is>
          <t>elite</t>
        </is>
      </c>
      <c r="I149" t="inlineStr">
        <is>
          <t>Jared Goff</t>
        </is>
      </c>
      <c r="J149" t="n">
        <v>39.6</v>
      </c>
      <c r="K149" t="n">
        <v>4.9</v>
      </c>
      <c r="L149" t="n">
        <v>0</v>
      </c>
      <c r="M149" t="n">
        <v>11</v>
      </c>
      <c r="N149" t="n">
        <v>1</v>
      </c>
      <c r="O149" t="n">
        <v>0</v>
      </c>
      <c r="P149" t="n">
        <v>0</v>
      </c>
      <c r="Q149" t="n">
        <v>0</v>
      </c>
      <c r="R149" t="n">
        <v>16</v>
      </c>
      <c r="S149" t="n">
        <v>239</v>
      </c>
      <c r="T149" t="n">
        <v>6</v>
      </c>
      <c r="U149" t="n">
        <v>0</v>
      </c>
      <c r="V149" t="n">
        <v>0</v>
      </c>
      <c r="W149" t="inlineStr"/>
      <c r="X149" t="inlineStr"/>
      <c r="Y149" t="inlineStr"/>
      <c r="Z149" t="inlineStr"/>
      <c r="AA149" t="inlineStr"/>
      <c r="AB149" t="inlineStr"/>
      <c r="AC149" t="inlineStr"/>
      <c r="AD149" t="n">
        <v>22.22</v>
      </c>
      <c r="AE149" t="n">
        <v>22.22</v>
      </c>
      <c r="AF149" t="n">
        <v>0</v>
      </c>
      <c r="AG149" t="inlineStr"/>
      <c r="AH149" t="inlineStr"/>
      <c r="AI149" t="inlineStr"/>
      <c r="AJ149" t="n">
        <v>23</v>
      </c>
      <c r="AK149" t="inlineStr"/>
      <c r="AL149" t="inlineStr">
        <is>
          <t>1 games (2025 season)</t>
        </is>
      </c>
      <c r="AM149" t="inlineStr">
        <is>
          <t>Late-round bench upside; role growth is required for weekly relevance.</t>
        </is>
      </c>
      <c r="AN149" t="inlineStr">
        <is>
          <t>He produced 4.4 PPR/FP points per game across 17 games. The workload/efficiency profile gives the model a rate-based reason to keep him here. Market price is favorable around ADP 245 versus model overall rank 194.</t>
        </is>
      </c>
      <c r="AO149" t="inlineStr">
        <is>
          <t>Target competition, quarterback efficiency and touchdown regression are the main downside paths.</t>
        </is>
      </c>
    </row>
    <row r="150">
      <c r="A150" t="inlineStr">
        <is>
          <t>WR</t>
        </is>
      </c>
      <c r="B150" t="inlineStr">
        <is>
          <t>Denzel Boston</t>
        </is>
      </c>
      <c r="C150" t="inlineStr">
        <is>
          <t>CLE</t>
        </is>
      </c>
      <c r="D150" t="n">
        <v>11</v>
      </c>
      <c r="E150" s="4" t="n">
        <v>56.8</v>
      </c>
      <c r="F150" s="4" t="n">
        <v>155.7</v>
      </c>
      <c r="G150" t="inlineStr">
        <is>
          <t>unclear</t>
        </is>
      </c>
      <c r="H150" t="inlineStr">
        <is>
          <t>weakness</t>
        </is>
      </c>
      <c r="I150" t="inlineStr">
        <is>
          <t>Deshaun Watson</t>
        </is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inlineStr"/>
      <c r="X150" t="inlineStr"/>
      <c r="Y150" t="inlineStr"/>
      <c r="Z150" t="inlineStr"/>
      <c r="AA150" t="inlineStr"/>
      <c r="AB150" t="inlineStr"/>
      <c r="AC150" t="inlineStr"/>
      <c r="AD150" t="inlineStr"/>
      <c r="AE150" t="inlineStr"/>
      <c r="AF150" t="inlineStr"/>
      <c r="AG150" t="inlineStr"/>
      <c r="AH150" t="inlineStr"/>
      <c r="AI150" t="inlineStr"/>
      <c r="AJ150" t="inlineStr"/>
      <c r="AK150" t="inlineStr"/>
      <c r="AL150" t="inlineStr">
        <is>
          <t>No stats match found</t>
        </is>
      </c>
      <c r="AM150" t="inlineStr">
        <is>
          <t>Late-round bench upside; role growth is required for weekly relevance.</t>
        </is>
      </c>
      <c r="AN150" t="inlineStr">
        <is>
          <t>Rookie score 79.3, backed by No. 39 draft capital and a 6.40 NFL prospect grade. The 2026 role projection is strong enough to replace missing NFL history. Market price is favorable around ADP 249 versus model overall rank 196.</t>
        </is>
      </c>
      <c r="AO150" t="inlineStr">
        <is>
          <t>NFL translation and exact weekly role are the main variables; preseason first-team usage can move this rating quickly.</t>
        </is>
      </c>
    </row>
    <row r="151">
      <c r="A151" t="inlineStr">
        <is>
          <t>WR</t>
        </is>
      </c>
      <c r="B151" t="inlineStr">
        <is>
          <t>Tre Tucker</t>
        </is>
      </c>
      <c r="C151" t="inlineStr">
        <is>
          <t>LV</t>
        </is>
      </c>
      <c r="D151" t="n">
        <v>13</v>
      </c>
      <c r="E151" s="4" t="n">
        <v>56.1</v>
      </c>
      <c r="F151" s="4" t="n">
        <v>135.5</v>
      </c>
      <c r="G151" t="inlineStr">
        <is>
          <t>committee</t>
        </is>
      </c>
      <c r="H151" t="inlineStr">
        <is>
          <t>elite</t>
        </is>
      </c>
      <c r="I151" t="inlineStr">
        <is>
          <t>Kirk Cousins</t>
        </is>
      </c>
      <c r="J151" t="n">
        <v>15.5</v>
      </c>
      <c r="K151" t="n">
        <v>19.7</v>
      </c>
      <c r="L151" t="n">
        <v>0</v>
      </c>
      <c r="M151" t="n">
        <v>11</v>
      </c>
      <c r="N151" t="n">
        <v>1</v>
      </c>
      <c r="O151" t="n">
        <v>0</v>
      </c>
      <c r="P151" t="n">
        <v>0</v>
      </c>
      <c r="Q151" t="n">
        <v>0</v>
      </c>
      <c r="R151" t="n">
        <v>57</v>
      </c>
      <c r="S151" t="n">
        <v>696</v>
      </c>
      <c r="T151" t="n">
        <v>5</v>
      </c>
      <c r="U151" t="n">
        <v>0</v>
      </c>
      <c r="V151" t="n">
        <v>0</v>
      </c>
      <c r="W151" t="inlineStr"/>
      <c r="X151" t="inlineStr"/>
      <c r="Y151" t="inlineStr"/>
      <c r="Z151" t="inlineStr"/>
      <c r="AA151" t="inlineStr"/>
      <c r="AB151" t="inlineStr"/>
      <c r="AC151" t="inlineStr"/>
      <c r="AD151" t="n">
        <v>5.43</v>
      </c>
      <c r="AE151" t="n">
        <v>4.83</v>
      </c>
      <c r="AF151" t="n">
        <v>0.6</v>
      </c>
      <c r="AG151" t="inlineStr"/>
      <c r="AH151" t="inlineStr"/>
      <c r="AI151" t="inlineStr"/>
      <c r="AJ151" t="n">
        <v>24</v>
      </c>
      <c r="AK151" t="inlineStr"/>
      <c r="AL151" t="inlineStr">
        <is>
          <t>1 games (2025 season)</t>
        </is>
      </c>
      <c r="AM151" t="inlineStr">
        <is>
          <t>Late-round bench upside; role growth is required for weekly relevance.</t>
        </is>
      </c>
      <c r="AN151" t="inlineStr">
        <is>
          <t>He produced 9.6 PPR/FP points per game across 17 games. The workload/efficiency profile gives the model a rate-based reason to keep him here. Market price is favorable around ADP 253 versus model overall rank 197.</t>
        </is>
      </c>
      <c r="AO151" t="inlineStr">
        <is>
          <t>Target competition, quarterback efficiency and touchdown regression are the main downside paths.</t>
        </is>
      </c>
    </row>
    <row r="152">
      <c r="A152" t="inlineStr">
        <is>
          <t>WR</t>
        </is>
      </c>
      <c r="B152" t="inlineStr">
        <is>
          <t>Antonio Williams</t>
        </is>
      </c>
      <c r="C152" t="inlineStr">
        <is>
          <t>WAS</t>
        </is>
      </c>
      <c r="D152" t="n">
        <v>7</v>
      </c>
      <c r="E152" s="4" t="n">
        <v>55.4</v>
      </c>
      <c r="F152" s="4" t="n">
        <v>159.6</v>
      </c>
      <c r="G152" t="inlineStr">
        <is>
          <t>unclear</t>
        </is>
      </c>
      <c r="H152" t="inlineStr">
        <is>
          <t>elite</t>
        </is>
      </c>
      <c r="I152" t="inlineStr">
        <is>
          <t>Jayden Daniels</t>
        </is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inlineStr"/>
      <c r="X152" t="inlineStr"/>
      <c r="Y152" t="inlineStr"/>
      <c r="Z152" t="inlineStr"/>
      <c r="AA152" t="inlineStr"/>
      <c r="AB152" t="inlineStr"/>
      <c r="AC152" t="inlineStr"/>
      <c r="AD152" t="inlineStr"/>
      <c r="AE152" t="inlineStr"/>
      <c r="AF152" t="inlineStr"/>
      <c r="AG152" t="inlineStr"/>
      <c r="AH152" t="inlineStr"/>
      <c r="AI152" t="inlineStr"/>
      <c r="AJ152" t="n">
        <v>37</v>
      </c>
      <c r="AK152" t="inlineStr"/>
      <c r="AL152" t="inlineStr">
        <is>
          <t>No stats match found</t>
        </is>
      </c>
      <c r="AM152" t="inlineStr">
        <is>
          <t>Late-round bench upside; role growth is required for weekly relevance.</t>
        </is>
      </c>
      <c r="AN152" t="inlineStr">
        <is>
          <t>The 2026 opportunity and projection carry most of the grade because detailed 2025 rate data is incomplete. Market price is favorable around ADP 256 versus model overall rank 198.</t>
        </is>
      </c>
      <c r="AO152" t="inlineStr">
        <is>
          <t>Evidence is thinner than for established veterans, so camp, depth-chart and role news can move the grade materially.</t>
        </is>
      </c>
    </row>
    <row r="153">
      <c r="A153" t="inlineStr">
        <is>
          <t>WR</t>
        </is>
      </c>
      <c r="B153" t="inlineStr">
        <is>
          <t>Travis Hunter</t>
        </is>
      </c>
      <c r="C153" t="inlineStr">
        <is>
          <t>JAX</t>
        </is>
      </c>
      <c r="D153" t="n">
        <v>7</v>
      </c>
      <c r="E153" s="4" t="n">
        <v>54.8</v>
      </c>
      <c r="F153" s="4" t="n">
        <v>164.4</v>
      </c>
      <c r="G153" t="inlineStr">
        <is>
          <t>unclear</t>
        </is>
      </c>
      <c r="H153" t="inlineStr">
        <is>
          <t>weakness</t>
        </is>
      </c>
      <c r="I153" t="inlineStr">
        <is>
          <t>Trevor Lawrence</t>
        </is>
      </c>
      <c r="J153" t="n">
        <v>0</v>
      </c>
      <c r="K153" t="n">
        <v>0</v>
      </c>
      <c r="L153" t="n">
        <v>0</v>
      </c>
      <c r="M153" t="n">
        <v>6</v>
      </c>
      <c r="N153" t="n">
        <v>1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inlineStr"/>
      <c r="X153" t="inlineStr"/>
      <c r="Y153" t="inlineStr"/>
      <c r="Z153" t="inlineStr"/>
      <c r="AA153" t="inlineStr"/>
      <c r="AB153" t="inlineStr"/>
      <c r="AC153" t="inlineStr"/>
      <c r="AD153" t="inlineStr"/>
      <c r="AE153" t="inlineStr"/>
      <c r="AF153" t="inlineStr"/>
      <c r="AG153" t="inlineStr"/>
      <c r="AH153" t="inlineStr"/>
      <c r="AI153" t="inlineStr"/>
      <c r="AJ153" t="n">
        <v>22</v>
      </c>
      <c r="AK153" t="inlineStr"/>
      <c r="AL153" t="inlineStr">
        <is>
          <t>1 games (2025 season)</t>
        </is>
      </c>
      <c r="AM153" t="inlineStr">
        <is>
          <t>Late-round bench upside; role growth is required for weekly relevance.</t>
        </is>
      </c>
      <c r="AN153" t="inlineStr">
        <is>
          <t>The 2026 opportunity and projection carry most of the grade because detailed 2025 rate data is incomplete. Market price is favorable around ADP 260 versus model overall rank 201.</t>
        </is>
      </c>
      <c r="AO153" t="inlineStr">
        <is>
          <t>Evidence is thinner than for established veterans, so camp, depth-chart and role news can move the grade materially.</t>
        </is>
      </c>
    </row>
    <row r="154">
      <c r="A154" t="inlineStr">
        <is>
          <t>WR</t>
        </is>
      </c>
      <c r="B154" t="inlineStr">
        <is>
          <t>Ryan Flournoy</t>
        </is>
      </c>
      <c r="C154" t="inlineStr">
        <is>
          <t>DAL</t>
        </is>
      </c>
      <c r="D154" t="n">
        <v>14</v>
      </c>
      <c r="E154" s="4" t="n">
        <v>54.1</v>
      </c>
      <c r="F154" s="4" t="n">
        <v>176.7</v>
      </c>
      <c r="G154" t="inlineStr">
        <is>
          <t>unclear</t>
        </is>
      </c>
      <c r="H154" t="inlineStr">
        <is>
          <t>elite</t>
        </is>
      </c>
      <c r="I154" t="inlineStr">
        <is>
          <t>Dak Prescott</t>
        </is>
      </c>
      <c r="J154" t="n">
        <v>44.8</v>
      </c>
      <c r="K154" t="n">
        <v>9.199999999999999</v>
      </c>
      <c r="L154" t="n">
        <v>0</v>
      </c>
      <c r="M154" t="n">
        <v>7</v>
      </c>
      <c r="N154" t="n">
        <v>1</v>
      </c>
      <c r="O154" t="n">
        <v>0</v>
      </c>
      <c r="P154" t="n">
        <v>0</v>
      </c>
      <c r="Q154" t="n">
        <v>0</v>
      </c>
      <c r="R154" t="n">
        <v>40</v>
      </c>
      <c r="S154" t="n">
        <v>475</v>
      </c>
      <c r="T154" t="n">
        <v>4</v>
      </c>
      <c r="U154" t="n">
        <v>0</v>
      </c>
      <c r="V154" t="n">
        <v>0</v>
      </c>
      <c r="W154" t="inlineStr"/>
      <c r="X154" t="inlineStr"/>
      <c r="Y154" t="inlineStr"/>
      <c r="Z154" t="inlineStr"/>
      <c r="AA154" t="inlineStr"/>
      <c r="AB154" t="inlineStr"/>
      <c r="AC154" t="inlineStr"/>
      <c r="AD154" t="n">
        <v>7.14</v>
      </c>
      <c r="AE154" t="n">
        <v>5.71</v>
      </c>
      <c r="AF154" t="n">
        <v>1.43</v>
      </c>
      <c r="AG154" t="inlineStr"/>
      <c r="AH154" t="inlineStr"/>
      <c r="AI154" t="inlineStr"/>
      <c r="AJ154" t="n">
        <v>25</v>
      </c>
      <c r="AK154" t="inlineStr"/>
      <c r="AL154" t="inlineStr">
        <is>
          <t>1 games (2025 season)</t>
        </is>
      </c>
      <c r="AM154" t="inlineStr">
        <is>
          <t>Late-round bench upside; role growth is required for weekly relevance.</t>
        </is>
      </c>
      <c r="AN154" t="inlineStr">
        <is>
          <t>He produced 7.6 PPR/FP points per game across 15 games. The workload/efficiency profile gives the model a rate-based reason to keep him here. Market price is favorable around ADP 264 versus model overall rank 202.</t>
        </is>
      </c>
      <c r="AO154" t="inlineStr">
        <is>
          <t>Target competition, quarterback efficiency and touchdown regression are the main downside paths.</t>
        </is>
      </c>
    </row>
    <row r="155">
      <c r="A155" t="inlineStr">
        <is>
          <t>WR</t>
        </is>
      </c>
      <c r="B155" t="inlineStr">
        <is>
          <t>Jauan Jennings</t>
        </is>
      </c>
      <c r="C155" t="inlineStr">
        <is>
          <t>MIN</t>
        </is>
      </c>
      <c r="D155" t="n">
        <v>6</v>
      </c>
      <c r="E155" s="4" t="n">
        <v>53.4</v>
      </c>
      <c r="F155" s="4" t="n">
        <v>147.7</v>
      </c>
      <c r="G155" t="inlineStr">
        <is>
          <t>committee</t>
        </is>
      </c>
      <c r="H155" t="inlineStr">
        <is>
          <t>weakness</t>
        </is>
      </c>
      <c r="I155" t="inlineStr">
        <is>
          <t>Kyler Murray</t>
        </is>
      </c>
      <c r="J155" t="n">
        <v>0</v>
      </c>
      <c r="K155" t="n">
        <v>16.6</v>
      </c>
      <c r="L155" t="n">
        <v>0</v>
      </c>
      <c r="M155" t="n">
        <v>22</v>
      </c>
      <c r="N155" t="n">
        <v>1</v>
      </c>
      <c r="O155" t="n">
        <v>0</v>
      </c>
      <c r="P155" t="n">
        <v>0</v>
      </c>
      <c r="Q155" t="n">
        <v>0</v>
      </c>
      <c r="R155" t="n">
        <v>55</v>
      </c>
      <c r="S155" t="n">
        <v>643</v>
      </c>
      <c r="T155" t="n">
        <v>9</v>
      </c>
      <c r="U155" t="n">
        <v>0</v>
      </c>
      <c r="V155" t="n">
        <v>0</v>
      </c>
      <c r="W155" t="inlineStr"/>
      <c r="X155" t="inlineStr"/>
      <c r="Y155" t="inlineStr"/>
      <c r="Z155" t="inlineStr"/>
      <c r="AA155" t="inlineStr"/>
      <c r="AB155" t="inlineStr"/>
      <c r="AC155" t="inlineStr"/>
      <c r="AD155" t="n">
        <v>10</v>
      </c>
      <c r="AE155" t="n">
        <v>6.67</v>
      </c>
      <c r="AF155" t="n">
        <v>3.33</v>
      </c>
      <c r="AG155" t="inlineStr"/>
      <c r="AH155" t="inlineStr"/>
      <c r="AI155" t="inlineStr"/>
      <c r="AJ155" t="n">
        <v>28</v>
      </c>
      <c r="AK155" t="inlineStr"/>
      <c r="AL155" t="inlineStr">
        <is>
          <t>1 games (2025 season)</t>
        </is>
      </c>
      <c r="AM155" t="inlineStr">
        <is>
          <t>Late-round bench upside; role growth is required for weekly relevance.</t>
        </is>
      </c>
      <c r="AN155" t="inlineStr">
        <is>
          <t>He produced 11.6 PPR/FP points per game across 15 games. The workload/efficiency profile gives the model a rate-based reason to keep him here. Market price is favorable around ADP 268 versus model overall rank 204.</t>
        </is>
      </c>
      <c r="AO155" t="inlineStr">
        <is>
          <t>Target competition, quarterback efficiency and touchdown regression are the main downside paths.</t>
        </is>
      </c>
    </row>
    <row r="156">
      <c r="A156" t="inlineStr">
        <is>
          <t>WR</t>
        </is>
      </c>
      <c r="B156" t="inlineStr">
        <is>
          <t>Darnell Mooney</t>
        </is>
      </c>
      <c r="C156" t="inlineStr">
        <is>
          <t>NYG</t>
        </is>
      </c>
      <c r="D156" t="n">
        <v>8</v>
      </c>
      <c r="E156" s="4" t="n">
        <v>52.8</v>
      </c>
      <c r="F156" s="4" t="n">
        <v>185.2</v>
      </c>
      <c r="G156" t="inlineStr">
        <is>
          <t>unclear</t>
        </is>
      </c>
      <c r="H156" t="inlineStr">
        <is>
          <t>weakness</t>
        </is>
      </c>
      <c r="I156" t="inlineStr">
        <is>
          <t>Jaxson Dart</t>
        </is>
      </c>
      <c r="J156" t="n">
        <v>81.90000000000001</v>
      </c>
      <c r="K156" t="n">
        <v>14.3</v>
      </c>
      <c r="L156" t="n">
        <v>0</v>
      </c>
      <c r="M156" t="n">
        <v>8</v>
      </c>
      <c r="N156" t="n">
        <v>1</v>
      </c>
      <c r="O156" t="n">
        <v>0</v>
      </c>
      <c r="P156" t="n">
        <v>0</v>
      </c>
      <c r="Q156" t="n">
        <v>0</v>
      </c>
      <c r="R156" t="n">
        <v>32</v>
      </c>
      <c r="S156" t="n">
        <v>443</v>
      </c>
      <c r="T156" t="n">
        <v>1</v>
      </c>
      <c r="U156" t="n">
        <v>0</v>
      </c>
      <c r="V156" t="n">
        <v>0</v>
      </c>
      <c r="W156" t="inlineStr"/>
      <c r="X156" t="inlineStr"/>
      <c r="Y156" t="inlineStr"/>
      <c r="Z156" t="inlineStr"/>
      <c r="AA156" t="inlineStr"/>
      <c r="AB156" t="inlineStr"/>
      <c r="AC156" t="inlineStr"/>
      <c r="AD156" t="n">
        <v>1.39</v>
      </c>
      <c r="AE156" t="n">
        <v>3.16</v>
      </c>
      <c r="AF156" t="n">
        <v>-1.77</v>
      </c>
      <c r="AG156" t="inlineStr"/>
      <c r="AH156" t="inlineStr"/>
      <c r="AI156" t="inlineStr"/>
      <c r="AJ156" t="n">
        <v>27</v>
      </c>
      <c r="AK156" t="inlineStr"/>
      <c r="AL156" t="inlineStr">
        <is>
          <t>1 games (2025 season)</t>
        </is>
      </c>
      <c r="AM156" t="inlineStr">
        <is>
          <t>Late-round bench upside; role growth is required for weekly relevance.</t>
        </is>
      </c>
      <c r="AN156" t="inlineStr">
        <is>
          <t>The 2026 opportunity and projection carry most of the grade because detailed 2025 rate data is incomplete. Market price is favorable around ADP 272 versus model overall rank 205.</t>
        </is>
      </c>
      <c r="AO156" t="inlineStr">
        <is>
          <t>Evidence is thinner than for established veterans, so camp, depth-chart and role news can move the grade materially.</t>
        </is>
      </c>
    </row>
    <row r="157">
      <c r="A157" t="inlineStr">
        <is>
          <t>WR</t>
        </is>
      </c>
      <c r="B157" t="inlineStr">
        <is>
          <t>Stefon Diggs</t>
        </is>
      </c>
      <c r="C157" t="inlineStr">
        <is>
          <t>WAS</t>
        </is>
      </c>
      <c r="D157" t="n">
        <v>7</v>
      </c>
      <c r="E157" s="4" t="n">
        <v>71.2</v>
      </c>
      <c r="F157" s="4" t="n">
        <v>90.5</v>
      </c>
      <c r="G157" t="inlineStr">
        <is>
          <t>committee</t>
        </is>
      </c>
      <c r="H157" t="inlineStr">
        <is>
          <t>elite</t>
        </is>
      </c>
      <c r="I157" t="inlineStr">
        <is>
          <t>Jayden Daniels</t>
        </is>
      </c>
      <c r="J157" t="n">
        <v>0</v>
      </c>
      <c r="K157" t="n">
        <v>21.2</v>
      </c>
      <c r="L157" t="n">
        <v>0</v>
      </c>
      <c r="M157" t="n">
        <v>12</v>
      </c>
      <c r="N157" t="n">
        <v>1</v>
      </c>
      <c r="O157" t="n">
        <v>0</v>
      </c>
      <c r="P157" t="n">
        <v>0</v>
      </c>
      <c r="Q157" t="n">
        <v>0</v>
      </c>
      <c r="R157" t="n">
        <v>85</v>
      </c>
      <c r="S157" t="n">
        <v>1013</v>
      </c>
      <c r="T157" t="n">
        <v>4</v>
      </c>
      <c r="U157" t="n">
        <v>0</v>
      </c>
      <c r="V157" t="n">
        <v>0</v>
      </c>
      <c r="W157" t="inlineStr"/>
      <c r="X157" t="inlineStr"/>
      <c r="Y157" t="inlineStr"/>
      <c r="Z157" t="inlineStr"/>
      <c r="AA157" t="inlineStr"/>
      <c r="AB157" t="inlineStr"/>
      <c r="AC157" t="inlineStr"/>
      <c r="AD157" t="n">
        <v>3.92</v>
      </c>
      <c r="AE157" t="n">
        <v>5.51</v>
      </c>
      <c r="AF157" t="n">
        <v>-1.58</v>
      </c>
      <c r="AG157" t="inlineStr"/>
      <c r="AH157" t="inlineStr"/>
      <c r="AI157" t="inlineStr"/>
      <c r="AJ157" t="n">
        <v>31</v>
      </c>
      <c r="AK157" t="inlineStr"/>
      <c r="AL157" t="inlineStr">
        <is>
          <t>1 games (2025 season)</t>
        </is>
      </c>
      <c r="AM157" t="inlineStr">
        <is>
          <t>Added 2026-08-12 from ESPN consensus (WR41).</t>
        </is>
      </c>
      <c r="AN157" t="inlineStr">
        <is>
          <t>Not in the original model pool; rating interpolated from the players ESPN ranks directly around him, so he sits at his consensus slot on our board.</t>
        </is>
      </c>
      <c r="AO157" t="inlineStr">
        <is>
          <t>No model projection behind this rating; it is market consensus only. Re-rate manually if you have a strong opinion.</t>
        </is>
      </c>
    </row>
    <row r="158">
      <c r="A158" t="inlineStr">
        <is>
          <t>WR</t>
        </is>
      </c>
      <c r="B158" t="inlineStr">
        <is>
          <t>Deebo Samuel</t>
        </is>
      </c>
      <c r="C158" t="inlineStr">
        <is>
          <t>SF</t>
        </is>
      </c>
      <c r="D158" t="n">
        <v>8</v>
      </c>
      <c r="E158" s="4" t="n">
        <v>63.2</v>
      </c>
      <c r="F158" s="4" t="n">
        <v>96.2</v>
      </c>
      <c r="G158" t="inlineStr">
        <is>
          <t>unclear</t>
        </is>
      </c>
      <c r="H158" t="inlineStr">
        <is>
          <t>elite</t>
        </is>
      </c>
      <c r="I158" t="inlineStr">
        <is>
          <t>Brock Purdy</t>
        </is>
      </c>
      <c r="J158" t="n">
        <v>0</v>
      </c>
      <c r="K158" t="n">
        <v>22.9</v>
      </c>
      <c r="L158" t="n">
        <v>0</v>
      </c>
      <c r="M158" t="n">
        <v>0</v>
      </c>
      <c r="N158" t="n">
        <v>1</v>
      </c>
      <c r="O158" t="n">
        <v>0</v>
      </c>
      <c r="P158" t="n">
        <v>0</v>
      </c>
      <c r="Q158" t="n">
        <v>0</v>
      </c>
      <c r="R158" t="n">
        <v>72</v>
      </c>
      <c r="S158" t="n">
        <v>727</v>
      </c>
      <c r="T158" t="n">
        <v>5</v>
      </c>
      <c r="U158" t="n">
        <v>0</v>
      </c>
      <c r="V158" t="n">
        <v>0</v>
      </c>
      <c r="W158" t="inlineStr"/>
      <c r="X158" t="inlineStr"/>
      <c r="Y158" t="inlineStr"/>
      <c r="Z158" t="inlineStr"/>
      <c r="AA158" t="inlineStr"/>
      <c r="AB158" t="inlineStr"/>
      <c r="AC158" t="inlineStr"/>
      <c r="AD158" t="n">
        <v>5.05</v>
      </c>
      <c r="AE158" t="n">
        <v>4.43</v>
      </c>
      <c r="AF158" t="n">
        <v>0.62</v>
      </c>
      <c r="AG158" t="inlineStr"/>
      <c r="AH158" t="inlineStr"/>
      <c r="AI158" t="inlineStr"/>
      <c r="AJ158" t="n">
        <v>29</v>
      </c>
      <c r="AK158" t="inlineStr"/>
      <c r="AL158" t="inlineStr">
        <is>
          <t>1 games (2025 season)</t>
        </is>
      </c>
      <c r="AM158" t="inlineStr">
        <is>
          <t>Added 2026-08-12 from ESPN consensus (WR54).</t>
        </is>
      </c>
      <c r="AN158" t="inlineStr">
        <is>
          <t>Not in the original model pool; rating interpolated from the players ESPN ranks directly around him, so he sits at his consensus slot on our board.</t>
        </is>
      </c>
      <c r="AO158" t="inlineStr">
        <is>
          <t>No model projection behind this rating; it is market consensus only. Re-rate manually if you have a strong opinion.</t>
        </is>
      </c>
    </row>
    <row r="159">
      <c r="A159" t="inlineStr">
        <is>
          <t>WR</t>
        </is>
      </c>
      <c r="B159" t="inlineStr">
        <is>
          <t>Jayden Higgins</t>
        </is>
      </c>
      <c r="C159" t="inlineStr">
        <is>
          <t>HOU</t>
        </is>
      </c>
      <c r="D159" t="n">
        <v>8</v>
      </c>
      <c r="E159" s="4" t="n">
        <v>62.1</v>
      </c>
      <c r="F159" s="4" t="n">
        <v>137.1</v>
      </c>
      <c r="G159" t="inlineStr">
        <is>
          <t>unclear</t>
        </is>
      </c>
      <c r="H159" t="inlineStr">
        <is>
          <t>weakness</t>
        </is>
      </c>
      <c r="I159" t="inlineStr">
        <is>
          <t>C.J. Stroud</t>
        </is>
      </c>
      <c r="J159" t="n">
        <v>42.5</v>
      </c>
      <c r="K159" t="n">
        <v>12.4</v>
      </c>
      <c r="L159" t="n">
        <v>0</v>
      </c>
      <c r="M159" t="n">
        <v>9</v>
      </c>
      <c r="N159" t="n">
        <v>1</v>
      </c>
      <c r="O159" t="n">
        <v>0</v>
      </c>
      <c r="P159" t="n">
        <v>0</v>
      </c>
      <c r="Q159" t="n">
        <v>0</v>
      </c>
      <c r="R159" t="n">
        <v>41</v>
      </c>
      <c r="S159" t="n">
        <v>525</v>
      </c>
      <c r="T159" t="n">
        <v>6</v>
      </c>
      <c r="U159" t="n">
        <v>0</v>
      </c>
      <c r="V159" t="n">
        <v>0</v>
      </c>
      <c r="W159" t="inlineStr"/>
      <c r="X159" t="inlineStr"/>
      <c r="Y159" t="inlineStr"/>
      <c r="Z159" t="inlineStr"/>
      <c r="AA159" t="inlineStr"/>
      <c r="AB159" t="inlineStr"/>
      <c r="AC159" t="inlineStr"/>
      <c r="AD159" t="n">
        <v>8.82</v>
      </c>
      <c r="AE159" t="n">
        <v>8.82</v>
      </c>
      <c r="AF159" t="n">
        <v>0</v>
      </c>
      <c r="AG159" t="inlineStr"/>
      <c r="AH159" t="inlineStr"/>
      <c r="AI159" t="inlineStr"/>
      <c r="AJ159" t="n">
        <v>22</v>
      </c>
      <c r="AK159" t="inlineStr"/>
      <c r="AL159" t="inlineStr">
        <is>
          <t>1 games (2025 season)</t>
        </is>
      </c>
      <c r="AM159" t="inlineStr">
        <is>
          <t>Added 2026-08-12 from ESPN consensus (WR56).</t>
        </is>
      </c>
      <c r="AN159" t="inlineStr">
        <is>
          <t>Not in the original model pool; rating interpolated from the players ESPN ranks directly around him, so he sits at his consensus slot on our board.</t>
        </is>
      </c>
      <c r="AO159" t="inlineStr">
        <is>
          <t>No model projection behind this rating; it is market consensus only. Re-rate manually if you have a strong opinion.</t>
        </is>
      </c>
    </row>
    <row r="160">
      <c r="A160" t="inlineStr">
        <is>
          <t>WR</t>
        </is>
      </c>
      <c r="B160" t="inlineStr">
        <is>
          <t>Tank Dell</t>
        </is>
      </c>
      <c r="C160" t="inlineStr">
        <is>
          <t>HOU</t>
        </is>
      </c>
      <c r="D160" t="n">
        <v>8</v>
      </c>
      <c r="E160" s="4" t="n">
        <v>60.1</v>
      </c>
      <c r="F160" s="4" t="n">
        <v>146.6</v>
      </c>
      <c r="G160" t="inlineStr">
        <is>
          <t>unclear</t>
        </is>
      </c>
      <c r="H160" t="inlineStr">
        <is>
          <t>weakness</t>
        </is>
      </c>
      <c r="I160" t="inlineStr">
        <is>
          <t>C.J. Stroud</t>
        </is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inlineStr"/>
      <c r="X160" t="inlineStr"/>
      <c r="Y160" t="inlineStr"/>
      <c r="Z160" t="inlineStr"/>
      <c r="AA160" t="inlineStr"/>
      <c r="AB160" t="inlineStr"/>
      <c r="AC160" t="inlineStr"/>
      <c r="AD160" t="inlineStr"/>
      <c r="AE160" t="inlineStr"/>
      <c r="AF160" t="inlineStr"/>
      <c r="AG160" t="inlineStr"/>
      <c r="AH160" t="inlineStr"/>
      <c r="AI160" t="inlineStr"/>
      <c r="AJ160" t="n">
        <v>25</v>
      </c>
      <c r="AK160" t="inlineStr"/>
      <c r="AL160" t="inlineStr">
        <is>
          <t>No stats match found</t>
        </is>
      </c>
      <c r="AM160" t="inlineStr">
        <is>
          <t>Added 2026-08-12 from ESPN consensus (WR56).</t>
        </is>
      </c>
      <c r="AN160" t="inlineStr">
        <is>
          <t>Not in the original model pool; rating interpolated from the players ESPN ranks directly around him, so he sits at his consensus slot on our board.</t>
        </is>
      </c>
      <c r="AO160" t="inlineStr">
        <is>
          <t>No model projection behind this rating; it is market consensus only. Re-rate manually if you have a strong opinion.</t>
        </is>
      </c>
    </row>
    <row r="161">
      <c r="A161" t="inlineStr">
        <is>
          <t>TE</t>
        </is>
      </c>
      <c r="B161" t="inlineStr">
        <is>
          <t>Trey McBride</t>
        </is>
      </c>
      <c r="C161" t="inlineStr">
        <is>
          <t>ARI</t>
        </is>
      </c>
      <c r="D161" t="n">
        <v>14</v>
      </c>
      <c r="E161" s="4" t="n">
        <v>97.7</v>
      </c>
      <c r="F161" s="4" t="n">
        <v>35.7</v>
      </c>
      <c r="G161" t="inlineStr">
        <is>
          <t>feature</t>
        </is>
      </c>
      <c r="H161" t="inlineStr">
        <is>
          <t>weakness</t>
        </is>
      </c>
      <c r="I161" t="inlineStr">
        <is>
          <t>Jacoby Brissett</t>
        </is>
      </c>
      <c r="J161" t="n">
        <v>91.40000000000001</v>
      </c>
      <c r="K161" t="n">
        <v>27.2</v>
      </c>
      <c r="L161" t="n">
        <v>0</v>
      </c>
      <c r="M161" t="n">
        <v>34</v>
      </c>
      <c r="N161" t="n">
        <v>1</v>
      </c>
      <c r="O161" t="n">
        <v>0</v>
      </c>
      <c r="P161" t="n">
        <v>0</v>
      </c>
      <c r="Q161" t="n">
        <v>0</v>
      </c>
      <c r="R161" t="n">
        <v>126</v>
      </c>
      <c r="S161" t="n">
        <v>1239</v>
      </c>
      <c r="T161" t="n">
        <v>11</v>
      </c>
      <c r="U161" t="n">
        <v>0</v>
      </c>
      <c r="V161" t="n">
        <v>0</v>
      </c>
      <c r="W161" t="inlineStr"/>
      <c r="X161" t="inlineStr"/>
      <c r="Y161" t="inlineStr"/>
      <c r="Z161" t="inlineStr"/>
      <c r="AA161" t="inlineStr"/>
      <c r="AB161" t="inlineStr"/>
      <c r="AC161" t="inlineStr"/>
      <c r="AD161" t="n">
        <v>6.51</v>
      </c>
      <c r="AE161" t="n">
        <v>3.69</v>
      </c>
      <c r="AF161" t="n">
        <v>2.82</v>
      </c>
      <c r="AG161" t="inlineStr"/>
      <c r="AH161" t="inlineStr"/>
      <c r="AI161" t="inlineStr"/>
      <c r="AJ161" t="n">
        <v>25</v>
      </c>
      <c r="AK161" t="inlineStr"/>
      <c r="AL161" t="inlineStr">
        <is>
          <t>1 games (2025 season)</t>
        </is>
      </c>
      <c r="AM161" t="inlineStr">
        <is>
          <t>Elite difference-making TE; positional advantage is the expectation.</t>
        </is>
      </c>
      <c r="AN161" t="inlineStr">
        <is>
          <t>He produced 18.6 PPR/FP points per game across 17 games. The workload/efficiency profile gives the model a rate-based reason to keep him here. Market price is favorable around ADP 17 versus model overall rank 5.</t>
        </is>
      </c>
      <c r="AO161" t="inlineStr">
        <is>
          <t>Route share, target volume and touchdown volatility are the main swing factors.</t>
        </is>
      </c>
    </row>
    <row r="162">
      <c r="A162" t="inlineStr">
        <is>
          <t>TE</t>
        </is>
      </c>
      <c r="B162" t="inlineStr">
        <is>
          <t>Brock Bowers</t>
        </is>
      </c>
      <c r="C162" t="inlineStr">
        <is>
          <t>LV</t>
        </is>
      </c>
      <c r="D162" t="n">
        <v>13</v>
      </c>
      <c r="E162" s="4" t="n">
        <v>94.90000000000001</v>
      </c>
      <c r="F162" s="4" t="n">
        <v>41.1</v>
      </c>
      <c r="G162" t="inlineStr">
        <is>
          <t>committee</t>
        </is>
      </c>
      <c r="H162" t="inlineStr">
        <is>
          <t>elite</t>
        </is>
      </c>
      <c r="I162" t="inlineStr">
        <is>
          <t>Kirk Cousins</t>
        </is>
      </c>
      <c r="J162" t="n">
        <v>85.90000000000001</v>
      </c>
      <c r="K162" t="n">
        <v>18.5</v>
      </c>
      <c r="L162" t="n">
        <v>0</v>
      </c>
      <c r="M162" t="n">
        <v>18</v>
      </c>
      <c r="N162" t="n">
        <v>1</v>
      </c>
      <c r="O162" t="n">
        <v>0</v>
      </c>
      <c r="P162" t="n">
        <v>0</v>
      </c>
      <c r="Q162" t="n">
        <v>0</v>
      </c>
      <c r="R162" t="n">
        <v>64</v>
      </c>
      <c r="S162" t="n">
        <v>680</v>
      </c>
      <c r="T162" t="n">
        <v>7</v>
      </c>
      <c r="U162" t="n">
        <v>0</v>
      </c>
      <c r="V162" t="n">
        <v>0</v>
      </c>
      <c r="W162" t="inlineStr"/>
      <c r="X162" t="inlineStr"/>
      <c r="Y162" t="inlineStr"/>
      <c r="Z162" t="inlineStr"/>
      <c r="AA162" t="inlineStr"/>
      <c r="AB162" t="inlineStr"/>
      <c r="AC162" t="inlineStr"/>
      <c r="AD162" t="n">
        <v>8.140000000000001</v>
      </c>
      <c r="AE162" t="n">
        <v>5.02</v>
      </c>
      <c r="AF162" t="n">
        <v>3.12</v>
      </c>
      <c r="AG162" t="inlineStr"/>
      <c r="AH162" t="inlineStr"/>
      <c r="AI162" t="inlineStr"/>
      <c r="AJ162" t="n">
        <v>22</v>
      </c>
      <c r="AK162" t="inlineStr"/>
      <c r="AL162" t="inlineStr">
        <is>
          <t>1 games (2025 season)</t>
        </is>
      </c>
      <c r="AM162" t="inlineStr">
        <is>
          <t>Elite difference-making TE; positional advantage is the expectation.</t>
        </is>
      </c>
      <c r="AN162" t="inlineStr">
        <is>
          <t>He produced 14.7 PPR/FP points per game across 12 games. The workload/efficiency profile gives the model a rate-based reason to keep him here.</t>
        </is>
      </c>
      <c r="AO162" t="inlineStr">
        <is>
          <t>Route share, target volume and touchdown volatility are the main swing factors.</t>
        </is>
      </c>
    </row>
    <row r="163">
      <c r="A163" t="inlineStr">
        <is>
          <t>TE</t>
        </is>
      </c>
      <c r="B163" t="inlineStr">
        <is>
          <t>Colston Loveland</t>
        </is>
      </c>
      <c r="C163" t="inlineStr">
        <is>
          <t>CHI</t>
        </is>
      </c>
      <c r="D163" t="n">
        <v>10</v>
      </c>
      <c r="E163" s="4" t="n">
        <v>88.8</v>
      </c>
      <c r="F163" s="4" t="n">
        <v>60.8</v>
      </c>
      <c r="G163" t="inlineStr">
        <is>
          <t>committee</t>
        </is>
      </c>
      <c r="H163" t="inlineStr">
        <is>
          <t>weakness</t>
        </is>
      </c>
      <c r="I163" t="inlineStr">
        <is>
          <t>Caleb Williams</t>
        </is>
      </c>
      <c r="J163" t="n">
        <v>64.5</v>
      </c>
      <c r="K163" t="n">
        <v>15.4</v>
      </c>
      <c r="L163" t="n">
        <v>0</v>
      </c>
      <c r="M163" t="n">
        <v>16</v>
      </c>
      <c r="N163" t="n">
        <v>1</v>
      </c>
      <c r="O163" t="n">
        <v>0</v>
      </c>
      <c r="P163" t="n">
        <v>0</v>
      </c>
      <c r="Q163" t="n">
        <v>0</v>
      </c>
      <c r="R163" t="n">
        <v>58</v>
      </c>
      <c r="S163" t="n">
        <v>713</v>
      </c>
      <c r="T163" t="n">
        <v>6</v>
      </c>
      <c r="U163" t="n">
        <v>0</v>
      </c>
      <c r="V163" t="n">
        <v>0</v>
      </c>
      <c r="W163" t="inlineStr"/>
      <c r="X163" t="inlineStr"/>
      <c r="Y163" t="inlineStr"/>
      <c r="Z163" t="inlineStr"/>
      <c r="AA163" t="inlineStr"/>
      <c r="AB163" t="inlineStr"/>
      <c r="AC163" t="inlineStr"/>
      <c r="AD163" t="n">
        <v>7.32</v>
      </c>
      <c r="AE163" t="n">
        <v>7.32</v>
      </c>
      <c r="AF163" t="n">
        <v>0</v>
      </c>
      <c r="AG163" t="inlineStr"/>
      <c r="AH163" t="inlineStr"/>
      <c r="AI163" t="inlineStr"/>
      <c r="AJ163" t="n">
        <v>21</v>
      </c>
      <c r="AK163" t="inlineStr"/>
      <c r="AL163" t="inlineStr">
        <is>
          <t>1 games (2025 season)</t>
        </is>
      </c>
      <c r="AM163" t="inlineStr">
        <is>
          <t>Elite difference-making TE; positional advantage is the expectation.</t>
        </is>
      </c>
      <c r="AN163" t="inlineStr">
        <is>
          <t>He produced 10.3 PPR/FP points per game across 16 games. The workload/efficiency profile gives the model a rate-based reason to keep him here. Market price is favorable around ADP 35 versus model overall rank 22.</t>
        </is>
      </c>
      <c r="AO163" t="inlineStr">
        <is>
          <t>Route share, target volume and touchdown volatility are the main swing factors.</t>
        </is>
      </c>
    </row>
    <row r="164">
      <c r="A164" t="inlineStr">
        <is>
          <t>TE</t>
        </is>
      </c>
      <c r="B164" t="inlineStr">
        <is>
          <t>Tyler Warren</t>
        </is>
      </c>
      <c r="C164" t="inlineStr">
        <is>
          <t>IND</t>
        </is>
      </c>
      <c r="D164" t="n">
        <v>13</v>
      </c>
      <c r="E164" s="4" t="n">
        <v>87.2</v>
      </c>
      <c r="F164" s="4" t="n">
        <v>65.40000000000001</v>
      </c>
      <c r="G164" t="inlineStr">
        <is>
          <t>committee</t>
        </is>
      </c>
      <c r="H164" t="inlineStr">
        <is>
          <t>elite</t>
        </is>
      </c>
      <c r="I164" t="inlineStr">
        <is>
          <t>Daniel Jones</t>
        </is>
      </c>
      <c r="J164" t="n">
        <v>50.8</v>
      </c>
      <c r="K164" t="n">
        <v>21.8</v>
      </c>
      <c r="L164" t="n">
        <v>0</v>
      </c>
      <c r="M164" t="n">
        <v>27</v>
      </c>
      <c r="N164" t="n">
        <v>1</v>
      </c>
      <c r="O164" t="n">
        <v>0</v>
      </c>
      <c r="P164" t="n">
        <v>0</v>
      </c>
      <c r="Q164" t="n">
        <v>0</v>
      </c>
      <c r="R164" t="n">
        <v>76</v>
      </c>
      <c r="S164" t="n">
        <v>817</v>
      </c>
      <c r="T164" t="n">
        <v>4</v>
      </c>
      <c r="U164" t="n">
        <v>0</v>
      </c>
      <c r="V164" t="n">
        <v>0</v>
      </c>
      <c r="W164" t="inlineStr"/>
      <c r="X164" t="inlineStr"/>
      <c r="Y164" t="inlineStr"/>
      <c r="Z164" t="inlineStr"/>
      <c r="AA164" t="inlineStr"/>
      <c r="AB164" t="inlineStr"/>
      <c r="AC164" t="inlineStr"/>
      <c r="AD164" t="n">
        <v>3.57</v>
      </c>
      <c r="AE164" t="n">
        <v>3.57</v>
      </c>
      <c r="AF164" t="n">
        <v>0</v>
      </c>
      <c r="AG164" t="n">
        <v>0.83</v>
      </c>
      <c r="AH164" t="n">
        <v>1.73</v>
      </c>
      <c r="AI164" t="n">
        <v>-0.9</v>
      </c>
      <c r="AJ164" t="n">
        <v>23</v>
      </c>
      <c r="AK164" t="inlineStr"/>
      <c r="AL164" t="inlineStr">
        <is>
          <t>1 games (2025 season)</t>
        </is>
      </c>
      <c r="AM164" t="inlineStr">
        <is>
          <t>Every-week TE1 with real top-5 upside.</t>
        </is>
      </c>
      <c r="AN164" t="inlineStr">
        <is>
          <t>He produced 11.1 PPR/FP points per game across 17 games. The workload/efficiency profile gives the model a rate-based reason to keep him here.</t>
        </is>
      </c>
      <c r="AO164" t="inlineStr">
        <is>
          <t>Route share, target volume and touchdown volatility are the main swing factors.</t>
        </is>
      </c>
    </row>
    <row r="165">
      <c r="A165" t="inlineStr">
        <is>
          <t>TE</t>
        </is>
      </c>
      <c r="B165" t="inlineStr">
        <is>
          <t>George Kittle</t>
        </is>
      </c>
      <c r="C165" t="inlineStr">
        <is>
          <t>SF</t>
        </is>
      </c>
      <c r="D165" t="n">
        <v>8</v>
      </c>
      <c r="E165" s="4" t="n">
        <v>86.3</v>
      </c>
      <c r="F165" s="4" t="n">
        <v>115.1</v>
      </c>
      <c r="G165" t="inlineStr">
        <is>
          <t>unclear</t>
        </is>
      </c>
      <c r="H165" t="inlineStr">
        <is>
          <t>elite</t>
        </is>
      </c>
      <c r="I165" t="inlineStr">
        <is>
          <t>Brock Purdy</t>
        </is>
      </c>
      <c r="J165" t="n">
        <v>81.2</v>
      </c>
      <c r="K165" t="n">
        <v>12.7</v>
      </c>
      <c r="L165" t="n">
        <v>0</v>
      </c>
      <c r="M165" t="n">
        <v>14</v>
      </c>
      <c r="N165" t="n">
        <v>1</v>
      </c>
      <c r="O165" t="n">
        <v>0</v>
      </c>
      <c r="P165" t="n">
        <v>0</v>
      </c>
      <c r="Q165" t="n">
        <v>0</v>
      </c>
      <c r="R165" t="n">
        <v>57</v>
      </c>
      <c r="S165" t="n">
        <v>628</v>
      </c>
      <c r="T165" t="n">
        <v>7</v>
      </c>
      <c r="U165" t="n">
        <v>0</v>
      </c>
      <c r="V165" t="n">
        <v>0</v>
      </c>
      <c r="W165" t="inlineStr"/>
      <c r="X165" t="inlineStr"/>
      <c r="Y165" t="inlineStr"/>
      <c r="Z165" t="inlineStr"/>
      <c r="AA165" t="inlineStr"/>
      <c r="AB165" t="inlineStr"/>
      <c r="AC165" t="inlineStr"/>
      <c r="AD165" t="n">
        <v>10.14</v>
      </c>
      <c r="AE165" t="n">
        <v>6.48</v>
      </c>
      <c r="AF165" t="n">
        <v>3.66</v>
      </c>
      <c r="AG165" t="inlineStr"/>
      <c r="AH165" t="inlineStr"/>
      <c r="AI165" t="inlineStr"/>
      <c r="AJ165" t="n">
        <v>31</v>
      </c>
      <c r="AK165" t="inlineStr"/>
      <c r="AL165" t="inlineStr">
        <is>
          <t>1 games (2025 season)</t>
        </is>
      </c>
      <c r="AM165" t="inlineStr">
        <is>
          <t>Every-week TE1 with real top-5 upside.</t>
        </is>
      </c>
      <c r="AN165" t="inlineStr">
        <is>
          <t>He produced 14.7 PPR/FP points per game across 11 games. The workload/efficiency profile gives the model a rate-based reason to keep him here. Market price is favorable around ADP 53 versus model overall rank 43.</t>
        </is>
      </c>
      <c r="AO165" t="inlineStr">
        <is>
          <t>Route share, target volume and touchdown volatility are the main swing factors.</t>
        </is>
      </c>
    </row>
    <row r="166">
      <c r="A166" t="inlineStr">
        <is>
          <t>TE</t>
        </is>
      </c>
      <c r="B166" t="inlineStr">
        <is>
          <t>Kyle Pitts Sr.</t>
        </is>
      </c>
      <c r="C166" t="inlineStr">
        <is>
          <t>ATL</t>
        </is>
      </c>
      <c r="D166" t="n">
        <v>11</v>
      </c>
      <c r="E166" s="4" t="n">
        <v>85.3</v>
      </c>
      <c r="F166" s="4" t="n">
        <v>78.3</v>
      </c>
      <c r="G166" t="inlineStr">
        <is>
          <t>unclear</t>
        </is>
      </c>
      <c r="H166" t="inlineStr">
        <is>
          <t>weakness</t>
        </is>
      </c>
      <c r="I166" t="inlineStr">
        <is>
          <t>Tua Tagovailoa</t>
        </is>
      </c>
      <c r="J166" t="n">
        <v>88</v>
      </c>
      <c r="K166" t="n">
        <v>23.4</v>
      </c>
      <c r="L166" t="n">
        <v>0</v>
      </c>
      <c r="M166" t="n">
        <v>13</v>
      </c>
      <c r="N166" t="n">
        <v>1</v>
      </c>
      <c r="O166" t="n">
        <v>0</v>
      </c>
      <c r="P166" t="n">
        <v>0</v>
      </c>
      <c r="Q166" t="n">
        <v>0</v>
      </c>
      <c r="R166" t="n">
        <v>88</v>
      </c>
      <c r="S166" t="n">
        <v>928</v>
      </c>
      <c r="T166" t="n">
        <v>5</v>
      </c>
      <c r="U166" t="n">
        <v>0</v>
      </c>
      <c r="V166" t="n">
        <v>0</v>
      </c>
      <c r="W166" t="inlineStr"/>
      <c r="X166" t="inlineStr"/>
      <c r="Y166" t="inlineStr"/>
      <c r="Z166" t="inlineStr"/>
      <c r="AA166" t="inlineStr"/>
      <c r="AB166" t="inlineStr"/>
      <c r="AC166" t="inlineStr"/>
      <c r="AD166" t="n">
        <v>4.24</v>
      </c>
      <c r="AE166" t="n">
        <v>3.33</v>
      </c>
      <c r="AF166" t="n">
        <v>0.91</v>
      </c>
      <c r="AG166" t="inlineStr"/>
      <c r="AH166" t="inlineStr"/>
      <c r="AI166" t="inlineStr"/>
      <c r="AJ166" t="n">
        <v>29</v>
      </c>
      <c r="AK166" t="inlineStr"/>
      <c r="AL166" t="inlineStr">
        <is>
          <t>1 games (2025 season)</t>
        </is>
      </c>
      <c r="AM166" t="inlineStr">
        <is>
          <t>Every-week TE1 with real top-5 upside.</t>
        </is>
      </c>
      <c r="AN166" t="inlineStr">
        <is>
          <t>He produced 12.4 PPR/FP points per game across 17 games. The workload/efficiency profile gives the model a rate-based reason to keep him here. Market price is favorable around ADP 62 versus model overall rank 46.</t>
        </is>
      </c>
      <c r="AO166" t="inlineStr">
        <is>
          <t>Route share, target volume and touchdown volatility are the main swing factors.</t>
        </is>
      </c>
    </row>
    <row r="167">
      <c r="A167" t="inlineStr">
        <is>
          <t>TE</t>
        </is>
      </c>
      <c r="B167" t="inlineStr">
        <is>
          <t>Harold Fannin Jr.</t>
        </is>
      </c>
      <c r="C167" t="inlineStr">
        <is>
          <t>CLE</t>
        </is>
      </c>
      <c r="D167" t="n">
        <v>11</v>
      </c>
      <c r="E167" s="4" t="n">
        <v>84.40000000000001</v>
      </c>
      <c r="F167" s="4" t="n">
        <v>82.8</v>
      </c>
      <c r="G167" t="inlineStr">
        <is>
          <t>committee</t>
        </is>
      </c>
      <c r="H167" t="inlineStr">
        <is>
          <t>weakness</t>
        </is>
      </c>
      <c r="I167" t="inlineStr">
        <is>
          <t>Deshaun Watson</t>
        </is>
      </c>
      <c r="J167" t="n">
        <v>0</v>
      </c>
      <c r="K167" t="n">
        <v>20.4</v>
      </c>
      <c r="L167" t="n">
        <v>0</v>
      </c>
      <c r="M167" t="n">
        <v>0</v>
      </c>
      <c r="N167" t="n">
        <v>1</v>
      </c>
      <c r="O167" t="n">
        <v>0</v>
      </c>
      <c r="P167" t="n">
        <v>0</v>
      </c>
      <c r="Q167" t="n">
        <v>0</v>
      </c>
      <c r="R167" t="n">
        <v>72</v>
      </c>
      <c r="S167" t="n">
        <v>731</v>
      </c>
      <c r="T167" t="n">
        <v>6</v>
      </c>
      <c r="U167" t="n">
        <v>0</v>
      </c>
      <c r="V167" t="n">
        <v>0</v>
      </c>
      <c r="W167" t="inlineStr"/>
      <c r="X167" t="inlineStr"/>
      <c r="Y167" t="inlineStr"/>
      <c r="Z167" t="inlineStr"/>
      <c r="AA167" t="inlineStr"/>
      <c r="AB167" t="inlineStr"/>
      <c r="AC167" t="inlineStr"/>
      <c r="AD167" t="n">
        <v>5.61</v>
      </c>
      <c r="AE167" t="n">
        <v>5.61</v>
      </c>
      <c r="AF167" t="n">
        <v>0</v>
      </c>
      <c r="AG167" t="inlineStr"/>
      <c r="AH167" t="inlineStr"/>
      <c r="AI167" t="inlineStr"/>
      <c r="AJ167" t="n">
        <v>21</v>
      </c>
      <c r="AK167" t="inlineStr"/>
      <c r="AL167" t="inlineStr">
        <is>
          <t>1 games (2025 season)</t>
        </is>
      </c>
      <c r="AM167" t="inlineStr">
        <is>
          <t>Every-week TE1 with real top-5 upside.</t>
        </is>
      </c>
      <c r="AN167" t="inlineStr">
        <is>
          <t>He produced 11.7 PPR/FP points per game across 16 games. The workload/efficiency profile gives the model a rate-based reason to keep him here. Market price is favorable around ADP 71 versus model overall rank 53.</t>
        </is>
      </c>
      <c r="AO167" t="inlineStr">
        <is>
          <t>Route share, target volume and touchdown volatility are the main swing factors.</t>
        </is>
      </c>
    </row>
    <row r="168">
      <c r="A168" t="inlineStr">
        <is>
          <t>TE</t>
        </is>
      </c>
      <c r="B168" t="inlineStr">
        <is>
          <t>Jake Ferguson</t>
        </is>
      </c>
      <c r="C168" t="inlineStr">
        <is>
          <t>DAL</t>
        </is>
      </c>
      <c r="D168" t="n">
        <v>14</v>
      </c>
      <c r="E168" s="4" t="n">
        <v>84.09999999999999</v>
      </c>
      <c r="F168" s="4" t="n">
        <v>140.8</v>
      </c>
      <c r="G168" t="inlineStr">
        <is>
          <t>committee</t>
        </is>
      </c>
      <c r="H168" t="inlineStr">
        <is>
          <t>elite</t>
        </is>
      </c>
      <c r="I168" t="inlineStr">
        <is>
          <t>Dak Prescott</t>
        </is>
      </c>
      <c r="J168" t="n">
        <v>66.7</v>
      </c>
      <c r="K168" t="n">
        <v>16.8</v>
      </c>
      <c r="L168" t="n">
        <v>0</v>
      </c>
      <c r="M168" t="n">
        <v>25</v>
      </c>
      <c r="N168" t="n">
        <v>1</v>
      </c>
      <c r="O168" t="n">
        <v>0</v>
      </c>
      <c r="P168" t="n">
        <v>0</v>
      </c>
      <c r="Q168" t="n">
        <v>0</v>
      </c>
      <c r="R168" t="n">
        <v>82</v>
      </c>
      <c r="S168" t="n">
        <v>600</v>
      </c>
      <c r="T168" t="n">
        <v>8</v>
      </c>
      <c r="U168" t="n">
        <v>0</v>
      </c>
      <c r="V168" t="n">
        <v>0</v>
      </c>
      <c r="W168" t="inlineStr"/>
      <c r="X168" t="inlineStr"/>
      <c r="Y168" t="inlineStr"/>
      <c r="Z168" t="inlineStr"/>
      <c r="AA168" t="inlineStr"/>
      <c r="AB168" t="inlineStr"/>
      <c r="AC168" t="inlineStr"/>
      <c r="AD168" t="n">
        <v>7.84</v>
      </c>
      <c r="AE168" t="n">
        <v>4.81</v>
      </c>
      <c r="AF168" t="n">
        <v>3.04</v>
      </c>
      <c r="AG168" t="inlineStr"/>
      <c r="AH168" t="inlineStr"/>
      <c r="AI168" t="inlineStr"/>
      <c r="AJ168" t="n">
        <v>26</v>
      </c>
      <c r="AK168" t="inlineStr"/>
      <c r="AL168" t="inlineStr">
        <is>
          <t>1 games (2025 season)</t>
        </is>
      </c>
      <c r="AM168" t="inlineStr">
        <is>
          <t>Every-week TE1 with real top-5 upside.</t>
        </is>
      </c>
      <c r="AN168" t="inlineStr">
        <is>
          <t>He produced 11.0 PPR/FP points per game across 17 games. The workload/efficiency profile gives the model a rate-based reason to keep him here. Market price is favorable around ADP 80 versus model overall rank 56.</t>
        </is>
      </c>
      <c r="AO168" t="inlineStr">
        <is>
          <t>Route share, target volume and touchdown volatility are the main swing factors.</t>
        </is>
      </c>
    </row>
    <row r="169">
      <c r="A169" t="inlineStr">
        <is>
          <t>TE</t>
        </is>
      </c>
      <c r="B169" t="inlineStr">
        <is>
          <t>Tucker Kraft</t>
        </is>
      </c>
      <c r="C169" t="inlineStr">
        <is>
          <t>GB</t>
        </is>
      </c>
      <c r="D169" t="n">
        <v>11</v>
      </c>
      <c r="E169" s="4" t="n">
        <v>83.8</v>
      </c>
      <c r="F169" s="4" t="n">
        <v>108.3</v>
      </c>
      <c r="G169" t="inlineStr">
        <is>
          <t>unclear</t>
        </is>
      </c>
      <c r="H169" t="inlineStr">
        <is>
          <t>elite</t>
        </is>
      </c>
      <c r="I169" t="inlineStr">
        <is>
          <t>Jordan Love</t>
        </is>
      </c>
      <c r="J169" t="n">
        <v>86</v>
      </c>
      <c r="K169" t="n">
        <v>9.6</v>
      </c>
      <c r="L169" t="n">
        <v>0</v>
      </c>
      <c r="M169" t="n">
        <v>12</v>
      </c>
      <c r="N169" t="n">
        <v>1</v>
      </c>
      <c r="O169" t="n">
        <v>0</v>
      </c>
      <c r="P169" t="n">
        <v>0</v>
      </c>
      <c r="Q169" t="n">
        <v>0</v>
      </c>
      <c r="R169" t="n">
        <v>32</v>
      </c>
      <c r="S169" t="n">
        <v>489</v>
      </c>
      <c r="T169" t="n">
        <v>6</v>
      </c>
      <c r="U169" t="n">
        <v>0</v>
      </c>
      <c r="V169" t="n">
        <v>0</v>
      </c>
      <c r="W169" t="inlineStr"/>
      <c r="X169" t="inlineStr"/>
      <c r="Y169" t="inlineStr"/>
      <c r="Z169" t="inlineStr"/>
      <c r="AA169" t="inlineStr"/>
      <c r="AB169" t="inlineStr"/>
      <c r="AC169" t="inlineStr"/>
      <c r="AD169" t="n">
        <v>13.64</v>
      </c>
      <c r="AE169" t="n">
        <v>9.74</v>
      </c>
      <c r="AF169" t="n">
        <v>3.9</v>
      </c>
      <c r="AG169" t="inlineStr"/>
      <c r="AH169" t="inlineStr"/>
      <c r="AI169" t="inlineStr"/>
      <c r="AJ169" t="n">
        <v>24</v>
      </c>
      <c r="AK169" t="inlineStr"/>
      <c r="AL169" t="inlineStr">
        <is>
          <t>1 games (2025 season)</t>
        </is>
      </c>
      <c r="AM169" t="inlineStr">
        <is>
          <t>Low-end TE1; startable but replacement options remain close.</t>
        </is>
      </c>
      <c r="AN169" t="inlineStr">
        <is>
          <t>He produced 14.6 PPR/FP points per game across 8 games. The workload/efficiency profile gives the model a rate-based reason to keep him here. Market price is favorable around ADP 89 versus model overall rank 58.</t>
        </is>
      </c>
      <c r="AO169" t="inlineStr">
        <is>
          <t>Availability/sample risk is elevated after only 8 games; talent is not being punished as heavily as durability.</t>
        </is>
      </c>
    </row>
    <row r="170">
      <c r="A170" t="inlineStr">
        <is>
          <t>TE</t>
        </is>
      </c>
      <c r="B170" t="inlineStr">
        <is>
          <t>Sam LaPorta</t>
        </is>
      </c>
      <c r="C170" t="inlineStr">
        <is>
          <t>DET</t>
        </is>
      </c>
      <c r="D170" t="n">
        <v>6</v>
      </c>
      <c r="E170" s="4" t="n">
        <v>82.90000000000001</v>
      </c>
      <c r="F170" s="4" t="n">
        <v>88.7</v>
      </c>
      <c r="G170" t="inlineStr">
        <is>
          <t>unclear</t>
        </is>
      </c>
      <c r="H170" t="inlineStr">
        <is>
          <t>elite</t>
        </is>
      </c>
      <c r="I170" t="inlineStr">
        <is>
          <t>Jared Goff</t>
        </is>
      </c>
      <c r="J170" t="n">
        <v>90.7</v>
      </c>
      <c r="K170" t="n">
        <v>8.9</v>
      </c>
      <c r="L170" t="n">
        <v>0</v>
      </c>
      <c r="M170" t="n">
        <v>6</v>
      </c>
      <c r="N170" t="n">
        <v>1</v>
      </c>
      <c r="O170" t="n">
        <v>0</v>
      </c>
      <c r="P170" t="n">
        <v>0</v>
      </c>
      <c r="Q170" t="n">
        <v>0</v>
      </c>
      <c r="R170" t="n">
        <v>40</v>
      </c>
      <c r="S170" t="n">
        <v>489</v>
      </c>
      <c r="T170" t="n">
        <v>3</v>
      </c>
      <c r="U170" t="n">
        <v>0</v>
      </c>
      <c r="V170" t="n">
        <v>0</v>
      </c>
      <c r="W170" t="inlineStr"/>
      <c r="X170" t="inlineStr"/>
      <c r="Y170" t="inlineStr"/>
      <c r="Z170" t="inlineStr"/>
      <c r="AA170" t="inlineStr"/>
      <c r="AB170" t="inlineStr"/>
      <c r="AC170" t="inlineStr"/>
      <c r="AD170" t="n">
        <v>6.12</v>
      </c>
      <c r="AE170" t="n">
        <v>7.94</v>
      </c>
      <c r="AF170" t="n">
        <v>-1.81</v>
      </c>
      <c r="AG170" t="inlineStr"/>
      <c r="AH170" t="inlineStr"/>
      <c r="AI170" t="inlineStr"/>
      <c r="AJ170" t="n">
        <v>24</v>
      </c>
      <c r="AK170" t="inlineStr"/>
      <c r="AL170" t="inlineStr">
        <is>
          <t>1 games (2025 season)</t>
        </is>
      </c>
      <c r="AM170" t="inlineStr">
        <is>
          <t>Low-end TE1; startable but replacement options remain close.</t>
        </is>
      </c>
      <c r="AN170" t="inlineStr">
        <is>
          <t>He produced 11.8 PPR/FP points per game across 9 games. The workload/efficiency profile gives the model a rate-based reason to keep him here. Market price is favorable around ADP 98 versus model overall rank 63.</t>
        </is>
      </c>
      <c r="AO170" t="inlineStr">
        <is>
          <t>Availability/sample risk is elevated after only 9 games; talent is not being punished as heavily as durability.</t>
        </is>
      </c>
    </row>
    <row r="171">
      <c r="A171" t="inlineStr">
        <is>
          <t>TE</t>
        </is>
      </c>
      <c r="B171" t="inlineStr">
        <is>
          <t>Dalton Kincaid</t>
        </is>
      </c>
      <c r="C171" t="inlineStr">
        <is>
          <t>BUF</t>
        </is>
      </c>
      <c r="D171" t="n">
        <v>7</v>
      </c>
      <c r="E171" s="4" t="n">
        <v>81.90000000000001</v>
      </c>
      <c r="F171" s="4" t="n">
        <v>152</v>
      </c>
      <c r="G171" t="inlineStr">
        <is>
          <t>unclear</t>
        </is>
      </c>
      <c r="H171" t="inlineStr">
        <is>
          <t>elite</t>
        </is>
      </c>
      <c r="I171" t="inlineStr">
        <is>
          <t>Josh Allen</t>
        </is>
      </c>
      <c r="J171" t="n">
        <v>37.4</v>
      </c>
      <c r="K171" t="n">
        <v>9.699999999999999</v>
      </c>
      <c r="L171" t="n">
        <v>0</v>
      </c>
      <c r="M171" t="n">
        <v>9</v>
      </c>
      <c r="N171" t="n">
        <v>1</v>
      </c>
      <c r="O171" t="n">
        <v>0</v>
      </c>
      <c r="P171" t="n">
        <v>0</v>
      </c>
      <c r="Q171" t="n">
        <v>0</v>
      </c>
      <c r="R171" t="n">
        <v>39</v>
      </c>
      <c r="S171" t="n">
        <v>571</v>
      </c>
      <c r="T171" t="n">
        <v>5</v>
      </c>
      <c r="U171" t="n">
        <v>0</v>
      </c>
      <c r="V171" t="n">
        <v>0</v>
      </c>
      <c r="W171" t="inlineStr"/>
      <c r="X171" t="inlineStr"/>
      <c r="Y171" t="inlineStr"/>
      <c r="Z171" t="inlineStr"/>
      <c r="AA171" t="inlineStr"/>
      <c r="AB171" t="inlineStr"/>
      <c r="AC171" t="inlineStr"/>
      <c r="AD171" t="n">
        <v>10.2</v>
      </c>
      <c r="AE171" t="n">
        <v>4.19</v>
      </c>
      <c r="AF171" t="n">
        <v>6.02</v>
      </c>
      <c r="AG171" t="inlineStr"/>
      <c r="AH171" t="inlineStr"/>
      <c r="AI171" t="inlineStr"/>
      <c r="AJ171" t="n">
        <v>25</v>
      </c>
      <c r="AK171" t="inlineStr"/>
      <c r="AL171" t="inlineStr">
        <is>
          <t>1 games (2025 season)</t>
        </is>
      </c>
      <c r="AM171" t="inlineStr">
        <is>
          <t>Low-end TE1; startable but replacement options remain close.</t>
        </is>
      </c>
      <c r="AN171" t="inlineStr">
        <is>
          <t>He produced 10.6 PPR/FP points per game across 12 games. The workload/efficiency profile gives the model a rate-based reason to keep him here. Market price is favorable around ADP 107 versus model overall rank 67.</t>
        </is>
      </c>
      <c r="AO171" t="inlineStr">
        <is>
          <t>Route share, target volume and touchdown volatility are the main swing factors.</t>
        </is>
      </c>
    </row>
    <row r="172">
      <c r="A172" t="inlineStr">
        <is>
          <t>TE</t>
        </is>
      </c>
      <c r="B172" t="inlineStr">
        <is>
          <t>Travis Kelce</t>
        </is>
      </c>
      <c r="C172" t="inlineStr">
        <is>
          <t>KC</t>
        </is>
      </c>
      <c r="D172" t="n">
        <v>5</v>
      </c>
      <c r="E172" s="4" t="n">
        <v>81.7</v>
      </c>
      <c r="F172" s="4" t="n">
        <v>108.7</v>
      </c>
      <c r="G172" t="inlineStr">
        <is>
          <t>committee</t>
        </is>
      </c>
      <c r="H172" t="inlineStr">
        <is>
          <t>elite</t>
        </is>
      </c>
      <c r="I172" t="inlineStr">
        <is>
          <t>Patrick Mahomes II</t>
        </is>
      </c>
      <c r="J172" t="n">
        <v>81.90000000000001</v>
      </c>
      <c r="K172" t="n">
        <v>19.6</v>
      </c>
      <c r="L172" t="n">
        <v>0</v>
      </c>
      <c r="M172" t="n">
        <v>14</v>
      </c>
      <c r="N172" t="n">
        <v>1</v>
      </c>
      <c r="O172" t="n">
        <v>0</v>
      </c>
      <c r="P172" t="n">
        <v>0</v>
      </c>
      <c r="Q172" t="n">
        <v>0</v>
      </c>
      <c r="R172" t="n">
        <v>76</v>
      </c>
      <c r="S172" t="n">
        <v>851</v>
      </c>
      <c r="T172" t="n">
        <v>5</v>
      </c>
      <c r="U172" t="n">
        <v>0</v>
      </c>
      <c r="V172" t="n">
        <v>0</v>
      </c>
      <c r="W172" t="inlineStr"/>
      <c r="X172" t="inlineStr"/>
      <c r="Y172" t="inlineStr"/>
      <c r="Z172" t="inlineStr"/>
      <c r="AA172" t="inlineStr"/>
      <c r="AB172" t="inlineStr"/>
      <c r="AC172" t="inlineStr"/>
      <c r="AD172" t="n">
        <v>4.63</v>
      </c>
      <c r="AE172" t="n">
        <v>5.44</v>
      </c>
      <c r="AF172" t="n">
        <v>-0.8100000000000001</v>
      </c>
      <c r="AG172" t="inlineStr"/>
      <c r="AH172" t="inlineStr"/>
      <c r="AI172" t="inlineStr"/>
      <c r="AJ172" t="n">
        <v>35</v>
      </c>
      <c r="AK172" t="inlineStr"/>
      <c r="AL172" t="inlineStr">
        <is>
          <t>1 games (2025 season)</t>
        </is>
      </c>
      <c r="AM172" t="inlineStr">
        <is>
          <t>Low-end TE1; startable but replacement options remain close.</t>
        </is>
      </c>
      <c r="AN172" t="inlineStr">
        <is>
          <t>He produced 11.4 PPR/FP points per game across 17 games. The workload/efficiency profile gives the model a rate-based reason to keep him here. Market price is favorable around ADP 116 versus model overall rank 72.</t>
        </is>
      </c>
      <c r="AO172" t="inlineStr">
        <is>
          <t>Route share, target volume and touchdown volatility are the main swing factors.</t>
        </is>
      </c>
    </row>
    <row r="173">
      <c r="A173" t="inlineStr">
        <is>
          <t>TE</t>
        </is>
      </c>
      <c r="B173" t="inlineStr">
        <is>
          <t>Dallas Goedert</t>
        </is>
      </c>
      <c r="C173" t="inlineStr">
        <is>
          <t>PHI</t>
        </is>
      </c>
      <c r="D173" t="n">
        <v>10</v>
      </c>
      <c r="E173" s="4" t="n">
        <v>79.90000000000001</v>
      </c>
      <c r="F173" s="4" t="n">
        <v>103.9</v>
      </c>
      <c r="G173" t="inlineStr">
        <is>
          <t>committee</t>
        </is>
      </c>
      <c r="H173" t="inlineStr">
        <is>
          <t>elite</t>
        </is>
      </c>
      <c r="I173" t="inlineStr">
        <is>
          <t>Jalen Hurts</t>
        </is>
      </c>
      <c r="J173" t="n">
        <v>84.59999999999999</v>
      </c>
      <c r="K173" t="n">
        <v>17.8</v>
      </c>
      <c r="L173" t="n">
        <v>0</v>
      </c>
      <c r="M173" t="n">
        <v>15</v>
      </c>
      <c r="N173" t="n">
        <v>1</v>
      </c>
      <c r="O173" t="n">
        <v>0</v>
      </c>
      <c r="P173" t="n">
        <v>0</v>
      </c>
      <c r="Q173" t="n">
        <v>0</v>
      </c>
      <c r="R173" t="n">
        <v>60</v>
      </c>
      <c r="S173" t="n">
        <v>591</v>
      </c>
      <c r="T173" t="n">
        <v>11</v>
      </c>
      <c r="U173" t="n">
        <v>0</v>
      </c>
      <c r="V173" t="n">
        <v>0</v>
      </c>
      <c r="W173" t="inlineStr"/>
      <c r="X173" t="inlineStr"/>
      <c r="Y173" t="inlineStr"/>
      <c r="Z173" t="inlineStr"/>
      <c r="AA173" t="inlineStr"/>
      <c r="AB173" t="inlineStr"/>
      <c r="AC173" t="inlineStr"/>
      <c r="AD173" t="n">
        <v>13.41</v>
      </c>
      <c r="AE173" t="n">
        <v>6.27</v>
      </c>
      <c r="AF173" t="n">
        <v>7.14</v>
      </c>
      <c r="AG173" t="inlineStr"/>
      <c r="AH173" t="inlineStr"/>
      <c r="AI173" t="inlineStr"/>
      <c r="AJ173" t="n">
        <v>30</v>
      </c>
      <c r="AK173" t="inlineStr"/>
      <c r="AL173" t="inlineStr">
        <is>
          <t>1 games (2025 season)</t>
        </is>
      </c>
      <c r="AM173" t="inlineStr">
        <is>
          <t>Streaming/TE2 range; touchdown and route volume drive usefulness.</t>
        </is>
      </c>
      <c r="AN173" t="inlineStr">
        <is>
          <t>He produced 12.3 PPR/FP points per game across 15 games. The workload/efficiency profile gives the model a rate-based reason to keep him here. Market price is favorable around ADP 125 versus model overall rank 88.</t>
        </is>
      </c>
      <c r="AO173" t="inlineStr">
        <is>
          <t>Route share, target volume and touchdown volatility are the main swing factors.</t>
        </is>
      </c>
    </row>
    <row r="174">
      <c r="A174" t="inlineStr">
        <is>
          <t>TE</t>
        </is>
      </c>
      <c r="B174" t="inlineStr">
        <is>
          <t>Mark Andrews</t>
        </is>
      </c>
      <c r="C174" t="inlineStr">
        <is>
          <t>BAL</t>
        </is>
      </c>
      <c r="D174" t="n">
        <v>13</v>
      </c>
      <c r="E174" s="4" t="n">
        <v>79.09999999999999</v>
      </c>
      <c r="F174" s="4" t="n">
        <v>145</v>
      </c>
      <c r="G174" t="inlineStr">
        <is>
          <t>committee</t>
        </is>
      </c>
      <c r="H174" t="inlineStr">
        <is>
          <t>elite</t>
        </is>
      </c>
      <c r="I174" t="inlineStr">
        <is>
          <t>Lamar Jackson</t>
        </is>
      </c>
      <c r="J174" t="n">
        <v>98.2</v>
      </c>
      <c r="K174" t="n">
        <v>17.3</v>
      </c>
      <c r="L174" t="n">
        <v>0</v>
      </c>
      <c r="M174" t="n">
        <v>18</v>
      </c>
      <c r="N174" t="n">
        <v>1</v>
      </c>
      <c r="O174" t="n">
        <v>0</v>
      </c>
      <c r="P174" t="n">
        <v>0</v>
      </c>
      <c r="Q174" t="n">
        <v>0</v>
      </c>
      <c r="R174" t="n">
        <v>48</v>
      </c>
      <c r="S174" t="n">
        <v>422</v>
      </c>
      <c r="T174" t="n">
        <v>5</v>
      </c>
      <c r="U174" t="n">
        <v>0</v>
      </c>
      <c r="V174" t="n">
        <v>0</v>
      </c>
      <c r="W174" t="inlineStr"/>
      <c r="X174" t="inlineStr"/>
      <c r="Y174" t="inlineStr"/>
      <c r="Z174" t="inlineStr"/>
      <c r="AA174" t="inlineStr"/>
      <c r="AB174" t="inlineStr"/>
      <c r="AC174" t="inlineStr"/>
      <c r="AD174" t="n">
        <v>7.14</v>
      </c>
      <c r="AE174" t="n">
        <v>7.98</v>
      </c>
      <c r="AF174" t="n">
        <v>-0.83</v>
      </c>
      <c r="AG174" t="inlineStr"/>
      <c r="AH174" t="inlineStr"/>
      <c r="AI174" t="inlineStr"/>
      <c r="AJ174" t="n">
        <v>29</v>
      </c>
      <c r="AK174" t="inlineStr"/>
      <c r="AL174" t="inlineStr">
        <is>
          <t>1 games (2025 season)</t>
        </is>
      </c>
      <c r="AM174" t="inlineStr">
        <is>
          <t>Streaming/TE2 range; touchdown and route volume drive usefulness.</t>
        </is>
      </c>
      <c r="AN174" t="inlineStr">
        <is>
          <t>He produced 7.7 PPR/FP points per game across 17 games. The workload/efficiency profile gives the model a rate-based reason to keep him here. Market price is favorable around ADP 134 versus model overall rank 97.</t>
        </is>
      </c>
      <c r="AO174" t="inlineStr">
        <is>
          <t>Route share, target volume and touchdown volatility are the main swing factors.</t>
        </is>
      </c>
    </row>
    <row r="175">
      <c r="A175" t="inlineStr">
        <is>
          <t>TE</t>
        </is>
      </c>
      <c r="B175" t="inlineStr">
        <is>
          <t>Isaiah Likely</t>
        </is>
      </c>
      <c r="C175" t="inlineStr">
        <is>
          <t>NYG</t>
        </is>
      </c>
      <c r="D175" t="n">
        <v>8</v>
      </c>
      <c r="E175" s="4" t="n">
        <v>78.59999999999999</v>
      </c>
      <c r="F175" s="4" t="n">
        <v>133.1</v>
      </c>
      <c r="G175" t="inlineStr">
        <is>
          <t>unclear</t>
        </is>
      </c>
      <c r="H175" t="inlineStr">
        <is>
          <t>weakness</t>
        </is>
      </c>
      <c r="I175" t="inlineStr">
        <is>
          <t>Jaxson Dart</t>
        </is>
      </c>
      <c r="J175" t="n">
        <v>55.9</v>
      </c>
      <c r="K175" t="n">
        <v>8.9</v>
      </c>
      <c r="L175" t="n">
        <v>0</v>
      </c>
      <c r="M175" t="n">
        <v>6</v>
      </c>
      <c r="N175" t="n">
        <v>1</v>
      </c>
      <c r="O175" t="n">
        <v>0</v>
      </c>
      <c r="P175" t="n">
        <v>0</v>
      </c>
      <c r="Q175" t="n">
        <v>0</v>
      </c>
      <c r="R175" t="n">
        <v>27</v>
      </c>
      <c r="S175" t="n">
        <v>307</v>
      </c>
      <c r="T175" t="n">
        <v>1</v>
      </c>
      <c r="U175" t="n">
        <v>0</v>
      </c>
      <c r="V175" t="n">
        <v>0</v>
      </c>
      <c r="W175" t="inlineStr"/>
      <c r="X175" t="inlineStr"/>
      <c r="Y175" t="inlineStr"/>
      <c r="Z175" t="inlineStr"/>
      <c r="AA175" t="inlineStr"/>
      <c r="AB175" t="inlineStr"/>
      <c r="AC175" t="inlineStr"/>
      <c r="AD175" t="n">
        <v>2.78</v>
      </c>
      <c r="AE175" t="n">
        <v>7.73</v>
      </c>
      <c r="AF175" t="n">
        <v>-4.95</v>
      </c>
      <c r="AG175" t="inlineStr"/>
      <c r="AH175" t="inlineStr"/>
      <c r="AI175" t="inlineStr"/>
      <c r="AJ175" t="n">
        <v>25</v>
      </c>
      <c r="AK175" t="inlineStr"/>
      <c r="AL175" t="inlineStr">
        <is>
          <t>1 games (2025 season)</t>
        </is>
      </c>
      <c r="AM175" t="inlineStr">
        <is>
          <t>Streaming/TE2 range; touchdown and route volume drive usefulness.</t>
        </is>
      </c>
      <c r="AN175" t="inlineStr">
        <is>
          <t>He produced 4.4 PPR/FP points per game across 14 games. The workload/efficiency profile gives the model a rate-based reason to keep him here. Market price is favorable around ADP 143 versus model overall rank 99.</t>
        </is>
      </c>
      <c r="AO175" t="inlineStr">
        <is>
          <t>Route share, target volume and touchdown volatility are the main swing factors.</t>
        </is>
      </c>
    </row>
    <row r="176">
      <c r="A176" t="inlineStr">
        <is>
          <t>TE</t>
        </is>
      </c>
      <c r="B176" t="inlineStr">
        <is>
          <t>Juwan Johnson</t>
        </is>
      </c>
      <c r="C176" t="inlineStr">
        <is>
          <t>NO</t>
        </is>
      </c>
      <c r="D176" t="n">
        <v>8</v>
      </c>
      <c r="E176" s="4" t="n">
        <v>78.3</v>
      </c>
      <c r="F176" s="4" t="n">
        <v>159.2</v>
      </c>
      <c r="G176" t="inlineStr">
        <is>
          <t>committee</t>
        </is>
      </c>
      <c r="H176" t="inlineStr">
        <is>
          <t>elite</t>
        </is>
      </c>
      <c r="I176" t="inlineStr">
        <is>
          <t>Tyler Shough</t>
        </is>
      </c>
      <c r="J176" t="n">
        <v>4</v>
      </c>
      <c r="K176" t="n">
        <v>21.4</v>
      </c>
      <c r="L176" t="n">
        <v>0</v>
      </c>
      <c r="M176" t="n">
        <v>10</v>
      </c>
      <c r="N176" t="n">
        <v>1</v>
      </c>
      <c r="O176" t="n">
        <v>0</v>
      </c>
      <c r="P176" t="n">
        <v>0</v>
      </c>
      <c r="Q176" t="n">
        <v>0</v>
      </c>
      <c r="R176" t="n">
        <v>77</v>
      </c>
      <c r="S176" t="n">
        <v>889</v>
      </c>
      <c r="T176" t="n">
        <v>3</v>
      </c>
      <c r="U176" t="n">
        <v>0</v>
      </c>
      <c r="V176" t="n">
        <v>0</v>
      </c>
      <c r="W176" t="inlineStr"/>
      <c r="X176" t="inlineStr"/>
      <c r="Y176" t="inlineStr"/>
      <c r="Z176" t="inlineStr"/>
      <c r="AA176" t="inlineStr"/>
      <c r="AB176" t="inlineStr"/>
      <c r="AC176" t="inlineStr"/>
      <c r="AD176" t="n">
        <v>2.94</v>
      </c>
      <c r="AE176" t="n">
        <v>6.48</v>
      </c>
      <c r="AF176" t="n">
        <v>-3.54</v>
      </c>
      <c r="AG176" t="inlineStr"/>
      <c r="AH176" t="inlineStr"/>
      <c r="AI176" t="inlineStr"/>
      <c r="AJ176" t="n">
        <v>28</v>
      </c>
      <c r="AK176" t="inlineStr"/>
      <c r="AL176" t="inlineStr">
        <is>
          <t>1 games (2025 season)</t>
        </is>
      </c>
      <c r="AM176" t="inlineStr">
        <is>
          <t>Streaming/TE2 range; touchdown and route volume drive usefulness.</t>
        </is>
      </c>
      <c r="AN176" t="inlineStr">
        <is>
          <t>He produced 10.6 PPR/FP points per game across 17 games. The workload/efficiency profile gives the model a rate-based reason to keep him here. Market price is favorable around ADP 152 versus model overall rank 103.</t>
        </is>
      </c>
      <c r="AO176" t="inlineStr">
        <is>
          <t>Route share, target volume and touchdown volatility are the main swing factors.</t>
        </is>
      </c>
    </row>
    <row r="177">
      <c r="A177" t="inlineStr">
        <is>
          <t>TE</t>
        </is>
      </c>
      <c r="B177" t="inlineStr">
        <is>
          <t>Hunter Henry</t>
        </is>
      </c>
      <c r="C177" t="inlineStr">
        <is>
          <t>NE</t>
        </is>
      </c>
      <c r="D177" t="n">
        <v>11</v>
      </c>
      <c r="E177" s="4" t="n">
        <v>76.3</v>
      </c>
      <c r="F177" s="4" t="n">
        <v>156.6</v>
      </c>
      <c r="G177" t="inlineStr">
        <is>
          <t>committee</t>
        </is>
      </c>
      <c r="H177" t="inlineStr">
        <is>
          <t>elite</t>
        </is>
      </c>
      <c r="I177" t="inlineStr">
        <is>
          <t>Drake Maye</t>
        </is>
      </c>
      <c r="J177" t="n">
        <v>54.5</v>
      </c>
      <c r="K177" t="n">
        <v>18</v>
      </c>
      <c r="L177" t="n">
        <v>0</v>
      </c>
      <c r="M177" t="n">
        <v>22</v>
      </c>
      <c r="N177" t="n">
        <v>1</v>
      </c>
      <c r="O177" t="n">
        <v>0</v>
      </c>
      <c r="P177" t="n">
        <v>0</v>
      </c>
      <c r="Q177" t="n">
        <v>0</v>
      </c>
      <c r="R177" t="n">
        <v>60</v>
      </c>
      <c r="S177" t="n">
        <v>768</v>
      </c>
      <c r="T177" t="n">
        <v>7</v>
      </c>
      <c r="U177" t="n">
        <v>0</v>
      </c>
      <c r="V177" t="n">
        <v>0</v>
      </c>
      <c r="W177" t="inlineStr"/>
      <c r="X177" t="inlineStr"/>
      <c r="Y177" t="inlineStr"/>
      <c r="Z177" t="inlineStr"/>
      <c r="AA177" t="inlineStr"/>
      <c r="AB177" t="inlineStr"/>
      <c r="AC177" t="inlineStr"/>
      <c r="AD177" t="n">
        <v>8.050000000000001</v>
      </c>
      <c r="AE177" t="n">
        <v>7.09</v>
      </c>
      <c r="AF177" t="n">
        <v>0.96</v>
      </c>
      <c r="AG177" t="inlineStr"/>
      <c r="AH177" t="inlineStr"/>
      <c r="AI177" t="inlineStr"/>
      <c r="AJ177" t="n">
        <v>30</v>
      </c>
      <c r="AK177" t="inlineStr"/>
      <c r="AL177" t="inlineStr">
        <is>
          <t>1 games (2025 season)</t>
        </is>
      </c>
      <c r="AM177" t="inlineStr">
        <is>
          <t>Streaming/TE2 range; touchdown and route volume drive usefulness.</t>
        </is>
      </c>
      <c r="AN177" t="inlineStr">
        <is>
          <t>He produced 10.5 PPR/FP points per game across 17 games. The workload/efficiency profile gives the model a rate-based reason to keep him here. Market price is favorable around ADP 161 versus model overall rank 116.</t>
        </is>
      </c>
      <c r="AO177" t="inlineStr">
        <is>
          <t>Route share, target volume and touchdown volatility are the main swing factors.</t>
        </is>
      </c>
    </row>
    <row r="178">
      <c r="A178" t="inlineStr">
        <is>
          <t>TE</t>
        </is>
      </c>
      <c r="B178" t="inlineStr">
        <is>
          <t>Brenton Strange</t>
        </is>
      </c>
      <c r="C178" t="inlineStr">
        <is>
          <t>JAX</t>
        </is>
      </c>
      <c r="D178" t="n">
        <v>7</v>
      </c>
      <c r="E178" s="4" t="n">
        <v>76</v>
      </c>
      <c r="F178" s="4" t="n">
        <v>165</v>
      </c>
      <c r="G178" t="inlineStr">
        <is>
          <t>unclear</t>
        </is>
      </c>
      <c r="H178" t="inlineStr">
        <is>
          <t>weakness</t>
        </is>
      </c>
      <c r="I178" t="inlineStr">
        <is>
          <t>Trevor Lawrence</t>
        </is>
      </c>
      <c r="J178" t="n">
        <v>74.8</v>
      </c>
      <c r="K178" t="n">
        <v>10.1</v>
      </c>
      <c r="L178" t="n">
        <v>0</v>
      </c>
      <c r="M178" t="n">
        <v>10</v>
      </c>
      <c r="N178" t="n">
        <v>1</v>
      </c>
      <c r="O178" t="n">
        <v>0</v>
      </c>
      <c r="P178" t="n">
        <v>0</v>
      </c>
      <c r="Q178" t="n">
        <v>0</v>
      </c>
      <c r="R178" t="n">
        <v>46</v>
      </c>
      <c r="S178" t="n">
        <v>540</v>
      </c>
      <c r="T178" t="n">
        <v>3</v>
      </c>
      <c r="U178" t="n">
        <v>0</v>
      </c>
      <c r="V178" t="n">
        <v>0</v>
      </c>
      <c r="W178" t="inlineStr"/>
      <c r="X178" t="inlineStr"/>
      <c r="Y178" t="inlineStr"/>
      <c r="Z178" t="inlineStr"/>
      <c r="AA178" t="inlineStr"/>
      <c r="AB178" t="inlineStr"/>
      <c r="AC178" t="inlineStr"/>
      <c r="AD178" t="n">
        <v>5</v>
      </c>
      <c r="AE178" t="n">
        <v>4.92</v>
      </c>
      <c r="AF178" t="n">
        <v>0.08</v>
      </c>
      <c r="AG178" t="inlineStr"/>
      <c r="AH178" t="inlineStr"/>
      <c r="AI178" t="inlineStr"/>
      <c r="AJ178" t="n">
        <v>24</v>
      </c>
      <c r="AK178" t="inlineStr"/>
      <c r="AL178" t="inlineStr">
        <is>
          <t>1 games (2025 season)</t>
        </is>
      </c>
      <c r="AM178" t="inlineStr">
        <is>
          <t>Streaming/TE2 range; touchdown and route volume drive usefulness.</t>
        </is>
      </c>
      <c r="AN178" t="inlineStr">
        <is>
          <t>He produced 9.8 PPR/FP points per game across 12 games. The workload/efficiency profile gives the model a rate-based reason to keep him here. Market price is favorable around ADP 170 versus model overall rank 121.</t>
        </is>
      </c>
      <c r="AO178" t="inlineStr">
        <is>
          <t>Route share, target volume and touchdown volatility are the main swing factors.</t>
        </is>
      </c>
    </row>
    <row r="179">
      <c r="A179" t="inlineStr">
        <is>
          <t>TE</t>
        </is>
      </c>
      <c r="B179" t="inlineStr">
        <is>
          <t>Chig Okonkwo</t>
        </is>
      </c>
      <c r="C179" t="inlineStr">
        <is>
          <t>WAS</t>
        </is>
      </c>
      <c r="D179" t="n">
        <v>7</v>
      </c>
      <c r="E179" s="4" t="n">
        <v>75.5</v>
      </c>
      <c r="F179" s="4" t="n">
        <v>162.2</v>
      </c>
      <c r="G179" t="inlineStr">
        <is>
          <t>committee</t>
        </is>
      </c>
      <c r="H179" t="inlineStr">
        <is>
          <t>elite</t>
        </is>
      </c>
      <c r="I179" t="inlineStr">
        <is>
          <t>Jayden Daniels</t>
        </is>
      </c>
      <c r="J179" t="n">
        <v>63.7</v>
      </c>
      <c r="K179" t="n">
        <v>15.5</v>
      </c>
      <c r="L179" t="n">
        <v>0</v>
      </c>
      <c r="M179" t="n">
        <v>5</v>
      </c>
      <c r="N179" t="n">
        <v>1</v>
      </c>
      <c r="O179" t="n">
        <v>0</v>
      </c>
      <c r="P179" t="n">
        <v>0</v>
      </c>
      <c r="Q179" t="n">
        <v>0</v>
      </c>
      <c r="R179" t="n">
        <v>56</v>
      </c>
      <c r="S179" t="n">
        <v>560</v>
      </c>
      <c r="T179" t="n">
        <v>2</v>
      </c>
      <c r="U179" t="n">
        <v>0</v>
      </c>
      <c r="V179" t="n">
        <v>0</v>
      </c>
      <c r="W179" t="inlineStr"/>
      <c r="X179" t="inlineStr"/>
      <c r="Y179" t="inlineStr"/>
      <c r="Z179" t="inlineStr"/>
      <c r="AA179" t="inlineStr"/>
      <c r="AB179" t="inlineStr"/>
      <c r="AC179" t="inlineStr"/>
      <c r="AD179" t="n">
        <v>2.53</v>
      </c>
      <c r="AE179" t="n">
        <v>2.94</v>
      </c>
      <c r="AF179" t="n">
        <v>-0.41</v>
      </c>
      <c r="AG179" t="inlineStr"/>
      <c r="AH179" t="inlineStr"/>
      <c r="AI179" t="inlineStr"/>
      <c r="AJ179" t="n">
        <v>25</v>
      </c>
      <c r="AK179" t="inlineStr"/>
      <c r="AL179" t="inlineStr">
        <is>
          <t>1 games (2025 season)</t>
        </is>
      </c>
      <c r="AM179" t="inlineStr">
        <is>
          <t>Deep TE stash; needs a larger route/target role to matter in 10-team leagues.</t>
        </is>
      </c>
      <c r="AN179" t="inlineStr">
        <is>
          <t>He produced 7.3 PPR/FP points per game across 17 games. The workload/efficiency profile gives the model a rate-based reason to keep him here. Market price is favorable around ADP 179 versus model overall rank 125.</t>
        </is>
      </c>
      <c r="AO179" t="inlineStr">
        <is>
          <t>Route share, target volume and touchdown volatility are the main swing factors.</t>
        </is>
      </c>
    </row>
    <row r="180">
      <c r="A180" t="inlineStr">
        <is>
          <t>TE</t>
        </is>
      </c>
      <c r="B180" t="inlineStr">
        <is>
          <t>Kenyon Sadiq</t>
        </is>
      </c>
      <c r="C180" t="inlineStr">
        <is>
          <t>NYJ</t>
        </is>
      </c>
      <c r="D180" t="n">
        <v>13</v>
      </c>
      <c r="E180" s="4" t="n">
        <v>74.09999999999999</v>
      </c>
      <c r="F180" s="4" t="n">
        <v>158.8</v>
      </c>
      <c r="G180" t="inlineStr">
        <is>
          <t>unclear</t>
        </is>
      </c>
      <c r="H180" t="inlineStr">
        <is>
          <t>weakness</t>
        </is>
      </c>
      <c r="I180" t="inlineStr">
        <is>
          <t>Geno Smith</t>
        </is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inlineStr"/>
      <c r="X180" t="inlineStr"/>
      <c r="Y180" t="inlineStr"/>
      <c r="Z180" t="inlineStr"/>
      <c r="AA180" t="inlineStr"/>
      <c r="AB180" t="inlineStr"/>
      <c r="AC180" t="inlineStr"/>
      <c r="AD180" t="inlineStr"/>
      <c r="AE180" t="inlineStr"/>
      <c r="AF180" t="inlineStr"/>
      <c r="AG180" t="inlineStr"/>
      <c r="AH180" t="inlineStr"/>
      <c r="AI180" t="inlineStr"/>
      <c r="AJ180" t="inlineStr"/>
      <c r="AK180" t="inlineStr"/>
      <c r="AL180" t="inlineStr">
        <is>
          <t>Rookie, no NFL sample</t>
        </is>
      </c>
      <c r="AM180" t="inlineStr">
        <is>
          <t>Deep TE stash; needs a larger route/target role to matter in 10-team leagues.</t>
        </is>
      </c>
      <c r="AN180" t="inlineStr">
        <is>
          <t>Rookie score 86.6, backed by No. 16 draft capital and a 6.46 NFL prospect grade. The 2026 role projection is strong enough to replace missing NFL history. Market price is favorable around ADP 188 versus model overall rank 135.</t>
        </is>
      </c>
      <c r="AO180" t="inlineStr">
        <is>
          <t>NFL translation and exact weekly role are the main variables; preseason first-team usage can move this rating quickly.</t>
        </is>
      </c>
    </row>
    <row r="181">
      <c r="A181" t="inlineStr">
        <is>
          <t>TE</t>
        </is>
      </c>
      <c r="B181" t="inlineStr">
        <is>
          <t>T.J. Hockenson</t>
        </is>
      </c>
      <c r="C181" t="inlineStr">
        <is>
          <t>MIN</t>
        </is>
      </c>
      <c r="D181" t="n">
        <v>6</v>
      </c>
      <c r="E181" s="4" t="n">
        <v>73.90000000000001</v>
      </c>
      <c r="F181" s="4" t="n">
        <v>146.5</v>
      </c>
      <c r="G181" t="inlineStr">
        <is>
          <t>unclear</t>
        </is>
      </c>
      <c r="H181" t="inlineStr">
        <is>
          <t>weakness</t>
        </is>
      </c>
      <c r="I181" t="inlineStr">
        <is>
          <t>Kyler Murray</t>
        </is>
      </c>
      <c r="J181" t="n">
        <v>77.90000000000001</v>
      </c>
      <c r="K181" t="n">
        <v>14.7</v>
      </c>
      <c r="L181" t="n">
        <v>0</v>
      </c>
      <c r="M181" t="n">
        <v>12</v>
      </c>
      <c r="N181" t="n">
        <v>1</v>
      </c>
      <c r="O181" t="n">
        <v>0</v>
      </c>
      <c r="P181" t="n">
        <v>0</v>
      </c>
      <c r="Q181" t="n">
        <v>0</v>
      </c>
      <c r="R181" t="n">
        <v>51</v>
      </c>
      <c r="S181" t="n">
        <v>438</v>
      </c>
      <c r="T181" t="n">
        <v>3</v>
      </c>
      <c r="U181" t="n">
        <v>0</v>
      </c>
      <c r="V181" t="n">
        <v>0</v>
      </c>
      <c r="W181" t="inlineStr"/>
      <c r="X181" t="inlineStr"/>
      <c r="Y181" t="inlineStr"/>
      <c r="Z181" t="inlineStr"/>
      <c r="AA181" t="inlineStr"/>
      <c r="AB181" t="inlineStr"/>
      <c r="AC181" t="inlineStr"/>
      <c r="AD181" t="n">
        <v>4.55</v>
      </c>
      <c r="AE181" t="n">
        <v>4.14</v>
      </c>
      <c r="AF181" t="n">
        <v>0.41</v>
      </c>
      <c r="AG181" t="inlineStr"/>
      <c r="AH181" t="inlineStr"/>
      <c r="AI181" t="inlineStr"/>
      <c r="AJ181" t="n">
        <v>28</v>
      </c>
      <c r="AK181" t="inlineStr"/>
      <c r="AL181" t="inlineStr">
        <is>
          <t>1 games (2025 season)</t>
        </is>
      </c>
      <c r="AM181" t="inlineStr">
        <is>
          <t>Deep TE stash; needs a larger route/target role to matter in 10-team leagues.</t>
        </is>
      </c>
      <c r="AN181" t="inlineStr">
        <is>
          <t>He produced 7.5 PPR/FP points per game across 15 games. The workload/efficiency profile gives the model a rate-based reason to keep him here. Market price is favorable around ADP 197 versus model overall rank 138.</t>
        </is>
      </c>
      <c r="AO181" t="inlineStr">
        <is>
          <t>Route share, target volume and touchdown volatility are the main swing factors.</t>
        </is>
      </c>
    </row>
    <row r="182">
      <c r="A182" t="inlineStr">
        <is>
          <t>TE</t>
        </is>
      </c>
      <c r="B182" t="inlineStr">
        <is>
          <t>Dalton Schultz</t>
        </is>
      </c>
      <c r="C182" t="inlineStr">
        <is>
          <t>HOU</t>
        </is>
      </c>
      <c r="D182" t="n">
        <v>8</v>
      </c>
      <c r="E182" s="4" t="n">
        <v>73.3</v>
      </c>
      <c r="F182" s="4" t="n">
        <v>157.5</v>
      </c>
      <c r="G182" t="inlineStr">
        <is>
          <t>committee</t>
        </is>
      </c>
      <c r="H182" t="inlineStr">
        <is>
          <t>weakness</t>
        </is>
      </c>
      <c r="I182" t="inlineStr">
        <is>
          <t>C.J. Stroud</t>
        </is>
      </c>
      <c r="J182" t="n">
        <v>71.09999999999999</v>
      </c>
      <c r="K182" t="n">
        <v>19.3</v>
      </c>
      <c r="L182" t="n">
        <v>0</v>
      </c>
      <c r="M182" t="n">
        <v>12</v>
      </c>
      <c r="N182" t="n">
        <v>1</v>
      </c>
      <c r="O182" t="n">
        <v>0</v>
      </c>
      <c r="P182" t="n">
        <v>0</v>
      </c>
      <c r="Q182" t="n">
        <v>0</v>
      </c>
      <c r="R182" t="n">
        <v>82</v>
      </c>
      <c r="S182" t="n">
        <v>777</v>
      </c>
      <c r="T182" t="n">
        <v>3</v>
      </c>
      <c r="U182" t="n">
        <v>0</v>
      </c>
      <c r="V182" t="n">
        <v>0</v>
      </c>
      <c r="W182" t="inlineStr"/>
      <c r="X182" t="inlineStr"/>
      <c r="Y182" t="inlineStr"/>
      <c r="Z182" t="inlineStr"/>
      <c r="AA182" t="inlineStr"/>
      <c r="AB182" t="inlineStr"/>
      <c r="AC182" t="inlineStr"/>
      <c r="AD182" t="n">
        <v>2.83</v>
      </c>
      <c r="AE182" t="n">
        <v>4.66</v>
      </c>
      <c r="AF182" t="n">
        <v>-1.82</v>
      </c>
      <c r="AG182" t="inlineStr"/>
      <c r="AH182" t="inlineStr"/>
      <c r="AI182" t="inlineStr"/>
      <c r="AJ182" t="n">
        <v>29</v>
      </c>
      <c r="AK182" t="inlineStr"/>
      <c r="AL182" t="inlineStr">
        <is>
          <t>1 games (2025 season)</t>
        </is>
      </c>
      <c r="AM182" t="inlineStr">
        <is>
          <t>Deep TE stash; needs a larger route/target role to matter in 10-team leagues.</t>
        </is>
      </c>
      <c r="AN182" t="inlineStr">
        <is>
          <t>He produced 10.4 PPR/FP points per game across 17 games. The workload/efficiency profile gives the model a rate-based reason to keep him here. Market price is favorable around ADP 206 versus model overall rank 140.</t>
        </is>
      </c>
      <c r="AO182" t="inlineStr">
        <is>
          <t>Route share, target volume and touchdown volatility are the main swing factors.</t>
        </is>
      </c>
    </row>
    <row r="183">
      <c r="A183" t="inlineStr">
        <is>
          <t>TE</t>
        </is>
      </c>
      <c r="B183" t="inlineStr">
        <is>
          <t>Oronde Gadsden II</t>
        </is>
      </c>
      <c r="C183" t="inlineStr">
        <is>
          <t>LAC</t>
        </is>
      </c>
      <c r="D183" t="n">
        <v>7</v>
      </c>
      <c r="E183" s="4" t="n">
        <v>72.5</v>
      </c>
      <c r="F183" s="4" t="n">
        <v>150.7</v>
      </c>
      <c r="G183" t="inlineStr">
        <is>
          <t>unclear</t>
        </is>
      </c>
      <c r="H183" t="inlineStr">
        <is>
          <t>elite</t>
        </is>
      </c>
      <c r="I183" t="inlineStr">
        <is>
          <t>Justin Herbert</t>
        </is>
      </c>
      <c r="J183" t="n">
        <v>0</v>
      </c>
      <c r="K183" t="n">
        <v>12.7</v>
      </c>
      <c r="L183" t="n">
        <v>0</v>
      </c>
      <c r="M183" t="n">
        <v>0</v>
      </c>
      <c r="N183" t="n">
        <v>1</v>
      </c>
      <c r="O183" t="n">
        <v>0</v>
      </c>
      <c r="P183" t="n">
        <v>0</v>
      </c>
      <c r="Q183" t="n">
        <v>0</v>
      </c>
      <c r="R183" t="n">
        <v>49</v>
      </c>
      <c r="S183" t="n">
        <v>664</v>
      </c>
      <c r="T183" t="n">
        <v>3</v>
      </c>
      <c r="U183" t="n">
        <v>0</v>
      </c>
      <c r="V183" t="n">
        <v>0</v>
      </c>
      <c r="W183" t="inlineStr"/>
      <c r="X183" t="inlineStr"/>
      <c r="Y183" t="inlineStr"/>
      <c r="Z183" t="inlineStr"/>
      <c r="AA183" t="inlineStr"/>
      <c r="AB183" t="inlineStr"/>
      <c r="AC183" t="inlineStr"/>
      <c r="AD183" t="n">
        <v>4.35</v>
      </c>
      <c r="AE183" t="n">
        <v>4.35</v>
      </c>
      <c r="AF183" t="n">
        <v>0</v>
      </c>
      <c r="AG183" t="inlineStr"/>
      <c r="AH183" t="inlineStr"/>
      <c r="AI183" t="inlineStr"/>
      <c r="AJ183" t="n">
        <v>22</v>
      </c>
      <c r="AK183" t="inlineStr"/>
      <c r="AL183" t="inlineStr">
        <is>
          <t>1 games (2025 season)</t>
        </is>
      </c>
      <c r="AM183" t="inlineStr">
        <is>
          <t>Deep TE stash; needs a larger route/target role to matter in 10-team leagues.</t>
        </is>
      </c>
      <c r="AN183" t="inlineStr">
        <is>
          <t>He produced 8.8 PPR/FP points per game across 15 games. The workload/efficiency profile gives the model a rate-based reason to keep him here. Market price is favorable around ADP 215 versus model overall rank 146.</t>
        </is>
      </c>
      <c r="AO183" t="inlineStr">
        <is>
          <t>Route share, target volume and touchdown volatility are the main swing factors.</t>
        </is>
      </c>
    </row>
    <row r="184">
      <c r="A184" t="inlineStr">
        <is>
          <t>TE</t>
        </is>
      </c>
      <c r="B184" t="inlineStr">
        <is>
          <t>AJ Barner</t>
        </is>
      </c>
      <c r="C184" t="inlineStr">
        <is>
          <t>SEA</t>
        </is>
      </c>
      <c r="D184" t="n">
        <v>11</v>
      </c>
      <c r="E184" s="4" t="n">
        <v>70.09999999999999</v>
      </c>
      <c r="F184" s="4" t="n">
        <v>165.8</v>
      </c>
      <c r="G184" t="inlineStr">
        <is>
          <t>unclear</t>
        </is>
      </c>
      <c r="H184" t="inlineStr">
        <is>
          <t>elite</t>
        </is>
      </c>
      <c r="I184" t="inlineStr">
        <is>
          <t>Sam Darnold</t>
        </is>
      </c>
      <c r="J184" t="n">
        <v>77.3</v>
      </c>
      <c r="K184" t="n">
        <v>13</v>
      </c>
      <c r="L184" t="n">
        <v>0</v>
      </c>
      <c r="M184" t="n">
        <v>16</v>
      </c>
      <c r="N184" t="n">
        <v>1</v>
      </c>
      <c r="O184" t="n">
        <v>0</v>
      </c>
      <c r="P184" t="n">
        <v>0</v>
      </c>
      <c r="Q184" t="n">
        <v>0</v>
      </c>
      <c r="R184" t="n">
        <v>52</v>
      </c>
      <c r="S184" t="n">
        <v>519</v>
      </c>
      <c r="T184" t="n">
        <v>6</v>
      </c>
      <c r="U184" t="n">
        <v>0</v>
      </c>
      <c r="V184" t="n">
        <v>0</v>
      </c>
      <c r="W184" t="inlineStr"/>
      <c r="X184" t="inlineStr"/>
      <c r="Y184" t="inlineStr"/>
      <c r="Z184" t="inlineStr"/>
      <c r="AA184" t="inlineStr"/>
      <c r="AB184" t="inlineStr"/>
      <c r="AC184" t="inlineStr"/>
      <c r="AD184" t="n">
        <v>8.82</v>
      </c>
      <c r="AE184" t="n">
        <v>9.43</v>
      </c>
      <c r="AF184" t="n">
        <v>-0.61</v>
      </c>
      <c r="AG184" t="inlineStr"/>
      <c r="AH184" t="inlineStr"/>
      <c r="AI184" t="inlineStr"/>
      <c r="AJ184" t="n">
        <v>23</v>
      </c>
      <c r="AK184" t="inlineStr"/>
      <c r="AL184" t="inlineStr">
        <is>
          <t>1 games (2025 season)</t>
        </is>
      </c>
      <c r="AM184" t="inlineStr">
        <is>
          <t>Deep TE stash; needs a larger route/target role to matter in 10-team leagues.</t>
        </is>
      </c>
      <c r="AN184" t="inlineStr">
        <is>
          <t>He produced 8.7 PPR/FP points per game across 17 games. The workload/efficiency profile gives the model a rate-based reason to keep him here. Market price is favorable around ADP 224 versus model overall rank 156.</t>
        </is>
      </c>
      <c r="AO184" t="inlineStr">
        <is>
          <t>Route share, target volume and touchdown volatility are the main swing factors.</t>
        </is>
      </c>
    </row>
    <row r="185">
      <c r="A185" t="inlineStr">
        <is>
          <t>TE</t>
        </is>
      </c>
      <c r="B185" t="inlineStr">
        <is>
          <t>Cade Otton</t>
        </is>
      </c>
      <c r="C185" t="inlineStr">
        <is>
          <t>TB</t>
        </is>
      </c>
      <c r="D185" t="n">
        <v>10</v>
      </c>
      <c r="E185" s="4" t="n">
        <v>66.59999999999999</v>
      </c>
      <c r="F185" s="4" t="n">
        <v>142.6</v>
      </c>
      <c r="G185" t="inlineStr">
        <is>
          <t>committee</t>
        </is>
      </c>
      <c r="H185" t="inlineStr">
        <is>
          <t>weakness</t>
        </is>
      </c>
      <c r="I185" t="inlineStr">
        <is>
          <t>Baker Mayfield</t>
        </is>
      </c>
      <c r="J185" t="n">
        <v>93.5</v>
      </c>
      <c r="K185" t="n">
        <v>15</v>
      </c>
      <c r="L185" t="n">
        <v>0</v>
      </c>
      <c r="M185" t="n">
        <v>7</v>
      </c>
      <c r="N185" t="n">
        <v>1</v>
      </c>
      <c r="O185" t="n">
        <v>0</v>
      </c>
      <c r="P185" t="n">
        <v>0</v>
      </c>
      <c r="Q185" t="n">
        <v>0</v>
      </c>
      <c r="R185" t="n">
        <v>59</v>
      </c>
      <c r="S185" t="n">
        <v>572</v>
      </c>
      <c r="T185" t="n">
        <v>1</v>
      </c>
      <c r="U185" t="n">
        <v>0</v>
      </c>
      <c r="V185" t="n">
        <v>0</v>
      </c>
      <c r="W185" t="inlineStr"/>
      <c r="X185" t="inlineStr"/>
      <c r="Y185" t="inlineStr"/>
      <c r="Z185" t="inlineStr"/>
      <c r="AA185" t="inlineStr"/>
      <c r="AB185" t="inlineStr"/>
      <c r="AC185" t="inlineStr"/>
      <c r="AD185" t="n">
        <v>1.23</v>
      </c>
      <c r="AE185" t="n">
        <v>3.67</v>
      </c>
      <c r="AF185" t="n">
        <v>-2.43</v>
      </c>
      <c r="AG185" t="inlineStr"/>
      <c r="AH185" t="inlineStr"/>
      <c r="AI185" t="inlineStr"/>
      <c r="AJ185" t="n">
        <v>26</v>
      </c>
      <c r="AK185" t="inlineStr"/>
      <c r="AL185" t="inlineStr">
        <is>
          <t>1 games (2025 season)</t>
        </is>
      </c>
      <c r="AM185" t="inlineStr">
        <is>
          <t>Deep TE stash; needs a larger route/target role to matter in 10-team leagues.</t>
        </is>
      </c>
      <c r="AN185" t="inlineStr">
        <is>
          <t>He produced 7.6 PPR/FP points per game across 16 games. The workload/efficiency profile gives the model a rate-based reason to keep him here. Market price is favorable around ADP 233 versus model overall rank 165.</t>
        </is>
      </c>
      <c r="AO185" t="inlineStr">
        <is>
          <t>Route share, target volume and touchdown volatility are the main swing factors.</t>
        </is>
      </c>
    </row>
    <row r="186">
      <c r="A186" t="inlineStr">
        <is>
          <t>TE</t>
        </is>
      </c>
      <c r="B186" t="inlineStr">
        <is>
          <t>Gunnar Helm</t>
        </is>
      </c>
      <c r="C186" t="inlineStr">
        <is>
          <t>TEN</t>
        </is>
      </c>
      <c r="D186" t="n">
        <v>9</v>
      </c>
      <c r="E186" s="4" t="n">
        <v>66.59999999999999</v>
      </c>
      <c r="F186" s="4" t="n">
        <v>242</v>
      </c>
      <c r="G186" t="inlineStr">
        <is>
          <t>unclear</t>
        </is>
      </c>
      <c r="H186" t="inlineStr">
        <is>
          <t>weakness</t>
        </is>
      </c>
      <c r="I186" t="inlineStr">
        <is>
          <t>Cam Ward</t>
        </is>
      </c>
      <c r="J186" t="n">
        <v>52.6</v>
      </c>
      <c r="K186" t="n">
        <v>10.8</v>
      </c>
      <c r="L186" t="n">
        <v>0</v>
      </c>
      <c r="M186" t="n">
        <v>8</v>
      </c>
      <c r="N186" t="n">
        <v>1</v>
      </c>
      <c r="O186" t="n">
        <v>0</v>
      </c>
      <c r="P186" t="n">
        <v>0</v>
      </c>
      <c r="Q186" t="n">
        <v>0</v>
      </c>
      <c r="R186" t="n">
        <v>44</v>
      </c>
      <c r="S186" t="n">
        <v>357</v>
      </c>
      <c r="T186" t="n">
        <v>2</v>
      </c>
      <c r="U186" t="n">
        <v>0</v>
      </c>
      <c r="V186" t="n">
        <v>0</v>
      </c>
      <c r="W186" t="inlineStr"/>
      <c r="X186" t="inlineStr"/>
      <c r="Y186" t="inlineStr"/>
      <c r="Z186" t="inlineStr"/>
      <c r="AA186" t="inlineStr"/>
      <c r="AB186" t="inlineStr"/>
      <c r="AC186" t="inlineStr"/>
      <c r="AD186" t="n">
        <v>3.64</v>
      </c>
      <c r="AE186" t="n">
        <v>3.64</v>
      </c>
      <c r="AF186" t="n">
        <v>0</v>
      </c>
      <c r="AG186" t="inlineStr"/>
      <c r="AH186" t="inlineStr"/>
      <c r="AI186" t="inlineStr"/>
      <c r="AJ186" t="n">
        <v>22</v>
      </c>
      <c r="AK186" t="inlineStr"/>
      <c r="AL186" t="inlineStr">
        <is>
          <t>1 games (2025 season)</t>
        </is>
      </c>
      <c r="AM186" t="inlineStr">
        <is>
          <t>Deep TE stash; needs a larger route/target role to matter in 10-team leagues.</t>
        </is>
      </c>
      <c r="AN186" t="inlineStr">
        <is>
          <t>He produced 5.8 PPR/FP points per game across 16 games. The workload/efficiency profile gives the model a rate-based reason to keep him here. Market price is favorable around ADP 242 versus model overall rank 166.</t>
        </is>
      </c>
      <c r="AO186" t="inlineStr">
        <is>
          <t>Route share, target volume and touchdown volatility are the main swing factors.</t>
        </is>
      </c>
    </row>
    <row r="187">
      <c r="A187" t="inlineStr">
        <is>
          <t>TE</t>
        </is>
      </c>
      <c r="B187" t="inlineStr">
        <is>
          <t>Terrance Ferguson</t>
        </is>
      </c>
      <c r="C187" t="inlineStr">
        <is>
          <t>LAR</t>
        </is>
      </c>
      <c r="D187" t="n">
        <v>11</v>
      </c>
      <c r="E187" s="4" t="n">
        <v>64.40000000000001</v>
      </c>
      <c r="F187" s="4" t="n">
        <v>251</v>
      </c>
      <c r="G187" t="inlineStr">
        <is>
          <t>unclear</t>
        </is>
      </c>
      <c r="H187" t="inlineStr"/>
      <c r="I187" t="inlineStr">
        <is>
          <t>Matthew Stafford</t>
        </is>
      </c>
      <c r="J187" t="n">
        <v>66.7</v>
      </c>
      <c r="K187" t="n">
        <v>4.3</v>
      </c>
      <c r="L187" t="n">
        <v>0</v>
      </c>
      <c r="M187" t="n">
        <v>4</v>
      </c>
      <c r="N187" t="n">
        <v>1</v>
      </c>
      <c r="O187" t="n">
        <v>0</v>
      </c>
      <c r="P187" t="n">
        <v>0</v>
      </c>
      <c r="Q187" t="n">
        <v>0</v>
      </c>
      <c r="R187" t="n">
        <v>11</v>
      </c>
      <c r="S187" t="n">
        <v>231</v>
      </c>
      <c r="T187" t="n">
        <v>3</v>
      </c>
      <c r="U187" t="n">
        <v>0</v>
      </c>
      <c r="V187" t="n">
        <v>0</v>
      </c>
      <c r="W187" t="inlineStr"/>
      <c r="X187" t="inlineStr"/>
      <c r="Y187" t="inlineStr"/>
      <c r="Z187" t="inlineStr"/>
      <c r="AA187" t="inlineStr"/>
      <c r="AB187" t="inlineStr"/>
      <c r="AC187" t="inlineStr"/>
      <c r="AD187" t="n">
        <v>12</v>
      </c>
      <c r="AE187" t="n">
        <v>12</v>
      </c>
      <c r="AF187" t="n">
        <v>0</v>
      </c>
      <c r="AG187" t="inlineStr"/>
      <c r="AH187" t="inlineStr"/>
      <c r="AI187" t="inlineStr"/>
      <c r="AJ187" t="n">
        <v>22</v>
      </c>
      <c r="AK187" t="inlineStr"/>
      <c r="AL187" t="inlineStr">
        <is>
          <t>1 games (2025 season)</t>
        </is>
      </c>
      <c r="AM187" t="inlineStr">
        <is>
          <t>Deep TE stash; needs a larger route/target role to matter in 10-team leagues.</t>
        </is>
      </c>
      <c r="AN187" t="inlineStr">
        <is>
          <t>He produced 4.0 PPR/FP points per game across 13 games. The workload/efficiency profile gives the model a rate-based reason to keep him here. Market price is favorable around ADP 251 versus model overall rank 175.</t>
        </is>
      </c>
      <c r="AO187" t="inlineStr">
        <is>
          <t>Route share, target volume and touchdown volatility are the main swing factors.</t>
        </is>
      </c>
    </row>
    <row r="188">
      <c r="A188" t="inlineStr">
        <is>
          <t>TE</t>
        </is>
      </c>
      <c r="B188" t="inlineStr">
        <is>
          <t>Pat Freiermuth</t>
        </is>
      </c>
      <c r="C188" t="inlineStr">
        <is>
          <t>PIT</t>
        </is>
      </c>
      <c r="D188" t="n">
        <v>9</v>
      </c>
      <c r="E188" s="4" t="n">
        <v>69.59999999999999</v>
      </c>
      <c r="F188" s="4" t="n">
        <v>228</v>
      </c>
      <c r="G188" t="inlineStr">
        <is>
          <t>unclear</t>
        </is>
      </c>
      <c r="H188" t="inlineStr">
        <is>
          <t>average</t>
        </is>
      </c>
      <c r="I188" t="inlineStr">
        <is>
          <t>Aaron Rodgers</t>
        </is>
      </c>
      <c r="J188" t="n">
        <v>50.4</v>
      </c>
      <c r="K188" t="n">
        <v>9.9</v>
      </c>
      <c r="L188" t="n">
        <v>0</v>
      </c>
      <c r="M188" t="n">
        <v>9</v>
      </c>
      <c r="N188" t="n">
        <v>1</v>
      </c>
      <c r="O188" t="n">
        <v>0</v>
      </c>
      <c r="P188" t="n">
        <v>0</v>
      </c>
      <c r="Q188" t="n">
        <v>0</v>
      </c>
      <c r="R188" t="n">
        <v>41</v>
      </c>
      <c r="S188" t="n">
        <v>486</v>
      </c>
      <c r="T188" t="n">
        <v>4</v>
      </c>
      <c r="U188" t="n">
        <v>0</v>
      </c>
      <c r="V188" t="n">
        <v>0</v>
      </c>
      <c r="W188" t="inlineStr"/>
      <c r="X188" t="inlineStr"/>
      <c r="Y188" t="inlineStr"/>
      <c r="Z188" t="inlineStr"/>
      <c r="AA188" t="inlineStr"/>
      <c r="AB188" t="inlineStr"/>
      <c r="AC188" t="inlineStr"/>
      <c r="AD188" t="n">
        <v>7.41</v>
      </c>
      <c r="AE188" t="n">
        <v>6.18</v>
      </c>
      <c r="AF188" t="n">
        <v>1.23</v>
      </c>
      <c r="AG188" t="inlineStr"/>
      <c r="AH188" t="inlineStr"/>
      <c r="AI188" t="inlineStr"/>
      <c r="AJ188" t="n">
        <v>26</v>
      </c>
      <c r="AK188" t="inlineStr"/>
      <c r="AL188" t="inlineStr">
        <is>
          <t>1 games (2025 season)</t>
        </is>
      </c>
      <c r="AM188" t="inlineStr">
        <is>
          <t>Added 2026-08-12 from ESPN consensus (TE24).</t>
        </is>
      </c>
      <c r="AN188" t="inlineStr">
        <is>
          <t>Not in the original model pool; rating interpolated from the players ESPN ranks directly around him, so he sits at his consensus slot on our board.</t>
        </is>
      </c>
      <c r="AO188" t="inlineStr">
        <is>
          <t>No model projection behind this rating; it is market consensus only. Re-rate manually if you have a strong opinion.</t>
        </is>
      </c>
    </row>
    <row r="189">
      <c r="A189" t="inlineStr">
        <is>
          <t>K</t>
        </is>
      </c>
      <c r="B189" t="inlineStr">
        <is>
          <t>Brandon Aubrey</t>
        </is>
      </c>
      <c r="C189" t="inlineStr">
        <is>
          <t>DAL</t>
        </is>
      </c>
      <c r="D189" t="n">
        <v>14</v>
      </c>
      <c r="E189" s="4" t="n">
        <v>94</v>
      </c>
      <c r="F189" s="4" t="n">
        <v>155</v>
      </c>
      <c r="G189" t="inlineStr"/>
      <c r="H189" t="inlineStr"/>
      <c r="I189" t="inlineStr">
        <is>
          <t>Dak Prescott</t>
        </is>
      </c>
      <c r="J189" t="n">
        <v>0</v>
      </c>
      <c r="K189" t="n">
        <v>0</v>
      </c>
      <c r="L189" t="n">
        <v>0</v>
      </c>
      <c r="M189" t="n">
        <v>0</v>
      </c>
      <c r="N189" t="n">
        <v>1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inlineStr"/>
      <c r="X189" t="inlineStr"/>
      <c r="Y189" t="inlineStr"/>
      <c r="Z189" t="inlineStr"/>
      <c r="AA189" t="inlineStr"/>
      <c r="AB189" t="inlineStr"/>
      <c r="AC189" t="inlineStr"/>
      <c r="AD189" t="inlineStr"/>
      <c r="AE189" t="inlineStr"/>
      <c r="AF189" t="inlineStr"/>
      <c r="AG189" t="inlineStr"/>
      <c r="AH189" t="inlineStr"/>
      <c r="AI189" t="inlineStr"/>
      <c r="AJ189" t="n">
        <v>30</v>
      </c>
      <c r="AK189" t="inlineStr"/>
      <c r="AL189" t="inlineStr">
        <is>
          <t>1 games (2025 season)</t>
        </is>
      </c>
      <c r="AM189" t="inlineStr">
        <is>
          <t>Top-tier kicker option, but still a final-round target.</t>
        </is>
      </c>
      <c r="AN189" t="inlineStr">
        <is>
          <t>Ranks near the top of the current kicker pool, but kicker week-to-week separation is small in a 10-team league.</t>
        </is>
      </c>
      <c r="AO189" t="inlineStr">
        <is>
          <t>Kicker scoring is volatile and replaceable on waivers; do not pay meaningful draft capital.</t>
        </is>
      </c>
    </row>
    <row r="190">
      <c r="A190" t="inlineStr">
        <is>
          <t>K</t>
        </is>
      </c>
      <c r="B190" t="inlineStr">
        <is>
          <t>Ka'imi Fairbairn</t>
        </is>
      </c>
      <c r="C190" t="inlineStr">
        <is>
          <t>HOU</t>
        </is>
      </c>
      <c r="D190" t="n">
        <v>8</v>
      </c>
      <c r="E190" s="4" t="n">
        <v>91.8</v>
      </c>
      <c r="F190" s="4" t="n">
        <v>160</v>
      </c>
      <c r="G190" t="inlineStr"/>
      <c r="H190" t="inlineStr"/>
      <c r="I190" t="inlineStr">
        <is>
          <t>C.J. Stroud</t>
        </is>
      </c>
      <c r="J190" t="n">
        <v>0</v>
      </c>
      <c r="K190" t="n">
        <v>0</v>
      </c>
      <c r="L190" t="n">
        <v>0</v>
      </c>
      <c r="M190" t="n">
        <v>0</v>
      </c>
      <c r="N190" t="n">
        <v>1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inlineStr"/>
      <c r="X190" t="inlineStr"/>
      <c r="Y190" t="inlineStr"/>
      <c r="Z190" t="inlineStr"/>
      <c r="AA190" t="inlineStr"/>
      <c r="AB190" t="inlineStr"/>
      <c r="AC190" t="inlineStr"/>
      <c r="AD190" t="inlineStr"/>
      <c r="AE190" t="inlineStr"/>
      <c r="AF190" t="inlineStr"/>
      <c r="AG190" t="inlineStr"/>
      <c r="AH190" t="inlineStr"/>
      <c r="AI190" t="inlineStr"/>
      <c r="AJ190" t="n">
        <v>31</v>
      </c>
      <c r="AK190" t="inlineStr"/>
      <c r="AL190" t="inlineStr">
        <is>
          <t>1 games (2025 season)</t>
        </is>
      </c>
      <c r="AM190" t="inlineStr">
        <is>
          <t>Top-tier kicker option, but still a final-round target.</t>
        </is>
      </c>
      <c r="AN190" t="inlineStr">
        <is>
          <t>Ranks near the top of the current kicker pool, but kicker week-to-week separation is small in a 10-team league.</t>
        </is>
      </c>
      <c r="AO190" t="inlineStr">
        <is>
          <t>Kicker scoring is volatile and replaceable on waivers; do not pay meaningful draft capital.</t>
        </is>
      </c>
    </row>
    <row r="191">
      <c r="A191" t="inlineStr">
        <is>
          <t>K</t>
        </is>
      </c>
      <c r="B191" t="inlineStr">
        <is>
          <t>Cameron Dicker</t>
        </is>
      </c>
      <c r="C191" t="inlineStr">
        <is>
          <t>LAC</t>
        </is>
      </c>
      <c r="D191" t="n">
        <v>7</v>
      </c>
      <c r="E191" s="4" t="n">
        <v>89.59999999999999</v>
      </c>
      <c r="F191" s="4" t="n">
        <v>165</v>
      </c>
      <c r="G191" t="inlineStr"/>
      <c r="H191" t="inlineStr"/>
      <c r="I191" t="inlineStr">
        <is>
          <t>Justin Herbert</t>
        </is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inlineStr"/>
      <c r="X191" t="inlineStr"/>
      <c r="Y191" t="inlineStr"/>
      <c r="Z191" t="inlineStr"/>
      <c r="AA191" t="inlineStr"/>
      <c r="AB191" t="inlineStr"/>
      <c r="AC191" t="inlineStr"/>
      <c r="AD191" t="inlineStr"/>
      <c r="AE191" t="inlineStr"/>
      <c r="AF191" t="inlineStr"/>
      <c r="AG191" t="inlineStr"/>
      <c r="AH191" t="inlineStr"/>
      <c r="AI191" t="inlineStr"/>
      <c r="AJ191" t="n">
        <v>25</v>
      </c>
      <c r="AK191" t="inlineStr"/>
      <c r="AL191" t="inlineStr">
        <is>
          <t>1 games (2025 season)</t>
        </is>
      </c>
      <c r="AM191" t="inlineStr">
        <is>
          <t>Top-tier kicker option, but still a final-round target.</t>
        </is>
      </c>
      <c r="AN191" t="inlineStr">
        <is>
          <t>Ranks near the top of the current kicker pool, but kicker week-to-week separation is small in a 10-team league.</t>
        </is>
      </c>
      <c r="AO191" t="inlineStr">
        <is>
          <t>Kicker scoring is volatile and replaceable on waivers; do not pay meaningful draft capital.</t>
        </is>
      </c>
    </row>
    <row r="192">
      <c r="A192" t="inlineStr">
        <is>
          <t>K</t>
        </is>
      </c>
      <c r="B192" t="inlineStr">
        <is>
          <t>Jason Myers</t>
        </is>
      </c>
      <c r="C192" t="inlineStr">
        <is>
          <t>SEA</t>
        </is>
      </c>
      <c r="D192" t="n">
        <v>11</v>
      </c>
      <c r="E192" s="4" t="n">
        <v>87.40000000000001</v>
      </c>
      <c r="F192" s="4" t="n">
        <v>170</v>
      </c>
      <c r="G192" t="inlineStr"/>
      <c r="H192" t="inlineStr"/>
      <c r="I192" t="inlineStr">
        <is>
          <t>Sam Darnold</t>
        </is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inlineStr"/>
      <c r="X192" t="inlineStr"/>
      <c r="Y192" t="inlineStr"/>
      <c r="Z192" t="inlineStr"/>
      <c r="AA192" t="inlineStr"/>
      <c r="AB192" t="inlineStr"/>
      <c r="AC192" t="inlineStr"/>
      <c r="AD192" t="inlineStr"/>
      <c r="AE192" t="inlineStr"/>
      <c r="AF192" t="inlineStr"/>
      <c r="AG192" t="inlineStr"/>
      <c r="AH192" t="inlineStr"/>
      <c r="AI192" t="inlineStr"/>
      <c r="AJ192" t="n">
        <v>34</v>
      </c>
      <c r="AK192" t="inlineStr"/>
      <c r="AL192" t="inlineStr">
        <is>
          <t>1 games (2025 season)</t>
        </is>
      </c>
      <c r="AM192" t="inlineStr">
        <is>
          <t>Top-tier kicker option, but still a final-round target.</t>
        </is>
      </c>
      <c r="AN192" t="inlineStr">
        <is>
          <t>Ranks near the top of the current kicker pool, but kicker week-to-week separation is small in a 10-team league.</t>
        </is>
      </c>
      <c r="AO192" t="inlineStr">
        <is>
          <t>Kicker scoring is volatile and replaceable on waivers; do not pay meaningful draft capital.</t>
        </is>
      </c>
    </row>
    <row r="193">
      <c r="A193" t="inlineStr">
        <is>
          <t>K</t>
        </is>
      </c>
      <c r="B193" t="inlineStr">
        <is>
          <t>Cam Little</t>
        </is>
      </c>
      <c r="C193" t="inlineStr">
        <is>
          <t>JAX</t>
        </is>
      </c>
      <c r="D193" t="n">
        <v>7</v>
      </c>
      <c r="E193" s="4" t="n">
        <v>85.2</v>
      </c>
      <c r="F193" s="4" t="n">
        <v>175</v>
      </c>
      <c r="G193" t="inlineStr"/>
      <c r="H193" t="inlineStr"/>
      <c r="I193" t="inlineStr">
        <is>
          <t>Trevor Lawrence</t>
        </is>
      </c>
      <c r="J193" t="n">
        <v>0</v>
      </c>
      <c r="K193" t="n">
        <v>0</v>
      </c>
      <c r="L193" t="n">
        <v>0</v>
      </c>
      <c r="M193" t="n">
        <v>0</v>
      </c>
      <c r="N193" t="n">
        <v>1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inlineStr"/>
      <c r="X193" t="inlineStr"/>
      <c r="Y193" t="inlineStr"/>
      <c r="Z193" t="inlineStr"/>
      <c r="AA193" t="inlineStr"/>
      <c r="AB193" t="inlineStr"/>
      <c r="AC193" t="inlineStr"/>
      <c r="AD193" t="inlineStr"/>
      <c r="AE193" t="inlineStr"/>
      <c r="AF193" t="inlineStr"/>
      <c r="AG193" t="inlineStr"/>
      <c r="AH193" t="inlineStr"/>
      <c r="AI193" t="inlineStr"/>
      <c r="AJ193" t="n">
        <v>22</v>
      </c>
      <c r="AK193" t="inlineStr"/>
      <c r="AL193" t="inlineStr">
        <is>
          <t>1 games (2025 season)</t>
        </is>
      </c>
      <c r="AM193" t="inlineStr">
        <is>
          <t>Top-tier kicker option, but still a final-round target.</t>
        </is>
      </c>
      <c r="AN193" t="inlineStr">
        <is>
          <t>Ranks near the top of the current kicker pool, but kicker week-to-week separation is small in a 10-team league.</t>
        </is>
      </c>
      <c r="AO193" t="inlineStr">
        <is>
          <t>Kicker scoring is volatile and replaceable on waivers; do not pay meaningful draft capital.</t>
        </is>
      </c>
    </row>
    <row r="194">
      <c r="A194" t="inlineStr">
        <is>
          <t>K</t>
        </is>
      </c>
      <c r="B194" t="inlineStr">
        <is>
          <t>Eddy Pineiro</t>
        </is>
      </c>
      <c r="C194" t="inlineStr">
        <is>
          <t>SF</t>
        </is>
      </c>
      <c r="D194" t="n">
        <v>8</v>
      </c>
      <c r="E194" s="4" t="n">
        <v>83</v>
      </c>
      <c r="F194" s="4" t="n">
        <v>180</v>
      </c>
      <c r="G194" t="inlineStr"/>
      <c r="H194" t="inlineStr"/>
      <c r="I194" t="inlineStr">
        <is>
          <t>Brock Purdy</t>
        </is>
      </c>
      <c r="J194" t="n">
        <v>0</v>
      </c>
      <c r="K194" t="n">
        <v>0</v>
      </c>
      <c r="L194" t="n">
        <v>0</v>
      </c>
      <c r="M194" t="n">
        <v>0</v>
      </c>
      <c r="N194" t="n">
        <v>1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inlineStr"/>
      <c r="X194" t="inlineStr"/>
      <c r="Y194" t="inlineStr"/>
      <c r="Z194" t="inlineStr"/>
      <c r="AA194" t="inlineStr"/>
      <c r="AB194" t="inlineStr"/>
      <c r="AC194" t="inlineStr"/>
      <c r="AD194" t="inlineStr"/>
      <c r="AE194" t="inlineStr"/>
      <c r="AF194" t="inlineStr"/>
      <c r="AG194" t="inlineStr"/>
      <c r="AH194" t="inlineStr"/>
      <c r="AI194" t="inlineStr"/>
      <c r="AJ194" t="n">
        <v>29</v>
      </c>
      <c r="AK194" t="inlineStr"/>
      <c r="AL194" t="inlineStr">
        <is>
          <t>1 games (2025 season)</t>
        </is>
      </c>
      <c r="AM194" t="inlineStr">
        <is>
          <t>Late-round kicker; treat as replaceable unless scoring strongly rewards distance.</t>
        </is>
      </c>
      <c r="AN194" t="inlineStr">
        <is>
          <t>Ranks near the top of the current kicker pool, but kicker week-to-week separation is small in a 10-team league.</t>
        </is>
      </c>
      <c r="AO194" t="inlineStr">
        <is>
          <t>Kicker scoring is volatile and replaceable on waivers; do not pay meaningful draft capital.</t>
        </is>
      </c>
    </row>
    <row r="195">
      <c r="A195" t="inlineStr">
        <is>
          <t>K</t>
        </is>
      </c>
      <c r="B195" t="inlineStr">
        <is>
          <t>Tyler Loop</t>
        </is>
      </c>
      <c r="C195" t="inlineStr">
        <is>
          <t>BAL</t>
        </is>
      </c>
      <c r="D195" t="n">
        <v>13</v>
      </c>
      <c r="E195" s="4" t="n">
        <v>80.8</v>
      </c>
      <c r="F195" s="4" t="n">
        <v>185</v>
      </c>
      <c r="G195" t="inlineStr"/>
      <c r="H195" t="inlineStr"/>
      <c r="I195" t="inlineStr">
        <is>
          <t>Lamar Jackson</t>
        </is>
      </c>
      <c r="J195" t="n">
        <v>0</v>
      </c>
      <c r="K195" t="n">
        <v>0</v>
      </c>
      <c r="L195" t="n">
        <v>0</v>
      </c>
      <c r="M195" t="n">
        <v>0</v>
      </c>
      <c r="N195" t="n">
        <v>1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inlineStr"/>
      <c r="X195" t="inlineStr"/>
      <c r="Y195" t="inlineStr"/>
      <c r="Z195" t="inlineStr"/>
      <c r="AA195" t="inlineStr"/>
      <c r="AB195" t="inlineStr"/>
      <c r="AC195" t="inlineStr"/>
      <c r="AD195" t="inlineStr"/>
      <c r="AE195" t="inlineStr"/>
      <c r="AF195" t="inlineStr"/>
      <c r="AG195" t="inlineStr"/>
      <c r="AH195" t="inlineStr"/>
      <c r="AI195" t="inlineStr"/>
      <c r="AJ195" t="n">
        <v>24</v>
      </c>
      <c r="AK195" t="inlineStr"/>
      <c r="AL195" t="inlineStr">
        <is>
          <t>1 games (2025 season)</t>
        </is>
      </c>
      <c r="AM195" t="inlineStr">
        <is>
          <t>Late-round kicker; treat as replaceable unless scoring strongly rewards distance.</t>
        </is>
      </c>
      <c r="AN195" t="inlineStr">
        <is>
          <t>Ranks near the top of the current kicker pool, but kicker week-to-week separation is small in a 10-team league.</t>
        </is>
      </c>
      <c r="AO195" t="inlineStr">
        <is>
          <t>Kicker scoring is volatile and replaceable on waivers; do not pay meaningful draft capital.</t>
        </is>
      </c>
    </row>
    <row r="196">
      <c r="A196" t="inlineStr">
        <is>
          <t>K</t>
        </is>
      </c>
      <c r="B196" t="inlineStr">
        <is>
          <t>Harrison Mevis</t>
        </is>
      </c>
      <c r="C196" t="inlineStr">
        <is>
          <t>LAR</t>
        </is>
      </c>
      <c r="D196" t="n">
        <v>11</v>
      </c>
      <c r="E196" s="4" t="n">
        <v>78.59999999999999</v>
      </c>
      <c r="F196" s="4" t="n">
        <v>190</v>
      </c>
      <c r="G196" t="inlineStr"/>
      <c r="H196" t="inlineStr"/>
      <c r="I196" t="inlineStr">
        <is>
          <t>Matthew Stafford</t>
        </is>
      </c>
      <c r="J196" t="n">
        <v>0</v>
      </c>
      <c r="K196" t="n">
        <v>0</v>
      </c>
      <c r="L196" t="n">
        <v>0</v>
      </c>
      <c r="M196" t="n">
        <v>0</v>
      </c>
      <c r="N196" t="n">
        <v>1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inlineStr"/>
      <c r="X196" t="inlineStr"/>
      <c r="Y196" t="inlineStr"/>
      <c r="Z196" t="inlineStr"/>
      <c r="AA196" t="inlineStr"/>
      <c r="AB196" t="inlineStr"/>
      <c r="AC196" t="inlineStr"/>
      <c r="AD196" t="inlineStr"/>
      <c r="AE196" t="inlineStr"/>
      <c r="AF196" t="inlineStr"/>
      <c r="AG196" t="inlineStr"/>
      <c r="AH196" t="inlineStr"/>
      <c r="AI196" t="inlineStr"/>
      <c r="AJ196" t="n">
        <v>23</v>
      </c>
      <c r="AK196" t="inlineStr"/>
      <c r="AL196" t="inlineStr">
        <is>
          <t>1 games (2025 season)</t>
        </is>
      </c>
      <c r="AM196" t="inlineStr">
        <is>
          <t>Late-round kicker; treat as replaceable unless scoring strongly rewards distance.</t>
        </is>
      </c>
      <c r="AN196" t="inlineStr">
        <is>
          <t>Ranks near the top of the current kicker pool, but kicker week-to-week separation is small in a 10-team league.</t>
        </is>
      </c>
      <c r="AO196" t="inlineStr">
        <is>
          <t>Kicker scoring is volatile and replaceable on waivers; do not pay meaningful draft capital.</t>
        </is>
      </c>
    </row>
    <row r="197">
      <c r="A197" t="inlineStr">
        <is>
          <t>K</t>
        </is>
      </c>
      <c r="B197" t="inlineStr">
        <is>
          <t>Chase McLaughlin</t>
        </is>
      </c>
      <c r="C197" t="inlineStr">
        <is>
          <t>TB</t>
        </is>
      </c>
      <c r="D197" t="n">
        <v>10</v>
      </c>
      <c r="E197" s="4" t="n">
        <v>76.40000000000001</v>
      </c>
      <c r="F197" s="4" t="n">
        <v>195</v>
      </c>
      <c r="G197" t="inlineStr"/>
      <c r="H197" t="inlineStr"/>
      <c r="I197" t="inlineStr">
        <is>
          <t>Baker Mayfield</t>
        </is>
      </c>
      <c r="J197" t="n">
        <v>0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inlineStr"/>
      <c r="X197" t="inlineStr"/>
      <c r="Y197" t="inlineStr"/>
      <c r="Z197" t="inlineStr"/>
      <c r="AA197" t="inlineStr"/>
      <c r="AB197" t="inlineStr"/>
      <c r="AC197" t="inlineStr"/>
      <c r="AD197" t="n">
        <v>7.41</v>
      </c>
      <c r="AE197" t="n">
        <v>6.35</v>
      </c>
      <c r="AF197" t="n">
        <v>1.06</v>
      </c>
      <c r="AG197" t="n">
        <v>0.88</v>
      </c>
      <c r="AH197" t="n">
        <v>1.06</v>
      </c>
      <c r="AI197" t="n">
        <v>-0.17</v>
      </c>
      <c r="AJ197" t="n">
        <v>29</v>
      </c>
      <c r="AK197" t="inlineStr"/>
      <c r="AL197" t="inlineStr">
        <is>
          <t>1 games (2025 season)</t>
        </is>
      </c>
      <c r="AM197" t="inlineStr">
        <is>
          <t>Late-round kicker; treat as replaceable unless scoring strongly rewards distance.</t>
        </is>
      </c>
      <c r="AN197" t="inlineStr">
        <is>
          <t>Ranks near the top of the current kicker pool, but kicker week-to-week separation is small in a 10-team league.</t>
        </is>
      </c>
      <c r="AO197" t="inlineStr">
        <is>
          <t>Kicker scoring is volatile and replaceable on waivers; do not pay meaningful draft capital.</t>
        </is>
      </c>
    </row>
    <row r="198">
      <c r="A198" t="inlineStr">
        <is>
          <t>K</t>
        </is>
      </c>
      <c r="B198" t="inlineStr">
        <is>
          <t>Cairo Santos</t>
        </is>
      </c>
      <c r="C198" t="inlineStr">
        <is>
          <t>CHI</t>
        </is>
      </c>
      <c r="D198" t="n">
        <v>10</v>
      </c>
      <c r="E198" s="4" t="n">
        <v>74.2</v>
      </c>
      <c r="F198" s="4" t="n">
        <v>200</v>
      </c>
      <c r="G198" t="inlineStr"/>
      <c r="H198" t="inlineStr"/>
      <c r="I198" t="inlineStr">
        <is>
          <t>Caleb Williams</t>
        </is>
      </c>
      <c r="J198" t="n">
        <v>0</v>
      </c>
      <c r="K198" t="n">
        <v>0</v>
      </c>
      <c r="L198" t="n">
        <v>0</v>
      </c>
      <c r="M198" t="n">
        <v>0</v>
      </c>
      <c r="N198" t="n">
        <v>1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inlineStr"/>
      <c r="X198" t="inlineStr"/>
      <c r="Y198" t="inlineStr"/>
      <c r="Z198" t="inlineStr"/>
      <c r="AA198" t="inlineStr"/>
      <c r="AB198" t="inlineStr"/>
      <c r="AC198" t="inlineStr"/>
      <c r="AD198" t="inlineStr"/>
      <c r="AE198" t="inlineStr"/>
      <c r="AF198" t="inlineStr"/>
      <c r="AG198" t="inlineStr"/>
      <c r="AH198" t="inlineStr"/>
      <c r="AI198" t="inlineStr"/>
      <c r="AJ198" t="n">
        <v>33</v>
      </c>
      <c r="AK198" t="inlineStr"/>
      <c r="AL198" t="inlineStr">
        <is>
          <t>1 games (2025 season)</t>
        </is>
      </c>
      <c r="AM198" t="inlineStr">
        <is>
          <t>Late-round kicker; treat as replaceable unless scoring strongly rewards distance.</t>
        </is>
      </c>
      <c r="AN198" t="inlineStr">
        <is>
          <t>Ranks near the top of the current kicker pool, but kicker week-to-week separation is small in a 10-team league.</t>
        </is>
      </c>
      <c r="AO198" t="inlineStr">
        <is>
          <t>Kicker scoring is volatile and replaceable on waivers; do not pay meaningful draft capital.</t>
        </is>
      </c>
    </row>
    <row r="199">
      <c r="A199" t="inlineStr">
        <is>
          <t>K</t>
        </is>
      </c>
      <c r="B199" t="inlineStr">
        <is>
          <t>Andy Borregales</t>
        </is>
      </c>
      <c r="C199" t="inlineStr">
        <is>
          <t>NE</t>
        </is>
      </c>
      <c r="D199" t="n">
        <v>11</v>
      </c>
      <c r="E199" s="4" t="n">
        <v>72</v>
      </c>
      <c r="F199" s="4" t="n">
        <v>205</v>
      </c>
      <c r="G199" t="inlineStr"/>
      <c r="H199" t="inlineStr"/>
      <c r="I199" t="inlineStr">
        <is>
          <t>Drake Maye</t>
        </is>
      </c>
      <c r="J199" t="n">
        <v>0</v>
      </c>
      <c r="K199" t="n">
        <v>0</v>
      </c>
      <c r="L199" t="n">
        <v>0</v>
      </c>
      <c r="M199" t="n">
        <v>0</v>
      </c>
      <c r="N199" t="n">
        <v>1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inlineStr"/>
      <c r="X199" t="inlineStr"/>
      <c r="Y199" t="inlineStr"/>
      <c r="Z199" t="inlineStr"/>
      <c r="AA199" t="inlineStr"/>
      <c r="AB199" t="inlineStr"/>
      <c r="AC199" t="inlineStr"/>
      <c r="AD199" t="inlineStr"/>
      <c r="AE199" t="inlineStr"/>
      <c r="AF199" t="inlineStr"/>
      <c r="AG199" t="inlineStr"/>
      <c r="AH199" t="inlineStr"/>
      <c r="AI199" t="inlineStr"/>
      <c r="AJ199" t="n">
        <v>22</v>
      </c>
      <c r="AK199" t="inlineStr"/>
      <c r="AL199" t="inlineStr">
        <is>
          <t>1 games (2025 season)</t>
        </is>
      </c>
      <c r="AM199" t="inlineStr">
        <is>
          <t>Late-round kicker; treat as replaceable unless scoring strongly rewards distance.</t>
        </is>
      </c>
      <c r="AN199" t="inlineStr">
        <is>
          <t>Ranks near the top of the current kicker pool, but kicker week-to-week separation is small in a 10-team league.</t>
        </is>
      </c>
      <c r="AO199" t="inlineStr">
        <is>
          <t>Kicker scoring is volatile and replaceable on waivers; do not pay meaningful draft capital.</t>
        </is>
      </c>
    </row>
    <row r="200">
      <c r="A200" t="inlineStr">
        <is>
          <t>K</t>
        </is>
      </c>
      <c r="B200" t="inlineStr">
        <is>
          <t>Evan McPherson</t>
        </is>
      </c>
      <c r="C200" t="inlineStr">
        <is>
          <t>CIN</t>
        </is>
      </c>
      <c r="D200" t="n">
        <v>6</v>
      </c>
      <c r="E200" s="4" t="n">
        <v>69.8</v>
      </c>
      <c r="F200" s="4" t="n">
        <v>210</v>
      </c>
      <c r="G200" t="inlineStr"/>
      <c r="H200" t="inlineStr"/>
      <c r="I200" t="inlineStr">
        <is>
          <t>Joe Burrow</t>
        </is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inlineStr"/>
      <c r="X200" t="inlineStr"/>
      <c r="Y200" t="inlineStr"/>
      <c r="Z200" t="inlineStr"/>
      <c r="AA200" t="inlineStr"/>
      <c r="AB200" t="inlineStr"/>
      <c r="AC200" t="inlineStr"/>
      <c r="AD200" t="inlineStr"/>
      <c r="AE200" t="inlineStr"/>
      <c r="AF200" t="inlineStr"/>
      <c r="AG200" t="inlineStr"/>
      <c r="AH200" t="inlineStr"/>
      <c r="AI200" t="inlineStr"/>
      <c r="AJ200" t="n">
        <v>26</v>
      </c>
      <c r="AK200" t="inlineStr"/>
      <c r="AL200" t="inlineStr">
        <is>
          <t>1 games (2025 season)</t>
        </is>
      </c>
      <c r="AM200" t="inlineStr">
        <is>
          <t>Late-round kicker; treat as replaceable unless scoring strongly rewards distance.</t>
        </is>
      </c>
      <c r="AN200" t="inlineStr">
        <is>
          <t>Ranks near the top of the current kicker pool, but kicker week-to-week separation is small in a 10-team league.</t>
        </is>
      </c>
      <c r="AO200" t="inlineStr">
        <is>
          <t>Kicker scoring is volatile and replaceable on waivers; do not pay meaningful draft capital.</t>
        </is>
      </c>
    </row>
    <row r="201">
      <c r="A201" t="inlineStr">
        <is>
          <t>DST</t>
        </is>
      </c>
      <c r="B201" t="inlineStr">
        <is>
          <t>Houston Texans</t>
        </is>
      </c>
      <c r="C201" t="inlineStr">
        <is>
          <t>HOU</t>
        </is>
      </c>
      <c r="D201" t="n">
        <v>8</v>
      </c>
      <c r="E201" s="4" t="n">
        <v>93</v>
      </c>
      <c r="F201" s="4" t="n">
        <v>160</v>
      </c>
      <c r="G201" t="inlineStr"/>
      <c r="H201" t="inlineStr"/>
      <c r="I201" t="inlineStr">
        <is>
          <t>C.J. Stroud</t>
        </is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inlineStr"/>
      <c r="X201" t="inlineStr"/>
      <c r="Y201" t="inlineStr"/>
      <c r="Z201" t="inlineStr"/>
      <c r="AA201" t="inlineStr"/>
      <c r="AB201" t="inlineStr"/>
      <c r="AC201" t="inlineStr"/>
      <c r="AD201" t="inlineStr"/>
      <c r="AE201" t="inlineStr"/>
      <c r="AF201" t="inlineStr"/>
      <c r="AG201" t="inlineStr"/>
      <c r="AH201" t="inlineStr"/>
      <c r="AI201" t="inlineStr"/>
      <c r="AJ201" t="inlineStr"/>
      <c r="AK201" t="inlineStr"/>
      <c r="AL201" t="inlineStr">
        <is>
          <t>No stats match found</t>
        </is>
      </c>
      <c r="AM201" t="inlineStr">
        <is>
          <t>Elite DST target if available in the final rounds; otherwise streaming remains viable.</t>
        </is>
      </c>
      <c r="AN201" t="inlineStr">
        <is>
          <t>The unit grades well relative to the current DST pool, but the model intentionally keeps defense behind core skill positions.</t>
        </is>
      </c>
      <c r="AO201" t="inlineStr">
        <is>
          <t>DST scoring is highly opponent- and turnover-dependent, making season-long rank fragile.</t>
        </is>
      </c>
    </row>
    <row r="202">
      <c r="A202" t="inlineStr">
        <is>
          <t>DST</t>
        </is>
      </c>
      <c r="B202" t="inlineStr">
        <is>
          <t>Denver Broncos</t>
        </is>
      </c>
      <c r="C202" t="inlineStr">
        <is>
          <t>DEN</t>
        </is>
      </c>
      <c r="D202" t="n">
        <v>10</v>
      </c>
      <c r="E202" s="4" t="n">
        <v>91.90000000000001</v>
      </c>
      <c r="F202" s="4" t="n">
        <v>164</v>
      </c>
      <c r="G202" t="inlineStr"/>
      <c r="H202" t="inlineStr"/>
      <c r="I202" t="inlineStr">
        <is>
          <t>Bo Nix</t>
        </is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inlineStr"/>
      <c r="X202" t="inlineStr"/>
      <c r="Y202" t="inlineStr"/>
      <c r="Z202" t="inlineStr"/>
      <c r="AA202" t="inlineStr"/>
      <c r="AB202" t="inlineStr"/>
      <c r="AC202" t="inlineStr"/>
      <c r="AD202" t="inlineStr"/>
      <c r="AE202" t="inlineStr"/>
      <c r="AF202" t="inlineStr"/>
      <c r="AG202" t="inlineStr"/>
      <c r="AH202" t="inlineStr"/>
      <c r="AI202" t="inlineStr"/>
      <c r="AJ202" t="inlineStr"/>
      <c r="AK202" t="inlineStr"/>
      <c r="AL202" t="inlineStr">
        <is>
          <t>No stats match found</t>
        </is>
      </c>
      <c r="AM202" t="inlineStr">
        <is>
          <t>Elite DST target if available in the final rounds; otherwise streaming remains viable.</t>
        </is>
      </c>
      <c r="AN202" t="inlineStr">
        <is>
          <t>The unit grades well relative to the current DST pool, but the model intentionally keeps defense behind core skill positions.</t>
        </is>
      </c>
      <c r="AO202" t="inlineStr">
        <is>
          <t>DST scoring is highly opponent- and turnover-dependent, making season-long rank fragile.</t>
        </is>
      </c>
    </row>
    <row r="203">
      <c r="A203" t="inlineStr">
        <is>
          <t>DST</t>
        </is>
      </c>
      <c r="B203" t="inlineStr">
        <is>
          <t>Seattle Seahawks</t>
        </is>
      </c>
      <c r="C203" t="inlineStr">
        <is>
          <t>SEA</t>
        </is>
      </c>
      <c r="D203" t="n">
        <v>11</v>
      </c>
      <c r="E203" s="4" t="n">
        <v>90.8</v>
      </c>
      <c r="F203" s="4" t="n">
        <v>168</v>
      </c>
      <c r="G203" t="inlineStr"/>
      <c r="H203" t="inlineStr"/>
      <c r="I203" t="inlineStr">
        <is>
          <t>Sam Darnold</t>
        </is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inlineStr"/>
      <c r="X203" t="inlineStr"/>
      <c r="Y203" t="inlineStr"/>
      <c r="Z203" t="inlineStr"/>
      <c r="AA203" t="inlineStr"/>
      <c r="AB203" t="inlineStr"/>
      <c r="AC203" t="inlineStr"/>
      <c r="AD203" t="inlineStr"/>
      <c r="AE203" t="inlineStr"/>
      <c r="AF203" t="inlineStr"/>
      <c r="AG203" t="inlineStr"/>
      <c r="AH203" t="inlineStr"/>
      <c r="AI203" t="inlineStr"/>
      <c r="AJ203" t="inlineStr"/>
      <c r="AK203" t="inlineStr"/>
      <c r="AL203" t="inlineStr">
        <is>
          <t>No stats match found</t>
        </is>
      </c>
      <c r="AM203" t="inlineStr">
        <is>
          <t>Elite DST target if available in the final rounds; otherwise streaming remains viable.</t>
        </is>
      </c>
      <c r="AN203" t="inlineStr">
        <is>
          <t>The unit grades well relative to the current DST pool, but the model intentionally keeps defense behind core skill positions.</t>
        </is>
      </c>
      <c r="AO203" t="inlineStr">
        <is>
          <t>DST scoring is highly opponent- and turnover-dependent, making season-long rank fragile.</t>
        </is>
      </c>
    </row>
    <row r="204">
      <c r="A204" t="inlineStr">
        <is>
          <t>DST</t>
        </is>
      </c>
      <c r="B204" t="inlineStr">
        <is>
          <t>Los Angeles Rams</t>
        </is>
      </c>
      <c r="C204" t="inlineStr">
        <is>
          <t>LAR</t>
        </is>
      </c>
      <c r="D204" t="n">
        <v>11</v>
      </c>
      <c r="E204" s="4" t="n">
        <v>89.7</v>
      </c>
      <c r="F204" s="4" t="n">
        <v>134.1</v>
      </c>
      <c r="G204" t="inlineStr"/>
      <c r="H204" t="inlineStr"/>
      <c r="I204" t="inlineStr">
        <is>
          <t>Matthew Stafford</t>
        </is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inlineStr"/>
      <c r="X204" t="inlineStr"/>
      <c r="Y204" t="inlineStr"/>
      <c r="Z204" t="inlineStr"/>
      <c r="AA204" t="inlineStr"/>
      <c r="AB204" t="inlineStr"/>
      <c r="AC204" t="inlineStr"/>
      <c r="AD204" t="inlineStr"/>
      <c r="AE204" t="inlineStr"/>
      <c r="AF204" t="inlineStr"/>
      <c r="AG204" t="inlineStr"/>
      <c r="AH204" t="inlineStr"/>
      <c r="AI204" t="inlineStr"/>
      <c r="AJ204" t="n">
        <v>30</v>
      </c>
      <c r="AK204" t="inlineStr"/>
      <c r="AL204" t="inlineStr">
        <is>
          <t>No stats match found</t>
        </is>
      </c>
      <c r="AM204" t="inlineStr">
        <is>
          <t>Elite DST target if available in the final rounds; otherwise streaming remains viable.</t>
        </is>
      </c>
      <c r="AN204" t="inlineStr">
        <is>
          <t>The unit grades well relative to the current DST pool, but the model intentionally keeps defense behind core skill positions.</t>
        </is>
      </c>
      <c r="AO204" t="inlineStr">
        <is>
          <t>DST scoring is highly opponent- and turnover-dependent, making season-long rank fragile.</t>
        </is>
      </c>
    </row>
    <row r="205">
      <c r="A205" t="inlineStr">
        <is>
          <t>DST</t>
        </is>
      </c>
      <c r="B205" t="inlineStr">
        <is>
          <t>Philadelphia Eagles</t>
        </is>
      </c>
      <c r="C205" t="inlineStr">
        <is>
          <t>PHI</t>
        </is>
      </c>
      <c r="D205" t="n">
        <v>10</v>
      </c>
      <c r="E205" s="4" t="n">
        <v>88.59999999999999</v>
      </c>
      <c r="F205" s="4" t="n">
        <v>176</v>
      </c>
      <c r="G205" t="inlineStr"/>
      <c r="H205" t="inlineStr"/>
      <c r="I205" t="inlineStr">
        <is>
          <t>Jalen Hurts</t>
        </is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inlineStr"/>
      <c r="X205" t="inlineStr"/>
      <c r="Y205" t="inlineStr"/>
      <c r="Z205" t="inlineStr"/>
      <c r="AA205" t="inlineStr"/>
      <c r="AB205" t="inlineStr"/>
      <c r="AC205" t="inlineStr"/>
      <c r="AD205" t="inlineStr"/>
      <c r="AE205" t="inlineStr"/>
      <c r="AF205" t="inlineStr"/>
      <c r="AG205" t="inlineStr"/>
      <c r="AH205" t="inlineStr"/>
      <c r="AI205" t="inlineStr"/>
      <c r="AJ205" t="inlineStr"/>
      <c r="AK205" t="inlineStr"/>
      <c r="AL205" t="inlineStr">
        <is>
          <t>No stats match found</t>
        </is>
      </c>
      <c r="AM205" t="inlineStr">
        <is>
          <t>Elite DST target if available in the final rounds; otherwise streaming remains viable.</t>
        </is>
      </c>
      <c r="AN205" t="inlineStr">
        <is>
          <t>The unit grades well relative to the current DST pool, but the model intentionally keeps defense behind core skill positions.</t>
        </is>
      </c>
      <c r="AO205" t="inlineStr">
        <is>
          <t>DST scoring is highly opponent- and turnover-dependent, making season-long rank fragile.</t>
        </is>
      </c>
    </row>
    <row r="206">
      <c r="A206" t="inlineStr">
        <is>
          <t>DST</t>
        </is>
      </c>
      <c r="B206" t="inlineStr">
        <is>
          <t>Minnesota Vikings</t>
        </is>
      </c>
      <c r="C206" t="inlineStr">
        <is>
          <t>MIN</t>
        </is>
      </c>
      <c r="D206" t="n">
        <v>6</v>
      </c>
      <c r="E206" s="4" t="n">
        <v>87.5</v>
      </c>
      <c r="F206" s="4" t="n">
        <v>180</v>
      </c>
      <c r="G206" t="inlineStr"/>
      <c r="H206" t="inlineStr"/>
      <c r="I206" t="inlineStr">
        <is>
          <t>Kyler Murray</t>
        </is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inlineStr"/>
      <c r="X206" t="inlineStr"/>
      <c r="Y206" t="inlineStr"/>
      <c r="Z206" t="inlineStr"/>
      <c r="AA206" t="inlineStr"/>
      <c r="AB206" t="inlineStr"/>
      <c r="AC206" t="inlineStr"/>
      <c r="AD206" t="inlineStr"/>
      <c r="AE206" t="inlineStr"/>
      <c r="AF206" t="inlineStr"/>
      <c r="AG206" t="inlineStr"/>
      <c r="AH206" t="inlineStr"/>
      <c r="AI206" t="inlineStr"/>
      <c r="AJ206" t="inlineStr"/>
      <c r="AK206" t="inlineStr"/>
      <c r="AL206" t="inlineStr">
        <is>
          <t>No stats match found</t>
        </is>
      </c>
      <c r="AM206" t="inlineStr">
        <is>
          <t>Streaming/late-round defense; matchup matters more than preseason rank.</t>
        </is>
      </c>
      <c r="AN206" t="inlineStr">
        <is>
          <t>The unit grades well relative to the current DST pool, but the model intentionally keeps defense behind core skill positions.</t>
        </is>
      </c>
      <c r="AO206" t="inlineStr">
        <is>
          <t>DST scoring is highly opponent- and turnover-dependent, making season-long rank fragile.</t>
        </is>
      </c>
    </row>
    <row r="207">
      <c r="A207" t="inlineStr">
        <is>
          <t>DST</t>
        </is>
      </c>
      <c r="B207" t="inlineStr">
        <is>
          <t>New England Patriots</t>
        </is>
      </c>
      <c r="C207" t="inlineStr">
        <is>
          <t>NE</t>
        </is>
      </c>
      <c r="D207" t="n">
        <v>11</v>
      </c>
      <c r="E207" s="4" t="n">
        <v>86.40000000000001</v>
      </c>
      <c r="F207" s="4" t="n">
        <v>184</v>
      </c>
      <c r="G207" t="inlineStr"/>
      <c r="H207" t="inlineStr"/>
      <c r="I207" t="inlineStr">
        <is>
          <t>Drake Maye</t>
        </is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inlineStr"/>
      <c r="X207" t="inlineStr"/>
      <c r="Y207" t="inlineStr"/>
      <c r="Z207" t="inlineStr"/>
      <c r="AA207" t="inlineStr"/>
      <c r="AB207" t="inlineStr"/>
      <c r="AC207" t="inlineStr"/>
      <c r="AD207" t="inlineStr"/>
      <c r="AE207" t="inlineStr"/>
      <c r="AF207" t="inlineStr"/>
      <c r="AG207" t="inlineStr"/>
      <c r="AH207" t="inlineStr"/>
      <c r="AI207" t="inlineStr"/>
      <c r="AJ207" t="inlineStr"/>
      <c r="AK207" t="inlineStr"/>
      <c r="AL207" t="inlineStr">
        <is>
          <t>No stats match found</t>
        </is>
      </c>
      <c r="AM207" t="inlineStr">
        <is>
          <t>Streaming/late-round defense; matchup matters more than preseason rank.</t>
        </is>
      </c>
      <c r="AN207" t="inlineStr">
        <is>
          <t>The unit grades well relative to the current DST pool, but the model intentionally keeps defense behind core skill positions.</t>
        </is>
      </c>
      <c r="AO207" t="inlineStr">
        <is>
          <t>DST scoring is highly opponent- and turnover-dependent, making season-long rank fragile.</t>
        </is>
      </c>
    </row>
    <row r="208">
      <c r="A208" t="inlineStr">
        <is>
          <t>DST</t>
        </is>
      </c>
      <c r="B208" t="inlineStr">
        <is>
          <t>Jacksonville Jaguars</t>
        </is>
      </c>
      <c r="C208" t="inlineStr">
        <is>
          <t>JAX</t>
        </is>
      </c>
      <c r="D208" t="n">
        <v>7</v>
      </c>
      <c r="E208" s="4" t="n">
        <v>85.3</v>
      </c>
      <c r="F208" s="4" t="n">
        <v>188</v>
      </c>
      <c r="G208" t="inlineStr"/>
      <c r="H208" t="inlineStr"/>
      <c r="I208" t="inlineStr">
        <is>
          <t>Trevor Lawrence</t>
        </is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inlineStr"/>
      <c r="X208" t="inlineStr"/>
      <c r="Y208" t="inlineStr"/>
      <c r="Z208" t="inlineStr"/>
      <c r="AA208" t="inlineStr"/>
      <c r="AB208" t="inlineStr"/>
      <c r="AC208" t="inlineStr"/>
      <c r="AD208" t="inlineStr"/>
      <c r="AE208" t="inlineStr"/>
      <c r="AF208" t="inlineStr"/>
      <c r="AG208" t="inlineStr"/>
      <c r="AH208" t="inlineStr"/>
      <c r="AI208" t="inlineStr"/>
      <c r="AJ208" t="inlineStr"/>
      <c r="AK208" t="inlineStr"/>
      <c r="AL208" t="inlineStr">
        <is>
          <t>No stats match found</t>
        </is>
      </c>
      <c r="AM208" t="inlineStr">
        <is>
          <t>Streaming/late-round defense; matchup matters more than preseason rank.</t>
        </is>
      </c>
      <c r="AN208" t="inlineStr">
        <is>
          <t>The unit grades well relative to the current DST pool, but the model intentionally keeps defense behind core skill positions.</t>
        </is>
      </c>
      <c r="AO208" t="inlineStr">
        <is>
          <t>DST scoring is highly opponent- and turnover-dependent, making season-long rank fragile.</t>
        </is>
      </c>
    </row>
    <row r="209">
      <c r="A209" t="inlineStr">
        <is>
          <t>DST</t>
        </is>
      </c>
      <c r="B209" t="inlineStr">
        <is>
          <t>Pittsburgh Steelers</t>
        </is>
      </c>
      <c r="C209" t="inlineStr">
        <is>
          <t>PIT</t>
        </is>
      </c>
      <c r="D209" t="n">
        <v>9</v>
      </c>
      <c r="E209" s="4" t="n">
        <v>84.2</v>
      </c>
      <c r="F209" s="4" t="n">
        <v>192</v>
      </c>
      <c r="G209" t="inlineStr"/>
      <c r="H209" t="inlineStr"/>
      <c r="I209" t="inlineStr">
        <is>
          <t>Aaron Rodgers</t>
        </is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inlineStr"/>
      <c r="X209" t="inlineStr"/>
      <c r="Y209" t="inlineStr"/>
      <c r="Z209" t="inlineStr"/>
      <c r="AA209" t="inlineStr"/>
      <c r="AB209" t="inlineStr"/>
      <c r="AC209" t="inlineStr"/>
      <c r="AD209" t="inlineStr"/>
      <c r="AE209" t="inlineStr"/>
      <c r="AF209" t="inlineStr"/>
      <c r="AG209" t="inlineStr"/>
      <c r="AH209" t="inlineStr"/>
      <c r="AI209" t="inlineStr"/>
      <c r="AJ209" t="inlineStr"/>
      <c r="AK209" t="inlineStr"/>
      <c r="AL209" t="inlineStr">
        <is>
          <t>No stats match found</t>
        </is>
      </c>
      <c r="AM209" t="inlineStr">
        <is>
          <t>Streaming/late-round defense; matchup matters more than preseason rank.</t>
        </is>
      </c>
      <c r="AN209" t="inlineStr">
        <is>
          <t>The unit grades well relative to the current DST pool, but the model intentionally keeps defense behind core skill positions.</t>
        </is>
      </c>
      <c r="AO209" t="inlineStr">
        <is>
          <t>DST scoring is highly opponent- and turnover-dependent, making season-long rank fragile.</t>
        </is>
      </c>
    </row>
    <row r="210">
      <c r="A210" t="inlineStr">
        <is>
          <t>DST</t>
        </is>
      </c>
      <c r="B210" t="inlineStr">
        <is>
          <t>Los Angeles Chargers</t>
        </is>
      </c>
      <c r="C210" t="inlineStr">
        <is>
          <t>LAC</t>
        </is>
      </c>
      <c r="D210" t="n">
        <v>7</v>
      </c>
      <c r="E210" s="4" t="n">
        <v>83.09999999999999</v>
      </c>
      <c r="F210" s="4" t="n">
        <v>144.7</v>
      </c>
      <c r="G210" t="inlineStr"/>
      <c r="H210" t="inlineStr"/>
      <c r="I210" t="inlineStr">
        <is>
          <t>Justin Herbert</t>
        </is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inlineStr"/>
      <c r="X210" t="inlineStr"/>
      <c r="Y210" t="inlineStr"/>
      <c r="Z210" t="inlineStr"/>
      <c r="AA210" t="inlineStr"/>
      <c r="AB210" t="inlineStr"/>
      <c r="AC210" t="inlineStr"/>
      <c r="AD210" t="inlineStr"/>
      <c r="AE210" t="inlineStr"/>
      <c r="AF210" t="inlineStr"/>
      <c r="AG210" t="inlineStr"/>
      <c r="AH210" t="inlineStr"/>
      <c r="AI210" t="inlineStr"/>
      <c r="AJ210" t="inlineStr"/>
      <c r="AK210" t="inlineStr"/>
      <c r="AL210" t="inlineStr">
        <is>
          <t>No stats match found</t>
        </is>
      </c>
      <c r="AM210" t="inlineStr">
        <is>
          <t>Streaming/late-round defense; matchup matters more than preseason rank.</t>
        </is>
      </c>
      <c r="AN210" t="inlineStr">
        <is>
          <t>The unit grades well relative to the current DST pool, but the model intentionally keeps defense behind core skill positions.</t>
        </is>
      </c>
      <c r="AO210" t="inlineStr">
        <is>
          <t>DST scoring is highly opponent- and turnover-dependent, making season-long rank fragile.</t>
        </is>
      </c>
    </row>
    <row r="211">
      <c r="A211" t="inlineStr">
        <is>
          <t>DST</t>
        </is>
      </c>
      <c r="B211" t="inlineStr">
        <is>
          <t>Baltimore Ravens</t>
        </is>
      </c>
      <c r="C211" t="inlineStr">
        <is>
          <t>BAL</t>
        </is>
      </c>
      <c r="D211" t="n">
        <v>13</v>
      </c>
      <c r="E211" s="4" t="n">
        <v>82</v>
      </c>
      <c r="F211" s="4" t="n">
        <v>200</v>
      </c>
      <c r="G211" t="inlineStr"/>
      <c r="H211" t="inlineStr"/>
      <c r="I211" t="inlineStr">
        <is>
          <t>Lamar Jackson</t>
        </is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inlineStr"/>
      <c r="X211" t="inlineStr"/>
      <c r="Y211" t="inlineStr"/>
      <c r="Z211" t="inlineStr"/>
      <c r="AA211" t="inlineStr"/>
      <c r="AB211" t="inlineStr"/>
      <c r="AC211" t="inlineStr"/>
      <c r="AD211" t="inlineStr"/>
      <c r="AE211" t="inlineStr"/>
      <c r="AF211" t="inlineStr"/>
      <c r="AG211" t="inlineStr"/>
      <c r="AH211" t="inlineStr"/>
      <c r="AI211" t="inlineStr"/>
      <c r="AJ211" t="inlineStr"/>
      <c r="AK211" t="inlineStr"/>
      <c r="AL211" t="inlineStr">
        <is>
          <t>No stats match found</t>
        </is>
      </c>
      <c r="AM211" t="inlineStr">
        <is>
          <t>Streaming/late-round defense; matchup matters more than preseason rank.</t>
        </is>
      </c>
      <c r="AN211" t="inlineStr">
        <is>
          <t>The unit grades well relative to the current DST pool, but the model intentionally keeps defense behind core skill positions.</t>
        </is>
      </c>
      <c r="AO211" t="inlineStr">
        <is>
          <t>DST scoring is highly opponent- and turnover-dependent, making season-long rank fragile.</t>
        </is>
      </c>
    </row>
    <row r="212">
      <c r="A212" t="inlineStr">
        <is>
          <t>DST</t>
        </is>
      </c>
      <c r="B212" t="inlineStr">
        <is>
          <t>Green Bay Packers</t>
        </is>
      </c>
      <c r="C212" t="inlineStr">
        <is>
          <t>GB</t>
        </is>
      </c>
      <c r="D212" t="n">
        <v>11</v>
      </c>
      <c r="E212" s="4" t="n">
        <v>80.90000000000001</v>
      </c>
      <c r="F212" s="4" t="n">
        <v>204</v>
      </c>
      <c r="G212" t="inlineStr"/>
      <c r="H212" t="inlineStr"/>
      <c r="I212" t="inlineStr">
        <is>
          <t>Jordan Love</t>
        </is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inlineStr"/>
      <c r="X212" t="inlineStr"/>
      <c r="Y212" t="inlineStr"/>
      <c r="Z212" t="inlineStr"/>
      <c r="AA212" t="inlineStr"/>
      <c r="AB212" t="inlineStr"/>
      <c r="AC212" t="inlineStr"/>
      <c r="AD212" t="inlineStr"/>
      <c r="AE212" t="inlineStr"/>
      <c r="AF212" t="inlineStr"/>
      <c r="AG212" t="inlineStr"/>
      <c r="AH212" t="inlineStr"/>
      <c r="AI212" t="inlineStr"/>
      <c r="AJ212" t="inlineStr"/>
      <c r="AK212" t="inlineStr"/>
      <c r="AL212" t="inlineStr">
        <is>
          <t>No stats match found</t>
        </is>
      </c>
      <c r="AM212" t="inlineStr">
        <is>
          <t>Streaming/late-round defense; matchup matters more than preseason rank.</t>
        </is>
      </c>
      <c r="AN212" t="inlineStr">
        <is>
          <t>The unit grades well relative to the current DST pool, but the model intentionally keeps defense behind core skill positions.</t>
        </is>
      </c>
      <c r="AO212" t="inlineStr">
        <is>
          <t>DST scoring is highly opponent- and turnover-dependent, making season-long rank fragile.</t>
        </is>
      </c>
    </row>
    <row r="213">
      <c r="A213" t="inlineStr">
        <is>
          <t>DST</t>
        </is>
      </c>
      <c r="B213" t="inlineStr">
        <is>
          <t>Detroit Lions</t>
        </is>
      </c>
      <c r="C213" t="inlineStr">
        <is>
          <t>DET</t>
        </is>
      </c>
      <c r="D213" t="n">
        <v>6</v>
      </c>
      <c r="E213" s="4" t="n">
        <v>79.8</v>
      </c>
      <c r="F213" s="4" t="n">
        <v>208</v>
      </c>
      <c r="G213" t="inlineStr"/>
      <c r="H213" t="inlineStr"/>
      <c r="I213" t="inlineStr">
        <is>
          <t>Jared Goff</t>
        </is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inlineStr"/>
      <c r="X213" t="inlineStr"/>
      <c r="Y213" t="inlineStr"/>
      <c r="Z213" t="inlineStr"/>
      <c r="AA213" t="inlineStr"/>
      <c r="AB213" t="inlineStr"/>
      <c r="AC213" t="inlineStr"/>
      <c r="AD213" t="inlineStr"/>
      <c r="AE213" t="inlineStr"/>
      <c r="AF213" t="inlineStr"/>
      <c r="AG213" t="inlineStr"/>
      <c r="AH213" t="inlineStr"/>
      <c r="AI213" t="inlineStr"/>
      <c r="AJ213" t="inlineStr"/>
      <c r="AK213" t="inlineStr"/>
      <c r="AL213" t="inlineStr">
        <is>
          <t>No stats match found</t>
        </is>
      </c>
      <c r="AM213" t="inlineStr">
        <is>
          <t>Streaming/late-round defense; matchup matters more than preseason rank.</t>
        </is>
      </c>
      <c r="AN213" t="inlineStr">
        <is>
          <t>The unit grades well relative to the current DST pool, but the model intentionally keeps defense behind core skill positions.</t>
        </is>
      </c>
      <c r="AO213" t="inlineStr">
        <is>
          <t>DST scoring is highly opponent- and turnover-dependent, making season-long rank fragile.</t>
        </is>
      </c>
    </row>
    <row r="214">
      <c r="A214" t="inlineStr">
        <is>
          <t>DST</t>
        </is>
      </c>
      <c r="B214" t="inlineStr">
        <is>
          <t>Buffalo Bills</t>
        </is>
      </c>
      <c r="C214" t="inlineStr">
        <is>
          <t>BUF</t>
        </is>
      </c>
      <c r="D214" t="n">
        <v>7</v>
      </c>
      <c r="E214" s="4" t="n">
        <v>78.7</v>
      </c>
      <c r="F214" s="4" t="n">
        <v>212</v>
      </c>
      <c r="G214" t="inlineStr"/>
      <c r="H214" t="inlineStr"/>
      <c r="I214" t="inlineStr">
        <is>
          <t>Josh Allen</t>
        </is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inlineStr"/>
      <c r="X214" t="inlineStr"/>
      <c r="Y214" t="inlineStr"/>
      <c r="Z214" t="inlineStr"/>
      <c r="AA214" t="inlineStr"/>
      <c r="AB214" t="inlineStr"/>
      <c r="AC214" t="inlineStr"/>
      <c r="AD214" t="inlineStr"/>
      <c r="AE214" t="inlineStr"/>
      <c r="AF214" t="inlineStr"/>
      <c r="AG214" t="inlineStr"/>
      <c r="AH214" t="inlineStr"/>
      <c r="AI214" t="inlineStr"/>
      <c r="AJ214" t="inlineStr"/>
      <c r="AK214" t="inlineStr"/>
      <c r="AL214" t="inlineStr">
        <is>
          <t>No stats match found</t>
        </is>
      </c>
      <c r="AM214" t="inlineStr">
        <is>
          <t>Streaming/late-round defense; matchup matters more than preseason rank.</t>
        </is>
      </c>
      <c r="AN214" t="inlineStr">
        <is>
          <t>The unit grades well relative to the current DST pool, but the model intentionally keeps defense behind core skill positions.</t>
        </is>
      </c>
      <c r="AO214" t="inlineStr">
        <is>
          <t>DST scoring is highly opponent- and turnover-dependent, making season-long rank fragile.</t>
        </is>
      </c>
    </row>
    <row r="215">
      <c r="A215" t="inlineStr">
        <is>
          <t>DST</t>
        </is>
      </c>
      <c r="B215" t="inlineStr">
        <is>
          <t>Kansas City Chiefs</t>
        </is>
      </c>
      <c r="C215" t="inlineStr">
        <is>
          <t>KC</t>
        </is>
      </c>
      <c r="D215" t="n">
        <v>5</v>
      </c>
      <c r="E215" s="4" t="n">
        <v>77.59999999999999</v>
      </c>
      <c r="F215" s="4" t="n">
        <v>216</v>
      </c>
      <c r="G215" t="inlineStr"/>
      <c r="H215" t="inlineStr"/>
      <c r="I215" t="inlineStr">
        <is>
          <t>Patrick Mahomes II</t>
        </is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inlineStr"/>
      <c r="X215" t="inlineStr"/>
      <c r="Y215" t="inlineStr"/>
      <c r="Z215" t="inlineStr"/>
      <c r="AA215" t="inlineStr"/>
      <c r="AB215" t="inlineStr"/>
      <c r="AC215" t="inlineStr"/>
      <c r="AD215" t="inlineStr"/>
      <c r="AE215" t="inlineStr"/>
      <c r="AF215" t="inlineStr"/>
      <c r="AG215" t="inlineStr"/>
      <c r="AH215" t="inlineStr"/>
      <c r="AI215" t="inlineStr"/>
      <c r="AJ215" t="inlineStr"/>
      <c r="AK215" t="inlineStr"/>
      <c r="AL215" t="inlineStr">
        <is>
          <t>No stats match found</t>
        </is>
      </c>
      <c r="AM215" t="inlineStr">
        <is>
          <t>Streaming/late-round defense; matchup matters more than preseason rank.</t>
        </is>
      </c>
      <c r="AN215" t="inlineStr">
        <is>
          <t>The unit grades well relative to the current DST pool, but the model intentionally keeps defense behind core skill positions.</t>
        </is>
      </c>
      <c r="AO215" t="inlineStr">
        <is>
          <t>DST scoring is highly opponent- and turnover-dependent, making season-long rank fragile.</t>
        </is>
      </c>
    </row>
    <row r="216">
      <c r="A216" t="inlineStr">
        <is>
          <t>DST</t>
        </is>
      </c>
      <c r="B216" t="inlineStr">
        <is>
          <t>Cleveland Browns</t>
        </is>
      </c>
      <c r="C216" t="inlineStr">
        <is>
          <t>CLE</t>
        </is>
      </c>
      <c r="D216" t="n">
        <v>11</v>
      </c>
      <c r="E216" s="4" t="n">
        <v>76.5</v>
      </c>
      <c r="F216" s="4" t="n">
        <v>220</v>
      </c>
      <c r="G216" t="inlineStr"/>
      <c r="H216" t="inlineStr"/>
      <c r="I216" t="inlineStr">
        <is>
          <t>Deshaun Watson</t>
        </is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inlineStr"/>
      <c r="X216" t="inlineStr"/>
      <c r="Y216" t="inlineStr"/>
      <c r="Z216" t="inlineStr"/>
      <c r="AA216" t="inlineStr"/>
      <c r="AB216" t="inlineStr"/>
      <c r="AC216" t="inlineStr"/>
      <c r="AD216" t="inlineStr"/>
      <c r="AE216" t="inlineStr"/>
      <c r="AF216" t="inlineStr"/>
      <c r="AG216" t="inlineStr"/>
      <c r="AH216" t="inlineStr"/>
      <c r="AI216" t="inlineStr"/>
      <c r="AJ216" t="inlineStr"/>
      <c r="AK216" t="inlineStr"/>
      <c r="AL216" t="inlineStr">
        <is>
          <t>No stats match found</t>
        </is>
      </c>
      <c r="AM216" t="inlineStr">
        <is>
          <t>Streaming/late-round defense; matchup matters more than preseason rank.</t>
        </is>
      </c>
      <c r="AN216" t="inlineStr">
        <is>
          <t>The unit grades well relative to the current DST pool, but the model intentionally keeps defense behind core skill positions.</t>
        </is>
      </c>
      <c r="AO216" t="inlineStr">
        <is>
          <t>DST scoring is highly opponent- and turnover-dependent, making season-long rank fragile.</t>
        </is>
      </c>
    </row>
    <row r="217">
      <c r="A217" t="inlineStr">
        <is>
          <t>DST</t>
        </is>
      </c>
      <c r="B217" t="inlineStr">
        <is>
          <t>San Francisco 49ers</t>
        </is>
      </c>
      <c r="C217" t="inlineStr">
        <is>
          <t>SF</t>
        </is>
      </c>
      <c r="D217" t="n">
        <v>8</v>
      </c>
      <c r="E217" s="4" t="n">
        <v>75.40000000000001</v>
      </c>
      <c r="F217" s="4" t="n">
        <v>224</v>
      </c>
      <c r="G217" t="inlineStr"/>
      <c r="H217" t="inlineStr"/>
      <c r="I217" t="inlineStr">
        <is>
          <t>Brock Purdy</t>
        </is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inlineStr"/>
      <c r="X217" t="inlineStr"/>
      <c r="Y217" t="inlineStr"/>
      <c r="Z217" t="inlineStr"/>
      <c r="AA217" t="inlineStr"/>
      <c r="AB217" t="inlineStr"/>
      <c r="AC217" t="inlineStr"/>
      <c r="AD217" t="inlineStr"/>
      <c r="AE217" t="inlineStr"/>
      <c r="AF217" t="inlineStr"/>
      <c r="AG217" t="inlineStr"/>
      <c r="AH217" t="inlineStr"/>
      <c r="AI217" t="inlineStr"/>
      <c r="AJ217" t="inlineStr"/>
      <c r="AK217" t="inlineStr"/>
      <c r="AL217" t="inlineStr">
        <is>
          <t>No stats match found</t>
        </is>
      </c>
      <c r="AM217" t="inlineStr">
        <is>
          <t>Streaming/late-round defense; matchup matters more than preseason rank.</t>
        </is>
      </c>
      <c r="AN217" t="inlineStr">
        <is>
          <t>The unit grades well relative to the current DST pool, but the model intentionally keeps defense behind core skill positions.</t>
        </is>
      </c>
      <c r="AO217" t="inlineStr">
        <is>
          <t>DST scoring is highly opponent- and turnover-dependent, making season-long rank fragile.</t>
        </is>
      </c>
    </row>
    <row r="218">
      <c r="A218" t="inlineStr">
        <is>
          <t>DST</t>
        </is>
      </c>
      <c r="B218" t="inlineStr">
        <is>
          <t>New Orleans Saints</t>
        </is>
      </c>
      <c r="C218" t="inlineStr">
        <is>
          <t>NO</t>
        </is>
      </c>
      <c r="D218" t="n">
        <v>8</v>
      </c>
      <c r="E218" s="4" t="n">
        <v>74.3</v>
      </c>
      <c r="F218" s="4" t="n">
        <v>228</v>
      </c>
      <c r="G218" t="inlineStr"/>
      <c r="H218" t="inlineStr"/>
      <c r="I218" t="inlineStr">
        <is>
          <t>Tyler Shough</t>
        </is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inlineStr"/>
      <c r="X218" t="inlineStr"/>
      <c r="Y218" t="inlineStr"/>
      <c r="Z218" t="inlineStr"/>
      <c r="AA218" t="inlineStr"/>
      <c r="AB218" t="inlineStr"/>
      <c r="AC218" t="inlineStr"/>
      <c r="AD218" t="inlineStr"/>
      <c r="AE218" t="inlineStr"/>
      <c r="AF218" t="inlineStr"/>
      <c r="AG218" t="inlineStr"/>
      <c r="AH218" t="inlineStr"/>
      <c r="AI218" t="inlineStr"/>
      <c r="AJ218" t="inlineStr"/>
      <c r="AK218" t="inlineStr"/>
      <c r="AL218" t="inlineStr">
        <is>
          <t>No stats match found</t>
        </is>
      </c>
      <c r="AM218" t="inlineStr">
        <is>
          <t>Streaming/late-round defense; matchup matters more than preseason rank.</t>
        </is>
      </c>
      <c r="AN218" t="inlineStr">
        <is>
          <t>The unit grades well relative to the current DST pool, but the model intentionally keeps defense behind core skill positions.</t>
        </is>
      </c>
      <c r="AO218" t="inlineStr">
        <is>
          <t>DST scoring is highly opponent- and turnover-dependent, making season-long rank fragile.</t>
        </is>
      </c>
    </row>
    <row r="219">
      <c r="A219" t="inlineStr">
        <is>
          <t>DST</t>
        </is>
      </c>
      <c r="B219" t="inlineStr">
        <is>
          <t>Atlanta Falcons</t>
        </is>
      </c>
      <c r="C219" t="inlineStr">
        <is>
          <t>ATL</t>
        </is>
      </c>
      <c r="D219" t="n">
        <v>11</v>
      </c>
      <c r="E219" s="4" t="n">
        <v>73.2</v>
      </c>
      <c r="F219" s="4" t="n">
        <v>232</v>
      </c>
      <c r="G219" t="inlineStr"/>
      <c r="H219" t="inlineStr"/>
      <c r="I219" t="inlineStr">
        <is>
          <t>Tua Tagovailoa</t>
        </is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inlineStr"/>
      <c r="X219" t="inlineStr"/>
      <c r="Y219" t="inlineStr"/>
      <c r="Z219" t="inlineStr"/>
      <c r="AA219" t="inlineStr"/>
      <c r="AB219" t="inlineStr"/>
      <c r="AC219" t="inlineStr"/>
      <c r="AD219" t="inlineStr"/>
      <c r="AE219" t="inlineStr"/>
      <c r="AF219" t="inlineStr"/>
      <c r="AG219" t="inlineStr"/>
      <c r="AH219" t="inlineStr"/>
      <c r="AI219" t="inlineStr"/>
      <c r="AJ219" t="inlineStr"/>
      <c r="AK219" t="inlineStr"/>
      <c r="AL219" t="inlineStr">
        <is>
          <t>No stats match found</t>
        </is>
      </c>
      <c r="AM219" t="inlineStr">
        <is>
          <t>Streaming/late-round defense; matchup matters more than preseason rank.</t>
        </is>
      </c>
      <c r="AN219" t="inlineStr">
        <is>
          <t>The unit grades well relative to the current DST pool, but the model intentionally keeps defense behind core skill positions.</t>
        </is>
      </c>
      <c r="AO219" t="inlineStr">
        <is>
          <t>DST scoring is highly opponent- and turnover-dependent, making season-long rank fragile.</t>
        </is>
      </c>
    </row>
    <row r="220">
      <c r="A220" t="inlineStr">
        <is>
          <t>DST</t>
        </is>
      </c>
      <c r="B220" t="inlineStr">
        <is>
          <t>Chicago Bears</t>
        </is>
      </c>
      <c r="C220" t="inlineStr">
        <is>
          <t>CHI</t>
        </is>
      </c>
      <c r="D220" t="n">
        <v>10</v>
      </c>
      <c r="E220" s="4" t="n">
        <v>72.09999999999999</v>
      </c>
      <c r="F220" s="4" t="n">
        <v>236</v>
      </c>
      <c r="G220" t="inlineStr"/>
      <c r="H220" t="inlineStr"/>
      <c r="I220" t="inlineStr">
        <is>
          <t>Caleb Williams</t>
        </is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inlineStr"/>
      <c r="X220" t="inlineStr"/>
      <c r="Y220" t="inlineStr"/>
      <c r="Z220" t="inlineStr"/>
      <c r="AA220" t="inlineStr"/>
      <c r="AB220" t="inlineStr"/>
      <c r="AC220" t="inlineStr"/>
      <c r="AD220" t="inlineStr"/>
      <c r="AE220" t="inlineStr"/>
      <c r="AF220" t="inlineStr"/>
      <c r="AG220" t="inlineStr"/>
      <c r="AH220" t="inlineStr"/>
      <c r="AI220" t="inlineStr"/>
      <c r="AJ220" t="inlineStr"/>
      <c r="AK220" t="inlineStr"/>
      <c r="AL220" t="inlineStr">
        <is>
          <t>No stats match found</t>
        </is>
      </c>
      <c r="AM220" t="inlineStr">
        <is>
          <t>Streaming/late-round defense; matchup matters more than preseason rank.</t>
        </is>
      </c>
      <c r="AN220" t="inlineStr">
        <is>
          <t>The unit grades well relative to the current DST pool, but the model intentionally keeps defense behind core skill positions.</t>
        </is>
      </c>
      <c r="AO220" t="inlineStr">
        <is>
          <t>DST scoring is highly opponent- and turnover-dependent, making season-long rank fragile.</t>
        </is>
      </c>
    </row>
    <row r="221">
      <c r="A221" t="inlineStr">
        <is>
          <t>DST</t>
        </is>
      </c>
      <c r="B221" t="inlineStr">
        <is>
          <t>Indianapolis Colts</t>
        </is>
      </c>
      <c r="C221" t="inlineStr">
        <is>
          <t>IND</t>
        </is>
      </c>
      <c r="D221" t="n">
        <v>13</v>
      </c>
      <c r="E221" s="4" t="n">
        <v>71</v>
      </c>
      <c r="F221" s="4" t="n">
        <v>240</v>
      </c>
      <c r="G221" t="inlineStr"/>
      <c r="H221" t="inlineStr"/>
      <c r="I221" t="inlineStr">
        <is>
          <t>Daniel Jones</t>
        </is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inlineStr"/>
      <c r="X221" t="inlineStr"/>
      <c r="Y221" t="inlineStr"/>
      <c r="Z221" t="inlineStr"/>
      <c r="AA221" t="inlineStr"/>
      <c r="AB221" t="inlineStr"/>
      <c r="AC221" t="inlineStr"/>
      <c r="AD221" t="inlineStr"/>
      <c r="AE221" t="inlineStr"/>
      <c r="AF221" t="inlineStr"/>
      <c r="AG221" t="inlineStr"/>
      <c r="AH221" t="inlineStr"/>
      <c r="AI221" t="inlineStr"/>
      <c r="AJ221" t="inlineStr"/>
      <c r="AK221" t="inlineStr"/>
      <c r="AL221" t="inlineStr">
        <is>
          <t>No stats match found</t>
        </is>
      </c>
      <c r="AM221" t="inlineStr">
        <is>
          <t>Streaming/late-round defense; matchup matters more than preseason rank.</t>
        </is>
      </c>
      <c r="AN221" t="inlineStr">
        <is>
          <t>The unit grades well relative to the current DST pool, but the model intentionally keeps defense behind core skill positions.</t>
        </is>
      </c>
      <c r="AO221" t="inlineStr">
        <is>
          <t>DST scoring is highly opponent- and turnover-dependent, making season-long rank fragile.</t>
        </is>
      </c>
    </row>
    <row r="222">
      <c r="A222" t="inlineStr">
        <is>
          <t>DST</t>
        </is>
      </c>
      <c r="B222" t="inlineStr">
        <is>
          <t>New York Giants</t>
        </is>
      </c>
      <c r="C222" t="inlineStr">
        <is>
          <t>NYG</t>
        </is>
      </c>
      <c r="D222" t="n">
        <v>8</v>
      </c>
      <c r="E222" s="4" t="n">
        <v>69.90000000000001</v>
      </c>
      <c r="F222" s="4" t="n">
        <v>166.7</v>
      </c>
      <c r="G222" t="inlineStr"/>
      <c r="H222" t="inlineStr"/>
      <c r="I222" t="inlineStr">
        <is>
          <t>Jaxson Dart</t>
        </is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inlineStr"/>
      <c r="X222" t="inlineStr"/>
      <c r="Y222" t="inlineStr"/>
      <c r="Z222" t="inlineStr"/>
      <c r="AA222" t="inlineStr"/>
      <c r="AB222" t="inlineStr"/>
      <c r="AC222" t="inlineStr"/>
      <c r="AD222" t="inlineStr"/>
      <c r="AE222" t="inlineStr"/>
      <c r="AF222" t="inlineStr"/>
      <c r="AG222" t="inlineStr"/>
      <c r="AH222" t="inlineStr"/>
      <c r="AI222" t="inlineStr"/>
      <c r="AJ222" t="inlineStr"/>
      <c r="AK222" t="inlineStr"/>
      <c r="AL222" t="inlineStr">
        <is>
          <t>No stats match found</t>
        </is>
      </c>
      <c r="AM222" t="inlineStr">
        <is>
          <t>Streaming/late-round defense; matchup matters more than preseason rank.</t>
        </is>
      </c>
      <c r="AN222" t="inlineStr">
        <is>
          <t>The unit grades well relative to the current DST pool, but the model intentionally keeps defense behind core skill positions.</t>
        </is>
      </c>
      <c r="AO222" t="inlineStr">
        <is>
          <t>DST scoring is highly opponent- and turnover-dependent, making season-long rank fragile.</t>
        </is>
      </c>
    </row>
    <row r="223">
      <c r="A223" t="inlineStr">
        <is>
          <t>DST</t>
        </is>
      </c>
      <c r="B223" t="inlineStr">
        <is>
          <t>Tampa Bay Buccaneers</t>
        </is>
      </c>
      <c r="C223" t="inlineStr">
        <is>
          <t>TB</t>
        </is>
      </c>
      <c r="D223" t="n">
        <v>10</v>
      </c>
      <c r="E223" s="4" t="n">
        <v>68.8</v>
      </c>
      <c r="F223" s="4" t="n">
        <v>248</v>
      </c>
      <c r="G223" t="inlineStr"/>
      <c r="H223" t="inlineStr"/>
      <c r="I223" t="inlineStr">
        <is>
          <t>Baker Mayfield</t>
        </is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inlineStr"/>
      <c r="X223" t="inlineStr"/>
      <c r="Y223" t="inlineStr"/>
      <c r="Z223" t="inlineStr"/>
      <c r="AA223" t="inlineStr"/>
      <c r="AB223" t="inlineStr"/>
      <c r="AC223" t="inlineStr"/>
      <c r="AD223" t="inlineStr"/>
      <c r="AE223" t="inlineStr"/>
      <c r="AF223" t="inlineStr"/>
      <c r="AG223" t="inlineStr"/>
      <c r="AH223" t="inlineStr"/>
      <c r="AI223" t="inlineStr"/>
      <c r="AJ223" t="inlineStr"/>
      <c r="AK223" t="inlineStr"/>
      <c r="AL223" t="inlineStr">
        <is>
          <t>No stats match found</t>
        </is>
      </c>
      <c r="AM223" t="inlineStr">
        <is>
          <t>Streaming/late-round defense; matchup matters more than preseason rank.</t>
        </is>
      </c>
      <c r="AN223" t="inlineStr">
        <is>
          <t>The unit grades well relative to the current DST pool, but the model intentionally keeps defense behind core skill positions.</t>
        </is>
      </c>
      <c r="AO223" t="inlineStr">
        <is>
          <t>DST scoring is highly opponent- and turnover-dependent, making season-long rank fragile.</t>
        </is>
      </c>
    </row>
    <row r="224">
      <c r="A224" t="inlineStr">
        <is>
          <t>DST</t>
        </is>
      </c>
      <c r="B224" t="inlineStr">
        <is>
          <t>Dallas Cowboys</t>
        </is>
      </c>
      <c r="C224" t="inlineStr">
        <is>
          <t>DAL</t>
        </is>
      </c>
      <c r="D224" t="n">
        <v>14</v>
      </c>
      <c r="E224" s="4" t="n">
        <v>67.7</v>
      </c>
      <c r="F224" s="4" t="n">
        <v>252</v>
      </c>
      <c r="G224" t="inlineStr"/>
      <c r="H224" t="inlineStr"/>
      <c r="I224" t="inlineStr">
        <is>
          <t>Dak Prescott</t>
        </is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inlineStr"/>
      <c r="X224" t="inlineStr"/>
      <c r="Y224" t="inlineStr"/>
      <c r="Z224" t="inlineStr"/>
      <c r="AA224" t="inlineStr"/>
      <c r="AB224" t="inlineStr"/>
      <c r="AC224" t="inlineStr"/>
      <c r="AD224" t="inlineStr"/>
      <c r="AE224" t="inlineStr"/>
      <c r="AF224" t="inlineStr"/>
      <c r="AG224" t="inlineStr"/>
      <c r="AH224" t="inlineStr"/>
      <c r="AI224" t="inlineStr"/>
      <c r="AJ224" t="inlineStr"/>
      <c r="AK224" t="inlineStr"/>
      <c r="AL224" t="inlineStr">
        <is>
          <t>No stats match found</t>
        </is>
      </c>
      <c r="AM224" t="inlineStr">
        <is>
          <t>Streaming/late-round defense; matchup matters more than preseason rank.</t>
        </is>
      </c>
      <c r="AN224" t="inlineStr">
        <is>
          <t>The unit grades well relative to the current DST pool, but the model intentionally keeps defense behind core skill positions.</t>
        </is>
      </c>
      <c r="AO224" t="inlineStr">
        <is>
          <t>DST scoring is highly opponent- and turnover-dependent, making season-long rank fragile.</t>
        </is>
      </c>
    </row>
    <row r="225">
      <c r="A225" t="inlineStr">
        <is>
          <t>DST</t>
        </is>
      </c>
      <c r="B225" t="inlineStr">
        <is>
          <t>Carolina Panthers</t>
        </is>
      </c>
      <c r="C225" t="inlineStr">
        <is>
          <t>CAR</t>
        </is>
      </c>
      <c r="D225" t="n">
        <v>5</v>
      </c>
      <c r="E225" s="4" t="n">
        <v>66.59999999999999</v>
      </c>
      <c r="F225" s="4" t="n">
        <v>256</v>
      </c>
      <c r="G225" t="inlineStr"/>
      <c r="H225" t="inlineStr"/>
      <c r="I225" t="inlineStr">
        <is>
          <t>Bryce Young</t>
        </is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inlineStr"/>
      <c r="X225" t="inlineStr"/>
      <c r="Y225" t="inlineStr"/>
      <c r="Z225" t="inlineStr"/>
      <c r="AA225" t="inlineStr"/>
      <c r="AB225" t="inlineStr"/>
      <c r="AC225" t="inlineStr"/>
      <c r="AD225" t="inlineStr"/>
      <c r="AE225" t="inlineStr"/>
      <c r="AF225" t="inlineStr"/>
      <c r="AG225" t="inlineStr"/>
      <c r="AH225" t="inlineStr"/>
      <c r="AI225" t="inlineStr"/>
      <c r="AJ225" t="inlineStr"/>
      <c r="AK225" t="inlineStr"/>
      <c r="AL225" t="inlineStr">
        <is>
          <t>No stats match found</t>
        </is>
      </c>
      <c r="AM225" t="inlineStr">
        <is>
          <t>Streaming/late-round defense; matchup matters more than preseason rank.</t>
        </is>
      </c>
      <c r="AN225" t="inlineStr">
        <is>
          <t>The unit grades well relative to the current DST pool, but the model intentionally keeps defense behind core skill positions.</t>
        </is>
      </c>
      <c r="AO225" t="inlineStr">
        <is>
          <t>DST scoring is highly opponent- and turnover-dependent, making season-long rank fragile.</t>
        </is>
      </c>
    </row>
    <row r="226">
      <c r="A226" t="inlineStr">
        <is>
          <t>DST</t>
        </is>
      </c>
      <c r="B226" t="inlineStr">
        <is>
          <t>Tennessee Titans</t>
        </is>
      </c>
      <c r="C226" t="inlineStr">
        <is>
          <t>TEN</t>
        </is>
      </c>
      <c r="D226" t="n">
        <v>9</v>
      </c>
      <c r="E226" s="4" t="n">
        <v>65.5</v>
      </c>
      <c r="F226" s="4" t="n">
        <v>260</v>
      </c>
      <c r="G226" t="inlineStr"/>
      <c r="H226" t="inlineStr"/>
      <c r="I226" t="inlineStr">
        <is>
          <t>Cam Ward</t>
        </is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inlineStr"/>
      <c r="X226" t="inlineStr"/>
      <c r="Y226" t="inlineStr"/>
      <c r="Z226" t="inlineStr"/>
      <c r="AA226" t="inlineStr"/>
      <c r="AB226" t="inlineStr"/>
      <c r="AC226" t="inlineStr"/>
      <c r="AD226" t="inlineStr"/>
      <c r="AE226" t="inlineStr"/>
      <c r="AF226" t="inlineStr"/>
      <c r="AG226" t="inlineStr"/>
      <c r="AH226" t="inlineStr"/>
      <c r="AI226" t="inlineStr"/>
      <c r="AJ226" t="inlineStr"/>
      <c r="AK226" t="inlineStr"/>
      <c r="AL226" t="inlineStr">
        <is>
          <t>No stats match found</t>
        </is>
      </c>
      <c r="AM226" t="inlineStr">
        <is>
          <t>Streaming/late-round defense; matchup matters more than preseason rank.</t>
        </is>
      </c>
      <c r="AN226" t="inlineStr">
        <is>
          <t>The unit grades well relative to the current DST pool, but the model intentionally keeps defense behind core skill positions.</t>
        </is>
      </c>
      <c r="AO226" t="inlineStr">
        <is>
          <t>DST scoring is highly opponent- and turnover-dependent, making season-long rank fragile.</t>
        </is>
      </c>
    </row>
    <row r="227">
      <c r="A227" t="inlineStr">
        <is>
          <t>DST</t>
        </is>
      </c>
      <c r="B227" t="inlineStr">
        <is>
          <t>Miami Dolphins</t>
        </is>
      </c>
      <c r="C227" t="inlineStr">
        <is>
          <t>MIA</t>
        </is>
      </c>
      <c r="D227" t="n">
        <v>6</v>
      </c>
      <c r="E227" s="4" t="n">
        <v>64.40000000000001</v>
      </c>
      <c r="F227" s="4" t="n">
        <v>264</v>
      </c>
      <c r="G227" t="inlineStr"/>
      <c r="H227" t="inlineStr"/>
      <c r="I227" t="inlineStr">
        <is>
          <t>Malik Willis</t>
        </is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inlineStr"/>
      <c r="X227" t="inlineStr"/>
      <c r="Y227" t="inlineStr"/>
      <c r="Z227" t="inlineStr"/>
      <c r="AA227" t="inlineStr"/>
      <c r="AB227" t="inlineStr"/>
      <c r="AC227" t="inlineStr"/>
      <c r="AD227" t="inlineStr"/>
      <c r="AE227" t="inlineStr"/>
      <c r="AF227" t="inlineStr"/>
      <c r="AG227" t="inlineStr"/>
      <c r="AH227" t="inlineStr"/>
      <c r="AI227" t="inlineStr"/>
      <c r="AJ227" t="inlineStr"/>
      <c r="AK227" t="inlineStr"/>
      <c r="AL227" t="inlineStr">
        <is>
          <t>No stats match found</t>
        </is>
      </c>
      <c r="AM227" t="inlineStr">
        <is>
          <t>Streaming/late-round defense; matchup matters more than preseason rank.</t>
        </is>
      </c>
      <c r="AN227" t="inlineStr">
        <is>
          <t>The unit grades well relative to the current DST pool, but the model intentionally keeps defense behind core skill positions.</t>
        </is>
      </c>
      <c r="AO227" t="inlineStr">
        <is>
          <t>DST scoring is highly opponent- and turnover-dependent, making season-long rank fragile.</t>
        </is>
      </c>
    </row>
    <row r="228">
      <c r="A228" t="inlineStr">
        <is>
          <t>DST</t>
        </is>
      </c>
      <c r="B228" t="inlineStr">
        <is>
          <t>Washington Commanders</t>
        </is>
      </c>
      <c r="C228" t="inlineStr">
        <is>
          <t>WAS</t>
        </is>
      </c>
      <c r="D228" t="n">
        <v>7</v>
      </c>
      <c r="E228" s="4" t="n">
        <v>63.3</v>
      </c>
      <c r="F228" s="4" t="n">
        <v>268</v>
      </c>
      <c r="G228" t="inlineStr"/>
      <c r="H228" t="inlineStr"/>
      <c r="I228" t="inlineStr">
        <is>
          <t>Jayden Daniels</t>
        </is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inlineStr"/>
      <c r="X228" t="inlineStr"/>
      <c r="Y228" t="inlineStr"/>
      <c r="Z228" t="inlineStr"/>
      <c r="AA228" t="inlineStr"/>
      <c r="AB228" t="inlineStr"/>
      <c r="AC228" t="inlineStr"/>
      <c r="AD228" t="inlineStr"/>
      <c r="AE228" t="inlineStr"/>
      <c r="AF228" t="inlineStr"/>
      <c r="AG228" t="inlineStr"/>
      <c r="AH228" t="inlineStr"/>
      <c r="AI228" t="inlineStr"/>
      <c r="AJ228" t="inlineStr"/>
      <c r="AK228" t="inlineStr"/>
      <c r="AL228" t="inlineStr">
        <is>
          <t>No stats match found</t>
        </is>
      </c>
      <c r="AM228" t="inlineStr">
        <is>
          <t>Streaming/late-round defense; matchup matters more than preseason rank.</t>
        </is>
      </c>
      <c r="AN228" t="inlineStr">
        <is>
          <t>The unit grades well relative to the current DST pool, but the model intentionally keeps defense behind core skill positions.</t>
        </is>
      </c>
      <c r="AO228" t="inlineStr">
        <is>
          <t>DST scoring is highly opponent- and turnover-dependent, making season-long rank fragile.</t>
        </is>
      </c>
    </row>
    <row r="229">
      <c r="A229" t="inlineStr">
        <is>
          <t>DST</t>
        </is>
      </c>
      <c r="B229" t="inlineStr">
        <is>
          <t>New York Jets</t>
        </is>
      </c>
      <c r="C229" t="inlineStr">
        <is>
          <t>NYJ</t>
        </is>
      </c>
      <c r="D229" t="n">
        <v>13</v>
      </c>
      <c r="E229" s="4" t="n">
        <v>62.2</v>
      </c>
      <c r="F229" s="4" t="n">
        <v>149.9</v>
      </c>
      <c r="G229" t="inlineStr"/>
      <c r="H229" t="inlineStr"/>
      <c r="I229" t="inlineStr">
        <is>
          <t>Geno Smith</t>
        </is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inlineStr"/>
      <c r="X229" t="inlineStr"/>
      <c r="Y229" t="inlineStr"/>
      <c r="Z229" t="inlineStr"/>
      <c r="AA229" t="inlineStr"/>
      <c r="AB229" t="inlineStr"/>
      <c r="AC229" t="inlineStr"/>
      <c r="AD229" t="inlineStr"/>
      <c r="AE229" t="inlineStr"/>
      <c r="AF229" t="inlineStr"/>
      <c r="AG229" t="inlineStr"/>
      <c r="AH229" t="inlineStr"/>
      <c r="AI229" t="inlineStr"/>
      <c r="AJ229" t="inlineStr"/>
      <c r="AK229" t="inlineStr"/>
      <c r="AL229" t="inlineStr">
        <is>
          <t>No stats match found</t>
        </is>
      </c>
      <c r="AM229" t="inlineStr">
        <is>
          <t>Streaming/late-round defense; matchup matters more than preseason rank.</t>
        </is>
      </c>
      <c r="AN229" t="inlineStr">
        <is>
          <t>The unit grades well relative to the current DST pool, but the model intentionally keeps defense behind core skill positions.</t>
        </is>
      </c>
      <c r="AO229" t="inlineStr">
        <is>
          <t>DST scoring is highly opponent- and turnover-dependent, making season-long rank fragile.</t>
        </is>
      </c>
    </row>
    <row r="230">
      <c r="A230" t="inlineStr">
        <is>
          <t>DST</t>
        </is>
      </c>
      <c r="B230" t="inlineStr">
        <is>
          <t>Arizona Cardinals</t>
        </is>
      </c>
      <c r="C230" t="inlineStr">
        <is>
          <t>ARI</t>
        </is>
      </c>
      <c r="D230" t="n">
        <v>14</v>
      </c>
      <c r="E230" s="4" t="n">
        <v>61.1</v>
      </c>
      <c r="F230" s="4" t="n">
        <v>276</v>
      </c>
      <c r="G230" t="inlineStr"/>
      <c r="H230" t="inlineStr"/>
      <c r="I230" t="inlineStr">
        <is>
          <t>Jacoby Brissett</t>
        </is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inlineStr"/>
      <c r="X230" t="inlineStr"/>
      <c r="Y230" t="inlineStr"/>
      <c r="Z230" t="inlineStr"/>
      <c r="AA230" t="inlineStr"/>
      <c r="AB230" t="inlineStr"/>
      <c r="AC230" t="inlineStr"/>
      <c r="AD230" t="inlineStr"/>
      <c r="AE230" t="inlineStr"/>
      <c r="AF230" t="inlineStr"/>
      <c r="AG230" t="inlineStr"/>
      <c r="AH230" t="inlineStr"/>
      <c r="AI230" t="inlineStr"/>
      <c r="AJ230" t="inlineStr"/>
      <c r="AK230" t="inlineStr"/>
      <c r="AL230" t="inlineStr">
        <is>
          <t>No stats match found</t>
        </is>
      </c>
      <c r="AM230" t="inlineStr">
        <is>
          <t>Streaming/late-round defense; matchup matters more than preseason rank.</t>
        </is>
      </c>
      <c r="AN230" t="inlineStr">
        <is>
          <t>The unit grades well relative to the current DST pool, but the model intentionally keeps defense behind core skill positions.</t>
        </is>
      </c>
      <c r="AO230" t="inlineStr">
        <is>
          <t>DST scoring is highly opponent- and turnover-dependent, making season-long rank fragile.</t>
        </is>
      </c>
    </row>
    <row r="231">
      <c r="A231" t="inlineStr">
        <is>
          <t>DST</t>
        </is>
      </c>
      <c r="B231" t="inlineStr">
        <is>
          <t>Cincinnati Bengals</t>
        </is>
      </c>
      <c r="C231" t="inlineStr">
        <is>
          <t>CIN</t>
        </is>
      </c>
      <c r="D231" t="n">
        <v>6</v>
      </c>
      <c r="E231" s="4" t="n">
        <v>60</v>
      </c>
      <c r="F231" s="4" t="n">
        <v>280</v>
      </c>
      <c r="G231" t="inlineStr"/>
      <c r="H231" t="inlineStr"/>
      <c r="I231" t="inlineStr">
        <is>
          <t>Joe Burrow</t>
        </is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inlineStr"/>
      <c r="X231" t="inlineStr"/>
      <c r="Y231" t="inlineStr"/>
      <c r="Z231" t="inlineStr"/>
      <c r="AA231" t="inlineStr"/>
      <c r="AB231" t="inlineStr"/>
      <c r="AC231" t="inlineStr"/>
      <c r="AD231" t="inlineStr"/>
      <c r="AE231" t="inlineStr"/>
      <c r="AF231" t="inlineStr"/>
      <c r="AG231" t="inlineStr"/>
      <c r="AH231" t="inlineStr"/>
      <c r="AI231" t="inlineStr"/>
      <c r="AJ231" t="inlineStr"/>
      <c r="AK231" t="inlineStr"/>
      <c r="AL231" t="inlineStr">
        <is>
          <t>No stats match found</t>
        </is>
      </c>
      <c r="AM231" t="inlineStr">
        <is>
          <t>Streaming/late-round defense; matchup matters more than preseason rank.</t>
        </is>
      </c>
      <c r="AN231" t="inlineStr">
        <is>
          <t>The unit grades well relative to the current DST pool, but the model intentionally keeps defense behind core skill positions.</t>
        </is>
      </c>
      <c r="AO231" t="inlineStr">
        <is>
          <t>DST scoring is highly opponent- and turnover-dependent, making season-long rank fragile.</t>
        </is>
      </c>
    </row>
    <row r="232">
      <c r="A232" t="inlineStr">
        <is>
          <t>DST</t>
        </is>
      </c>
      <c r="B232" t="inlineStr">
        <is>
          <t>Las Vegas Raiders</t>
        </is>
      </c>
      <c r="C232" t="inlineStr">
        <is>
          <t>LV</t>
        </is>
      </c>
      <c r="D232" t="n">
        <v>13</v>
      </c>
      <c r="E232" s="4" t="n">
        <v>58.9</v>
      </c>
      <c r="F232" s="4" t="n">
        <v>284</v>
      </c>
      <c r="G232" t="inlineStr"/>
      <c r="H232" t="inlineStr"/>
      <c r="I232" t="inlineStr">
        <is>
          <t>Kirk Cousins</t>
        </is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inlineStr"/>
      <c r="X232" t="inlineStr"/>
      <c r="Y232" t="inlineStr"/>
      <c r="Z232" t="inlineStr"/>
      <c r="AA232" t="inlineStr"/>
      <c r="AB232" t="inlineStr"/>
      <c r="AC232" t="inlineStr"/>
      <c r="AD232" t="inlineStr"/>
      <c r="AE232" t="inlineStr"/>
      <c r="AF232" t="inlineStr"/>
      <c r="AG232" t="inlineStr"/>
      <c r="AH232" t="inlineStr"/>
      <c r="AI232" t="inlineStr"/>
      <c r="AJ232" t="inlineStr"/>
      <c r="AK232" t="inlineStr"/>
      <c r="AL232" t="inlineStr">
        <is>
          <t>No stats match found</t>
        </is>
      </c>
      <c r="AM232" t="inlineStr">
        <is>
          <t>Streaming/late-round defense; matchup matters more than preseason rank.</t>
        </is>
      </c>
      <c r="AN232" t="inlineStr">
        <is>
          <t>The unit grades well relative to the current DST pool, but the model intentionally keeps defense behind core skill positions.</t>
        </is>
      </c>
      <c r="AO232" t="inlineStr">
        <is>
          <t>DST scoring is highly opponent- and turnover-dependent, making season-long rank fragile.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P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9" customWidth="1" min="6" max="6"/>
    <col width="10" customWidth="1" min="7" max="7"/>
    <col width="8" customWidth="1" min="8" max="8"/>
    <col width="11" customWidth="1" min="9" max="9"/>
    <col width="10" customWidth="1" min="10" max="10"/>
    <col width="9" customWidth="1" min="11" max="11"/>
    <col width="10" customWidth="1" min="12" max="12"/>
    <col width="22" customWidth="1" min="13" max="13"/>
    <col width="50" customWidth="1" min="14" max="14"/>
    <col width="50" customWidth="1" min="15" max="15"/>
    <col width="6" customWidth="1" min="16" max="16"/>
  </cols>
  <sheetData>
    <row r="1">
      <c r="A1" s="1" t="inlineStr">
        <is>
          <t>2026 FINAL Master: every player, live-ranked, K/DST gated to the final rounds.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Tier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Draft Score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Model Path</t>
        </is>
      </c>
      <c r="N2" s="3" t="inlineStr">
        <is>
          <t>2026 Expectation</t>
        </is>
      </c>
      <c r="O2" s="3" t="inlineStr">
        <is>
          <t>Main Risk</t>
        </is>
      </c>
      <c r="P2" s="3" t="inlineStr">
        <is>
          <t>Src</t>
        </is>
      </c>
    </row>
    <row r="3">
      <c r="A3">
        <f>1</f>
        <v/>
      </c>
      <c r="B3">
        <f>INDEX('Draft Engine'!$A$3:$A$232,$P3)</f>
        <v/>
      </c>
      <c r="C3">
        <f>INDEX('Draft Engine'!$F$3:$F$232,$P3)</f>
        <v/>
      </c>
      <c r="D3">
        <f>INDEX('Draft Engine'!$B$3:$B$232,$P3)</f>
        <v/>
      </c>
      <c r="E3" s="4">
        <f>INDEX('Draft Engine'!$E$3:$E$232,$P3)</f>
        <v/>
      </c>
      <c r="F3">
        <f>IF($E3&gt;=95,"ELITE",IF($E3&gt;=90,"TIER 1",IF($E3&gt;=85,"TIER 2",IF($E3&gt;=80,"TIER 3",IF($E3&gt;=75,"TIER 4",IF($E3&gt;=70,"TIER 5",IF($E3&gt;=65,"TIER 6","TIER 7")))))))</f>
        <v/>
      </c>
      <c r="G3" s="4">
        <f>INDEX('Draft Engine'!$G$3:$G$232,$P3)</f>
        <v/>
      </c>
      <c r="H3" s="4">
        <f>INDEX('Draft Engine'!$J$3:$J$232,$P3)</f>
        <v/>
      </c>
      <c r="I3" s="4">
        <f>INDEX('Draft Engine'!$N$3:$N$232,$P3)</f>
        <v/>
      </c>
      <c r="J3" s="4">
        <f>INDEX('Draft Engine'!$R$3:$R$232,$P3)</f>
        <v/>
      </c>
      <c r="K3" s="4">
        <f>INDEX('Draft Engine'!$S$3:$S$232,$P3)</f>
        <v/>
      </c>
      <c r="L3">
        <f>INDEX('Draft Engine'!$T$3:$T$232,$P3)</f>
        <v/>
      </c>
      <c r="M3">
        <f>INDEX('Draft Engine'!$X$3:$X$232,$P3)</f>
        <v/>
      </c>
      <c r="N3">
        <f>INDEX('LIVE SOURCE'!$H$3:$H$232,$P3)</f>
        <v/>
      </c>
      <c r="O3">
        <f>INDEX('LIVE SOURCE'!$J$3:$J$232,$P3)</f>
        <v/>
      </c>
      <c r="P3" s="6">
        <f>MATCH($A3,'Draft Engine'!$Q$3:$Q$232,0)</f>
        <v/>
      </c>
    </row>
    <row r="4">
      <c r="A4">
        <f>2</f>
        <v/>
      </c>
      <c r="B4">
        <f>INDEX('Draft Engine'!$A$3:$A$232,$P4)</f>
        <v/>
      </c>
      <c r="C4">
        <f>INDEX('Draft Engine'!$F$3:$F$232,$P4)</f>
        <v/>
      </c>
      <c r="D4">
        <f>INDEX('Draft Engine'!$B$3:$B$232,$P4)</f>
        <v/>
      </c>
      <c r="E4" s="4">
        <f>INDEX('Draft Engine'!$E$3:$E$232,$P4)</f>
        <v/>
      </c>
      <c r="F4">
        <f>IF($E4&gt;=95,"ELITE",IF($E4&gt;=90,"TIER 1",IF($E4&gt;=85,"TIER 2",IF($E4&gt;=80,"TIER 3",IF($E4&gt;=75,"TIER 4",IF($E4&gt;=70,"TIER 5",IF($E4&gt;=65,"TIER 6","TIER 7")))))))</f>
        <v/>
      </c>
      <c r="G4" s="4">
        <f>INDEX('Draft Engine'!$G$3:$G$232,$P4)</f>
        <v/>
      </c>
      <c r="H4" s="4">
        <f>INDEX('Draft Engine'!$J$3:$J$232,$P4)</f>
        <v/>
      </c>
      <c r="I4" s="4">
        <f>INDEX('Draft Engine'!$N$3:$N$232,$P4)</f>
        <v/>
      </c>
      <c r="J4" s="4">
        <f>INDEX('Draft Engine'!$R$3:$R$232,$P4)</f>
        <v/>
      </c>
      <c r="K4" s="4">
        <f>INDEX('Draft Engine'!$S$3:$S$232,$P4)</f>
        <v/>
      </c>
      <c r="L4">
        <f>INDEX('Draft Engine'!$T$3:$T$232,$P4)</f>
        <v/>
      </c>
      <c r="M4">
        <f>INDEX('Draft Engine'!$X$3:$X$232,$P4)</f>
        <v/>
      </c>
      <c r="N4">
        <f>INDEX('LIVE SOURCE'!$H$3:$H$232,$P4)</f>
        <v/>
      </c>
      <c r="O4">
        <f>INDEX('LIVE SOURCE'!$J$3:$J$232,$P4)</f>
        <v/>
      </c>
      <c r="P4" s="6">
        <f>MATCH($A4,'Draft Engine'!$Q$3:$Q$232,0)</f>
        <v/>
      </c>
    </row>
    <row r="5">
      <c r="A5">
        <f>3</f>
        <v/>
      </c>
      <c r="B5">
        <f>INDEX('Draft Engine'!$A$3:$A$232,$P5)</f>
        <v/>
      </c>
      <c r="C5">
        <f>INDEX('Draft Engine'!$F$3:$F$232,$P5)</f>
        <v/>
      </c>
      <c r="D5">
        <f>INDEX('Draft Engine'!$B$3:$B$232,$P5)</f>
        <v/>
      </c>
      <c r="E5" s="4">
        <f>INDEX('Draft Engine'!$E$3:$E$232,$P5)</f>
        <v/>
      </c>
      <c r="F5">
        <f>IF($E5&gt;=95,"ELITE",IF($E5&gt;=90,"TIER 1",IF($E5&gt;=85,"TIER 2",IF($E5&gt;=80,"TIER 3",IF($E5&gt;=75,"TIER 4",IF($E5&gt;=70,"TIER 5",IF($E5&gt;=65,"TIER 6","TIER 7")))))))</f>
        <v/>
      </c>
      <c r="G5" s="4">
        <f>INDEX('Draft Engine'!$G$3:$G$232,$P5)</f>
        <v/>
      </c>
      <c r="H5" s="4">
        <f>INDEX('Draft Engine'!$J$3:$J$232,$P5)</f>
        <v/>
      </c>
      <c r="I5" s="4">
        <f>INDEX('Draft Engine'!$N$3:$N$232,$P5)</f>
        <v/>
      </c>
      <c r="J5" s="4">
        <f>INDEX('Draft Engine'!$R$3:$R$232,$P5)</f>
        <v/>
      </c>
      <c r="K5" s="4">
        <f>INDEX('Draft Engine'!$S$3:$S$232,$P5)</f>
        <v/>
      </c>
      <c r="L5">
        <f>INDEX('Draft Engine'!$T$3:$T$232,$P5)</f>
        <v/>
      </c>
      <c r="M5">
        <f>INDEX('Draft Engine'!$X$3:$X$232,$P5)</f>
        <v/>
      </c>
      <c r="N5">
        <f>INDEX('LIVE SOURCE'!$H$3:$H$232,$P5)</f>
        <v/>
      </c>
      <c r="O5">
        <f>INDEX('LIVE SOURCE'!$J$3:$J$232,$P5)</f>
        <v/>
      </c>
      <c r="P5" s="6">
        <f>MATCH($A5,'Draft Engine'!$Q$3:$Q$232,0)</f>
        <v/>
      </c>
    </row>
    <row r="6">
      <c r="A6">
        <f>4</f>
        <v/>
      </c>
      <c r="B6">
        <f>INDEX('Draft Engine'!$A$3:$A$232,$P6)</f>
        <v/>
      </c>
      <c r="C6">
        <f>INDEX('Draft Engine'!$F$3:$F$232,$P6)</f>
        <v/>
      </c>
      <c r="D6">
        <f>INDEX('Draft Engine'!$B$3:$B$232,$P6)</f>
        <v/>
      </c>
      <c r="E6" s="4">
        <f>INDEX('Draft Engine'!$E$3:$E$232,$P6)</f>
        <v/>
      </c>
      <c r="F6">
        <f>IF($E6&gt;=95,"ELITE",IF($E6&gt;=90,"TIER 1",IF($E6&gt;=85,"TIER 2",IF($E6&gt;=80,"TIER 3",IF($E6&gt;=75,"TIER 4",IF($E6&gt;=70,"TIER 5",IF($E6&gt;=65,"TIER 6","TIER 7")))))))</f>
        <v/>
      </c>
      <c r="G6" s="4">
        <f>INDEX('Draft Engine'!$G$3:$G$232,$P6)</f>
        <v/>
      </c>
      <c r="H6" s="4">
        <f>INDEX('Draft Engine'!$J$3:$J$232,$P6)</f>
        <v/>
      </c>
      <c r="I6" s="4">
        <f>INDEX('Draft Engine'!$N$3:$N$232,$P6)</f>
        <v/>
      </c>
      <c r="J6" s="4">
        <f>INDEX('Draft Engine'!$R$3:$R$232,$P6)</f>
        <v/>
      </c>
      <c r="K6" s="4">
        <f>INDEX('Draft Engine'!$S$3:$S$232,$P6)</f>
        <v/>
      </c>
      <c r="L6">
        <f>INDEX('Draft Engine'!$T$3:$T$232,$P6)</f>
        <v/>
      </c>
      <c r="M6">
        <f>INDEX('Draft Engine'!$X$3:$X$232,$P6)</f>
        <v/>
      </c>
      <c r="N6">
        <f>INDEX('LIVE SOURCE'!$H$3:$H$232,$P6)</f>
        <v/>
      </c>
      <c r="O6">
        <f>INDEX('LIVE SOURCE'!$J$3:$J$232,$P6)</f>
        <v/>
      </c>
      <c r="P6" s="6">
        <f>MATCH($A6,'Draft Engine'!$Q$3:$Q$232,0)</f>
        <v/>
      </c>
    </row>
    <row r="7">
      <c r="A7">
        <f>5</f>
        <v/>
      </c>
      <c r="B7">
        <f>INDEX('Draft Engine'!$A$3:$A$232,$P7)</f>
        <v/>
      </c>
      <c r="C7">
        <f>INDEX('Draft Engine'!$F$3:$F$232,$P7)</f>
        <v/>
      </c>
      <c r="D7">
        <f>INDEX('Draft Engine'!$B$3:$B$232,$P7)</f>
        <v/>
      </c>
      <c r="E7" s="4">
        <f>INDEX('Draft Engine'!$E$3:$E$232,$P7)</f>
        <v/>
      </c>
      <c r="F7">
        <f>IF($E7&gt;=95,"ELITE",IF($E7&gt;=90,"TIER 1",IF($E7&gt;=85,"TIER 2",IF($E7&gt;=80,"TIER 3",IF($E7&gt;=75,"TIER 4",IF($E7&gt;=70,"TIER 5",IF($E7&gt;=65,"TIER 6","TIER 7")))))))</f>
        <v/>
      </c>
      <c r="G7" s="4">
        <f>INDEX('Draft Engine'!$G$3:$G$232,$P7)</f>
        <v/>
      </c>
      <c r="H7" s="4">
        <f>INDEX('Draft Engine'!$J$3:$J$232,$P7)</f>
        <v/>
      </c>
      <c r="I7" s="4">
        <f>INDEX('Draft Engine'!$N$3:$N$232,$P7)</f>
        <v/>
      </c>
      <c r="J7" s="4">
        <f>INDEX('Draft Engine'!$R$3:$R$232,$P7)</f>
        <v/>
      </c>
      <c r="K7" s="4">
        <f>INDEX('Draft Engine'!$S$3:$S$232,$P7)</f>
        <v/>
      </c>
      <c r="L7">
        <f>INDEX('Draft Engine'!$T$3:$T$232,$P7)</f>
        <v/>
      </c>
      <c r="M7">
        <f>INDEX('Draft Engine'!$X$3:$X$232,$P7)</f>
        <v/>
      </c>
      <c r="N7">
        <f>INDEX('LIVE SOURCE'!$H$3:$H$232,$P7)</f>
        <v/>
      </c>
      <c r="O7">
        <f>INDEX('LIVE SOURCE'!$J$3:$J$232,$P7)</f>
        <v/>
      </c>
      <c r="P7" s="6">
        <f>MATCH($A7,'Draft Engine'!$Q$3:$Q$232,0)</f>
        <v/>
      </c>
    </row>
    <row r="8">
      <c r="A8">
        <f>6</f>
        <v/>
      </c>
      <c r="B8">
        <f>INDEX('Draft Engine'!$A$3:$A$232,$P8)</f>
        <v/>
      </c>
      <c r="C8">
        <f>INDEX('Draft Engine'!$F$3:$F$232,$P8)</f>
        <v/>
      </c>
      <c r="D8">
        <f>INDEX('Draft Engine'!$B$3:$B$232,$P8)</f>
        <v/>
      </c>
      <c r="E8" s="4">
        <f>INDEX('Draft Engine'!$E$3:$E$232,$P8)</f>
        <v/>
      </c>
      <c r="F8">
        <f>IF($E8&gt;=95,"ELITE",IF($E8&gt;=90,"TIER 1",IF($E8&gt;=85,"TIER 2",IF($E8&gt;=80,"TIER 3",IF($E8&gt;=75,"TIER 4",IF($E8&gt;=70,"TIER 5",IF($E8&gt;=65,"TIER 6","TIER 7")))))))</f>
        <v/>
      </c>
      <c r="G8" s="4">
        <f>INDEX('Draft Engine'!$G$3:$G$232,$P8)</f>
        <v/>
      </c>
      <c r="H8" s="4">
        <f>INDEX('Draft Engine'!$J$3:$J$232,$P8)</f>
        <v/>
      </c>
      <c r="I8" s="4">
        <f>INDEX('Draft Engine'!$N$3:$N$232,$P8)</f>
        <v/>
      </c>
      <c r="J8" s="4">
        <f>INDEX('Draft Engine'!$R$3:$R$232,$P8)</f>
        <v/>
      </c>
      <c r="K8" s="4">
        <f>INDEX('Draft Engine'!$S$3:$S$232,$P8)</f>
        <v/>
      </c>
      <c r="L8">
        <f>INDEX('Draft Engine'!$T$3:$T$232,$P8)</f>
        <v/>
      </c>
      <c r="M8">
        <f>INDEX('Draft Engine'!$X$3:$X$232,$P8)</f>
        <v/>
      </c>
      <c r="N8">
        <f>INDEX('LIVE SOURCE'!$H$3:$H$232,$P8)</f>
        <v/>
      </c>
      <c r="O8">
        <f>INDEX('LIVE SOURCE'!$J$3:$J$232,$P8)</f>
        <v/>
      </c>
      <c r="P8" s="6">
        <f>MATCH($A8,'Draft Engine'!$Q$3:$Q$232,0)</f>
        <v/>
      </c>
    </row>
    <row r="9">
      <c r="A9">
        <f>7</f>
        <v/>
      </c>
      <c r="B9">
        <f>INDEX('Draft Engine'!$A$3:$A$232,$P9)</f>
        <v/>
      </c>
      <c r="C9">
        <f>INDEX('Draft Engine'!$F$3:$F$232,$P9)</f>
        <v/>
      </c>
      <c r="D9">
        <f>INDEX('Draft Engine'!$B$3:$B$232,$P9)</f>
        <v/>
      </c>
      <c r="E9" s="4">
        <f>INDEX('Draft Engine'!$E$3:$E$232,$P9)</f>
        <v/>
      </c>
      <c r="F9">
        <f>IF($E9&gt;=95,"ELITE",IF($E9&gt;=90,"TIER 1",IF($E9&gt;=85,"TIER 2",IF($E9&gt;=80,"TIER 3",IF($E9&gt;=75,"TIER 4",IF($E9&gt;=70,"TIER 5",IF($E9&gt;=65,"TIER 6","TIER 7")))))))</f>
        <v/>
      </c>
      <c r="G9" s="4">
        <f>INDEX('Draft Engine'!$G$3:$G$232,$P9)</f>
        <v/>
      </c>
      <c r="H9" s="4">
        <f>INDEX('Draft Engine'!$J$3:$J$232,$P9)</f>
        <v/>
      </c>
      <c r="I9" s="4">
        <f>INDEX('Draft Engine'!$N$3:$N$232,$P9)</f>
        <v/>
      </c>
      <c r="J9" s="4">
        <f>INDEX('Draft Engine'!$R$3:$R$232,$P9)</f>
        <v/>
      </c>
      <c r="K9" s="4">
        <f>INDEX('Draft Engine'!$S$3:$S$232,$P9)</f>
        <v/>
      </c>
      <c r="L9">
        <f>INDEX('Draft Engine'!$T$3:$T$232,$P9)</f>
        <v/>
      </c>
      <c r="M9">
        <f>INDEX('Draft Engine'!$X$3:$X$232,$P9)</f>
        <v/>
      </c>
      <c r="N9">
        <f>INDEX('LIVE SOURCE'!$H$3:$H$232,$P9)</f>
        <v/>
      </c>
      <c r="O9">
        <f>INDEX('LIVE SOURCE'!$J$3:$J$232,$P9)</f>
        <v/>
      </c>
      <c r="P9" s="6">
        <f>MATCH($A9,'Draft Engine'!$Q$3:$Q$232,0)</f>
        <v/>
      </c>
    </row>
    <row r="10">
      <c r="A10">
        <f>8</f>
        <v/>
      </c>
      <c r="B10">
        <f>INDEX('Draft Engine'!$A$3:$A$232,$P10)</f>
        <v/>
      </c>
      <c r="C10">
        <f>INDEX('Draft Engine'!$F$3:$F$232,$P10)</f>
        <v/>
      </c>
      <c r="D10">
        <f>INDEX('Draft Engine'!$B$3:$B$232,$P10)</f>
        <v/>
      </c>
      <c r="E10" s="4">
        <f>INDEX('Draft Engine'!$E$3:$E$232,$P10)</f>
        <v/>
      </c>
      <c r="F10">
        <f>IF($E10&gt;=95,"ELITE",IF($E10&gt;=90,"TIER 1",IF($E10&gt;=85,"TIER 2",IF($E10&gt;=80,"TIER 3",IF($E10&gt;=75,"TIER 4",IF($E10&gt;=70,"TIER 5",IF($E10&gt;=65,"TIER 6","TIER 7")))))))</f>
        <v/>
      </c>
      <c r="G10" s="4">
        <f>INDEX('Draft Engine'!$G$3:$G$232,$P10)</f>
        <v/>
      </c>
      <c r="H10" s="4">
        <f>INDEX('Draft Engine'!$J$3:$J$232,$P10)</f>
        <v/>
      </c>
      <c r="I10" s="4">
        <f>INDEX('Draft Engine'!$N$3:$N$232,$P10)</f>
        <v/>
      </c>
      <c r="J10" s="4">
        <f>INDEX('Draft Engine'!$R$3:$R$232,$P10)</f>
        <v/>
      </c>
      <c r="K10" s="4">
        <f>INDEX('Draft Engine'!$S$3:$S$232,$P10)</f>
        <v/>
      </c>
      <c r="L10">
        <f>INDEX('Draft Engine'!$T$3:$T$232,$P10)</f>
        <v/>
      </c>
      <c r="M10">
        <f>INDEX('Draft Engine'!$X$3:$X$232,$P10)</f>
        <v/>
      </c>
      <c r="N10">
        <f>INDEX('LIVE SOURCE'!$H$3:$H$232,$P10)</f>
        <v/>
      </c>
      <c r="O10">
        <f>INDEX('LIVE SOURCE'!$J$3:$J$232,$P10)</f>
        <v/>
      </c>
      <c r="P10" s="6">
        <f>MATCH($A10,'Draft Engine'!$Q$3:$Q$232,0)</f>
        <v/>
      </c>
    </row>
    <row r="11">
      <c r="A11">
        <f>9</f>
        <v/>
      </c>
      <c r="B11">
        <f>INDEX('Draft Engine'!$A$3:$A$232,$P11)</f>
        <v/>
      </c>
      <c r="C11">
        <f>INDEX('Draft Engine'!$F$3:$F$232,$P11)</f>
        <v/>
      </c>
      <c r="D11">
        <f>INDEX('Draft Engine'!$B$3:$B$232,$P11)</f>
        <v/>
      </c>
      <c r="E11" s="4">
        <f>INDEX('Draft Engine'!$E$3:$E$232,$P11)</f>
        <v/>
      </c>
      <c r="F11">
        <f>IF($E11&gt;=95,"ELITE",IF($E11&gt;=90,"TIER 1",IF($E11&gt;=85,"TIER 2",IF($E11&gt;=80,"TIER 3",IF($E11&gt;=75,"TIER 4",IF($E11&gt;=70,"TIER 5",IF($E11&gt;=65,"TIER 6","TIER 7")))))))</f>
        <v/>
      </c>
      <c r="G11" s="4">
        <f>INDEX('Draft Engine'!$G$3:$G$232,$P11)</f>
        <v/>
      </c>
      <c r="H11" s="4">
        <f>INDEX('Draft Engine'!$J$3:$J$232,$P11)</f>
        <v/>
      </c>
      <c r="I11" s="4">
        <f>INDEX('Draft Engine'!$N$3:$N$232,$P11)</f>
        <v/>
      </c>
      <c r="J11" s="4">
        <f>INDEX('Draft Engine'!$R$3:$R$232,$P11)</f>
        <v/>
      </c>
      <c r="K11" s="4">
        <f>INDEX('Draft Engine'!$S$3:$S$232,$P11)</f>
        <v/>
      </c>
      <c r="L11">
        <f>INDEX('Draft Engine'!$T$3:$T$232,$P11)</f>
        <v/>
      </c>
      <c r="M11">
        <f>INDEX('Draft Engine'!$X$3:$X$232,$P11)</f>
        <v/>
      </c>
      <c r="N11">
        <f>INDEX('LIVE SOURCE'!$H$3:$H$232,$P11)</f>
        <v/>
      </c>
      <c r="O11">
        <f>INDEX('LIVE SOURCE'!$J$3:$J$232,$P11)</f>
        <v/>
      </c>
      <c r="P11" s="6">
        <f>MATCH($A11,'Draft Engine'!$Q$3:$Q$232,0)</f>
        <v/>
      </c>
    </row>
    <row r="12">
      <c r="A12">
        <f>10</f>
        <v/>
      </c>
      <c r="B12">
        <f>INDEX('Draft Engine'!$A$3:$A$232,$P12)</f>
        <v/>
      </c>
      <c r="C12">
        <f>INDEX('Draft Engine'!$F$3:$F$232,$P12)</f>
        <v/>
      </c>
      <c r="D12">
        <f>INDEX('Draft Engine'!$B$3:$B$232,$P12)</f>
        <v/>
      </c>
      <c r="E12" s="4">
        <f>INDEX('Draft Engine'!$E$3:$E$232,$P12)</f>
        <v/>
      </c>
      <c r="F12">
        <f>IF($E12&gt;=95,"ELITE",IF($E12&gt;=90,"TIER 1",IF($E12&gt;=85,"TIER 2",IF($E12&gt;=80,"TIER 3",IF($E12&gt;=75,"TIER 4",IF($E12&gt;=70,"TIER 5",IF($E12&gt;=65,"TIER 6","TIER 7")))))))</f>
        <v/>
      </c>
      <c r="G12" s="4">
        <f>INDEX('Draft Engine'!$G$3:$G$232,$P12)</f>
        <v/>
      </c>
      <c r="H12" s="4">
        <f>INDEX('Draft Engine'!$J$3:$J$232,$P12)</f>
        <v/>
      </c>
      <c r="I12" s="4">
        <f>INDEX('Draft Engine'!$N$3:$N$232,$P12)</f>
        <v/>
      </c>
      <c r="J12" s="4">
        <f>INDEX('Draft Engine'!$R$3:$R$232,$P12)</f>
        <v/>
      </c>
      <c r="K12" s="4">
        <f>INDEX('Draft Engine'!$S$3:$S$232,$P12)</f>
        <v/>
      </c>
      <c r="L12">
        <f>INDEX('Draft Engine'!$T$3:$T$232,$P12)</f>
        <v/>
      </c>
      <c r="M12">
        <f>INDEX('Draft Engine'!$X$3:$X$232,$P12)</f>
        <v/>
      </c>
      <c r="N12">
        <f>INDEX('LIVE SOURCE'!$H$3:$H$232,$P12)</f>
        <v/>
      </c>
      <c r="O12">
        <f>INDEX('LIVE SOURCE'!$J$3:$J$232,$P12)</f>
        <v/>
      </c>
      <c r="P12" s="6">
        <f>MATCH($A12,'Draft Engine'!$Q$3:$Q$232,0)</f>
        <v/>
      </c>
    </row>
    <row r="13">
      <c r="A13">
        <f>11</f>
        <v/>
      </c>
      <c r="B13">
        <f>INDEX('Draft Engine'!$A$3:$A$232,$P13)</f>
        <v/>
      </c>
      <c r="C13">
        <f>INDEX('Draft Engine'!$F$3:$F$232,$P13)</f>
        <v/>
      </c>
      <c r="D13">
        <f>INDEX('Draft Engine'!$B$3:$B$232,$P13)</f>
        <v/>
      </c>
      <c r="E13" s="4">
        <f>INDEX('Draft Engine'!$E$3:$E$232,$P13)</f>
        <v/>
      </c>
      <c r="F13">
        <f>IF($E13&gt;=95,"ELITE",IF($E13&gt;=90,"TIER 1",IF($E13&gt;=85,"TIER 2",IF($E13&gt;=80,"TIER 3",IF($E13&gt;=75,"TIER 4",IF($E13&gt;=70,"TIER 5",IF($E13&gt;=65,"TIER 6","TIER 7")))))))</f>
        <v/>
      </c>
      <c r="G13" s="4">
        <f>INDEX('Draft Engine'!$G$3:$G$232,$P13)</f>
        <v/>
      </c>
      <c r="H13" s="4">
        <f>INDEX('Draft Engine'!$J$3:$J$232,$P13)</f>
        <v/>
      </c>
      <c r="I13" s="4">
        <f>INDEX('Draft Engine'!$N$3:$N$232,$P13)</f>
        <v/>
      </c>
      <c r="J13" s="4">
        <f>INDEX('Draft Engine'!$R$3:$R$232,$P13)</f>
        <v/>
      </c>
      <c r="K13" s="4">
        <f>INDEX('Draft Engine'!$S$3:$S$232,$P13)</f>
        <v/>
      </c>
      <c r="L13">
        <f>INDEX('Draft Engine'!$T$3:$T$232,$P13)</f>
        <v/>
      </c>
      <c r="M13">
        <f>INDEX('Draft Engine'!$X$3:$X$232,$P13)</f>
        <v/>
      </c>
      <c r="N13">
        <f>INDEX('LIVE SOURCE'!$H$3:$H$232,$P13)</f>
        <v/>
      </c>
      <c r="O13">
        <f>INDEX('LIVE SOURCE'!$J$3:$J$232,$P13)</f>
        <v/>
      </c>
      <c r="P13" s="6">
        <f>MATCH($A13,'Draft Engine'!$Q$3:$Q$232,0)</f>
        <v/>
      </c>
    </row>
    <row r="14">
      <c r="A14">
        <f>12</f>
        <v/>
      </c>
      <c r="B14">
        <f>INDEX('Draft Engine'!$A$3:$A$232,$P14)</f>
        <v/>
      </c>
      <c r="C14">
        <f>INDEX('Draft Engine'!$F$3:$F$232,$P14)</f>
        <v/>
      </c>
      <c r="D14">
        <f>INDEX('Draft Engine'!$B$3:$B$232,$P14)</f>
        <v/>
      </c>
      <c r="E14" s="4">
        <f>INDEX('Draft Engine'!$E$3:$E$232,$P14)</f>
        <v/>
      </c>
      <c r="F14">
        <f>IF($E14&gt;=95,"ELITE",IF($E14&gt;=90,"TIER 1",IF($E14&gt;=85,"TIER 2",IF($E14&gt;=80,"TIER 3",IF($E14&gt;=75,"TIER 4",IF($E14&gt;=70,"TIER 5",IF($E14&gt;=65,"TIER 6","TIER 7")))))))</f>
        <v/>
      </c>
      <c r="G14" s="4">
        <f>INDEX('Draft Engine'!$G$3:$G$232,$P14)</f>
        <v/>
      </c>
      <c r="H14" s="4">
        <f>INDEX('Draft Engine'!$J$3:$J$232,$P14)</f>
        <v/>
      </c>
      <c r="I14" s="4">
        <f>INDEX('Draft Engine'!$N$3:$N$232,$P14)</f>
        <v/>
      </c>
      <c r="J14" s="4">
        <f>INDEX('Draft Engine'!$R$3:$R$232,$P14)</f>
        <v/>
      </c>
      <c r="K14" s="4">
        <f>INDEX('Draft Engine'!$S$3:$S$232,$P14)</f>
        <v/>
      </c>
      <c r="L14">
        <f>INDEX('Draft Engine'!$T$3:$T$232,$P14)</f>
        <v/>
      </c>
      <c r="M14">
        <f>INDEX('Draft Engine'!$X$3:$X$232,$P14)</f>
        <v/>
      </c>
      <c r="N14">
        <f>INDEX('LIVE SOURCE'!$H$3:$H$232,$P14)</f>
        <v/>
      </c>
      <c r="O14">
        <f>INDEX('LIVE SOURCE'!$J$3:$J$232,$P14)</f>
        <v/>
      </c>
      <c r="P14" s="6">
        <f>MATCH($A14,'Draft Engine'!$Q$3:$Q$232,0)</f>
        <v/>
      </c>
    </row>
    <row r="15">
      <c r="A15">
        <f>13</f>
        <v/>
      </c>
      <c r="B15">
        <f>INDEX('Draft Engine'!$A$3:$A$232,$P15)</f>
        <v/>
      </c>
      <c r="C15">
        <f>INDEX('Draft Engine'!$F$3:$F$232,$P15)</f>
        <v/>
      </c>
      <c r="D15">
        <f>INDEX('Draft Engine'!$B$3:$B$232,$P15)</f>
        <v/>
      </c>
      <c r="E15" s="4">
        <f>INDEX('Draft Engine'!$E$3:$E$232,$P15)</f>
        <v/>
      </c>
      <c r="F15">
        <f>IF($E15&gt;=95,"ELITE",IF($E15&gt;=90,"TIER 1",IF($E15&gt;=85,"TIER 2",IF($E15&gt;=80,"TIER 3",IF($E15&gt;=75,"TIER 4",IF($E15&gt;=70,"TIER 5",IF($E15&gt;=65,"TIER 6","TIER 7")))))))</f>
        <v/>
      </c>
      <c r="G15" s="4">
        <f>INDEX('Draft Engine'!$G$3:$G$232,$P15)</f>
        <v/>
      </c>
      <c r="H15" s="4">
        <f>INDEX('Draft Engine'!$J$3:$J$232,$P15)</f>
        <v/>
      </c>
      <c r="I15" s="4">
        <f>INDEX('Draft Engine'!$N$3:$N$232,$P15)</f>
        <v/>
      </c>
      <c r="J15" s="4">
        <f>INDEX('Draft Engine'!$R$3:$R$232,$P15)</f>
        <v/>
      </c>
      <c r="K15" s="4">
        <f>INDEX('Draft Engine'!$S$3:$S$232,$P15)</f>
        <v/>
      </c>
      <c r="L15">
        <f>INDEX('Draft Engine'!$T$3:$T$232,$P15)</f>
        <v/>
      </c>
      <c r="M15">
        <f>INDEX('Draft Engine'!$X$3:$X$232,$P15)</f>
        <v/>
      </c>
      <c r="N15">
        <f>INDEX('LIVE SOURCE'!$H$3:$H$232,$P15)</f>
        <v/>
      </c>
      <c r="O15">
        <f>INDEX('LIVE SOURCE'!$J$3:$J$232,$P15)</f>
        <v/>
      </c>
      <c r="P15" s="6">
        <f>MATCH($A15,'Draft Engine'!$Q$3:$Q$232,0)</f>
        <v/>
      </c>
    </row>
    <row r="16">
      <c r="A16">
        <f>14</f>
        <v/>
      </c>
      <c r="B16">
        <f>INDEX('Draft Engine'!$A$3:$A$232,$P16)</f>
        <v/>
      </c>
      <c r="C16">
        <f>INDEX('Draft Engine'!$F$3:$F$232,$P16)</f>
        <v/>
      </c>
      <c r="D16">
        <f>INDEX('Draft Engine'!$B$3:$B$232,$P16)</f>
        <v/>
      </c>
      <c r="E16" s="4">
        <f>INDEX('Draft Engine'!$E$3:$E$232,$P16)</f>
        <v/>
      </c>
      <c r="F16">
        <f>IF($E16&gt;=95,"ELITE",IF($E16&gt;=90,"TIER 1",IF($E16&gt;=85,"TIER 2",IF($E16&gt;=80,"TIER 3",IF($E16&gt;=75,"TIER 4",IF($E16&gt;=70,"TIER 5",IF($E16&gt;=65,"TIER 6","TIER 7")))))))</f>
        <v/>
      </c>
      <c r="G16" s="4">
        <f>INDEX('Draft Engine'!$G$3:$G$232,$P16)</f>
        <v/>
      </c>
      <c r="H16" s="4">
        <f>INDEX('Draft Engine'!$J$3:$J$232,$P16)</f>
        <v/>
      </c>
      <c r="I16" s="4">
        <f>INDEX('Draft Engine'!$N$3:$N$232,$P16)</f>
        <v/>
      </c>
      <c r="J16" s="4">
        <f>INDEX('Draft Engine'!$R$3:$R$232,$P16)</f>
        <v/>
      </c>
      <c r="K16" s="4">
        <f>INDEX('Draft Engine'!$S$3:$S$232,$P16)</f>
        <v/>
      </c>
      <c r="L16">
        <f>INDEX('Draft Engine'!$T$3:$T$232,$P16)</f>
        <v/>
      </c>
      <c r="M16">
        <f>INDEX('Draft Engine'!$X$3:$X$232,$P16)</f>
        <v/>
      </c>
      <c r="N16">
        <f>INDEX('LIVE SOURCE'!$H$3:$H$232,$P16)</f>
        <v/>
      </c>
      <c r="O16">
        <f>INDEX('LIVE SOURCE'!$J$3:$J$232,$P16)</f>
        <v/>
      </c>
      <c r="P16" s="6">
        <f>MATCH($A16,'Draft Engine'!$Q$3:$Q$232,0)</f>
        <v/>
      </c>
    </row>
    <row r="17">
      <c r="A17">
        <f>15</f>
        <v/>
      </c>
      <c r="B17">
        <f>INDEX('Draft Engine'!$A$3:$A$232,$P17)</f>
        <v/>
      </c>
      <c r="C17">
        <f>INDEX('Draft Engine'!$F$3:$F$232,$P17)</f>
        <v/>
      </c>
      <c r="D17">
        <f>INDEX('Draft Engine'!$B$3:$B$232,$P17)</f>
        <v/>
      </c>
      <c r="E17" s="4">
        <f>INDEX('Draft Engine'!$E$3:$E$232,$P17)</f>
        <v/>
      </c>
      <c r="F17">
        <f>IF($E17&gt;=95,"ELITE",IF($E17&gt;=90,"TIER 1",IF($E17&gt;=85,"TIER 2",IF($E17&gt;=80,"TIER 3",IF($E17&gt;=75,"TIER 4",IF($E17&gt;=70,"TIER 5",IF($E17&gt;=65,"TIER 6","TIER 7")))))))</f>
        <v/>
      </c>
      <c r="G17" s="4">
        <f>INDEX('Draft Engine'!$G$3:$G$232,$P17)</f>
        <v/>
      </c>
      <c r="H17" s="4">
        <f>INDEX('Draft Engine'!$J$3:$J$232,$P17)</f>
        <v/>
      </c>
      <c r="I17" s="4">
        <f>INDEX('Draft Engine'!$N$3:$N$232,$P17)</f>
        <v/>
      </c>
      <c r="J17" s="4">
        <f>INDEX('Draft Engine'!$R$3:$R$232,$P17)</f>
        <v/>
      </c>
      <c r="K17" s="4">
        <f>INDEX('Draft Engine'!$S$3:$S$232,$P17)</f>
        <v/>
      </c>
      <c r="L17">
        <f>INDEX('Draft Engine'!$T$3:$T$232,$P17)</f>
        <v/>
      </c>
      <c r="M17">
        <f>INDEX('Draft Engine'!$X$3:$X$232,$P17)</f>
        <v/>
      </c>
      <c r="N17">
        <f>INDEX('LIVE SOURCE'!$H$3:$H$232,$P17)</f>
        <v/>
      </c>
      <c r="O17">
        <f>INDEX('LIVE SOURCE'!$J$3:$J$232,$P17)</f>
        <v/>
      </c>
      <c r="P17" s="6">
        <f>MATCH($A17,'Draft Engine'!$Q$3:$Q$232,0)</f>
        <v/>
      </c>
    </row>
    <row r="18">
      <c r="A18">
        <f>16</f>
        <v/>
      </c>
      <c r="B18">
        <f>INDEX('Draft Engine'!$A$3:$A$232,$P18)</f>
        <v/>
      </c>
      <c r="C18">
        <f>INDEX('Draft Engine'!$F$3:$F$232,$P18)</f>
        <v/>
      </c>
      <c r="D18">
        <f>INDEX('Draft Engine'!$B$3:$B$232,$P18)</f>
        <v/>
      </c>
      <c r="E18" s="4">
        <f>INDEX('Draft Engine'!$E$3:$E$232,$P18)</f>
        <v/>
      </c>
      <c r="F18">
        <f>IF($E18&gt;=95,"ELITE",IF($E18&gt;=90,"TIER 1",IF($E18&gt;=85,"TIER 2",IF($E18&gt;=80,"TIER 3",IF($E18&gt;=75,"TIER 4",IF($E18&gt;=70,"TIER 5",IF($E18&gt;=65,"TIER 6","TIER 7")))))))</f>
        <v/>
      </c>
      <c r="G18" s="4">
        <f>INDEX('Draft Engine'!$G$3:$G$232,$P18)</f>
        <v/>
      </c>
      <c r="H18" s="4">
        <f>INDEX('Draft Engine'!$J$3:$J$232,$P18)</f>
        <v/>
      </c>
      <c r="I18" s="4">
        <f>INDEX('Draft Engine'!$N$3:$N$232,$P18)</f>
        <v/>
      </c>
      <c r="J18" s="4">
        <f>INDEX('Draft Engine'!$R$3:$R$232,$P18)</f>
        <v/>
      </c>
      <c r="K18" s="4">
        <f>INDEX('Draft Engine'!$S$3:$S$232,$P18)</f>
        <v/>
      </c>
      <c r="L18">
        <f>INDEX('Draft Engine'!$T$3:$T$232,$P18)</f>
        <v/>
      </c>
      <c r="M18">
        <f>INDEX('Draft Engine'!$X$3:$X$232,$P18)</f>
        <v/>
      </c>
      <c r="N18">
        <f>INDEX('LIVE SOURCE'!$H$3:$H$232,$P18)</f>
        <v/>
      </c>
      <c r="O18">
        <f>INDEX('LIVE SOURCE'!$J$3:$J$232,$P18)</f>
        <v/>
      </c>
      <c r="P18" s="6">
        <f>MATCH($A18,'Draft Engine'!$Q$3:$Q$232,0)</f>
        <v/>
      </c>
    </row>
    <row r="19">
      <c r="A19">
        <f>17</f>
        <v/>
      </c>
      <c r="B19">
        <f>INDEX('Draft Engine'!$A$3:$A$232,$P19)</f>
        <v/>
      </c>
      <c r="C19">
        <f>INDEX('Draft Engine'!$F$3:$F$232,$P19)</f>
        <v/>
      </c>
      <c r="D19">
        <f>INDEX('Draft Engine'!$B$3:$B$232,$P19)</f>
        <v/>
      </c>
      <c r="E19" s="4">
        <f>INDEX('Draft Engine'!$E$3:$E$232,$P19)</f>
        <v/>
      </c>
      <c r="F19">
        <f>IF($E19&gt;=95,"ELITE",IF($E19&gt;=90,"TIER 1",IF($E19&gt;=85,"TIER 2",IF($E19&gt;=80,"TIER 3",IF($E19&gt;=75,"TIER 4",IF($E19&gt;=70,"TIER 5",IF($E19&gt;=65,"TIER 6","TIER 7")))))))</f>
        <v/>
      </c>
      <c r="G19" s="4">
        <f>INDEX('Draft Engine'!$G$3:$G$232,$P19)</f>
        <v/>
      </c>
      <c r="H19" s="4">
        <f>INDEX('Draft Engine'!$J$3:$J$232,$P19)</f>
        <v/>
      </c>
      <c r="I19" s="4">
        <f>INDEX('Draft Engine'!$N$3:$N$232,$P19)</f>
        <v/>
      </c>
      <c r="J19" s="4">
        <f>INDEX('Draft Engine'!$R$3:$R$232,$P19)</f>
        <v/>
      </c>
      <c r="K19" s="4">
        <f>INDEX('Draft Engine'!$S$3:$S$232,$P19)</f>
        <v/>
      </c>
      <c r="L19">
        <f>INDEX('Draft Engine'!$T$3:$T$232,$P19)</f>
        <v/>
      </c>
      <c r="M19">
        <f>INDEX('Draft Engine'!$X$3:$X$232,$P19)</f>
        <v/>
      </c>
      <c r="N19">
        <f>INDEX('LIVE SOURCE'!$H$3:$H$232,$P19)</f>
        <v/>
      </c>
      <c r="O19">
        <f>INDEX('LIVE SOURCE'!$J$3:$J$232,$P19)</f>
        <v/>
      </c>
      <c r="P19" s="6">
        <f>MATCH($A19,'Draft Engine'!$Q$3:$Q$232,0)</f>
        <v/>
      </c>
    </row>
    <row r="20">
      <c r="A20">
        <f>18</f>
        <v/>
      </c>
      <c r="B20">
        <f>INDEX('Draft Engine'!$A$3:$A$232,$P20)</f>
        <v/>
      </c>
      <c r="C20">
        <f>INDEX('Draft Engine'!$F$3:$F$232,$P20)</f>
        <v/>
      </c>
      <c r="D20">
        <f>INDEX('Draft Engine'!$B$3:$B$232,$P20)</f>
        <v/>
      </c>
      <c r="E20" s="4">
        <f>INDEX('Draft Engine'!$E$3:$E$232,$P20)</f>
        <v/>
      </c>
      <c r="F20">
        <f>IF($E20&gt;=95,"ELITE",IF($E20&gt;=90,"TIER 1",IF($E20&gt;=85,"TIER 2",IF($E20&gt;=80,"TIER 3",IF($E20&gt;=75,"TIER 4",IF($E20&gt;=70,"TIER 5",IF($E20&gt;=65,"TIER 6","TIER 7")))))))</f>
        <v/>
      </c>
      <c r="G20" s="4">
        <f>INDEX('Draft Engine'!$G$3:$G$232,$P20)</f>
        <v/>
      </c>
      <c r="H20" s="4">
        <f>INDEX('Draft Engine'!$J$3:$J$232,$P20)</f>
        <v/>
      </c>
      <c r="I20" s="4">
        <f>INDEX('Draft Engine'!$N$3:$N$232,$P20)</f>
        <v/>
      </c>
      <c r="J20" s="4">
        <f>INDEX('Draft Engine'!$R$3:$R$232,$P20)</f>
        <v/>
      </c>
      <c r="K20" s="4">
        <f>INDEX('Draft Engine'!$S$3:$S$232,$P20)</f>
        <v/>
      </c>
      <c r="L20">
        <f>INDEX('Draft Engine'!$T$3:$T$232,$P20)</f>
        <v/>
      </c>
      <c r="M20">
        <f>INDEX('Draft Engine'!$X$3:$X$232,$P20)</f>
        <v/>
      </c>
      <c r="N20">
        <f>INDEX('LIVE SOURCE'!$H$3:$H$232,$P20)</f>
        <v/>
      </c>
      <c r="O20">
        <f>INDEX('LIVE SOURCE'!$J$3:$J$232,$P20)</f>
        <v/>
      </c>
      <c r="P20" s="6">
        <f>MATCH($A20,'Draft Engine'!$Q$3:$Q$232,0)</f>
        <v/>
      </c>
    </row>
    <row r="21">
      <c r="A21">
        <f>19</f>
        <v/>
      </c>
      <c r="B21">
        <f>INDEX('Draft Engine'!$A$3:$A$232,$P21)</f>
        <v/>
      </c>
      <c r="C21">
        <f>INDEX('Draft Engine'!$F$3:$F$232,$P21)</f>
        <v/>
      </c>
      <c r="D21">
        <f>INDEX('Draft Engine'!$B$3:$B$232,$P21)</f>
        <v/>
      </c>
      <c r="E21" s="4">
        <f>INDEX('Draft Engine'!$E$3:$E$232,$P21)</f>
        <v/>
      </c>
      <c r="F21">
        <f>IF($E21&gt;=95,"ELITE",IF($E21&gt;=90,"TIER 1",IF($E21&gt;=85,"TIER 2",IF($E21&gt;=80,"TIER 3",IF($E21&gt;=75,"TIER 4",IF($E21&gt;=70,"TIER 5",IF($E21&gt;=65,"TIER 6","TIER 7")))))))</f>
        <v/>
      </c>
      <c r="G21" s="4">
        <f>INDEX('Draft Engine'!$G$3:$G$232,$P21)</f>
        <v/>
      </c>
      <c r="H21" s="4">
        <f>INDEX('Draft Engine'!$J$3:$J$232,$P21)</f>
        <v/>
      </c>
      <c r="I21" s="4">
        <f>INDEX('Draft Engine'!$N$3:$N$232,$P21)</f>
        <v/>
      </c>
      <c r="J21" s="4">
        <f>INDEX('Draft Engine'!$R$3:$R$232,$P21)</f>
        <v/>
      </c>
      <c r="K21" s="4">
        <f>INDEX('Draft Engine'!$S$3:$S$232,$P21)</f>
        <v/>
      </c>
      <c r="L21">
        <f>INDEX('Draft Engine'!$T$3:$T$232,$P21)</f>
        <v/>
      </c>
      <c r="M21">
        <f>INDEX('Draft Engine'!$X$3:$X$232,$P21)</f>
        <v/>
      </c>
      <c r="N21">
        <f>INDEX('LIVE SOURCE'!$H$3:$H$232,$P21)</f>
        <v/>
      </c>
      <c r="O21">
        <f>INDEX('LIVE SOURCE'!$J$3:$J$232,$P21)</f>
        <v/>
      </c>
      <c r="P21" s="6">
        <f>MATCH($A21,'Draft Engine'!$Q$3:$Q$232,0)</f>
        <v/>
      </c>
    </row>
    <row r="22">
      <c r="A22">
        <f>20</f>
        <v/>
      </c>
      <c r="B22">
        <f>INDEX('Draft Engine'!$A$3:$A$232,$P22)</f>
        <v/>
      </c>
      <c r="C22">
        <f>INDEX('Draft Engine'!$F$3:$F$232,$P22)</f>
        <v/>
      </c>
      <c r="D22">
        <f>INDEX('Draft Engine'!$B$3:$B$232,$P22)</f>
        <v/>
      </c>
      <c r="E22" s="4">
        <f>INDEX('Draft Engine'!$E$3:$E$232,$P22)</f>
        <v/>
      </c>
      <c r="F22">
        <f>IF($E22&gt;=95,"ELITE",IF($E22&gt;=90,"TIER 1",IF($E22&gt;=85,"TIER 2",IF($E22&gt;=80,"TIER 3",IF($E22&gt;=75,"TIER 4",IF($E22&gt;=70,"TIER 5",IF($E22&gt;=65,"TIER 6","TIER 7")))))))</f>
        <v/>
      </c>
      <c r="G22" s="4">
        <f>INDEX('Draft Engine'!$G$3:$G$232,$P22)</f>
        <v/>
      </c>
      <c r="H22" s="4">
        <f>INDEX('Draft Engine'!$J$3:$J$232,$P22)</f>
        <v/>
      </c>
      <c r="I22" s="4">
        <f>INDEX('Draft Engine'!$N$3:$N$232,$P22)</f>
        <v/>
      </c>
      <c r="J22" s="4">
        <f>INDEX('Draft Engine'!$R$3:$R$232,$P22)</f>
        <v/>
      </c>
      <c r="K22" s="4">
        <f>INDEX('Draft Engine'!$S$3:$S$232,$P22)</f>
        <v/>
      </c>
      <c r="L22">
        <f>INDEX('Draft Engine'!$T$3:$T$232,$P22)</f>
        <v/>
      </c>
      <c r="M22">
        <f>INDEX('Draft Engine'!$X$3:$X$232,$P22)</f>
        <v/>
      </c>
      <c r="N22">
        <f>INDEX('LIVE SOURCE'!$H$3:$H$232,$P22)</f>
        <v/>
      </c>
      <c r="O22">
        <f>INDEX('LIVE SOURCE'!$J$3:$J$232,$P22)</f>
        <v/>
      </c>
      <c r="P22" s="6">
        <f>MATCH($A22,'Draft Engine'!$Q$3:$Q$232,0)</f>
        <v/>
      </c>
    </row>
    <row r="23">
      <c r="A23">
        <f>21</f>
        <v/>
      </c>
      <c r="B23">
        <f>INDEX('Draft Engine'!$A$3:$A$232,$P23)</f>
        <v/>
      </c>
      <c r="C23">
        <f>INDEX('Draft Engine'!$F$3:$F$232,$P23)</f>
        <v/>
      </c>
      <c r="D23">
        <f>INDEX('Draft Engine'!$B$3:$B$232,$P23)</f>
        <v/>
      </c>
      <c r="E23" s="4">
        <f>INDEX('Draft Engine'!$E$3:$E$232,$P23)</f>
        <v/>
      </c>
      <c r="F23">
        <f>IF($E23&gt;=95,"ELITE",IF($E23&gt;=90,"TIER 1",IF($E23&gt;=85,"TIER 2",IF($E23&gt;=80,"TIER 3",IF($E23&gt;=75,"TIER 4",IF($E23&gt;=70,"TIER 5",IF($E23&gt;=65,"TIER 6","TIER 7")))))))</f>
        <v/>
      </c>
      <c r="G23" s="4">
        <f>INDEX('Draft Engine'!$G$3:$G$232,$P23)</f>
        <v/>
      </c>
      <c r="H23" s="4">
        <f>INDEX('Draft Engine'!$J$3:$J$232,$P23)</f>
        <v/>
      </c>
      <c r="I23" s="4">
        <f>INDEX('Draft Engine'!$N$3:$N$232,$P23)</f>
        <v/>
      </c>
      <c r="J23" s="4">
        <f>INDEX('Draft Engine'!$R$3:$R$232,$P23)</f>
        <v/>
      </c>
      <c r="K23" s="4">
        <f>INDEX('Draft Engine'!$S$3:$S$232,$P23)</f>
        <v/>
      </c>
      <c r="L23">
        <f>INDEX('Draft Engine'!$T$3:$T$232,$P23)</f>
        <v/>
      </c>
      <c r="M23">
        <f>INDEX('Draft Engine'!$X$3:$X$232,$P23)</f>
        <v/>
      </c>
      <c r="N23">
        <f>INDEX('LIVE SOURCE'!$H$3:$H$232,$P23)</f>
        <v/>
      </c>
      <c r="O23">
        <f>INDEX('LIVE SOURCE'!$J$3:$J$232,$P23)</f>
        <v/>
      </c>
      <c r="P23" s="6">
        <f>MATCH($A23,'Draft Engine'!$Q$3:$Q$232,0)</f>
        <v/>
      </c>
    </row>
    <row r="24">
      <c r="A24">
        <f>22</f>
        <v/>
      </c>
      <c r="B24">
        <f>INDEX('Draft Engine'!$A$3:$A$232,$P24)</f>
        <v/>
      </c>
      <c r="C24">
        <f>INDEX('Draft Engine'!$F$3:$F$232,$P24)</f>
        <v/>
      </c>
      <c r="D24">
        <f>INDEX('Draft Engine'!$B$3:$B$232,$P24)</f>
        <v/>
      </c>
      <c r="E24" s="4">
        <f>INDEX('Draft Engine'!$E$3:$E$232,$P24)</f>
        <v/>
      </c>
      <c r="F24">
        <f>IF($E24&gt;=95,"ELITE",IF($E24&gt;=90,"TIER 1",IF($E24&gt;=85,"TIER 2",IF($E24&gt;=80,"TIER 3",IF($E24&gt;=75,"TIER 4",IF($E24&gt;=70,"TIER 5",IF($E24&gt;=65,"TIER 6","TIER 7")))))))</f>
        <v/>
      </c>
      <c r="G24" s="4">
        <f>INDEX('Draft Engine'!$G$3:$G$232,$P24)</f>
        <v/>
      </c>
      <c r="H24" s="4">
        <f>INDEX('Draft Engine'!$J$3:$J$232,$P24)</f>
        <v/>
      </c>
      <c r="I24" s="4">
        <f>INDEX('Draft Engine'!$N$3:$N$232,$P24)</f>
        <v/>
      </c>
      <c r="J24" s="4">
        <f>INDEX('Draft Engine'!$R$3:$R$232,$P24)</f>
        <v/>
      </c>
      <c r="K24" s="4">
        <f>INDEX('Draft Engine'!$S$3:$S$232,$P24)</f>
        <v/>
      </c>
      <c r="L24">
        <f>INDEX('Draft Engine'!$T$3:$T$232,$P24)</f>
        <v/>
      </c>
      <c r="M24">
        <f>INDEX('Draft Engine'!$X$3:$X$232,$P24)</f>
        <v/>
      </c>
      <c r="N24">
        <f>INDEX('LIVE SOURCE'!$H$3:$H$232,$P24)</f>
        <v/>
      </c>
      <c r="O24">
        <f>INDEX('LIVE SOURCE'!$J$3:$J$232,$P24)</f>
        <v/>
      </c>
      <c r="P24" s="6">
        <f>MATCH($A24,'Draft Engine'!$Q$3:$Q$232,0)</f>
        <v/>
      </c>
    </row>
    <row r="25">
      <c r="A25">
        <f>23</f>
        <v/>
      </c>
      <c r="B25">
        <f>INDEX('Draft Engine'!$A$3:$A$232,$P25)</f>
        <v/>
      </c>
      <c r="C25">
        <f>INDEX('Draft Engine'!$F$3:$F$232,$P25)</f>
        <v/>
      </c>
      <c r="D25">
        <f>INDEX('Draft Engine'!$B$3:$B$232,$P25)</f>
        <v/>
      </c>
      <c r="E25" s="4">
        <f>INDEX('Draft Engine'!$E$3:$E$232,$P25)</f>
        <v/>
      </c>
      <c r="F25">
        <f>IF($E25&gt;=95,"ELITE",IF($E25&gt;=90,"TIER 1",IF($E25&gt;=85,"TIER 2",IF($E25&gt;=80,"TIER 3",IF($E25&gt;=75,"TIER 4",IF($E25&gt;=70,"TIER 5",IF($E25&gt;=65,"TIER 6","TIER 7")))))))</f>
        <v/>
      </c>
      <c r="G25" s="4">
        <f>INDEX('Draft Engine'!$G$3:$G$232,$P25)</f>
        <v/>
      </c>
      <c r="H25" s="4">
        <f>INDEX('Draft Engine'!$J$3:$J$232,$P25)</f>
        <v/>
      </c>
      <c r="I25" s="4">
        <f>INDEX('Draft Engine'!$N$3:$N$232,$P25)</f>
        <v/>
      </c>
      <c r="J25" s="4">
        <f>INDEX('Draft Engine'!$R$3:$R$232,$P25)</f>
        <v/>
      </c>
      <c r="K25" s="4">
        <f>INDEX('Draft Engine'!$S$3:$S$232,$P25)</f>
        <v/>
      </c>
      <c r="L25">
        <f>INDEX('Draft Engine'!$T$3:$T$232,$P25)</f>
        <v/>
      </c>
      <c r="M25">
        <f>INDEX('Draft Engine'!$X$3:$X$232,$P25)</f>
        <v/>
      </c>
      <c r="N25">
        <f>INDEX('LIVE SOURCE'!$H$3:$H$232,$P25)</f>
        <v/>
      </c>
      <c r="O25">
        <f>INDEX('LIVE SOURCE'!$J$3:$J$232,$P25)</f>
        <v/>
      </c>
      <c r="P25" s="6">
        <f>MATCH($A25,'Draft Engine'!$Q$3:$Q$232,0)</f>
        <v/>
      </c>
    </row>
    <row r="26">
      <c r="A26">
        <f>24</f>
        <v/>
      </c>
      <c r="B26">
        <f>INDEX('Draft Engine'!$A$3:$A$232,$P26)</f>
        <v/>
      </c>
      <c r="C26">
        <f>INDEX('Draft Engine'!$F$3:$F$232,$P26)</f>
        <v/>
      </c>
      <c r="D26">
        <f>INDEX('Draft Engine'!$B$3:$B$232,$P26)</f>
        <v/>
      </c>
      <c r="E26" s="4">
        <f>INDEX('Draft Engine'!$E$3:$E$232,$P26)</f>
        <v/>
      </c>
      <c r="F26">
        <f>IF($E26&gt;=95,"ELITE",IF($E26&gt;=90,"TIER 1",IF($E26&gt;=85,"TIER 2",IF($E26&gt;=80,"TIER 3",IF($E26&gt;=75,"TIER 4",IF($E26&gt;=70,"TIER 5",IF($E26&gt;=65,"TIER 6","TIER 7")))))))</f>
        <v/>
      </c>
      <c r="G26" s="4">
        <f>INDEX('Draft Engine'!$G$3:$G$232,$P26)</f>
        <v/>
      </c>
      <c r="H26" s="4">
        <f>INDEX('Draft Engine'!$J$3:$J$232,$P26)</f>
        <v/>
      </c>
      <c r="I26" s="4">
        <f>INDEX('Draft Engine'!$N$3:$N$232,$P26)</f>
        <v/>
      </c>
      <c r="J26" s="4">
        <f>INDEX('Draft Engine'!$R$3:$R$232,$P26)</f>
        <v/>
      </c>
      <c r="K26" s="4">
        <f>INDEX('Draft Engine'!$S$3:$S$232,$P26)</f>
        <v/>
      </c>
      <c r="L26">
        <f>INDEX('Draft Engine'!$T$3:$T$232,$P26)</f>
        <v/>
      </c>
      <c r="M26">
        <f>INDEX('Draft Engine'!$X$3:$X$232,$P26)</f>
        <v/>
      </c>
      <c r="N26">
        <f>INDEX('LIVE SOURCE'!$H$3:$H$232,$P26)</f>
        <v/>
      </c>
      <c r="O26">
        <f>INDEX('LIVE SOURCE'!$J$3:$J$232,$P26)</f>
        <v/>
      </c>
      <c r="P26" s="6">
        <f>MATCH($A26,'Draft Engine'!$Q$3:$Q$232,0)</f>
        <v/>
      </c>
    </row>
    <row r="27">
      <c r="A27">
        <f>25</f>
        <v/>
      </c>
      <c r="B27">
        <f>INDEX('Draft Engine'!$A$3:$A$232,$P27)</f>
        <v/>
      </c>
      <c r="C27">
        <f>INDEX('Draft Engine'!$F$3:$F$232,$P27)</f>
        <v/>
      </c>
      <c r="D27">
        <f>INDEX('Draft Engine'!$B$3:$B$232,$P27)</f>
        <v/>
      </c>
      <c r="E27" s="4">
        <f>INDEX('Draft Engine'!$E$3:$E$232,$P27)</f>
        <v/>
      </c>
      <c r="F27">
        <f>IF($E27&gt;=95,"ELITE",IF($E27&gt;=90,"TIER 1",IF($E27&gt;=85,"TIER 2",IF($E27&gt;=80,"TIER 3",IF($E27&gt;=75,"TIER 4",IF($E27&gt;=70,"TIER 5",IF($E27&gt;=65,"TIER 6","TIER 7")))))))</f>
        <v/>
      </c>
      <c r="G27" s="4">
        <f>INDEX('Draft Engine'!$G$3:$G$232,$P27)</f>
        <v/>
      </c>
      <c r="H27" s="4">
        <f>INDEX('Draft Engine'!$J$3:$J$232,$P27)</f>
        <v/>
      </c>
      <c r="I27" s="4">
        <f>INDEX('Draft Engine'!$N$3:$N$232,$P27)</f>
        <v/>
      </c>
      <c r="J27" s="4">
        <f>INDEX('Draft Engine'!$R$3:$R$232,$P27)</f>
        <v/>
      </c>
      <c r="K27" s="4">
        <f>INDEX('Draft Engine'!$S$3:$S$232,$P27)</f>
        <v/>
      </c>
      <c r="L27">
        <f>INDEX('Draft Engine'!$T$3:$T$232,$P27)</f>
        <v/>
      </c>
      <c r="M27">
        <f>INDEX('Draft Engine'!$X$3:$X$232,$P27)</f>
        <v/>
      </c>
      <c r="N27">
        <f>INDEX('LIVE SOURCE'!$H$3:$H$232,$P27)</f>
        <v/>
      </c>
      <c r="O27">
        <f>INDEX('LIVE SOURCE'!$J$3:$J$232,$P27)</f>
        <v/>
      </c>
      <c r="P27" s="6">
        <f>MATCH($A27,'Draft Engine'!$Q$3:$Q$232,0)</f>
        <v/>
      </c>
    </row>
    <row r="28">
      <c r="A28">
        <f>26</f>
        <v/>
      </c>
      <c r="B28">
        <f>INDEX('Draft Engine'!$A$3:$A$232,$P28)</f>
        <v/>
      </c>
      <c r="C28">
        <f>INDEX('Draft Engine'!$F$3:$F$232,$P28)</f>
        <v/>
      </c>
      <c r="D28">
        <f>INDEX('Draft Engine'!$B$3:$B$232,$P28)</f>
        <v/>
      </c>
      <c r="E28" s="4">
        <f>INDEX('Draft Engine'!$E$3:$E$232,$P28)</f>
        <v/>
      </c>
      <c r="F28">
        <f>IF($E28&gt;=95,"ELITE",IF($E28&gt;=90,"TIER 1",IF($E28&gt;=85,"TIER 2",IF($E28&gt;=80,"TIER 3",IF($E28&gt;=75,"TIER 4",IF($E28&gt;=70,"TIER 5",IF($E28&gt;=65,"TIER 6","TIER 7")))))))</f>
        <v/>
      </c>
      <c r="G28" s="4">
        <f>INDEX('Draft Engine'!$G$3:$G$232,$P28)</f>
        <v/>
      </c>
      <c r="H28" s="4">
        <f>INDEX('Draft Engine'!$J$3:$J$232,$P28)</f>
        <v/>
      </c>
      <c r="I28" s="4">
        <f>INDEX('Draft Engine'!$N$3:$N$232,$P28)</f>
        <v/>
      </c>
      <c r="J28" s="4">
        <f>INDEX('Draft Engine'!$R$3:$R$232,$P28)</f>
        <v/>
      </c>
      <c r="K28" s="4">
        <f>INDEX('Draft Engine'!$S$3:$S$232,$P28)</f>
        <v/>
      </c>
      <c r="L28">
        <f>INDEX('Draft Engine'!$T$3:$T$232,$P28)</f>
        <v/>
      </c>
      <c r="M28">
        <f>INDEX('Draft Engine'!$X$3:$X$232,$P28)</f>
        <v/>
      </c>
      <c r="N28">
        <f>INDEX('LIVE SOURCE'!$H$3:$H$232,$P28)</f>
        <v/>
      </c>
      <c r="O28">
        <f>INDEX('LIVE SOURCE'!$J$3:$J$232,$P28)</f>
        <v/>
      </c>
      <c r="P28" s="6">
        <f>MATCH($A28,'Draft Engine'!$Q$3:$Q$232,0)</f>
        <v/>
      </c>
    </row>
    <row r="29">
      <c r="A29">
        <f>27</f>
        <v/>
      </c>
      <c r="B29">
        <f>INDEX('Draft Engine'!$A$3:$A$232,$P29)</f>
        <v/>
      </c>
      <c r="C29">
        <f>INDEX('Draft Engine'!$F$3:$F$232,$P29)</f>
        <v/>
      </c>
      <c r="D29">
        <f>INDEX('Draft Engine'!$B$3:$B$232,$P29)</f>
        <v/>
      </c>
      <c r="E29" s="4">
        <f>INDEX('Draft Engine'!$E$3:$E$232,$P29)</f>
        <v/>
      </c>
      <c r="F29">
        <f>IF($E29&gt;=95,"ELITE",IF($E29&gt;=90,"TIER 1",IF($E29&gt;=85,"TIER 2",IF($E29&gt;=80,"TIER 3",IF($E29&gt;=75,"TIER 4",IF($E29&gt;=70,"TIER 5",IF($E29&gt;=65,"TIER 6","TIER 7")))))))</f>
        <v/>
      </c>
      <c r="G29" s="4">
        <f>INDEX('Draft Engine'!$G$3:$G$232,$P29)</f>
        <v/>
      </c>
      <c r="H29" s="4">
        <f>INDEX('Draft Engine'!$J$3:$J$232,$P29)</f>
        <v/>
      </c>
      <c r="I29" s="4">
        <f>INDEX('Draft Engine'!$N$3:$N$232,$P29)</f>
        <v/>
      </c>
      <c r="J29" s="4">
        <f>INDEX('Draft Engine'!$R$3:$R$232,$P29)</f>
        <v/>
      </c>
      <c r="K29" s="4">
        <f>INDEX('Draft Engine'!$S$3:$S$232,$P29)</f>
        <v/>
      </c>
      <c r="L29">
        <f>INDEX('Draft Engine'!$T$3:$T$232,$P29)</f>
        <v/>
      </c>
      <c r="M29">
        <f>INDEX('Draft Engine'!$X$3:$X$232,$P29)</f>
        <v/>
      </c>
      <c r="N29">
        <f>INDEX('LIVE SOURCE'!$H$3:$H$232,$P29)</f>
        <v/>
      </c>
      <c r="O29">
        <f>INDEX('LIVE SOURCE'!$J$3:$J$232,$P29)</f>
        <v/>
      </c>
      <c r="P29" s="6">
        <f>MATCH($A29,'Draft Engine'!$Q$3:$Q$232,0)</f>
        <v/>
      </c>
    </row>
    <row r="30">
      <c r="A30">
        <f>28</f>
        <v/>
      </c>
      <c r="B30">
        <f>INDEX('Draft Engine'!$A$3:$A$232,$P30)</f>
        <v/>
      </c>
      <c r="C30">
        <f>INDEX('Draft Engine'!$F$3:$F$232,$P30)</f>
        <v/>
      </c>
      <c r="D30">
        <f>INDEX('Draft Engine'!$B$3:$B$232,$P30)</f>
        <v/>
      </c>
      <c r="E30" s="4">
        <f>INDEX('Draft Engine'!$E$3:$E$232,$P30)</f>
        <v/>
      </c>
      <c r="F30">
        <f>IF($E30&gt;=95,"ELITE",IF($E30&gt;=90,"TIER 1",IF($E30&gt;=85,"TIER 2",IF($E30&gt;=80,"TIER 3",IF($E30&gt;=75,"TIER 4",IF($E30&gt;=70,"TIER 5",IF($E30&gt;=65,"TIER 6","TIER 7")))))))</f>
        <v/>
      </c>
      <c r="G30" s="4">
        <f>INDEX('Draft Engine'!$G$3:$G$232,$P30)</f>
        <v/>
      </c>
      <c r="H30" s="4">
        <f>INDEX('Draft Engine'!$J$3:$J$232,$P30)</f>
        <v/>
      </c>
      <c r="I30" s="4">
        <f>INDEX('Draft Engine'!$N$3:$N$232,$P30)</f>
        <v/>
      </c>
      <c r="J30" s="4">
        <f>INDEX('Draft Engine'!$R$3:$R$232,$P30)</f>
        <v/>
      </c>
      <c r="K30" s="4">
        <f>INDEX('Draft Engine'!$S$3:$S$232,$P30)</f>
        <v/>
      </c>
      <c r="L30">
        <f>INDEX('Draft Engine'!$T$3:$T$232,$P30)</f>
        <v/>
      </c>
      <c r="M30">
        <f>INDEX('Draft Engine'!$X$3:$X$232,$P30)</f>
        <v/>
      </c>
      <c r="N30">
        <f>INDEX('LIVE SOURCE'!$H$3:$H$232,$P30)</f>
        <v/>
      </c>
      <c r="O30">
        <f>INDEX('LIVE SOURCE'!$J$3:$J$232,$P30)</f>
        <v/>
      </c>
      <c r="P30" s="6">
        <f>MATCH($A30,'Draft Engine'!$Q$3:$Q$232,0)</f>
        <v/>
      </c>
    </row>
    <row r="31">
      <c r="A31">
        <f>29</f>
        <v/>
      </c>
      <c r="B31">
        <f>INDEX('Draft Engine'!$A$3:$A$232,$P31)</f>
        <v/>
      </c>
      <c r="C31">
        <f>INDEX('Draft Engine'!$F$3:$F$232,$P31)</f>
        <v/>
      </c>
      <c r="D31">
        <f>INDEX('Draft Engine'!$B$3:$B$232,$P31)</f>
        <v/>
      </c>
      <c r="E31" s="4">
        <f>INDEX('Draft Engine'!$E$3:$E$232,$P31)</f>
        <v/>
      </c>
      <c r="F31">
        <f>IF($E31&gt;=95,"ELITE",IF($E31&gt;=90,"TIER 1",IF($E31&gt;=85,"TIER 2",IF($E31&gt;=80,"TIER 3",IF($E31&gt;=75,"TIER 4",IF($E31&gt;=70,"TIER 5",IF($E31&gt;=65,"TIER 6","TIER 7")))))))</f>
        <v/>
      </c>
      <c r="G31" s="4">
        <f>INDEX('Draft Engine'!$G$3:$G$232,$P31)</f>
        <v/>
      </c>
      <c r="H31" s="4">
        <f>INDEX('Draft Engine'!$J$3:$J$232,$P31)</f>
        <v/>
      </c>
      <c r="I31" s="4">
        <f>INDEX('Draft Engine'!$N$3:$N$232,$P31)</f>
        <v/>
      </c>
      <c r="J31" s="4">
        <f>INDEX('Draft Engine'!$R$3:$R$232,$P31)</f>
        <v/>
      </c>
      <c r="K31" s="4">
        <f>INDEX('Draft Engine'!$S$3:$S$232,$P31)</f>
        <v/>
      </c>
      <c r="L31">
        <f>INDEX('Draft Engine'!$T$3:$T$232,$P31)</f>
        <v/>
      </c>
      <c r="M31">
        <f>INDEX('Draft Engine'!$X$3:$X$232,$P31)</f>
        <v/>
      </c>
      <c r="N31">
        <f>INDEX('LIVE SOURCE'!$H$3:$H$232,$P31)</f>
        <v/>
      </c>
      <c r="O31">
        <f>INDEX('LIVE SOURCE'!$J$3:$J$232,$P31)</f>
        <v/>
      </c>
      <c r="P31" s="6">
        <f>MATCH($A31,'Draft Engine'!$Q$3:$Q$232,0)</f>
        <v/>
      </c>
    </row>
    <row r="32">
      <c r="A32">
        <f>30</f>
        <v/>
      </c>
      <c r="B32">
        <f>INDEX('Draft Engine'!$A$3:$A$232,$P32)</f>
        <v/>
      </c>
      <c r="C32">
        <f>INDEX('Draft Engine'!$F$3:$F$232,$P32)</f>
        <v/>
      </c>
      <c r="D32">
        <f>INDEX('Draft Engine'!$B$3:$B$232,$P32)</f>
        <v/>
      </c>
      <c r="E32" s="4">
        <f>INDEX('Draft Engine'!$E$3:$E$232,$P32)</f>
        <v/>
      </c>
      <c r="F32">
        <f>IF($E32&gt;=95,"ELITE",IF($E32&gt;=90,"TIER 1",IF($E32&gt;=85,"TIER 2",IF($E32&gt;=80,"TIER 3",IF($E32&gt;=75,"TIER 4",IF($E32&gt;=70,"TIER 5",IF($E32&gt;=65,"TIER 6","TIER 7")))))))</f>
        <v/>
      </c>
      <c r="G32" s="4">
        <f>INDEX('Draft Engine'!$G$3:$G$232,$P32)</f>
        <v/>
      </c>
      <c r="H32" s="4">
        <f>INDEX('Draft Engine'!$J$3:$J$232,$P32)</f>
        <v/>
      </c>
      <c r="I32" s="4">
        <f>INDEX('Draft Engine'!$N$3:$N$232,$P32)</f>
        <v/>
      </c>
      <c r="J32" s="4">
        <f>INDEX('Draft Engine'!$R$3:$R$232,$P32)</f>
        <v/>
      </c>
      <c r="K32" s="4">
        <f>INDEX('Draft Engine'!$S$3:$S$232,$P32)</f>
        <v/>
      </c>
      <c r="L32">
        <f>INDEX('Draft Engine'!$T$3:$T$232,$P32)</f>
        <v/>
      </c>
      <c r="M32">
        <f>INDEX('Draft Engine'!$X$3:$X$232,$P32)</f>
        <v/>
      </c>
      <c r="N32">
        <f>INDEX('LIVE SOURCE'!$H$3:$H$232,$P32)</f>
        <v/>
      </c>
      <c r="O32">
        <f>INDEX('LIVE SOURCE'!$J$3:$J$232,$P32)</f>
        <v/>
      </c>
      <c r="P32" s="6">
        <f>MATCH($A32,'Draft Engine'!$Q$3:$Q$232,0)</f>
        <v/>
      </c>
    </row>
    <row r="33">
      <c r="A33">
        <f>31</f>
        <v/>
      </c>
      <c r="B33">
        <f>INDEX('Draft Engine'!$A$3:$A$232,$P33)</f>
        <v/>
      </c>
      <c r="C33">
        <f>INDEX('Draft Engine'!$F$3:$F$232,$P33)</f>
        <v/>
      </c>
      <c r="D33">
        <f>INDEX('Draft Engine'!$B$3:$B$232,$P33)</f>
        <v/>
      </c>
      <c r="E33" s="4">
        <f>INDEX('Draft Engine'!$E$3:$E$232,$P33)</f>
        <v/>
      </c>
      <c r="F33">
        <f>IF($E33&gt;=95,"ELITE",IF($E33&gt;=90,"TIER 1",IF($E33&gt;=85,"TIER 2",IF($E33&gt;=80,"TIER 3",IF($E33&gt;=75,"TIER 4",IF($E33&gt;=70,"TIER 5",IF($E33&gt;=65,"TIER 6","TIER 7")))))))</f>
        <v/>
      </c>
      <c r="G33" s="4">
        <f>INDEX('Draft Engine'!$G$3:$G$232,$P33)</f>
        <v/>
      </c>
      <c r="H33" s="4">
        <f>INDEX('Draft Engine'!$J$3:$J$232,$P33)</f>
        <v/>
      </c>
      <c r="I33" s="4">
        <f>INDEX('Draft Engine'!$N$3:$N$232,$P33)</f>
        <v/>
      </c>
      <c r="J33" s="4">
        <f>INDEX('Draft Engine'!$R$3:$R$232,$P33)</f>
        <v/>
      </c>
      <c r="K33" s="4">
        <f>INDEX('Draft Engine'!$S$3:$S$232,$P33)</f>
        <v/>
      </c>
      <c r="L33">
        <f>INDEX('Draft Engine'!$T$3:$T$232,$P33)</f>
        <v/>
      </c>
      <c r="M33">
        <f>INDEX('Draft Engine'!$X$3:$X$232,$P33)</f>
        <v/>
      </c>
      <c r="N33">
        <f>INDEX('LIVE SOURCE'!$H$3:$H$232,$P33)</f>
        <v/>
      </c>
      <c r="O33">
        <f>INDEX('LIVE SOURCE'!$J$3:$J$232,$P33)</f>
        <v/>
      </c>
      <c r="P33" s="6">
        <f>MATCH($A33,'Draft Engine'!$Q$3:$Q$232,0)</f>
        <v/>
      </c>
    </row>
    <row r="34">
      <c r="A34">
        <f>32</f>
        <v/>
      </c>
      <c r="B34">
        <f>INDEX('Draft Engine'!$A$3:$A$232,$P34)</f>
        <v/>
      </c>
      <c r="C34">
        <f>INDEX('Draft Engine'!$F$3:$F$232,$P34)</f>
        <v/>
      </c>
      <c r="D34">
        <f>INDEX('Draft Engine'!$B$3:$B$232,$P34)</f>
        <v/>
      </c>
      <c r="E34" s="4">
        <f>INDEX('Draft Engine'!$E$3:$E$232,$P34)</f>
        <v/>
      </c>
      <c r="F34">
        <f>IF($E34&gt;=95,"ELITE",IF($E34&gt;=90,"TIER 1",IF($E34&gt;=85,"TIER 2",IF($E34&gt;=80,"TIER 3",IF($E34&gt;=75,"TIER 4",IF($E34&gt;=70,"TIER 5",IF($E34&gt;=65,"TIER 6","TIER 7")))))))</f>
        <v/>
      </c>
      <c r="G34" s="4">
        <f>INDEX('Draft Engine'!$G$3:$G$232,$P34)</f>
        <v/>
      </c>
      <c r="H34" s="4">
        <f>INDEX('Draft Engine'!$J$3:$J$232,$P34)</f>
        <v/>
      </c>
      <c r="I34" s="4">
        <f>INDEX('Draft Engine'!$N$3:$N$232,$P34)</f>
        <v/>
      </c>
      <c r="J34" s="4">
        <f>INDEX('Draft Engine'!$R$3:$R$232,$P34)</f>
        <v/>
      </c>
      <c r="K34" s="4">
        <f>INDEX('Draft Engine'!$S$3:$S$232,$P34)</f>
        <v/>
      </c>
      <c r="L34">
        <f>INDEX('Draft Engine'!$T$3:$T$232,$P34)</f>
        <v/>
      </c>
      <c r="M34">
        <f>INDEX('Draft Engine'!$X$3:$X$232,$P34)</f>
        <v/>
      </c>
      <c r="N34">
        <f>INDEX('LIVE SOURCE'!$H$3:$H$232,$P34)</f>
        <v/>
      </c>
      <c r="O34">
        <f>INDEX('LIVE SOURCE'!$J$3:$J$232,$P34)</f>
        <v/>
      </c>
      <c r="P34" s="6">
        <f>MATCH($A34,'Draft Engine'!$Q$3:$Q$232,0)</f>
        <v/>
      </c>
    </row>
    <row r="35">
      <c r="A35">
        <f>33</f>
        <v/>
      </c>
      <c r="B35">
        <f>INDEX('Draft Engine'!$A$3:$A$232,$P35)</f>
        <v/>
      </c>
      <c r="C35">
        <f>INDEX('Draft Engine'!$F$3:$F$232,$P35)</f>
        <v/>
      </c>
      <c r="D35">
        <f>INDEX('Draft Engine'!$B$3:$B$232,$P35)</f>
        <v/>
      </c>
      <c r="E35" s="4">
        <f>INDEX('Draft Engine'!$E$3:$E$232,$P35)</f>
        <v/>
      </c>
      <c r="F35">
        <f>IF($E35&gt;=95,"ELITE",IF($E35&gt;=90,"TIER 1",IF($E35&gt;=85,"TIER 2",IF($E35&gt;=80,"TIER 3",IF($E35&gt;=75,"TIER 4",IF($E35&gt;=70,"TIER 5",IF($E35&gt;=65,"TIER 6","TIER 7")))))))</f>
        <v/>
      </c>
      <c r="G35" s="4">
        <f>INDEX('Draft Engine'!$G$3:$G$232,$P35)</f>
        <v/>
      </c>
      <c r="H35" s="4">
        <f>INDEX('Draft Engine'!$J$3:$J$232,$P35)</f>
        <v/>
      </c>
      <c r="I35" s="4">
        <f>INDEX('Draft Engine'!$N$3:$N$232,$P35)</f>
        <v/>
      </c>
      <c r="J35" s="4">
        <f>INDEX('Draft Engine'!$R$3:$R$232,$P35)</f>
        <v/>
      </c>
      <c r="K35" s="4">
        <f>INDEX('Draft Engine'!$S$3:$S$232,$P35)</f>
        <v/>
      </c>
      <c r="L35">
        <f>INDEX('Draft Engine'!$T$3:$T$232,$P35)</f>
        <v/>
      </c>
      <c r="M35">
        <f>INDEX('Draft Engine'!$X$3:$X$232,$P35)</f>
        <v/>
      </c>
      <c r="N35">
        <f>INDEX('LIVE SOURCE'!$H$3:$H$232,$P35)</f>
        <v/>
      </c>
      <c r="O35">
        <f>INDEX('LIVE SOURCE'!$J$3:$J$232,$P35)</f>
        <v/>
      </c>
      <c r="P35" s="6">
        <f>MATCH($A35,'Draft Engine'!$Q$3:$Q$232,0)</f>
        <v/>
      </c>
    </row>
    <row r="36">
      <c r="A36">
        <f>34</f>
        <v/>
      </c>
      <c r="B36">
        <f>INDEX('Draft Engine'!$A$3:$A$232,$P36)</f>
        <v/>
      </c>
      <c r="C36">
        <f>INDEX('Draft Engine'!$F$3:$F$232,$P36)</f>
        <v/>
      </c>
      <c r="D36">
        <f>INDEX('Draft Engine'!$B$3:$B$232,$P36)</f>
        <v/>
      </c>
      <c r="E36" s="4">
        <f>INDEX('Draft Engine'!$E$3:$E$232,$P36)</f>
        <v/>
      </c>
      <c r="F36">
        <f>IF($E36&gt;=95,"ELITE",IF($E36&gt;=90,"TIER 1",IF($E36&gt;=85,"TIER 2",IF($E36&gt;=80,"TIER 3",IF($E36&gt;=75,"TIER 4",IF($E36&gt;=70,"TIER 5",IF($E36&gt;=65,"TIER 6","TIER 7")))))))</f>
        <v/>
      </c>
      <c r="G36" s="4">
        <f>INDEX('Draft Engine'!$G$3:$G$232,$P36)</f>
        <v/>
      </c>
      <c r="H36" s="4">
        <f>INDEX('Draft Engine'!$J$3:$J$232,$P36)</f>
        <v/>
      </c>
      <c r="I36" s="4">
        <f>INDEX('Draft Engine'!$N$3:$N$232,$P36)</f>
        <v/>
      </c>
      <c r="J36" s="4">
        <f>INDEX('Draft Engine'!$R$3:$R$232,$P36)</f>
        <v/>
      </c>
      <c r="K36" s="4">
        <f>INDEX('Draft Engine'!$S$3:$S$232,$P36)</f>
        <v/>
      </c>
      <c r="L36">
        <f>INDEX('Draft Engine'!$T$3:$T$232,$P36)</f>
        <v/>
      </c>
      <c r="M36">
        <f>INDEX('Draft Engine'!$X$3:$X$232,$P36)</f>
        <v/>
      </c>
      <c r="N36">
        <f>INDEX('LIVE SOURCE'!$H$3:$H$232,$P36)</f>
        <v/>
      </c>
      <c r="O36">
        <f>INDEX('LIVE SOURCE'!$J$3:$J$232,$P36)</f>
        <v/>
      </c>
      <c r="P36" s="6">
        <f>MATCH($A36,'Draft Engine'!$Q$3:$Q$232,0)</f>
        <v/>
      </c>
    </row>
    <row r="37">
      <c r="A37">
        <f>35</f>
        <v/>
      </c>
      <c r="B37">
        <f>INDEX('Draft Engine'!$A$3:$A$232,$P37)</f>
        <v/>
      </c>
      <c r="C37">
        <f>INDEX('Draft Engine'!$F$3:$F$232,$P37)</f>
        <v/>
      </c>
      <c r="D37">
        <f>INDEX('Draft Engine'!$B$3:$B$232,$P37)</f>
        <v/>
      </c>
      <c r="E37" s="4">
        <f>INDEX('Draft Engine'!$E$3:$E$232,$P37)</f>
        <v/>
      </c>
      <c r="F37">
        <f>IF($E37&gt;=95,"ELITE",IF($E37&gt;=90,"TIER 1",IF($E37&gt;=85,"TIER 2",IF($E37&gt;=80,"TIER 3",IF($E37&gt;=75,"TIER 4",IF($E37&gt;=70,"TIER 5",IF($E37&gt;=65,"TIER 6","TIER 7")))))))</f>
        <v/>
      </c>
      <c r="G37" s="4">
        <f>INDEX('Draft Engine'!$G$3:$G$232,$P37)</f>
        <v/>
      </c>
      <c r="H37" s="4">
        <f>INDEX('Draft Engine'!$J$3:$J$232,$P37)</f>
        <v/>
      </c>
      <c r="I37" s="4">
        <f>INDEX('Draft Engine'!$N$3:$N$232,$P37)</f>
        <v/>
      </c>
      <c r="J37" s="4">
        <f>INDEX('Draft Engine'!$R$3:$R$232,$P37)</f>
        <v/>
      </c>
      <c r="K37" s="4">
        <f>INDEX('Draft Engine'!$S$3:$S$232,$P37)</f>
        <v/>
      </c>
      <c r="L37">
        <f>INDEX('Draft Engine'!$T$3:$T$232,$P37)</f>
        <v/>
      </c>
      <c r="M37">
        <f>INDEX('Draft Engine'!$X$3:$X$232,$P37)</f>
        <v/>
      </c>
      <c r="N37">
        <f>INDEX('LIVE SOURCE'!$H$3:$H$232,$P37)</f>
        <v/>
      </c>
      <c r="O37">
        <f>INDEX('LIVE SOURCE'!$J$3:$J$232,$P37)</f>
        <v/>
      </c>
      <c r="P37" s="6">
        <f>MATCH($A37,'Draft Engine'!$Q$3:$Q$232,0)</f>
        <v/>
      </c>
    </row>
    <row r="38">
      <c r="A38">
        <f>36</f>
        <v/>
      </c>
      <c r="B38">
        <f>INDEX('Draft Engine'!$A$3:$A$232,$P38)</f>
        <v/>
      </c>
      <c r="C38">
        <f>INDEX('Draft Engine'!$F$3:$F$232,$P38)</f>
        <v/>
      </c>
      <c r="D38">
        <f>INDEX('Draft Engine'!$B$3:$B$232,$P38)</f>
        <v/>
      </c>
      <c r="E38" s="4">
        <f>INDEX('Draft Engine'!$E$3:$E$232,$P38)</f>
        <v/>
      </c>
      <c r="F38">
        <f>IF($E38&gt;=95,"ELITE",IF($E38&gt;=90,"TIER 1",IF($E38&gt;=85,"TIER 2",IF($E38&gt;=80,"TIER 3",IF($E38&gt;=75,"TIER 4",IF($E38&gt;=70,"TIER 5",IF($E38&gt;=65,"TIER 6","TIER 7")))))))</f>
        <v/>
      </c>
      <c r="G38" s="4">
        <f>INDEX('Draft Engine'!$G$3:$G$232,$P38)</f>
        <v/>
      </c>
      <c r="H38" s="4">
        <f>INDEX('Draft Engine'!$J$3:$J$232,$P38)</f>
        <v/>
      </c>
      <c r="I38" s="4">
        <f>INDEX('Draft Engine'!$N$3:$N$232,$P38)</f>
        <v/>
      </c>
      <c r="J38" s="4">
        <f>INDEX('Draft Engine'!$R$3:$R$232,$P38)</f>
        <v/>
      </c>
      <c r="K38" s="4">
        <f>INDEX('Draft Engine'!$S$3:$S$232,$P38)</f>
        <v/>
      </c>
      <c r="L38">
        <f>INDEX('Draft Engine'!$T$3:$T$232,$P38)</f>
        <v/>
      </c>
      <c r="M38">
        <f>INDEX('Draft Engine'!$X$3:$X$232,$P38)</f>
        <v/>
      </c>
      <c r="N38">
        <f>INDEX('LIVE SOURCE'!$H$3:$H$232,$P38)</f>
        <v/>
      </c>
      <c r="O38">
        <f>INDEX('LIVE SOURCE'!$J$3:$J$232,$P38)</f>
        <v/>
      </c>
      <c r="P38" s="6">
        <f>MATCH($A38,'Draft Engine'!$Q$3:$Q$232,0)</f>
        <v/>
      </c>
    </row>
    <row r="39">
      <c r="A39">
        <f>37</f>
        <v/>
      </c>
      <c r="B39">
        <f>INDEX('Draft Engine'!$A$3:$A$232,$P39)</f>
        <v/>
      </c>
      <c r="C39">
        <f>INDEX('Draft Engine'!$F$3:$F$232,$P39)</f>
        <v/>
      </c>
      <c r="D39">
        <f>INDEX('Draft Engine'!$B$3:$B$232,$P39)</f>
        <v/>
      </c>
      <c r="E39" s="4">
        <f>INDEX('Draft Engine'!$E$3:$E$232,$P39)</f>
        <v/>
      </c>
      <c r="F39">
        <f>IF($E39&gt;=95,"ELITE",IF($E39&gt;=90,"TIER 1",IF($E39&gt;=85,"TIER 2",IF($E39&gt;=80,"TIER 3",IF($E39&gt;=75,"TIER 4",IF($E39&gt;=70,"TIER 5",IF($E39&gt;=65,"TIER 6","TIER 7")))))))</f>
        <v/>
      </c>
      <c r="G39" s="4">
        <f>INDEX('Draft Engine'!$G$3:$G$232,$P39)</f>
        <v/>
      </c>
      <c r="H39" s="4">
        <f>INDEX('Draft Engine'!$J$3:$J$232,$P39)</f>
        <v/>
      </c>
      <c r="I39" s="4">
        <f>INDEX('Draft Engine'!$N$3:$N$232,$P39)</f>
        <v/>
      </c>
      <c r="J39" s="4">
        <f>INDEX('Draft Engine'!$R$3:$R$232,$P39)</f>
        <v/>
      </c>
      <c r="K39" s="4">
        <f>INDEX('Draft Engine'!$S$3:$S$232,$P39)</f>
        <v/>
      </c>
      <c r="L39">
        <f>INDEX('Draft Engine'!$T$3:$T$232,$P39)</f>
        <v/>
      </c>
      <c r="M39">
        <f>INDEX('Draft Engine'!$X$3:$X$232,$P39)</f>
        <v/>
      </c>
      <c r="N39">
        <f>INDEX('LIVE SOURCE'!$H$3:$H$232,$P39)</f>
        <v/>
      </c>
      <c r="O39">
        <f>INDEX('LIVE SOURCE'!$J$3:$J$232,$P39)</f>
        <v/>
      </c>
      <c r="P39" s="6">
        <f>MATCH($A39,'Draft Engine'!$Q$3:$Q$232,0)</f>
        <v/>
      </c>
    </row>
    <row r="40">
      <c r="A40">
        <f>38</f>
        <v/>
      </c>
      <c r="B40">
        <f>INDEX('Draft Engine'!$A$3:$A$232,$P40)</f>
        <v/>
      </c>
      <c r="C40">
        <f>INDEX('Draft Engine'!$F$3:$F$232,$P40)</f>
        <v/>
      </c>
      <c r="D40">
        <f>INDEX('Draft Engine'!$B$3:$B$232,$P40)</f>
        <v/>
      </c>
      <c r="E40" s="4">
        <f>INDEX('Draft Engine'!$E$3:$E$232,$P40)</f>
        <v/>
      </c>
      <c r="F40">
        <f>IF($E40&gt;=95,"ELITE",IF($E40&gt;=90,"TIER 1",IF($E40&gt;=85,"TIER 2",IF($E40&gt;=80,"TIER 3",IF($E40&gt;=75,"TIER 4",IF($E40&gt;=70,"TIER 5",IF($E40&gt;=65,"TIER 6","TIER 7")))))))</f>
        <v/>
      </c>
      <c r="G40" s="4">
        <f>INDEX('Draft Engine'!$G$3:$G$232,$P40)</f>
        <v/>
      </c>
      <c r="H40" s="4">
        <f>INDEX('Draft Engine'!$J$3:$J$232,$P40)</f>
        <v/>
      </c>
      <c r="I40" s="4">
        <f>INDEX('Draft Engine'!$N$3:$N$232,$P40)</f>
        <v/>
      </c>
      <c r="J40" s="4">
        <f>INDEX('Draft Engine'!$R$3:$R$232,$P40)</f>
        <v/>
      </c>
      <c r="K40" s="4">
        <f>INDEX('Draft Engine'!$S$3:$S$232,$P40)</f>
        <v/>
      </c>
      <c r="L40">
        <f>INDEX('Draft Engine'!$T$3:$T$232,$P40)</f>
        <v/>
      </c>
      <c r="M40">
        <f>INDEX('Draft Engine'!$X$3:$X$232,$P40)</f>
        <v/>
      </c>
      <c r="N40">
        <f>INDEX('LIVE SOURCE'!$H$3:$H$232,$P40)</f>
        <v/>
      </c>
      <c r="O40">
        <f>INDEX('LIVE SOURCE'!$J$3:$J$232,$P40)</f>
        <v/>
      </c>
      <c r="P40" s="6">
        <f>MATCH($A40,'Draft Engine'!$Q$3:$Q$232,0)</f>
        <v/>
      </c>
    </row>
    <row r="41">
      <c r="A41">
        <f>39</f>
        <v/>
      </c>
      <c r="B41">
        <f>INDEX('Draft Engine'!$A$3:$A$232,$P41)</f>
        <v/>
      </c>
      <c r="C41">
        <f>INDEX('Draft Engine'!$F$3:$F$232,$P41)</f>
        <v/>
      </c>
      <c r="D41">
        <f>INDEX('Draft Engine'!$B$3:$B$232,$P41)</f>
        <v/>
      </c>
      <c r="E41" s="4">
        <f>INDEX('Draft Engine'!$E$3:$E$232,$P41)</f>
        <v/>
      </c>
      <c r="F41">
        <f>IF($E41&gt;=95,"ELITE",IF($E41&gt;=90,"TIER 1",IF($E41&gt;=85,"TIER 2",IF($E41&gt;=80,"TIER 3",IF($E41&gt;=75,"TIER 4",IF($E41&gt;=70,"TIER 5",IF($E41&gt;=65,"TIER 6","TIER 7")))))))</f>
        <v/>
      </c>
      <c r="G41" s="4">
        <f>INDEX('Draft Engine'!$G$3:$G$232,$P41)</f>
        <v/>
      </c>
      <c r="H41" s="4">
        <f>INDEX('Draft Engine'!$J$3:$J$232,$P41)</f>
        <v/>
      </c>
      <c r="I41" s="4">
        <f>INDEX('Draft Engine'!$N$3:$N$232,$P41)</f>
        <v/>
      </c>
      <c r="J41" s="4">
        <f>INDEX('Draft Engine'!$R$3:$R$232,$P41)</f>
        <v/>
      </c>
      <c r="K41" s="4">
        <f>INDEX('Draft Engine'!$S$3:$S$232,$P41)</f>
        <v/>
      </c>
      <c r="L41">
        <f>INDEX('Draft Engine'!$T$3:$T$232,$P41)</f>
        <v/>
      </c>
      <c r="M41">
        <f>INDEX('Draft Engine'!$X$3:$X$232,$P41)</f>
        <v/>
      </c>
      <c r="N41">
        <f>INDEX('LIVE SOURCE'!$H$3:$H$232,$P41)</f>
        <v/>
      </c>
      <c r="O41">
        <f>INDEX('LIVE SOURCE'!$J$3:$J$232,$P41)</f>
        <v/>
      </c>
      <c r="P41" s="6">
        <f>MATCH($A41,'Draft Engine'!$Q$3:$Q$232,0)</f>
        <v/>
      </c>
    </row>
    <row r="42">
      <c r="A42">
        <f>40</f>
        <v/>
      </c>
      <c r="B42">
        <f>INDEX('Draft Engine'!$A$3:$A$232,$P42)</f>
        <v/>
      </c>
      <c r="C42">
        <f>INDEX('Draft Engine'!$F$3:$F$232,$P42)</f>
        <v/>
      </c>
      <c r="D42">
        <f>INDEX('Draft Engine'!$B$3:$B$232,$P42)</f>
        <v/>
      </c>
      <c r="E42" s="4">
        <f>INDEX('Draft Engine'!$E$3:$E$232,$P42)</f>
        <v/>
      </c>
      <c r="F42">
        <f>IF($E42&gt;=95,"ELITE",IF($E42&gt;=90,"TIER 1",IF($E42&gt;=85,"TIER 2",IF($E42&gt;=80,"TIER 3",IF($E42&gt;=75,"TIER 4",IF($E42&gt;=70,"TIER 5",IF($E42&gt;=65,"TIER 6","TIER 7")))))))</f>
        <v/>
      </c>
      <c r="G42" s="4">
        <f>INDEX('Draft Engine'!$G$3:$G$232,$P42)</f>
        <v/>
      </c>
      <c r="H42" s="4">
        <f>INDEX('Draft Engine'!$J$3:$J$232,$P42)</f>
        <v/>
      </c>
      <c r="I42" s="4">
        <f>INDEX('Draft Engine'!$N$3:$N$232,$P42)</f>
        <v/>
      </c>
      <c r="J42" s="4">
        <f>INDEX('Draft Engine'!$R$3:$R$232,$P42)</f>
        <v/>
      </c>
      <c r="K42" s="4">
        <f>INDEX('Draft Engine'!$S$3:$S$232,$P42)</f>
        <v/>
      </c>
      <c r="L42">
        <f>INDEX('Draft Engine'!$T$3:$T$232,$P42)</f>
        <v/>
      </c>
      <c r="M42">
        <f>INDEX('Draft Engine'!$X$3:$X$232,$P42)</f>
        <v/>
      </c>
      <c r="N42">
        <f>INDEX('LIVE SOURCE'!$H$3:$H$232,$P42)</f>
        <v/>
      </c>
      <c r="O42">
        <f>INDEX('LIVE SOURCE'!$J$3:$J$232,$P42)</f>
        <v/>
      </c>
      <c r="P42" s="6">
        <f>MATCH($A42,'Draft Engine'!$Q$3:$Q$232,0)</f>
        <v/>
      </c>
    </row>
    <row r="43">
      <c r="A43">
        <f>41</f>
        <v/>
      </c>
      <c r="B43">
        <f>INDEX('Draft Engine'!$A$3:$A$232,$P43)</f>
        <v/>
      </c>
      <c r="C43">
        <f>INDEX('Draft Engine'!$F$3:$F$232,$P43)</f>
        <v/>
      </c>
      <c r="D43">
        <f>INDEX('Draft Engine'!$B$3:$B$232,$P43)</f>
        <v/>
      </c>
      <c r="E43" s="4">
        <f>INDEX('Draft Engine'!$E$3:$E$232,$P43)</f>
        <v/>
      </c>
      <c r="F43">
        <f>IF($E43&gt;=95,"ELITE",IF($E43&gt;=90,"TIER 1",IF($E43&gt;=85,"TIER 2",IF($E43&gt;=80,"TIER 3",IF($E43&gt;=75,"TIER 4",IF($E43&gt;=70,"TIER 5",IF($E43&gt;=65,"TIER 6","TIER 7")))))))</f>
        <v/>
      </c>
      <c r="G43" s="4">
        <f>INDEX('Draft Engine'!$G$3:$G$232,$P43)</f>
        <v/>
      </c>
      <c r="H43" s="4">
        <f>INDEX('Draft Engine'!$J$3:$J$232,$P43)</f>
        <v/>
      </c>
      <c r="I43" s="4">
        <f>INDEX('Draft Engine'!$N$3:$N$232,$P43)</f>
        <v/>
      </c>
      <c r="J43" s="4">
        <f>INDEX('Draft Engine'!$R$3:$R$232,$P43)</f>
        <v/>
      </c>
      <c r="K43" s="4">
        <f>INDEX('Draft Engine'!$S$3:$S$232,$P43)</f>
        <v/>
      </c>
      <c r="L43">
        <f>INDEX('Draft Engine'!$T$3:$T$232,$P43)</f>
        <v/>
      </c>
      <c r="M43">
        <f>INDEX('Draft Engine'!$X$3:$X$232,$P43)</f>
        <v/>
      </c>
      <c r="N43">
        <f>INDEX('LIVE SOURCE'!$H$3:$H$232,$P43)</f>
        <v/>
      </c>
      <c r="O43">
        <f>INDEX('LIVE SOURCE'!$J$3:$J$232,$P43)</f>
        <v/>
      </c>
      <c r="P43" s="6">
        <f>MATCH($A43,'Draft Engine'!$Q$3:$Q$232,0)</f>
        <v/>
      </c>
    </row>
    <row r="44">
      <c r="A44">
        <f>42</f>
        <v/>
      </c>
      <c r="B44">
        <f>INDEX('Draft Engine'!$A$3:$A$232,$P44)</f>
        <v/>
      </c>
      <c r="C44">
        <f>INDEX('Draft Engine'!$F$3:$F$232,$P44)</f>
        <v/>
      </c>
      <c r="D44">
        <f>INDEX('Draft Engine'!$B$3:$B$232,$P44)</f>
        <v/>
      </c>
      <c r="E44" s="4">
        <f>INDEX('Draft Engine'!$E$3:$E$232,$P44)</f>
        <v/>
      </c>
      <c r="F44">
        <f>IF($E44&gt;=95,"ELITE",IF($E44&gt;=90,"TIER 1",IF($E44&gt;=85,"TIER 2",IF($E44&gt;=80,"TIER 3",IF($E44&gt;=75,"TIER 4",IF($E44&gt;=70,"TIER 5",IF($E44&gt;=65,"TIER 6","TIER 7")))))))</f>
        <v/>
      </c>
      <c r="G44" s="4">
        <f>INDEX('Draft Engine'!$G$3:$G$232,$P44)</f>
        <v/>
      </c>
      <c r="H44" s="4">
        <f>INDEX('Draft Engine'!$J$3:$J$232,$P44)</f>
        <v/>
      </c>
      <c r="I44" s="4">
        <f>INDEX('Draft Engine'!$N$3:$N$232,$P44)</f>
        <v/>
      </c>
      <c r="J44" s="4">
        <f>INDEX('Draft Engine'!$R$3:$R$232,$P44)</f>
        <v/>
      </c>
      <c r="K44" s="4">
        <f>INDEX('Draft Engine'!$S$3:$S$232,$P44)</f>
        <v/>
      </c>
      <c r="L44">
        <f>INDEX('Draft Engine'!$T$3:$T$232,$P44)</f>
        <v/>
      </c>
      <c r="M44">
        <f>INDEX('Draft Engine'!$X$3:$X$232,$P44)</f>
        <v/>
      </c>
      <c r="N44">
        <f>INDEX('LIVE SOURCE'!$H$3:$H$232,$P44)</f>
        <v/>
      </c>
      <c r="O44">
        <f>INDEX('LIVE SOURCE'!$J$3:$J$232,$P44)</f>
        <v/>
      </c>
      <c r="P44" s="6">
        <f>MATCH($A44,'Draft Engine'!$Q$3:$Q$232,0)</f>
        <v/>
      </c>
    </row>
    <row r="45">
      <c r="A45">
        <f>43</f>
        <v/>
      </c>
      <c r="B45">
        <f>INDEX('Draft Engine'!$A$3:$A$232,$P45)</f>
        <v/>
      </c>
      <c r="C45">
        <f>INDEX('Draft Engine'!$F$3:$F$232,$P45)</f>
        <v/>
      </c>
      <c r="D45">
        <f>INDEX('Draft Engine'!$B$3:$B$232,$P45)</f>
        <v/>
      </c>
      <c r="E45" s="4">
        <f>INDEX('Draft Engine'!$E$3:$E$232,$P45)</f>
        <v/>
      </c>
      <c r="F45">
        <f>IF($E45&gt;=95,"ELITE",IF($E45&gt;=90,"TIER 1",IF($E45&gt;=85,"TIER 2",IF($E45&gt;=80,"TIER 3",IF($E45&gt;=75,"TIER 4",IF($E45&gt;=70,"TIER 5",IF($E45&gt;=65,"TIER 6","TIER 7")))))))</f>
        <v/>
      </c>
      <c r="G45" s="4">
        <f>INDEX('Draft Engine'!$G$3:$G$232,$P45)</f>
        <v/>
      </c>
      <c r="H45" s="4">
        <f>INDEX('Draft Engine'!$J$3:$J$232,$P45)</f>
        <v/>
      </c>
      <c r="I45" s="4">
        <f>INDEX('Draft Engine'!$N$3:$N$232,$P45)</f>
        <v/>
      </c>
      <c r="J45" s="4">
        <f>INDEX('Draft Engine'!$R$3:$R$232,$P45)</f>
        <v/>
      </c>
      <c r="K45" s="4">
        <f>INDEX('Draft Engine'!$S$3:$S$232,$P45)</f>
        <v/>
      </c>
      <c r="L45">
        <f>INDEX('Draft Engine'!$T$3:$T$232,$P45)</f>
        <v/>
      </c>
      <c r="M45">
        <f>INDEX('Draft Engine'!$X$3:$X$232,$P45)</f>
        <v/>
      </c>
      <c r="N45">
        <f>INDEX('LIVE SOURCE'!$H$3:$H$232,$P45)</f>
        <v/>
      </c>
      <c r="O45">
        <f>INDEX('LIVE SOURCE'!$J$3:$J$232,$P45)</f>
        <v/>
      </c>
      <c r="P45" s="6">
        <f>MATCH($A45,'Draft Engine'!$Q$3:$Q$232,0)</f>
        <v/>
      </c>
    </row>
    <row r="46">
      <c r="A46">
        <f>44</f>
        <v/>
      </c>
      <c r="B46">
        <f>INDEX('Draft Engine'!$A$3:$A$232,$P46)</f>
        <v/>
      </c>
      <c r="C46">
        <f>INDEX('Draft Engine'!$F$3:$F$232,$P46)</f>
        <v/>
      </c>
      <c r="D46">
        <f>INDEX('Draft Engine'!$B$3:$B$232,$P46)</f>
        <v/>
      </c>
      <c r="E46" s="4">
        <f>INDEX('Draft Engine'!$E$3:$E$232,$P46)</f>
        <v/>
      </c>
      <c r="F46">
        <f>IF($E46&gt;=95,"ELITE",IF($E46&gt;=90,"TIER 1",IF($E46&gt;=85,"TIER 2",IF($E46&gt;=80,"TIER 3",IF($E46&gt;=75,"TIER 4",IF($E46&gt;=70,"TIER 5",IF($E46&gt;=65,"TIER 6","TIER 7")))))))</f>
        <v/>
      </c>
      <c r="G46" s="4">
        <f>INDEX('Draft Engine'!$G$3:$G$232,$P46)</f>
        <v/>
      </c>
      <c r="H46" s="4">
        <f>INDEX('Draft Engine'!$J$3:$J$232,$P46)</f>
        <v/>
      </c>
      <c r="I46" s="4">
        <f>INDEX('Draft Engine'!$N$3:$N$232,$P46)</f>
        <v/>
      </c>
      <c r="J46" s="4">
        <f>INDEX('Draft Engine'!$R$3:$R$232,$P46)</f>
        <v/>
      </c>
      <c r="K46" s="4">
        <f>INDEX('Draft Engine'!$S$3:$S$232,$P46)</f>
        <v/>
      </c>
      <c r="L46">
        <f>INDEX('Draft Engine'!$T$3:$T$232,$P46)</f>
        <v/>
      </c>
      <c r="M46">
        <f>INDEX('Draft Engine'!$X$3:$X$232,$P46)</f>
        <v/>
      </c>
      <c r="N46">
        <f>INDEX('LIVE SOURCE'!$H$3:$H$232,$P46)</f>
        <v/>
      </c>
      <c r="O46">
        <f>INDEX('LIVE SOURCE'!$J$3:$J$232,$P46)</f>
        <v/>
      </c>
      <c r="P46" s="6">
        <f>MATCH($A46,'Draft Engine'!$Q$3:$Q$232,0)</f>
        <v/>
      </c>
    </row>
    <row r="47">
      <c r="A47">
        <f>45</f>
        <v/>
      </c>
      <c r="B47">
        <f>INDEX('Draft Engine'!$A$3:$A$232,$P47)</f>
        <v/>
      </c>
      <c r="C47">
        <f>INDEX('Draft Engine'!$F$3:$F$232,$P47)</f>
        <v/>
      </c>
      <c r="D47">
        <f>INDEX('Draft Engine'!$B$3:$B$232,$P47)</f>
        <v/>
      </c>
      <c r="E47" s="4">
        <f>INDEX('Draft Engine'!$E$3:$E$232,$P47)</f>
        <v/>
      </c>
      <c r="F47">
        <f>IF($E47&gt;=95,"ELITE",IF($E47&gt;=90,"TIER 1",IF($E47&gt;=85,"TIER 2",IF($E47&gt;=80,"TIER 3",IF($E47&gt;=75,"TIER 4",IF($E47&gt;=70,"TIER 5",IF($E47&gt;=65,"TIER 6","TIER 7")))))))</f>
        <v/>
      </c>
      <c r="G47" s="4">
        <f>INDEX('Draft Engine'!$G$3:$G$232,$P47)</f>
        <v/>
      </c>
      <c r="H47" s="4">
        <f>INDEX('Draft Engine'!$J$3:$J$232,$P47)</f>
        <v/>
      </c>
      <c r="I47" s="4">
        <f>INDEX('Draft Engine'!$N$3:$N$232,$P47)</f>
        <v/>
      </c>
      <c r="J47" s="4">
        <f>INDEX('Draft Engine'!$R$3:$R$232,$P47)</f>
        <v/>
      </c>
      <c r="K47" s="4">
        <f>INDEX('Draft Engine'!$S$3:$S$232,$P47)</f>
        <v/>
      </c>
      <c r="L47">
        <f>INDEX('Draft Engine'!$T$3:$T$232,$P47)</f>
        <v/>
      </c>
      <c r="M47">
        <f>INDEX('Draft Engine'!$X$3:$X$232,$P47)</f>
        <v/>
      </c>
      <c r="N47">
        <f>INDEX('LIVE SOURCE'!$H$3:$H$232,$P47)</f>
        <v/>
      </c>
      <c r="O47">
        <f>INDEX('LIVE SOURCE'!$J$3:$J$232,$P47)</f>
        <v/>
      </c>
      <c r="P47" s="6">
        <f>MATCH($A47,'Draft Engine'!$Q$3:$Q$232,0)</f>
        <v/>
      </c>
    </row>
    <row r="48">
      <c r="A48">
        <f>46</f>
        <v/>
      </c>
      <c r="B48">
        <f>INDEX('Draft Engine'!$A$3:$A$232,$P48)</f>
        <v/>
      </c>
      <c r="C48">
        <f>INDEX('Draft Engine'!$F$3:$F$232,$P48)</f>
        <v/>
      </c>
      <c r="D48">
        <f>INDEX('Draft Engine'!$B$3:$B$232,$P48)</f>
        <v/>
      </c>
      <c r="E48" s="4">
        <f>INDEX('Draft Engine'!$E$3:$E$232,$P48)</f>
        <v/>
      </c>
      <c r="F48">
        <f>IF($E48&gt;=95,"ELITE",IF($E48&gt;=90,"TIER 1",IF($E48&gt;=85,"TIER 2",IF($E48&gt;=80,"TIER 3",IF($E48&gt;=75,"TIER 4",IF($E48&gt;=70,"TIER 5",IF($E48&gt;=65,"TIER 6","TIER 7")))))))</f>
        <v/>
      </c>
      <c r="G48" s="4">
        <f>INDEX('Draft Engine'!$G$3:$G$232,$P48)</f>
        <v/>
      </c>
      <c r="H48" s="4">
        <f>INDEX('Draft Engine'!$J$3:$J$232,$P48)</f>
        <v/>
      </c>
      <c r="I48" s="4">
        <f>INDEX('Draft Engine'!$N$3:$N$232,$P48)</f>
        <v/>
      </c>
      <c r="J48" s="4">
        <f>INDEX('Draft Engine'!$R$3:$R$232,$P48)</f>
        <v/>
      </c>
      <c r="K48" s="4">
        <f>INDEX('Draft Engine'!$S$3:$S$232,$P48)</f>
        <v/>
      </c>
      <c r="L48">
        <f>INDEX('Draft Engine'!$T$3:$T$232,$P48)</f>
        <v/>
      </c>
      <c r="M48">
        <f>INDEX('Draft Engine'!$X$3:$X$232,$P48)</f>
        <v/>
      </c>
      <c r="N48">
        <f>INDEX('LIVE SOURCE'!$H$3:$H$232,$P48)</f>
        <v/>
      </c>
      <c r="O48">
        <f>INDEX('LIVE SOURCE'!$J$3:$J$232,$P48)</f>
        <v/>
      </c>
      <c r="P48" s="6">
        <f>MATCH($A48,'Draft Engine'!$Q$3:$Q$232,0)</f>
        <v/>
      </c>
    </row>
    <row r="49">
      <c r="A49">
        <f>47</f>
        <v/>
      </c>
      <c r="B49">
        <f>INDEX('Draft Engine'!$A$3:$A$232,$P49)</f>
        <v/>
      </c>
      <c r="C49">
        <f>INDEX('Draft Engine'!$F$3:$F$232,$P49)</f>
        <v/>
      </c>
      <c r="D49">
        <f>INDEX('Draft Engine'!$B$3:$B$232,$P49)</f>
        <v/>
      </c>
      <c r="E49" s="4">
        <f>INDEX('Draft Engine'!$E$3:$E$232,$P49)</f>
        <v/>
      </c>
      <c r="F49">
        <f>IF($E49&gt;=95,"ELITE",IF($E49&gt;=90,"TIER 1",IF($E49&gt;=85,"TIER 2",IF($E49&gt;=80,"TIER 3",IF($E49&gt;=75,"TIER 4",IF($E49&gt;=70,"TIER 5",IF($E49&gt;=65,"TIER 6","TIER 7")))))))</f>
        <v/>
      </c>
      <c r="G49" s="4">
        <f>INDEX('Draft Engine'!$G$3:$G$232,$P49)</f>
        <v/>
      </c>
      <c r="H49" s="4">
        <f>INDEX('Draft Engine'!$J$3:$J$232,$P49)</f>
        <v/>
      </c>
      <c r="I49" s="4">
        <f>INDEX('Draft Engine'!$N$3:$N$232,$P49)</f>
        <v/>
      </c>
      <c r="J49" s="4">
        <f>INDEX('Draft Engine'!$R$3:$R$232,$P49)</f>
        <v/>
      </c>
      <c r="K49" s="4">
        <f>INDEX('Draft Engine'!$S$3:$S$232,$P49)</f>
        <v/>
      </c>
      <c r="L49">
        <f>INDEX('Draft Engine'!$T$3:$T$232,$P49)</f>
        <v/>
      </c>
      <c r="M49">
        <f>INDEX('Draft Engine'!$X$3:$X$232,$P49)</f>
        <v/>
      </c>
      <c r="N49">
        <f>INDEX('LIVE SOURCE'!$H$3:$H$232,$P49)</f>
        <v/>
      </c>
      <c r="O49">
        <f>INDEX('LIVE SOURCE'!$J$3:$J$232,$P49)</f>
        <v/>
      </c>
      <c r="P49" s="6">
        <f>MATCH($A49,'Draft Engine'!$Q$3:$Q$232,0)</f>
        <v/>
      </c>
    </row>
    <row r="50">
      <c r="A50">
        <f>48</f>
        <v/>
      </c>
      <c r="B50">
        <f>INDEX('Draft Engine'!$A$3:$A$232,$P50)</f>
        <v/>
      </c>
      <c r="C50">
        <f>INDEX('Draft Engine'!$F$3:$F$232,$P50)</f>
        <v/>
      </c>
      <c r="D50">
        <f>INDEX('Draft Engine'!$B$3:$B$232,$P50)</f>
        <v/>
      </c>
      <c r="E50" s="4">
        <f>INDEX('Draft Engine'!$E$3:$E$232,$P50)</f>
        <v/>
      </c>
      <c r="F50">
        <f>IF($E50&gt;=95,"ELITE",IF($E50&gt;=90,"TIER 1",IF($E50&gt;=85,"TIER 2",IF($E50&gt;=80,"TIER 3",IF($E50&gt;=75,"TIER 4",IF($E50&gt;=70,"TIER 5",IF($E50&gt;=65,"TIER 6","TIER 7")))))))</f>
        <v/>
      </c>
      <c r="G50" s="4">
        <f>INDEX('Draft Engine'!$G$3:$G$232,$P50)</f>
        <v/>
      </c>
      <c r="H50" s="4">
        <f>INDEX('Draft Engine'!$J$3:$J$232,$P50)</f>
        <v/>
      </c>
      <c r="I50" s="4">
        <f>INDEX('Draft Engine'!$N$3:$N$232,$P50)</f>
        <v/>
      </c>
      <c r="J50" s="4">
        <f>INDEX('Draft Engine'!$R$3:$R$232,$P50)</f>
        <v/>
      </c>
      <c r="K50" s="4">
        <f>INDEX('Draft Engine'!$S$3:$S$232,$P50)</f>
        <v/>
      </c>
      <c r="L50">
        <f>INDEX('Draft Engine'!$T$3:$T$232,$P50)</f>
        <v/>
      </c>
      <c r="M50">
        <f>INDEX('Draft Engine'!$X$3:$X$232,$P50)</f>
        <v/>
      </c>
      <c r="N50">
        <f>INDEX('LIVE SOURCE'!$H$3:$H$232,$P50)</f>
        <v/>
      </c>
      <c r="O50">
        <f>INDEX('LIVE SOURCE'!$J$3:$J$232,$P50)</f>
        <v/>
      </c>
      <c r="P50" s="6">
        <f>MATCH($A50,'Draft Engine'!$Q$3:$Q$232,0)</f>
        <v/>
      </c>
    </row>
    <row r="51">
      <c r="A51">
        <f>49</f>
        <v/>
      </c>
      <c r="B51">
        <f>INDEX('Draft Engine'!$A$3:$A$232,$P51)</f>
        <v/>
      </c>
      <c r="C51">
        <f>INDEX('Draft Engine'!$F$3:$F$232,$P51)</f>
        <v/>
      </c>
      <c r="D51">
        <f>INDEX('Draft Engine'!$B$3:$B$232,$P51)</f>
        <v/>
      </c>
      <c r="E51" s="4">
        <f>INDEX('Draft Engine'!$E$3:$E$232,$P51)</f>
        <v/>
      </c>
      <c r="F51">
        <f>IF($E51&gt;=95,"ELITE",IF($E51&gt;=90,"TIER 1",IF($E51&gt;=85,"TIER 2",IF($E51&gt;=80,"TIER 3",IF($E51&gt;=75,"TIER 4",IF($E51&gt;=70,"TIER 5",IF($E51&gt;=65,"TIER 6","TIER 7")))))))</f>
        <v/>
      </c>
      <c r="G51" s="4">
        <f>INDEX('Draft Engine'!$G$3:$G$232,$P51)</f>
        <v/>
      </c>
      <c r="H51" s="4">
        <f>INDEX('Draft Engine'!$J$3:$J$232,$P51)</f>
        <v/>
      </c>
      <c r="I51" s="4">
        <f>INDEX('Draft Engine'!$N$3:$N$232,$P51)</f>
        <v/>
      </c>
      <c r="J51" s="4">
        <f>INDEX('Draft Engine'!$R$3:$R$232,$P51)</f>
        <v/>
      </c>
      <c r="K51" s="4">
        <f>INDEX('Draft Engine'!$S$3:$S$232,$P51)</f>
        <v/>
      </c>
      <c r="L51">
        <f>INDEX('Draft Engine'!$T$3:$T$232,$P51)</f>
        <v/>
      </c>
      <c r="M51">
        <f>INDEX('Draft Engine'!$X$3:$X$232,$P51)</f>
        <v/>
      </c>
      <c r="N51">
        <f>INDEX('LIVE SOURCE'!$H$3:$H$232,$P51)</f>
        <v/>
      </c>
      <c r="O51">
        <f>INDEX('LIVE SOURCE'!$J$3:$J$232,$P51)</f>
        <v/>
      </c>
      <c r="P51" s="6">
        <f>MATCH($A51,'Draft Engine'!$Q$3:$Q$232,0)</f>
        <v/>
      </c>
    </row>
    <row r="52">
      <c r="A52">
        <f>50</f>
        <v/>
      </c>
      <c r="B52">
        <f>INDEX('Draft Engine'!$A$3:$A$232,$P52)</f>
        <v/>
      </c>
      <c r="C52">
        <f>INDEX('Draft Engine'!$F$3:$F$232,$P52)</f>
        <v/>
      </c>
      <c r="D52">
        <f>INDEX('Draft Engine'!$B$3:$B$232,$P52)</f>
        <v/>
      </c>
      <c r="E52" s="4">
        <f>INDEX('Draft Engine'!$E$3:$E$232,$P52)</f>
        <v/>
      </c>
      <c r="F52">
        <f>IF($E52&gt;=95,"ELITE",IF($E52&gt;=90,"TIER 1",IF($E52&gt;=85,"TIER 2",IF($E52&gt;=80,"TIER 3",IF($E52&gt;=75,"TIER 4",IF($E52&gt;=70,"TIER 5",IF($E52&gt;=65,"TIER 6","TIER 7")))))))</f>
        <v/>
      </c>
      <c r="G52" s="4">
        <f>INDEX('Draft Engine'!$G$3:$G$232,$P52)</f>
        <v/>
      </c>
      <c r="H52" s="4">
        <f>INDEX('Draft Engine'!$J$3:$J$232,$P52)</f>
        <v/>
      </c>
      <c r="I52" s="4">
        <f>INDEX('Draft Engine'!$N$3:$N$232,$P52)</f>
        <v/>
      </c>
      <c r="J52" s="4">
        <f>INDEX('Draft Engine'!$R$3:$R$232,$P52)</f>
        <v/>
      </c>
      <c r="K52" s="4">
        <f>INDEX('Draft Engine'!$S$3:$S$232,$P52)</f>
        <v/>
      </c>
      <c r="L52">
        <f>INDEX('Draft Engine'!$T$3:$T$232,$P52)</f>
        <v/>
      </c>
      <c r="M52">
        <f>INDEX('Draft Engine'!$X$3:$X$232,$P52)</f>
        <v/>
      </c>
      <c r="N52">
        <f>INDEX('LIVE SOURCE'!$H$3:$H$232,$P52)</f>
        <v/>
      </c>
      <c r="O52">
        <f>INDEX('LIVE SOURCE'!$J$3:$J$232,$P52)</f>
        <v/>
      </c>
      <c r="P52" s="6">
        <f>MATCH($A52,'Draft Engine'!$Q$3:$Q$232,0)</f>
        <v/>
      </c>
    </row>
    <row r="53">
      <c r="A53">
        <f>51</f>
        <v/>
      </c>
      <c r="B53">
        <f>INDEX('Draft Engine'!$A$3:$A$232,$P53)</f>
        <v/>
      </c>
      <c r="C53">
        <f>INDEX('Draft Engine'!$F$3:$F$232,$P53)</f>
        <v/>
      </c>
      <c r="D53">
        <f>INDEX('Draft Engine'!$B$3:$B$232,$P53)</f>
        <v/>
      </c>
      <c r="E53" s="4">
        <f>INDEX('Draft Engine'!$E$3:$E$232,$P53)</f>
        <v/>
      </c>
      <c r="F53">
        <f>IF($E53&gt;=95,"ELITE",IF($E53&gt;=90,"TIER 1",IF($E53&gt;=85,"TIER 2",IF($E53&gt;=80,"TIER 3",IF($E53&gt;=75,"TIER 4",IF($E53&gt;=70,"TIER 5",IF($E53&gt;=65,"TIER 6","TIER 7")))))))</f>
        <v/>
      </c>
      <c r="G53" s="4">
        <f>INDEX('Draft Engine'!$G$3:$G$232,$P53)</f>
        <v/>
      </c>
      <c r="H53" s="4">
        <f>INDEX('Draft Engine'!$J$3:$J$232,$P53)</f>
        <v/>
      </c>
      <c r="I53" s="4">
        <f>INDEX('Draft Engine'!$N$3:$N$232,$P53)</f>
        <v/>
      </c>
      <c r="J53" s="4">
        <f>INDEX('Draft Engine'!$R$3:$R$232,$P53)</f>
        <v/>
      </c>
      <c r="K53" s="4">
        <f>INDEX('Draft Engine'!$S$3:$S$232,$P53)</f>
        <v/>
      </c>
      <c r="L53">
        <f>INDEX('Draft Engine'!$T$3:$T$232,$P53)</f>
        <v/>
      </c>
      <c r="M53">
        <f>INDEX('Draft Engine'!$X$3:$X$232,$P53)</f>
        <v/>
      </c>
      <c r="N53">
        <f>INDEX('LIVE SOURCE'!$H$3:$H$232,$P53)</f>
        <v/>
      </c>
      <c r="O53">
        <f>INDEX('LIVE SOURCE'!$J$3:$J$232,$P53)</f>
        <v/>
      </c>
      <c r="P53" s="6">
        <f>MATCH($A53,'Draft Engine'!$Q$3:$Q$232,0)</f>
        <v/>
      </c>
    </row>
    <row r="54">
      <c r="A54">
        <f>52</f>
        <v/>
      </c>
      <c r="B54">
        <f>INDEX('Draft Engine'!$A$3:$A$232,$P54)</f>
        <v/>
      </c>
      <c r="C54">
        <f>INDEX('Draft Engine'!$F$3:$F$232,$P54)</f>
        <v/>
      </c>
      <c r="D54">
        <f>INDEX('Draft Engine'!$B$3:$B$232,$P54)</f>
        <v/>
      </c>
      <c r="E54" s="4">
        <f>INDEX('Draft Engine'!$E$3:$E$232,$P54)</f>
        <v/>
      </c>
      <c r="F54">
        <f>IF($E54&gt;=95,"ELITE",IF($E54&gt;=90,"TIER 1",IF($E54&gt;=85,"TIER 2",IF($E54&gt;=80,"TIER 3",IF($E54&gt;=75,"TIER 4",IF($E54&gt;=70,"TIER 5",IF($E54&gt;=65,"TIER 6","TIER 7")))))))</f>
        <v/>
      </c>
      <c r="G54" s="4">
        <f>INDEX('Draft Engine'!$G$3:$G$232,$P54)</f>
        <v/>
      </c>
      <c r="H54" s="4">
        <f>INDEX('Draft Engine'!$J$3:$J$232,$P54)</f>
        <v/>
      </c>
      <c r="I54" s="4">
        <f>INDEX('Draft Engine'!$N$3:$N$232,$P54)</f>
        <v/>
      </c>
      <c r="J54" s="4">
        <f>INDEX('Draft Engine'!$R$3:$R$232,$P54)</f>
        <v/>
      </c>
      <c r="K54" s="4">
        <f>INDEX('Draft Engine'!$S$3:$S$232,$P54)</f>
        <v/>
      </c>
      <c r="L54">
        <f>INDEX('Draft Engine'!$T$3:$T$232,$P54)</f>
        <v/>
      </c>
      <c r="M54">
        <f>INDEX('Draft Engine'!$X$3:$X$232,$P54)</f>
        <v/>
      </c>
      <c r="N54">
        <f>INDEX('LIVE SOURCE'!$H$3:$H$232,$P54)</f>
        <v/>
      </c>
      <c r="O54">
        <f>INDEX('LIVE SOURCE'!$J$3:$J$232,$P54)</f>
        <v/>
      </c>
      <c r="P54" s="6">
        <f>MATCH($A54,'Draft Engine'!$Q$3:$Q$232,0)</f>
        <v/>
      </c>
    </row>
    <row r="55">
      <c r="A55">
        <f>53</f>
        <v/>
      </c>
      <c r="B55">
        <f>INDEX('Draft Engine'!$A$3:$A$232,$P55)</f>
        <v/>
      </c>
      <c r="C55">
        <f>INDEX('Draft Engine'!$F$3:$F$232,$P55)</f>
        <v/>
      </c>
      <c r="D55">
        <f>INDEX('Draft Engine'!$B$3:$B$232,$P55)</f>
        <v/>
      </c>
      <c r="E55" s="4">
        <f>INDEX('Draft Engine'!$E$3:$E$232,$P55)</f>
        <v/>
      </c>
      <c r="F55">
        <f>IF($E55&gt;=95,"ELITE",IF($E55&gt;=90,"TIER 1",IF($E55&gt;=85,"TIER 2",IF($E55&gt;=80,"TIER 3",IF($E55&gt;=75,"TIER 4",IF($E55&gt;=70,"TIER 5",IF($E55&gt;=65,"TIER 6","TIER 7")))))))</f>
        <v/>
      </c>
      <c r="G55" s="4">
        <f>INDEX('Draft Engine'!$G$3:$G$232,$P55)</f>
        <v/>
      </c>
      <c r="H55" s="4">
        <f>INDEX('Draft Engine'!$J$3:$J$232,$P55)</f>
        <v/>
      </c>
      <c r="I55" s="4">
        <f>INDEX('Draft Engine'!$N$3:$N$232,$P55)</f>
        <v/>
      </c>
      <c r="J55" s="4">
        <f>INDEX('Draft Engine'!$R$3:$R$232,$P55)</f>
        <v/>
      </c>
      <c r="K55" s="4">
        <f>INDEX('Draft Engine'!$S$3:$S$232,$P55)</f>
        <v/>
      </c>
      <c r="L55">
        <f>INDEX('Draft Engine'!$T$3:$T$232,$P55)</f>
        <v/>
      </c>
      <c r="M55">
        <f>INDEX('Draft Engine'!$X$3:$X$232,$P55)</f>
        <v/>
      </c>
      <c r="N55">
        <f>INDEX('LIVE SOURCE'!$H$3:$H$232,$P55)</f>
        <v/>
      </c>
      <c r="O55">
        <f>INDEX('LIVE SOURCE'!$J$3:$J$232,$P55)</f>
        <v/>
      </c>
      <c r="P55" s="6">
        <f>MATCH($A55,'Draft Engine'!$Q$3:$Q$232,0)</f>
        <v/>
      </c>
    </row>
    <row r="56">
      <c r="A56">
        <f>54</f>
        <v/>
      </c>
      <c r="B56">
        <f>INDEX('Draft Engine'!$A$3:$A$232,$P56)</f>
        <v/>
      </c>
      <c r="C56">
        <f>INDEX('Draft Engine'!$F$3:$F$232,$P56)</f>
        <v/>
      </c>
      <c r="D56">
        <f>INDEX('Draft Engine'!$B$3:$B$232,$P56)</f>
        <v/>
      </c>
      <c r="E56" s="4">
        <f>INDEX('Draft Engine'!$E$3:$E$232,$P56)</f>
        <v/>
      </c>
      <c r="F56">
        <f>IF($E56&gt;=95,"ELITE",IF($E56&gt;=90,"TIER 1",IF($E56&gt;=85,"TIER 2",IF($E56&gt;=80,"TIER 3",IF($E56&gt;=75,"TIER 4",IF($E56&gt;=70,"TIER 5",IF($E56&gt;=65,"TIER 6","TIER 7")))))))</f>
        <v/>
      </c>
      <c r="G56" s="4">
        <f>INDEX('Draft Engine'!$G$3:$G$232,$P56)</f>
        <v/>
      </c>
      <c r="H56" s="4">
        <f>INDEX('Draft Engine'!$J$3:$J$232,$P56)</f>
        <v/>
      </c>
      <c r="I56" s="4">
        <f>INDEX('Draft Engine'!$N$3:$N$232,$P56)</f>
        <v/>
      </c>
      <c r="J56" s="4">
        <f>INDEX('Draft Engine'!$R$3:$R$232,$P56)</f>
        <v/>
      </c>
      <c r="K56" s="4">
        <f>INDEX('Draft Engine'!$S$3:$S$232,$P56)</f>
        <v/>
      </c>
      <c r="L56">
        <f>INDEX('Draft Engine'!$T$3:$T$232,$P56)</f>
        <v/>
      </c>
      <c r="M56">
        <f>INDEX('Draft Engine'!$X$3:$X$232,$P56)</f>
        <v/>
      </c>
      <c r="N56">
        <f>INDEX('LIVE SOURCE'!$H$3:$H$232,$P56)</f>
        <v/>
      </c>
      <c r="O56">
        <f>INDEX('LIVE SOURCE'!$J$3:$J$232,$P56)</f>
        <v/>
      </c>
      <c r="P56" s="6">
        <f>MATCH($A56,'Draft Engine'!$Q$3:$Q$232,0)</f>
        <v/>
      </c>
    </row>
    <row r="57">
      <c r="A57">
        <f>55</f>
        <v/>
      </c>
      <c r="B57">
        <f>INDEX('Draft Engine'!$A$3:$A$232,$P57)</f>
        <v/>
      </c>
      <c r="C57">
        <f>INDEX('Draft Engine'!$F$3:$F$232,$P57)</f>
        <v/>
      </c>
      <c r="D57">
        <f>INDEX('Draft Engine'!$B$3:$B$232,$P57)</f>
        <v/>
      </c>
      <c r="E57" s="4">
        <f>INDEX('Draft Engine'!$E$3:$E$232,$P57)</f>
        <v/>
      </c>
      <c r="F57">
        <f>IF($E57&gt;=95,"ELITE",IF($E57&gt;=90,"TIER 1",IF($E57&gt;=85,"TIER 2",IF($E57&gt;=80,"TIER 3",IF($E57&gt;=75,"TIER 4",IF($E57&gt;=70,"TIER 5",IF($E57&gt;=65,"TIER 6","TIER 7")))))))</f>
        <v/>
      </c>
      <c r="G57" s="4">
        <f>INDEX('Draft Engine'!$G$3:$G$232,$P57)</f>
        <v/>
      </c>
      <c r="H57" s="4">
        <f>INDEX('Draft Engine'!$J$3:$J$232,$P57)</f>
        <v/>
      </c>
      <c r="I57" s="4">
        <f>INDEX('Draft Engine'!$N$3:$N$232,$P57)</f>
        <v/>
      </c>
      <c r="J57" s="4">
        <f>INDEX('Draft Engine'!$R$3:$R$232,$P57)</f>
        <v/>
      </c>
      <c r="K57" s="4">
        <f>INDEX('Draft Engine'!$S$3:$S$232,$P57)</f>
        <v/>
      </c>
      <c r="L57">
        <f>INDEX('Draft Engine'!$T$3:$T$232,$P57)</f>
        <v/>
      </c>
      <c r="M57">
        <f>INDEX('Draft Engine'!$X$3:$X$232,$P57)</f>
        <v/>
      </c>
      <c r="N57">
        <f>INDEX('LIVE SOURCE'!$H$3:$H$232,$P57)</f>
        <v/>
      </c>
      <c r="O57">
        <f>INDEX('LIVE SOURCE'!$J$3:$J$232,$P57)</f>
        <v/>
      </c>
      <c r="P57" s="6">
        <f>MATCH($A57,'Draft Engine'!$Q$3:$Q$232,0)</f>
        <v/>
      </c>
    </row>
    <row r="58">
      <c r="A58">
        <f>56</f>
        <v/>
      </c>
      <c r="B58">
        <f>INDEX('Draft Engine'!$A$3:$A$232,$P58)</f>
        <v/>
      </c>
      <c r="C58">
        <f>INDEX('Draft Engine'!$F$3:$F$232,$P58)</f>
        <v/>
      </c>
      <c r="D58">
        <f>INDEX('Draft Engine'!$B$3:$B$232,$P58)</f>
        <v/>
      </c>
      <c r="E58" s="4">
        <f>INDEX('Draft Engine'!$E$3:$E$232,$P58)</f>
        <v/>
      </c>
      <c r="F58">
        <f>IF($E58&gt;=95,"ELITE",IF($E58&gt;=90,"TIER 1",IF($E58&gt;=85,"TIER 2",IF($E58&gt;=80,"TIER 3",IF($E58&gt;=75,"TIER 4",IF($E58&gt;=70,"TIER 5",IF($E58&gt;=65,"TIER 6","TIER 7")))))))</f>
        <v/>
      </c>
      <c r="G58" s="4">
        <f>INDEX('Draft Engine'!$G$3:$G$232,$P58)</f>
        <v/>
      </c>
      <c r="H58" s="4">
        <f>INDEX('Draft Engine'!$J$3:$J$232,$P58)</f>
        <v/>
      </c>
      <c r="I58" s="4">
        <f>INDEX('Draft Engine'!$N$3:$N$232,$P58)</f>
        <v/>
      </c>
      <c r="J58" s="4">
        <f>INDEX('Draft Engine'!$R$3:$R$232,$P58)</f>
        <v/>
      </c>
      <c r="K58" s="4">
        <f>INDEX('Draft Engine'!$S$3:$S$232,$P58)</f>
        <v/>
      </c>
      <c r="L58">
        <f>INDEX('Draft Engine'!$T$3:$T$232,$P58)</f>
        <v/>
      </c>
      <c r="M58">
        <f>INDEX('Draft Engine'!$X$3:$X$232,$P58)</f>
        <v/>
      </c>
      <c r="N58">
        <f>INDEX('LIVE SOURCE'!$H$3:$H$232,$P58)</f>
        <v/>
      </c>
      <c r="O58">
        <f>INDEX('LIVE SOURCE'!$J$3:$J$232,$P58)</f>
        <v/>
      </c>
      <c r="P58" s="6">
        <f>MATCH($A58,'Draft Engine'!$Q$3:$Q$232,0)</f>
        <v/>
      </c>
    </row>
    <row r="59">
      <c r="A59">
        <f>57</f>
        <v/>
      </c>
      <c r="B59">
        <f>INDEX('Draft Engine'!$A$3:$A$232,$P59)</f>
        <v/>
      </c>
      <c r="C59">
        <f>INDEX('Draft Engine'!$F$3:$F$232,$P59)</f>
        <v/>
      </c>
      <c r="D59">
        <f>INDEX('Draft Engine'!$B$3:$B$232,$P59)</f>
        <v/>
      </c>
      <c r="E59" s="4">
        <f>INDEX('Draft Engine'!$E$3:$E$232,$P59)</f>
        <v/>
      </c>
      <c r="F59">
        <f>IF($E59&gt;=95,"ELITE",IF($E59&gt;=90,"TIER 1",IF($E59&gt;=85,"TIER 2",IF($E59&gt;=80,"TIER 3",IF($E59&gt;=75,"TIER 4",IF($E59&gt;=70,"TIER 5",IF($E59&gt;=65,"TIER 6","TIER 7")))))))</f>
        <v/>
      </c>
      <c r="G59" s="4">
        <f>INDEX('Draft Engine'!$G$3:$G$232,$P59)</f>
        <v/>
      </c>
      <c r="H59" s="4">
        <f>INDEX('Draft Engine'!$J$3:$J$232,$P59)</f>
        <v/>
      </c>
      <c r="I59" s="4">
        <f>INDEX('Draft Engine'!$N$3:$N$232,$P59)</f>
        <v/>
      </c>
      <c r="J59" s="4">
        <f>INDEX('Draft Engine'!$R$3:$R$232,$P59)</f>
        <v/>
      </c>
      <c r="K59" s="4">
        <f>INDEX('Draft Engine'!$S$3:$S$232,$P59)</f>
        <v/>
      </c>
      <c r="L59">
        <f>INDEX('Draft Engine'!$T$3:$T$232,$P59)</f>
        <v/>
      </c>
      <c r="M59">
        <f>INDEX('Draft Engine'!$X$3:$X$232,$P59)</f>
        <v/>
      </c>
      <c r="N59">
        <f>INDEX('LIVE SOURCE'!$H$3:$H$232,$P59)</f>
        <v/>
      </c>
      <c r="O59">
        <f>INDEX('LIVE SOURCE'!$J$3:$J$232,$P59)</f>
        <v/>
      </c>
      <c r="P59" s="6">
        <f>MATCH($A59,'Draft Engine'!$Q$3:$Q$232,0)</f>
        <v/>
      </c>
    </row>
    <row r="60">
      <c r="A60">
        <f>58</f>
        <v/>
      </c>
      <c r="B60">
        <f>INDEX('Draft Engine'!$A$3:$A$232,$P60)</f>
        <v/>
      </c>
      <c r="C60">
        <f>INDEX('Draft Engine'!$F$3:$F$232,$P60)</f>
        <v/>
      </c>
      <c r="D60">
        <f>INDEX('Draft Engine'!$B$3:$B$232,$P60)</f>
        <v/>
      </c>
      <c r="E60" s="4">
        <f>INDEX('Draft Engine'!$E$3:$E$232,$P60)</f>
        <v/>
      </c>
      <c r="F60">
        <f>IF($E60&gt;=95,"ELITE",IF($E60&gt;=90,"TIER 1",IF($E60&gt;=85,"TIER 2",IF($E60&gt;=80,"TIER 3",IF($E60&gt;=75,"TIER 4",IF($E60&gt;=70,"TIER 5",IF($E60&gt;=65,"TIER 6","TIER 7")))))))</f>
        <v/>
      </c>
      <c r="G60" s="4">
        <f>INDEX('Draft Engine'!$G$3:$G$232,$P60)</f>
        <v/>
      </c>
      <c r="H60" s="4">
        <f>INDEX('Draft Engine'!$J$3:$J$232,$P60)</f>
        <v/>
      </c>
      <c r="I60" s="4">
        <f>INDEX('Draft Engine'!$N$3:$N$232,$P60)</f>
        <v/>
      </c>
      <c r="J60" s="4">
        <f>INDEX('Draft Engine'!$R$3:$R$232,$P60)</f>
        <v/>
      </c>
      <c r="K60" s="4">
        <f>INDEX('Draft Engine'!$S$3:$S$232,$P60)</f>
        <v/>
      </c>
      <c r="L60">
        <f>INDEX('Draft Engine'!$T$3:$T$232,$P60)</f>
        <v/>
      </c>
      <c r="M60">
        <f>INDEX('Draft Engine'!$X$3:$X$232,$P60)</f>
        <v/>
      </c>
      <c r="N60">
        <f>INDEX('LIVE SOURCE'!$H$3:$H$232,$P60)</f>
        <v/>
      </c>
      <c r="O60">
        <f>INDEX('LIVE SOURCE'!$J$3:$J$232,$P60)</f>
        <v/>
      </c>
      <c r="P60" s="6">
        <f>MATCH($A60,'Draft Engine'!$Q$3:$Q$232,0)</f>
        <v/>
      </c>
    </row>
    <row r="61">
      <c r="A61">
        <f>59</f>
        <v/>
      </c>
      <c r="B61">
        <f>INDEX('Draft Engine'!$A$3:$A$232,$P61)</f>
        <v/>
      </c>
      <c r="C61">
        <f>INDEX('Draft Engine'!$F$3:$F$232,$P61)</f>
        <v/>
      </c>
      <c r="D61">
        <f>INDEX('Draft Engine'!$B$3:$B$232,$P61)</f>
        <v/>
      </c>
      <c r="E61" s="4">
        <f>INDEX('Draft Engine'!$E$3:$E$232,$P61)</f>
        <v/>
      </c>
      <c r="F61">
        <f>IF($E61&gt;=95,"ELITE",IF($E61&gt;=90,"TIER 1",IF($E61&gt;=85,"TIER 2",IF($E61&gt;=80,"TIER 3",IF($E61&gt;=75,"TIER 4",IF($E61&gt;=70,"TIER 5",IF($E61&gt;=65,"TIER 6","TIER 7")))))))</f>
        <v/>
      </c>
      <c r="G61" s="4">
        <f>INDEX('Draft Engine'!$G$3:$G$232,$P61)</f>
        <v/>
      </c>
      <c r="H61" s="4">
        <f>INDEX('Draft Engine'!$J$3:$J$232,$P61)</f>
        <v/>
      </c>
      <c r="I61" s="4">
        <f>INDEX('Draft Engine'!$N$3:$N$232,$P61)</f>
        <v/>
      </c>
      <c r="J61" s="4">
        <f>INDEX('Draft Engine'!$R$3:$R$232,$P61)</f>
        <v/>
      </c>
      <c r="K61" s="4">
        <f>INDEX('Draft Engine'!$S$3:$S$232,$P61)</f>
        <v/>
      </c>
      <c r="L61">
        <f>INDEX('Draft Engine'!$T$3:$T$232,$P61)</f>
        <v/>
      </c>
      <c r="M61">
        <f>INDEX('Draft Engine'!$X$3:$X$232,$P61)</f>
        <v/>
      </c>
      <c r="N61">
        <f>INDEX('LIVE SOURCE'!$H$3:$H$232,$P61)</f>
        <v/>
      </c>
      <c r="O61">
        <f>INDEX('LIVE SOURCE'!$J$3:$J$232,$P61)</f>
        <v/>
      </c>
      <c r="P61" s="6">
        <f>MATCH($A61,'Draft Engine'!$Q$3:$Q$232,0)</f>
        <v/>
      </c>
    </row>
    <row r="62">
      <c r="A62">
        <f>60</f>
        <v/>
      </c>
      <c r="B62">
        <f>INDEX('Draft Engine'!$A$3:$A$232,$P62)</f>
        <v/>
      </c>
      <c r="C62">
        <f>INDEX('Draft Engine'!$F$3:$F$232,$P62)</f>
        <v/>
      </c>
      <c r="D62">
        <f>INDEX('Draft Engine'!$B$3:$B$232,$P62)</f>
        <v/>
      </c>
      <c r="E62" s="4">
        <f>INDEX('Draft Engine'!$E$3:$E$232,$P62)</f>
        <v/>
      </c>
      <c r="F62">
        <f>IF($E62&gt;=95,"ELITE",IF($E62&gt;=90,"TIER 1",IF($E62&gt;=85,"TIER 2",IF($E62&gt;=80,"TIER 3",IF($E62&gt;=75,"TIER 4",IF($E62&gt;=70,"TIER 5",IF($E62&gt;=65,"TIER 6","TIER 7")))))))</f>
        <v/>
      </c>
      <c r="G62" s="4">
        <f>INDEX('Draft Engine'!$G$3:$G$232,$P62)</f>
        <v/>
      </c>
      <c r="H62" s="4">
        <f>INDEX('Draft Engine'!$J$3:$J$232,$P62)</f>
        <v/>
      </c>
      <c r="I62" s="4">
        <f>INDEX('Draft Engine'!$N$3:$N$232,$P62)</f>
        <v/>
      </c>
      <c r="J62" s="4">
        <f>INDEX('Draft Engine'!$R$3:$R$232,$P62)</f>
        <v/>
      </c>
      <c r="K62" s="4">
        <f>INDEX('Draft Engine'!$S$3:$S$232,$P62)</f>
        <v/>
      </c>
      <c r="L62">
        <f>INDEX('Draft Engine'!$T$3:$T$232,$P62)</f>
        <v/>
      </c>
      <c r="M62">
        <f>INDEX('Draft Engine'!$X$3:$X$232,$P62)</f>
        <v/>
      </c>
      <c r="N62">
        <f>INDEX('LIVE SOURCE'!$H$3:$H$232,$P62)</f>
        <v/>
      </c>
      <c r="O62">
        <f>INDEX('LIVE SOURCE'!$J$3:$J$232,$P62)</f>
        <v/>
      </c>
      <c r="P62" s="6">
        <f>MATCH($A62,'Draft Engine'!$Q$3:$Q$232,0)</f>
        <v/>
      </c>
    </row>
    <row r="63">
      <c r="A63">
        <f>61</f>
        <v/>
      </c>
      <c r="B63">
        <f>INDEX('Draft Engine'!$A$3:$A$232,$P63)</f>
        <v/>
      </c>
      <c r="C63">
        <f>INDEX('Draft Engine'!$F$3:$F$232,$P63)</f>
        <v/>
      </c>
      <c r="D63">
        <f>INDEX('Draft Engine'!$B$3:$B$232,$P63)</f>
        <v/>
      </c>
      <c r="E63" s="4">
        <f>INDEX('Draft Engine'!$E$3:$E$232,$P63)</f>
        <v/>
      </c>
      <c r="F63">
        <f>IF($E63&gt;=95,"ELITE",IF($E63&gt;=90,"TIER 1",IF($E63&gt;=85,"TIER 2",IF($E63&gt;=80,"TIER 3",IF($E63&gt;=75,"TIER 4",IF($E63&gt;=70,"TIER 5",IF($E63&gt;=65,"TIER 6","TIER 7")))))))</f>
        <v/>
      </c>
      <c r="G63" s="4">
        <f>INDEX('Draft Engine'!$G$3:$G$232,$P63)</f>
        <v/>
      </c>
      <c r="H63" s="4">
        <f>INDEX('Draft Engine'!$J$3:$J$232,$P63)</f>
        <v/>
      </c>
      <c r="I63" s="4">
        <f>INDEX('Draft Engine'!$N$3:$N$232,$P63)</f>
        <v/>
      </c>
      <c r="J63" s="4">
        <f>INDEX('Draft Engine'!$R$3:$R$232,$P63)</f>
        <v/>
      </c>
      <c r="K63" s="4">
        <f>INDEX('Draft Engine'!$S$3:$S$232,$P63)</f>
        <v/>
      </c>
      <c r="L63">
        <f>INDEX('Draft Engine'!$T$3:$T$232,$P63)</f>
        <v/>
      </c>
      <c r="M63">
        <f>INDEX('Draft Engine'!$X$3:$X$232,$P63)</f>
        <v/>
      </c>
      <c r="N63">
        <f>INDEX('LIVE SOURCE'!$H$3:$H$232,$P63)</f>
        <v/>
      </c>
      <c r="O63">
        <f>INDEX('LIVE SOURCE'!$J$3:$J$232,$P63)</f>
        <v/>
      </c>
      <c r="P63" s="6">
        <f>MATCH($A63,'Draft Engine'!$Q$3:$Q$232,0)</f>
        <v/>
      </c>
    </row>
    <row r="64">
      <c r="A64">
        <f>62</f>
        <v/>
      </c>
      <c r="B64">
        <f>INDEX('Draft Engine'!$A$3:$A$232,$P64)</f>
        <v/>
      </c>
      <c r="C64">
        <f>INDEX('Draft Engine'!$F$3:$F$232,$P64)</f>
        <v/>
      </c>
      <c r="D64">
        <f>INDEX('Draft Engine'!$B$3:$B$232,$P64)</f>
        <v/>
      </c>
      <c r="E64" s="4">
        <f>INDEX('Draft Engine'!$E$3:$E$232,$P64)</f>
        <v/>
      </c>
      <c r="F64">
        <f>IF($E64&gt;=95,"ELITE",IF($E64&gt;=90,"TIER 1",IF($E64&gt;=85,"TIER 2",IF($E64&gt;=80,"TIER 3",IF($E64&gt;=75,"TIER 4",IF($E64&gt;=70,"TIER 5",IF($E64&gt;=65,"TIER 6","TIER 7")))))))</f>
        <v/>
      </c>
      <c r="G64" s="4">
        <f>INDEX('Draft Engine'!$G$3:$G$232,$P64)</f>
        <v/>
      </c>
      <c r="H64" s="4">
        <f>INDEX('Draft Engine'!$J$3:$J$232,$P64)</f>
        <v/>
      </c>
      <c r="I64" s="4">
        <f>INDEX('Draft Engine'!$N$3:$N$232,$P64)</f>
        <v/>
      </c>
      <c r="J64" s="4">
        <f>INDEX('Draft Engine'!$R$3:$R$232,$P64)</f>
        <v/>
      </c>
      <c r="K64" s="4">
        <f>INDEX('Draft Engine'!$S$3:$S$232,$P64)</f>
        <v/>
      </c>
      <c r="L64">
        <f>INDEX('Draft Engine'!$T$3:$T$232,$P64)</f>
        <v/>
      </c>
      <c r="M64">
        <f>INDEX('Draft Engine'!$X$3:$X$232,$P64)</f>
        <v/>
      </c>
      <c r="N64">
        <f>INDEX('LIVE SOURCE'!$H$3:$H$232,$P64)</f>
        <v/>
      </c>
      <c r="O64">
        <f>INDEX('LIVE SOURCE'!$J$3:$J$232,$P64)</f>
        <v/>
      </c>
      <c r="P64" s="6">
        <f>MATCH($A64,'Draft Engine'!$Q$3:$Q$232,0)</f>
        <v/>
      </c>
    </row>
    <row r="65">
      <c r="A65">
        <f>63</f>
        <v/>
      </c>
      <c r="B65">
        <f>INDEX('Draft Engine'!$A$3:$A$232,$P65)</f>
        <v/>
      </c>
      <c r="C65">
        <f>INDEX('Draft Engine'!$F$3:$F$232,$P65)</f>
        <v/>
      </c>
      <c r="D65">
        <f>INDEX('Draft Engine'!$B$3:$B$232,$P65)</f>
        <v/>
      </c>
      <c r="E65" s="4">
        <f>INDEX('Draft Engine'!$E$3:$E$232,$P65)</f>
        <v/>
      </c>
      <c r="F65">
        <f>IF($E65&gt;=95,"ELITE",IF($E65&gt;=90,"TIER 1",IF($E65&gt;=85,"TIER 2",IF($E65&gt;=80,"TIER 3",IF($E65&gt;=75,"TIER 4",IF($E65&gt;=70,"TIER 5",IF($E65&gt;=65,"TIER 6","TIER 7")))))))</f>
        <v/>
      </c>
      <c r="G65" s="4">
        <f>INDEX('Draft Engine'!$G$3:$G$232,$P65)</f>
        <v/>
      </c>
      <c r="H65" s="4">
        <f>INDEX('Draft Engine'!$J$3:$J$232,$P65)</f>
        <v/>
      </c>
      <c r="I65" s="4">
        <f>INDEX('Draft Engine'!$N$3:$N$232,$P65)</f>
        <v/>
      </c>
      <c r="J65" s="4">
        <f>INDEX('Draft Engine'!$R$3:$R$232,$P65)</f>
        <v/>
      </c>
      <c r="K65" s="4">
        <f>INDEX('Draft Engine'!$S$3:$S$232,$P65)</f>
        <v/>
      </c>
      <c r="L65">
        <f>INDEX('Draft Engine'!$T$3:$T$232,$P65)</f>
        <v/>
      </c>
      <c r="M65">
        <f>INDEX('Draft Engine'!$X$3:$X$232,$P65)</f>
        <v/>
      </c>
      <c r="N65">
        <f>INDEX('LIVE SOURCE'!$H$3:$H$232,$P65)</f>
        <v/>
      </c>
      <c r="O65">
        <f>INDEX('LIVE SOURCE'!$J$3:$J$232,$P65)</f>
        <v/>
      </c>
      <c r="P65" s="6">
        <f>MATCH($A65,'Draft Engine'!$Q$3:$Q$232,0)</f>
        <v/>
      </c>
    </row>
    <row r="66">
      <c r="A66">
        <f>64</f>
        <v/>
      </c>
      <c r="B66">
        <f>INDEX('Draft Engine'!$A$3:$A$232,$P66)</f>
        <v/>
      </c>
      <c r="C66">
        <f>INDEX('Draft Engine'!$F$3:$F$232,$P66)</f>
        <v/>
      </c>
      <c r="D66">
        <f>INDEX('Draft Engine'!$B$3:$B$232,$P66)</f>
        <v/>
      </c>
      <c r="E66" s="4">
        <f>INDEX('Draft Engine'!$E$3:$E$232,$P66)</f>
        <v/>
      </c>
      <c r="F66">
        <f>IF($E66&gt;=95,"ELITE",IF($E66&gt;=90,"TIER 1",IF($E66&gt;=85,"TIER 2",IF($E66&gt;=80,"TIER 3",IF($E66&gt;=75,"TIER 4",IF($E66&gt;=70,"TIER 5",IF($E66&gt;=65,"TIER 6","TIER 7")))))))</f>
        <v/>
      </c>
      <c r="G66" s="4">
        <f>INDEX('Draft Engine'!$G$3:$G$232,$P66)</f>
        <v/>
      </c>
      <c r="H66" s="4">
        <f>INDEX('Draft Engine'!$J$3:$J$232,$P66)</f>
        <v/>
      </c>
      <c r="I66" s="4">
        <f>INDEX('Draft Engine'!$N$3:$N$232,$P66)</f>
        <v/>
      </c>
      <c r="J66" s="4">
        <f>INDEX('Draft Engine'!$R$3:$R$232,$P66)</f>
        <v/>
      </c>
      <c r="K66" s="4">
        <f>INDEX('Draft Engine'!$S$3:$S$232,$P66)</f>
        <v/>
      </c>
      <c r="L66">
        <f>INDEX('Draft Engine'!$T$3:$T$232,$P66)</f>
        <v/>
      </c>
      <c r="M66">
        <f>INDEX('Draft Engine'!$X$3:$X$232,$P66)</f>
        <v/>
      </c>
      <c r="N66">
        <f>INDEX('LIVE SOURCE'!$H$3:$H$232,$P66)</f>
        <v/>
      </c>
      <c r="O66">
        <f>INDEX('LIVE SOURCE'!$J$3:$J$232,$P66)</f>
        <v/>
      </c>
      <c r="P66" s="6">
        <f>MATCH($A66,'Draft Engine'!$Q$3:$Q$232,0)</f>
        <v/>
      </c>
    </row>
    <row r="67">
      <c r="A67">
        <f>65</f>
        <v/>
      </c>
      <c r="B67">
        <f>INDEX('Draft Engine'!$A$3:$A$232,$P67)</f>
        <v/>
      </c>
      <c r="C67">
        <f>INDEX('Draft Engine'!$F$3:$F$232,$P67)</f>
        <v/>
      </c>
      <c r="D67">
        <f>INDEX('Draft Engine'!$B$3:$B$232,$P67)</f>
        <v/>
      </c>
      <c r="E67" s="4">
        <f>INDEX('Draft Engine'!$E$3:$E$232,$P67)</f>
        <v/>
      </c>
      <c r="F67">
        <f>IF($E67&gt;=95,"ELITE",IF($E67&gt;=90,"TIER 1",IF($E67&gt;=85,"TIER 2",IF($E67&gt;=80,"TIER 3",IF($E67&gt;=75,"TIER 4",IF($E67&gt;=70,"TIER 5",IF($E67&gt;=65,"TIER 6","TIER 7")))))))</f>
        <v/>
      </c>
      <c r="G67" s="4">
        <f>INDEX('Draft Engine'!$G$3:$G$232,$P67)</f>
        <v/>
      </c>
      <c r="H67" s="4">
        <f>INDEX('Draft Engine'!$J$3:$J$232,$P67)</f>
        <v/>
      </c>
      <c r="I67" s="4">
        <f>INDEX('Draft Engine'!$N$3:$N$232,$P67)</f>
        <v/>
      </c>
      <c r="J67" s="4">
        <f>INDEX('Draft Engine'!$R$3:$R$232,$P67)</f>
        <v/>
      </c>
      <c r="K67" s="4">
        <f>INDEX('Draft Engine'!$S$3:$S$232,$P67)</f>
        <v/>
      </c>
      <c r="L67">
        <f>INDEX('Draft Engine'!$T$3:$T$232,$P67)</f>
        <v/>
      </c>
      <c r="M67">
        <f>INDEX('Draft Engine'!$X$3:$X$232,$P67)</f>
        <v/>
      </c>
      <c r="N67">
        <f>INDEX('LIVE SOURCE'!$H$3:$H$232,$P67)</f>
        <v/>
      </c>
      <c r="O67">
        <f>INDEX('LIVE SOURCE'!$J$3:$J$232,$P67)</f>
        <v/>
      </c>
      <c r="P67" s="6">
        <f>MATCH($A67,'Draft Engine'!$Q$3:$Q$232,0)</f>
        <v/>
      </c>
    </row>
    <row r="68">
      <c r="A68">
        <f>66</f>
        <v/>
      </c>
      <c r="B68">
        <f>INDEX('Draft Engine'!$A$3:$A$232,$P68)</f>
        <v/>
      </c>
      <c r="C68">
        <f>INDEX('Draft Engine'!$F$3:$F$232,$P68)</f>
        <v/>
      </c>
      <c r="D68">
        <f>INDEX('Draft Engine'!$B$3:$B$232,$P68)</f>
        <v/>
      </c>
      <c r="E68" s="4">
        <f>INDEX('Draft Engine'!$E$3:$E$232,$P68)</f>
        <v/>
      </c>
      <c r="F68">
        <f>IF($E68&gt;=95,"ELITE",IF($E68&gt;=90,"TIER 1",IF($E68&gt;=85,"TIER 2",IF($E68&gt;=80,"TIER 3",IF($E68&gt;=75,"TIER 4",IF($E68&gt;=70,"TIER 5",IF($E68&gt;=65,"TIER 6","TIER 7")))))))</f>
        <v/>
      </c>
      <c r="G68" s="4">
        <f>INDEX('Draft Engine'!$G$3:$G$232,$P68)</f>
        <v/>
      </c>
      <c r="H68" s="4">
        <f>INDEX('Draft Engine'!$J$3:$J$232,$P68)</f>
        <v/>
      </c>
      <c r="I68" s="4">
        <f>INDEX('Draft Engine'!$N$3:$N$232,$P68)</f>
        <v/>
      </c>
      <c r="J68" s="4">
        <f>INDEX('Draft Engine'!$R$3:$R$232,$P68)</f>
        <v/>
      </c>
      <c r="K68" s="4">
        <f>INDEX('Draft Engine'!$S$3:$S$232,$P68)</f>
        <v/>
      </c>
      <c r="L68">
        <f>INDEX('Draft Engine'!$T$3:$T$232,$P68)</f>
        <v/>
      </c>
      <c r="M68">
        <f>INDEX('Draft Engine'!$X$3:$X$232,$P68)</f>
        <v/>
      </c>
      <c r="N68">
        <f>INDEX('LIVE SOURCE'!$H$3:$H$232,$P68)</f>
        <v/>
      </c>
      <c r="O68">
        <f>INDEX('LIVE SOURCE'!$J$3:$J$232,$P68)</f>
        <v/>
      </c>
      <c r="P68" s="6">
        <f>MATCH($A68,'Draft Engine'!$Q$3:$Q$232,0)</f>
        <v/>
      </c>
    </row>
    <row r="69">
      <c r="A69">
        <f>67</f>
        <v/>
      </c>
      <c r="B69">
        <f>INDEX('Draft Engine'!$A$3:$A$232,$P69)</f>
        <v/>
      </c>
      <c r="C69">
        <f>INDEX('Draft Engine'!$F$3:$F$232,$P69)</f>
        <v/>
      </c>
      <c r="D69">
        <f>INDEX('Draft Engine'!$B$3:$B$232,$P69)</f>
        <v/>
      </c>
      <c r="E69" s="4">
        <f>INDEX('Draft Engine'!$E$3:$E$232,$P69)</f>
        <v/>
      </c>
      <c r="F69">
        <f>IF($E69&gt;=95,"ELITE",IF($E69&gt;=90,"TIER 1",IF($E69&gt;=85,"TIER 2",IF($E69&gt;=80,"TIER 3",IF($E69&gt;=75,"TIER 4",IF($E69&gt;=70,"TIER 5",IF($E69&gt;=65,"TIER 6","TIER 7")))))))</f>
        <v/>
      </c>
      <c r="G69" s="4">
        <f>INDEX('Draft Engine'!$G$3:$G$232,$P69)</f>
        <v/>
      </c>
      <c r="H69" s="4">
        <f>INDEX('Draft Engine'!$J$3:$J$232,$P69)</f>
        <v/>
      </c>
      <c r="I69" s="4">
        <f>INDEX('Draft Engine'!$N$3:$N$232,$P69)</f>
        <v/>
      </c>
      <c r="J69" s="4">
        <f>INDEX('Draft Engine'!$R$3:$R$232,$P69)</f>
        <v/>
      </c>
      <c r="K69" s="4">
        <f>INDEX('Draft Engine'!$S$3:$S$232,$P69)</f>
        <v/>
      </c>
      <c r="L69">
        <f>INDEX('Draft Engine'!$T$3:$T$232,$P69)</f>
        <v/>
      </c>
      <c r="M69">
        <f>INDEX('Draft Engine'!$X$3:$X$232,$P69)</f>
        <v/>
      </c>
      <c r="N69">
        <f>INDEX('LIVE SOURCE'!$H$3:$H$232,$P69)</f>
        <v/>
      </c>
      <c r="O69">
        <f>INDEX('LIVE SOURCE'!$J$3:$J$232,$P69)</f>
        <v/>
      </c>
      <c r="P69" s="6">
        <f>MATCH($A69,'Draft Engine'!$Q$3:$Q$232,0)</f>
        <v/>
      </c>
    </row>
    <row r="70">
      <c r="A70">
        <f>68</f>
        <v/>
      </c>
      <c r="B70">
        <f>INDEX('Draft Engine'!$A$3:$A$232,$P70)</f>
        <v/>
      </c>
      <c r="C70">
        <f>INDEX('Draft Engine'!$F$3:$F$232,$P70)</f>
        <v/>
      </c>
      <c r="D70">
        <f>INDEX('Draft Engine'!$B$3:$B$232,$P70)</f>
        <v/>
      </c>
      <c r="E70" s="4">
        <f>INDEX('Draft Engine'!$E$3:$E$232,$P70)</f>
        <v/>
      </c>
      <c r="F70">
        <f>IF($E70&gt;=95,"ELITE",IF($E70&gt;=90,"TIER 1",IF($E70&gt;=85,"TIER 2",IF($E70&gt;=80,"TIER 3",IF($E70&gt;=75,"TIER 4",IF($E70&gt;=70,"TIER 5",IF($E70&gt;=65,"TIER 6","TIER 7")))))))</f>
        <v/>
      </c>
      <c r="G70" s="4">
        <f>INDEX('Draft Engine'!$G$3:$G$232,$P70)</f>
        <v/>
      </c>
      <c r="H70" s="4">
        <f>INDEX('Draft Engine'!$J$3:$J$232,$P70)</f>
        <v/>
      </c>
      <c r="I70" s="4">
        <f>INDEX('Draft Engine'!$N$3:$N$232,$P70)</f>
        <v/>
      </c>
      <c r="J70" s="4">
        <f>INDEX('Draft Engine'!$R$3:$R$232,$P70)</f>
        <v/>
      </c>
      <c r="K70" s="4">
        <f>INDEX('Draft Engine'!$S$3:$S$232,$P70)</f>
        <v/>
      </c>
      <c r="L70">
        <f>INDEX('Draft Engine'!$T$3:$T$232,$P70)</f>
        <v/>
      </c>
      <c r="M70">
        <f>INDEX('Draft Engine'!$X$3:$X$232,$P70)</f>
        <v/>
      </c>
      <c r="N70">
        <f>INDEX('LIVE SOURCE'!$H$3:$H$232,$P70)</f>
        <v/>
      </c>
      <c r="O70">
        <f>INDEX('LIVE SOURCE'!$J$3:$J$232,$P70)</f>
        <v/>
      </c>
      <c r="P70" s="6">
        <f>MATCH($A70,'Draft Engine'!$Q$3:$Q$232,0)</f>
        <v/>
      </c>
    </row>
    <row r="71">
      <c r="A71">
        <f>69</f>
        <v/>
      </c>
      <c r="B71">
        <f>INDEX('Draft Engine'!$A$3:$A$232,$P71)</f>
        <v/>
      </c>
      <c r="C71">
        <f>INDEX('Draft Engine'!$F$3:$F$232,$P71)</f>
        <v/>
      </c>
      <c r="D71">
        <f>INDEX('Draft Engine'!$B$3:$B$232,$P71)</f>
        <v/>
      </c>
      <c r="E71" s="4">
        <f>INDEX('Draft Engine'!$E$3:$E$232,$P71)</f>
        <v/>
      </c>
      <c r="F71">
        <f>IF($E71&gt;=95,"ELITE",IF($E71&gt;=90,"TIER 1",IF($E71&gt;=85,"TIER 2",IF($E71&gt;=80,"TIER 3",IF($E71&gt;=75,"TIER 4",IF($E71&gt;=70,"TIER 5",IF($E71&gt;=65,"TIER 6","TIER 7")))))))</f>
        <v/>
      </c>
      <c r="G71" s="4">
        <f>INDEX('Draft Engine'!$G$3:$G$232,$P71)</f>
        <v/>
      </c>
      <c r="H71" s="4">
        <f>INDEX('Draft Engine'!$J$3:$J$232,$P71)</f>
        <v/>
      </c>
      <c r="I71" s="4">
        <f>INDEX('Draft Engine'!$N$3:$N$232,$P71)</f>
        <v/>
      </c>
      <c r="J71" s="4">
        <f>INDEX('Draft Engine'!$R$3:$R$232,$P71)</f>
        <v/>
      </c>
      <c r="K71" s="4">
        <f>INDEX('Draft Engine'!$S$3:$S$232,$P71)</f>
        <v/>
      </c>
      <c r="L71">
        <f>INDEX('Draft Engine'!$T$3:$T$232,$P71)</f>
        <v/>
      </c>
      <c r="M71">
        <f>INDEX('Draft Engine'!$X$3:$X$232,$P71)</f>
        <v/>
      </c>
      <c r="N71">
        <f>INDEX('LIVE SOURCE'!$H$3:$H$232,$P71)</f>
        <v/>
      </c>
      <c r="O71">
        <f>INDEX('LIVE SOURCE'!$J$3:$J$232,$P71)</f>
        <v/>
      </c>
      <c r="P71" s="6">
        <f>MATCH($A71,'Draft Engine'!$Q$3:$Q$232,0)</f>
        <v/>
      </c>
    </row>
    <row r="72">
      <c r="A72">
        <f>70</f>
        <v/>
      </c>
      <c r="B72">
        <f>INDEX('Draft Engine'!$A$3:$A$232,$P72)</f>
        <v/>
      </c>
      <c r="C72">
        <f>INDEX('Draft Engine'!$F$3:$F$232,$P72)</f>
        <v/>
      </c>
      <c r="D72">
        <f>INDEX('Draft Engine'!$B$3:$B$232,$P72)</f>
        <v/>
      </c>
      <c r="E72" s="4">
        <f>INDEX('Draft Engine'!$E$3:$E$232,$P72)</f>
        <v/>
      </c>
      <c r="F72">
        <f>IF($E72&gt;=95,"ELITE",IF($E72&gt;=90,"TIER 1",IF($E72&gt;=85,"TIER 2",IF($E72&gt;=80,"TIER 3",IF($E72&gt;=75,"TIER 4",IF($E72&gt;=70,"TIER 5",IF($E72&gt;=65,"TIER 6","TIER 7")))))))</f>
        <v/>
      </c>
      <c r="G72" s="4">
        <f>INDEX('Draft Engine'!$G$3:$G$232,$P72)</f>
        <v/>
      </c>
      <c r="H72" s="4">
        <f>INDEX('Draft Engine'!$J$3:$J$232,$P72)</f>
        <v/>
      </c>
      <c r="I72" s="4">
        <f>INDEX('Draft Engine'!$N$3:$N$232,$P72)</f>
        <v/>
      </c>
      <c r="J72" s="4">
        <f>INDEX('Draft Engine'!$R$3:$R$232,$P72)</f>
        <v/>
      </c>
      <c r="K72" s="4">
        <f>INDEX('Draft Engine'!$S$3:$S$232,$P72)</f>
        <v/>
      </c>
      <c r="L72">
        <f>INDEX('Draft Engine'!$T$3:$T$232,$P72)</f>
        <v/>
      </c>
      <c r="M72">
        <f>INDEX('Draft Engine'!$X$3:$X$232,$P72)</f>
        <v/>
      </c>
      <c r="N72">
        <f>INDEX('LIVE SOURCE'!$H$3:$H$232,$P72)</f>
        <v/>
      </c>
      <c r="O72">
        <f>INDEX('LIVE SOURCE'!$J$3:$J$232,$P72)</f>
        <v/>
      </c>
      <c r="P72" s="6">
        <f>MATCH($A72,'Draft Engine'!$Q$3:$Q$232,0)</f>
        <v/>
      </c>
    </row>
    <row r="73">
      <c r="A73">
        <f>71</f>
        <v/>
      </c>
      <c r="B73">
        <f>INDEX('Draft Engine'!$A$3:$A$232,$P73)</f>
        <v/>
      </c>
      <c r="C73">
        <f>INDEX('Draft Engine'!$F$3:$F$232,$P73)</f>
        <v/>
      </c>
      <c r="D73">
        <f>INDEX('Draft Engine'!$B$3:$B$232,$P73)</f>
        <v/>
      </c>
      <c r="E73" s="4">
        <f>INDEX('Draft Engine'!$E$3:$E$232,$P73)</f>
        <v/>
      </c>
      <c r="F73">
        <f>IF($E73&gt;=95,"ELITE",IF($E73&gt;=90,"TIER 1",IF($E73&gt;=85,"TIER 2",IF($E73&gt;=80,"TIER 3",IF($E73&gt;=75,"TIER 4",IF($E73&gt;=70,"TIER 5",IF($E73&gt;=65,"TIER 6","TIER 7")))))))</f>
        <v/>
      </c>
      <c r="G73" s="4">
        <f>INDEX('Draft Engine'!$G$3:$G$232,$P73)</f>
        <v/>
      </c>
      <c r="H73" s="4">
        <f>INDEX('Draft Engine'!$J$3:$J$232,$P73)</f>
        <v/>
      </c>
      <c r="I73" s="4">
        <f>INDEX('Draft Engine'!$N$3:$N$232,$P73)</f>
        <v/>
      </c>
      <c r="J73" s="4">
        <f>INDEX('Draft Engine'!$R$3:$R$232,$P73)</f>
        <v/>
      </c>
      <c r="K73" s="4">
        <f>INDEX('Draft Engine'!$S$3:$S$232,$P73)</f>
        <v/>
      </c>
      <c r="L73">
        <f>INDEX('Draft Engine'!$T$3:$T$232,$P73)</f>
        <v/>
      </c>
      <c r="M73">
        <f>INDEX('Draft Engine'!$X$3:$X$232,$P73)</f>
        <v/>
      </c>
      <c r="N73">
        <f>INDEX('LIVE SOURCE'!$H$3:$H$232,$P73)</f>
        <v/>
      </c>
      <c r="O73">
        <f>INDEX('LIVE SOURCE'!$J$3:$J$232,$P73)</f>
        <v/>
      </c>
      <c r="P73" s="6">
        <f>MATCH($A73,'Draft Engine'!$Q$3:$Q$232,0)</f>
        <v/>
      </c>
    </row>
    <row r="74">
      <c r="A74">
        <f>72</f>
        <v/>
      </c>
      <c r="B74">
        <f>INDEX('Draft Engine'!$A$3:$A$232,$P74)</f>
        <v/>
      </c>
      <c r="C74">
        <f>INDEX('Draft Engine'!$F$3:$F$232,$P74)</f>
        <v/>
      </c>
      <c r="D74">
        <f>INDEX('Draft Engine'!$B$3:$B$232,$P74)</f>
        <v/>
      </c>
      <c r="E74" s="4">
        <f>INDEX('Draft Engine'!$E$3:$E$232,$P74)</f>
        <v/>
      </c>
      <c r="F74">
        <f>IF($E74&gt;=95,"ELITE",IF($E74&gt;=90,"TIER 1",IF($E74&gt;=85,"TIER 2",IF($E74&gt;=80,"TIER 3",IF($E74&gt;=75,"TIER 4",IF($E74&gt;=70,"TIER 5",IF($E74&gt;=65,"TIER 6","TIER 7")))))))</f>
        <v/>
      </c>
      <c r="G74" s="4">
        <f>INDEX('Draft Engine'!$G$3:$G$232,$P74)</f>
        <v/>
      </c>
      <c r="H74" s="4">
        <f>INDEX('Draft Engine'!$J$3:$J$232,$P74)</f>
        <v/>
      </c>
      <c r="I74" s="4">
        <f>INDEX('Draft Engine'!$N$3:$N$232,$P74)</f>
        <v/>
      </c>
      <c r="J74" s="4">
        <f>INDEX('Draft Engine'!$R$3:$R$232,$P74)</f>
        <v/>
      </c>
      <c r="K74" s="4">
        <f>INDEX('Draft Engine'!$S$3:$S$232,$P74)</f>
        <v/>
      </c>
      <c r="L74">
        <f>INDEX('Draft Engine'!$T$3:$T$232,$P74)</f>
        <v/>
      </c>
      <c r="M74">
        <f>INDEX('Draft Engine'!$X$3:$X$232,$P74)</f>
        <v/>
      </c>
      <c r="N74">
        <f>INDEX('LIVE SOURCE'!$H$3:$H$232,$P74)</f>
        <v/>
      </c>
      <c r="O74">
        <f>INDEX('LIVE SOURCE'!$J$3:$J$232,$P74)</f>
        <v/>
      </c>
      <c r="P74" s="6">
        <f>MATCH($A74,'Draft Engine'!$Q$3:$Q$232,0)</f>
        <v/>
      </c>
    </row>
    <row r="75">
      <c r="A75">
        <f>73</f>
        <v/>
      </c>
      <c r="B75">
        <f>INDEX('Draft Engine'!$A$3:$A$232,$P75)</f>
        <v/>
      </c>
      <c r="C75">
        <f>INDEX('Draft Engine'!$F$3:$F$232,$P75)</f>
        <v/>
      </c>
      <c r="D75">
        <f>INDEX('Draft Engine'!$B$3:$B$232,$P75)</f>
        <v/>
      </c>
      <c r="E75" s="4">
        <f>INDEX('Draft Engine'!$E$3:$E$232,$P75)</f>
        <v/>
      </c>
      <c r="F75">
        <f>IF($E75&gt;=95,"ELITE",IF($E75&gt;=90,"TIER 1",IF($E75&gt;=85,"TIER 2",IF($E75&gt;=80,"TIER 3",IF($E75&gt;=75,"TIER 4",IF($E75&gt;=70,"TIER 5",IF($E75&gt;=65,"TIER 6","TIER 7")))))))</f>
        <v/>
      </c>
      <c r="G75" s="4">
        <f>INDEX('Draft Engine'!$G$3:$G$232,$P75)</f>
        <v/>
      </c>
      <c r="H75" s="4">
        <f>INDEX('Draft Engine'!$J$3:$J$232,$P75)</f>
        <v/>
      </c>
      <c r="I75" s="4">
        <f>INDEX('Draft Engine'!$N$3:$N$232,$P75)</f>
        <v/>
      </c>
      <c r="J75" s="4">
        <f>INDEX('Draft Engine'!$R$3:$R$232,$P75)</f>
        <v/>
      </c>
      <c r="K75" s="4">
        <f>INDEX('Draft Engine'!$S$3:$S$232,$P75)</f>
        <v/>
      </c>
      <c r="L75">
        <f>INDEX('Draft Engine'!$T$3:$T$232,$P75)</f>
        <v/>
      </c>
      <c r="M75">
        <f>INDEX('Draft Engine'!$X$3:$X$232,$P75)</f>
        <v/>
      </c>
      <c r="N75">
        <f>INDEX('LIVE SOURCE'!$H$3:$H$232,$P75)</f>
        <v/>
      </c>
      <c r="O75">
        <f>INDEX('LIVE SOURCE'!$J$3:$J$232,$P75)</f>
        <v/>
      </c>
      <c r="P75" s="6">
        <f>MATCH($A75,'Draft Engine'!$Q$3:$Q$232,0)</f>
        <v/>
      </c>
    </row>
    <row r="76">
      <c r="A76">
        <f>74</f>
        <v/>
      </c>
      <c r="B76">
        <f>INDEX('Draft Engine'!$A$3:$A$232,$P76)</f>
        <v/>
      </c>
      <c r="C76">
        <f>INDEX('Draft Engine'!$F$3:$F$232,$P76)</f>
        <v/>
      </c>
      <c r="D76">
        <f>INDEX('Draft Engine'!$B$3:$B$232,$P76)</f>
        <v/>
      </c>
      <c r="E76" s="4">
        <f>INDEX('Draft Engine'!$E$3:$E$232,$P76)</f>
        <v/>
      </c>
      <c r="F76">
        <f>IF($E76&gt;=95,"ELITE",IF($E76&gt;=90,"TIER 1",IF($E76&gt;=85,"TIER 2",IF($E76&gt;=80,"TIER 3",IF($E76&gt;=75,"TIER 4",IF($E76&gt;=70,"TIER 5",IF($E76&gt;=65,"TIER 6","TIER 7")))))))</f>
        <v/>
      </c>
      <c r="G76" s="4">
        <f>INDEX('Draft Engine'!$G$3:$G$232,$P76)</f>
        <v/>
      </c>
      <c r="H76" s="4">
        <f>INDEX('Draft Engine'!$J$3:$J$232,$P76)</f>
        <v/>
      </c>
      <c r="I76" s="4">
        <f>INDEX('Draft Engine'!$N$3:$N$232,$P76)</f>
        <v/>
      </c>
      <c r="J76" s="4">
        <f>INDEX('Draft Engine'!$R$3:$R$232,$P76)</f>
        <v/>
      </c>
      <c r="K76" s="4">
        <f>INDEX('Draft Engine'!$S$3:$S$232,$P76)</f>
        <v/>
      </c>
      <c r="L76">
        <f>INDEX('Draft Engine'!$T$3:$T$232,$P76)</f>
        <v/>
      </c>
      <c r="M76">
        <f>INDEX('Draft Engine'!$X$3:$X$232,$P76)</f>
        <v/>
      </c>
      <c r="N76">
        <f>INDEX('LIVE SOURCE'!$H$3:$H$232,$P76)</f>
        <v/>
      </c>
      <c r="O76">
        <f>INDEX('LIVE SOURCE'!$J$3:$J$232,$P76)</f>
        <v/>
      </c>
      <c r="P76" s="6">
        <f>MATCH($A76,'Draft Engine'!$Q$3:$Q$232,0)</f>
        <v/>
      </c>
    </row>
    <row r="77">
      <c r="A77">
        <f>75</f>
        <v/>
      </c>
      <c r="B77">
        <f>INDEX('Draft Engine'!$A$3:$A$232,$P77)</f>
        <v/>
      </c>
      <c r="C77">
        <f>INDEX('Draft Engine'!$F$3:$F$232,$P77)</f>
        <v/>
      </c>
      <c r="D77">
        <f>INDEX('Draft Engine'!$B$3:$B$232,$P77)</f>
        <v/>
      </c>
      <c r="E77" s="4">
        <f>INDEX('Draft Engine'!$E$3:$E$232,$P77)</f>
        <v/>
      </c>
      <c r="F77">
        <f>IF($E77&gt;=95,"ELITE",IF($E77&gt;=90,"TIER 1",IF($E77&gt;=85,"TIER 2",IF($E77&gt;=80,"TIER 3",IF($E77&gt;=75,"TIER 4",IF($E77&gt;=70,"TIER 5",IF($E77&gt;=65,"TIER 6","TIER 7")))))))</f>
        <v/>
      </c>
      <c r="G77" s="4">
        <f>INDEX('Draft Engine'!$G$3:$G$232,$P77)</f>
        <v/>
      </c>
      <c r="H77" s="4">
        <f>INDEX('Draft Engine'!$J$3:$J$232,$P77)</f>
        <v/>
      </c>
      <c r="I77" s="4">
        <f>INDEX('Draft Engine'!$N$3:$N$232,$P77)</f>
        <v/>
      </c>
      <c r="J77" s="4">
        <f>INDEX('Draft Engine'!$R$3:$R$232,$P77)</f>
        <v/>
      </c>
      <c r="K77" s="4">
        <f>INDEX('Draft Engine'!$S$3:$S$232,$P77)</f>
        <v/>
      </c>
      <c r="L77">
        <f>INDEX('Draft Engine'!$T$3:$T$232,$P77)</f>
        <v/>
      </c>
      <c r="M77">
        <f>INDEX('Draft Engine'!$X$3:$X$232,$P77)</f>
        <v/>
      </c>
      <c r="N77">
        <f>INDEX('LIVE SOURCE'!$H$3:$H$232,$P77)</f>
        <v/>
      </c>
      <c r="O77">
        <f>INDEX('LIVE SOURCE'!$J$3:$J$232,$P77)</f>
        <v/>
      </c>
      <c r="P77" s="6">
        <f>MATCH($A77,'Draft Engine'!$Q$3:$Q$232,0)</f>
        <v/>
      </c>
    </row>
    <row r="78">
      <c r="A78">
        <f>76</f>
        <v/>
      </c>
      <c r="B78">
        <f>INDEX('Draft Engine'!$A$3:$A$232,$P78)</f>
        <v/>
      </c>
      <c r="C78">
        <f>INDEX('Draft Engine'!$F$3:$F$232,$P78)</f>
        <v/>
      </c>
      <c r="D78">
        <f>INDEX('Draft Engine'!$B$3:$B$232,$P78)</f>
        <v/>
      </c>
      <c r="E78" s="4">
        <f>INDEX('Draft Engine'!$E$3:$E$232,$P78)</f>
        <v/>
      </c>
      <c r="F78">
        <f>IF($E78&gt;=95,"ELITE",IF($E78&gt;=90,"TIER 1",IF($E78&gt;=85,"TIER 2",IF($E78&gt;=80,"TIER 3",IF($E78&gt;=75,"TIER 4",IF($E78&gt;=70,"TIER 5",IF($E78&gt;=65,"TIER 6","TIER 7")))))))</f>
        <v/>
      </c>
      <c r="G78" s="4">
        <f>INDEX('Draft Engine'!$G$3:$G$232,$P78)</f>
        <v/>
      </c>
      <c r="H78" s="4">
        <f>INDEX('Draft Engine'!$J$3:$J$232,$P78)</f>
        <v/>
      </c>
      <c r="I78" s="4">
        <f>INDEX('Draft Engine'!$N$3:$N$232,$P78)</f>
        <v/>
      </c>
      <c r="J78" s="4">
        <f>INDEX('Draft Engine'!$R$3:$R$232,$P78)</f>
        <v/>
      </c>
      <c r="K78" s="4">
        <f>INDEX('Draft Engine'!$S$3:$S$232,$P78)</f>
        <v/>
      </c>
      <c r="L78">
        <f>INDEX('Draft Engine'!$T$3:$T$232,$P78)</f>
        <v/>
      </c>
      <c r="M78">
        <f>INDEX('Draft Engine'!$X$3:$X$232,$P78)</f>
        <v/>
      </c>
      <c r="N78">
        <f>INDEX('LIVE SOURCE'!$H$3:$H$232,$P78)</f>
        <v/>
      </c>
      <c r="O78">
        <f>INDEX('LIVE SOURCE'!$J$3:$J$232,$P78)</f>
        <v/>
      </c>
      <c r="P78" s="6">
        <f>MATCH($A78,'Draft Engine'!$Q$3:$Q$232,0)</f>
        <v/>
      </c>
    </row>
    <row r="79">
      <c r="A79">
        <f>77</f>
        <v/>
      </c>
      <c r="B79">
        <f>INDEX('Draft Engine'!$A$3:$A$232,$P79)</f>
        <v/>
      </c>
      <c r="C79">
        <f>INDEX('Draft Engine'!$F$3:$F$232,$P79)</f>
        <v/>
      </c>
      <c r="D79">
        <f>INDEX('Draft Engine'!$B$3:$B$232,$P79)</f>
        <v/>
      </c>
      <c r="E79" s="4">
        <f>INDEX('Draft Engine'!$E$3:$E$232,$P79)</f>
        <v/>
      </c>
      <c r="F79">
        <f>IF($E79&gt;=95,"ELITE",IF($E79&gt;=90,"TIER 1",IF($E79&gt;=85,"TIER 2",IF($E79&gt;=80,"TIER 3",IF($E79&gt;=75,"TIER 4",IF($E79&gt;=70,"TIER 5",IF($E79&gt;=65,"TIER 6","TIER 7")))))))</f>
        <v/>
      </c>
      <c r="G79" s="4">
        <f>INDEX('Draft Engine'!$G$3:$G$232,$P79)</f>
        <v/>
      </c>
      <c r="H79" s="4">
        <f>INDEX('Draft Engine'!$J$3:$J$232,$P79)</f>
        <v/>
      </c>
      <c r="I79" s="4">
        <f>INDEX('Draft Engine'!$N$3:$N$232,$P79)</f>
        <v/>
      </c>
      <c r="J79" s="4">
        <f>INDEX('Draft Engine'!$R$3:$R$232,$P79)</f>
        <v/>
      </c>
      <c r="K79" s="4">
        <f>INDEX('Draft Engine'!$S$3:$S$232,$P79)</f>
        <v/>
      </c>
      <c r="L79">
        <f>INDEX('Draft Engine'!$T$3:$T$232,$P79)</f>
        <v/>
      </c>
      <c r="M79">
        <f>INDEX('Draft Engine'!$X$3:$X$232,$P79)</f>
        <v/>
      </c>
      <c r="N79">
        <f>INDEX('LIVE SOURCE'!$H$3:$H$232,$P79)</f>
        <v/>
      </c>
      <c r="O79">
        <f>INDEX('LIVE SOURCE'!$J$3:$J$232,$P79)</f>
        <v/>
      </c>
      <c r="P79" s="6">
        <f>MATCH($A79,'Draft Engine'!$Q$3:$Q$232,0)</f>
        <v/>
      </c>
    </row>
    <row r="80">
      <c r="A80">
        <f>78</f>
        <v/>
      </c>
      <c r="B80">
        <f>INDEX('Draft Engine'!$A$3:$A$232,$P80)</f>
        <v/>
      </c>
      <c r="C80">
        <f>INDEX('Draft Engine'!$F$3:$F$232,$P80)</f>
        <v/>
      </c>
      <c r="D80">
        <f>INDEX('Draft Engine'!$B$3:$B$232,$P80)</f>
        <v/>
      </c>
      <c r="E80" s="4">
        <f>INDEX('Draft Engine'!$E$3:$E$232,$P80)</f>
        <v/>
      </c>
      <c r="F80">
        <f>IF($E80&gt;=95,"ELITE",IF($E80&gt;=90,"TIER 1",IF($E80&gt;=85,"TIER 2",IF($E80&gt;=80,"TIER 3",IF($E80&gt;=75,"TIER 4",IF($E80&gt;=70,"TIER 5",IF($E80&gt;=65,"TIER 6","TIER 7")))))))</f>
        <v/>
      </c>
      <c r="G80" s="4">
        <f>INDEX('Draft Engine'!$G$3:$G$232,$P80)</f>
        <v/>
      </c>
      <c r="H80" s="4">
        <f>INDEX('Draft Engine'!$J$3:$J$232,$P80)</f>
        <v/>
      </c>
      <c r="I80" s="4">
        <f>INDEX('Draft Engine'!$N$3:$N$232,$P80)</f>
        <v/>
      </c>
      <c r="J80" s="4">
        <f>INDEX('Draft Engine'!$R$3:$R$232,$P80)</f>
        <v/>
      </c>
      <c r="K80" s="4">
        <f>INDEX('Draft Engine'!$S$3:$S$232,$P80)</f>
        <v/>
      </c>
      <c r="L80">
        <f>INDEX('Draft Engine'!$T$3:$T$232,$P80)</f>
        <v/>
      </c>
      <c r="M80">
        <f>INDEX('Draft Engine'!$X$3:$X$232,$P80)</f>
        <v/>
      </c>
      <c r="N80">
        <f>INDEX('LIVE SOURCE'!$H$3:$H$232,$P80)</f>
        <v/>
      </c>
      <c r="O80">
        <f>INDEX('LIVE SOURCE'!$J$3:$J$232,$P80)</f>
        <v/>
      </c>
      <c r="P80" s="6">
        <f>MATCH($A80,'Draft Engine'!$Q$3:$Q$232,0)</f>
        <v/>
      </c>
    </row>
    <row r="81">
      <c r="A81">
        <f>79</f>
        <v/>
      </c>
      <c r="B81">
        <f>INDEX('Draft Engine'!$A$3:$A$232,$P81)</f>
        <v/>
      </c>
      <c r="C81">
        <f>INDEX('Draft Engine'!$F$3:$F$232,$P81)</f>
        <v/>
      </c>
      <c r="D81">
        <f>INDEX('Draft Engine'!$B$3:$B$232,$P81)</f>
        <v/>
      </c>
      <c r="E81" s="4">
        <f>INDEX('Draft Engine'!$E$3:$E$232,$P81)</f>
        <v/>
      </c>
      <c r="F81">
        <f>IF($E81&gt;=95,"ELITE",IF($E81&gt;=90,"TIER 1",IF($E81&gt;=85,"TIER 2",IF($E81&gt;=80,"TIER 3",IF($E81&gt;=75,"TIER 4",IF($E81&gt;=70,"TIER 5",IF($E81&gt;=65,"TIER 6","TIER 7")))))))</f>
        <v/>
      </c>
      <c r="G81" s="4">
        <f>INDEX('Draft Engine'!$G$3:$G$232,$P81)</f>
        <v/>
      </c>
      <c r="H81" s="4">
        <f>INDEX('Draft Engine'!$J$3:$J$232,$P81)</f>
        <v/>
      </c>
      <c r="I81" s="4">
        <f>INDEX('Draft Engine'!$N$3:$N$232,$P81)</f>
        <v/>
      </c>
      <c r="J81" s="4">
        <f>INDEX('Draft Engine'!$R$3:$R$232,$P81)</f>
        <v/>
      </c>
      <c r="K81" s="4">
        <f>INDEX('Draft Engine'!$S$3:$S$232,$P81)</f>
        <v/>
      </c>
      <c r="L81">
        <f>INDEX('Draft Engine'!$T$3:$T$232,$P81)</f>
        <v/>
      </c>
      <c r="M81">
        <f>INDEX('Draft Engine'!$X$3:$X$232,$P81)</f>
        <v/>
      </c>
      <c r="N81">
        <f>INDEX('LIVE SOURCE'!$H$3:$H$232,$P81)</f>
        <v/>
      </c>
      <c r="O81">
        <f>INDEX('LIVE SOURCE'!$J$3:$J$232,$P81)</f>
        <v/>
      </c>
      <c r="P81" s="6">
        <f>MATCH($A81,'Draft Engine'!$Q$3:$Q$232,0)</f>
        <v/>
      </c>
    </row>
    <row r="82">
      <c r="A82">
        <f>80</f>
        <v/>
      </c>
      <c r="B82">
        <f>INDEX('Draft Engine'!$A$3:$A$232,$P82)</f>
        <v/>
      </c>
      <c r="C82">
        <f>INDEX('Draft Engine'!$F$3:$F$232,$P82)</f>
        <v/>
      </c>
      <c r="D82">
        <f>INDEX('Draft Engine'!$B$3:$B$232,$P82)</f>
        <v/>
      </c>
      <c r="E82" s="4">
        <f>INDEX('Draft Engine'!$E$3:$E$232,$P82)</f>
        <v/>
      </c>
      <c r="F82">
        <f>IF($E82&gt;=95,"ELITE",IF($E82&gt;=90,"TIER 1",IF($E82&gt;=85,"TIER 2",IF($E82&gt;=80,"TIER 3",IF($E82&gt;=75,"TIER 4",IF($E82&gt;=70,"TIER 5",IF($E82&gt;=65,"TIER 6","TIER 7")))))))</f>
        <v/>
      </c>
      <c r="G82" s="4">
        <f>INDEX('Draft Engine'!$G$3:$G$232,$P82)</f>
        <v/>
      </c>
      <c r="H82" s="4">
        <f>INDEX('Draft Engine'!$J$3:$J$232,$P82)</f>
        <v/>
      </c>
      <c r="I82" s="4">
        <f>INDEX('Draft Engine'!$N$3:$N$232,$P82)</f>
        <v/>
      </c>
      <c r="J82" s="4">
        <f>INDEX('Draft Engine'!$R$3:$R$232,$P82)</f>
        <v/>
      </c>
      <c r="K82" s="4">
        <f>INDEX('Draft Engine'!$S$3:$S$232,$P82)</f>
        <v/>
      </c>
      <c r="L82">
        <f>INDEX('Draft Engine'!$T$3:$T$232,$P82)</f>
        <v/>
      </c>
      <c r="M82">
        <f>INDEX('Draft Engine'!$X$3:$X$232,$P82)</f>
        <v/>
      </c>
      <c r="N82">
        <f>INDEX('LIVE SOURCE'!$H$3:$H$232,$P82)</f>
        <v/>
      </c>
      <c r="O82">
        <f>INDEX('LIVE SOURCE'!$J$3:$J$232,$P82)</f>
        <v/>
      </c>
      <c r="P82" s="6">
        <f>MATCH($A82,'Draft Engine'!$Q$3:$Q$232,0)</f>
        <v/>
      </c>
    </row>
    <row r="83">
      <c r="A83">
        <f>81</f>
        <v/>
      </c>
      <c r="B83">
        <f>INDEX('Draft Engine'!$A$3:$A$232,$P83)</f>
        <v/>
      </c>
      <c r="C83">
        <f>INDEX('Draft Engine'!$F$3:$F$232,$P83)</f>
        <v/>
      </c>
      <c r="D83">
        <f>INDEX('Draft Engine'!$B$3:$B$232,$P83)</f>
        <v/>
      </c>
      <c r="E83" s="4">
        <f>INDEX('Draft Engine'!$E$3:$E$232,$P83)</f>
        <v/>
      </c>
      <c r="F83">
        <f>IF($E83&gt;=95,"ELITE",IF($E83&gt;=90,"TIER 1",IF($E83&gt;=85,"TIER 2",IF($E83&gt;=80,"TIER 3",IF($E83&gt;=75,"TIER 4",IF($E83&gt;=70,"TIER 5",IF($E83&gt;=65,"TIER 6","TIER 7")))))))</f>
        <v/>
      </c>
      <c r="G83" s="4">
        <f>INDEX('Draft Engine'!$G$3:$G$232,$P83)</f>
        <v/>
      </c>
      <c r="H83" s="4">
        <f>INDEX('Draft Engine'!$J$3:$J$232,$P83)</f>
        <v/>
      </c>
      <c r="I83" s="4">
        <f>INDEX('Draft Engine'!$N$3:$N$232,$P83)</f>
        <v/>
      </c>
      <c r="J83" s="4">
        <f>INDEX('Draft Engine'!$R$3:$R$232,$P83)</f>
        <v/>
      </c>
      <c r="K83" s="4">
        <f>INDEX('Draft Engine'!$S$3:$S$232,$P83)</f>
        <v/>
      </c>
      <c r="L83">
        <f>INDEX('Draft Engine'!$T$3:$T$232,$P83)</f>
        <v/>
      </c>
      <c r="M83">
        <f>INDEX('Draft Engine'!$X$3:$X$232,$P83)</f>
        <v/>
      </c>
      <c r="N83">
        <f>INDEX('LIVE SOURCE'!$H$3:$H$232,$P83)</f>
        <v/>
      </c>
      <c r="O83">
        <f>INDEX('LIVE SOURCE'!$J$3:$J$232,$P83)</f>
        <v/>
      </c>
      <c r="P83" s="6">
        <f>MATCH($A83,'Draft Engine'!$Q$3:$Q$232,0)</f>
        <v/>
      </c>
    </row>
    <row r="84">
      <c r="A84">
        <f>82</f>
        <v/>
      </c>
      <c r="B84">
        <f>INDEX('Draft Engine'!$A$3:$A$232,$P84)</f>
        <v/>
      </c>
      <c r="C84">
        <f>INDEX('Draft Engine'!$F$3:$F$232,$P84)</f>
        <v/>
      </c>
      <c r="D84">
        <f>INDEX('Draft Engine'!$B$3:$B$232,$P84)</f>
        <v/>
      </c>
      <c r="E84" s="4">
        <f>INDEX('Draft Engine'!$E$3:$E$232,$P84)</f>
        <v/>
      </c>
      <c r="F84">
        <f>IF($E84&gt;=95,"ELITE",IF($E84&gt;=90,"TIER 1",IF($E84&gt;=85,"TIER 2",IF($E84&gt;=80,"TIER 3",IF($E84&gt;=75,"TIER 4",IF($E84&gt;=70,"TIER 5",IF($E84&gt;=65,"TIER 6","TIER 7")))))))</f>
        <v/>
      </c>
      <c r="G84" s="4">
        <f>INDEX('Draft Engine'!$G$3:$G$232,$P84)</f>
        <v/>
      </c>
      <c r="H84" s="4">
        <f>INDEX('Draft Engine'!$J$3:$J$232,$P84)</f>
        <v/>
      </c>
      <c r="I84" s="4">
        <f>INDEX('Draft Engine'!$N$3:$N$232,$P84)</f>
        <v/>
      </c>
      <c r="J84" s="4">
        <f>INDEX('Draft Engine'!$R$3:$R$232,$P84)</f>
        <v/>
      </c>
      <c r="K84" s="4">
        <f>INDEX('Draft Engine'!$S$3:$S$232,$P84)</f>
        <v/>
      </c>
      <c r="L84">
        <f>INDEX('Draft Engine'!$T$3:$T$232,$P84)</f>
        <v/>
      </c>
      <c r="M84">
        <f>INDEX('Draft Engine'!$X$3:$X$232,$P84)</f>
        <v/>
      </c>
      <c r="N84">
        <f>INDEX('LIVE SOURCE'!$H$3:$H$232,$P84)</f>
        <v/>
      </c>
      <c r="O84">
        <f>INDEX('LIVE SOURCE'!$J$3:$J$232,$P84)</f>
        <v/>
      </c>
      <c r="P84" s="6">
        <f>MATCH($A84,'Draft Engine'!$Q$3:$Q$232,0)</f>
        <v/>
      </c>
    </row>
    <row r="85">
      <c r="A85">
        <f>83</f>
        <v/>
      </c>
      <c r="B85">
        <f>INDEX('Draft Engine'!$A$3:$A$232,$P85)</f>
        <v/>
      </c>
      <c r="C85">
        <f>INDEX('Draft Engine'!$F$3:$F$232,$P85)</f>
        <v/>
      </c>
      <c r="D85">
        <f>INDEX('Draft Engine'!$B$3:$B$232,$P85)</f>
        <v/>
      </c>
      <c r="E85" s="4">
        <f>INDEX('Draft Engine'!$E$3:$E$232,$P85)</f>
        <v/>
      </c>
      <c r="F85">
        <f>IF($E85&gt;=95,"ELITE",IF($E85&gt;=90,"TIER 1",IF($E85&gt;=85,"TIER 2",IF($E85&gt;=80,"TIER 3",IF($E85&gt;=75,"TIER 4",IF($E85&gt;=70,"TIER 5",IF($E85&gt;=65,"TIER 6","TIER 7")))))))</f>
        <v/>
      </c>
      <c r="G85" s="4">
        <f>INDEX('Draft Engine'!$G$3:$G$232,$P85)</f>
        <v/>
      </c>
      <c r="H85" s="4">
        <f>INDEX('Draft Engine'!$J$3:$J$232,$P85)</f>
        <v/>
      </c>
      <c r="I85" s="4">
        <f>INDEX('Draft Engine'!$N$3:$N$232,$P85)</f>
        <v/>
      </c>
      <c r="J85" s="4">
        <f>INDEX('Draft Engine'!$R$3:$R$232,$P85)</f>
        <v/>
      </c>
      <c r="K85" s="4">
        <f>INDEX('Draft Engine'!$S$3:$S$232,$P85)</f>
        <v/>
      </c>
      <c r="L85">
        <f>INDEX('Draft Engine'!$T$3:$T$232,$P85)</f>
        <v/>
      </c>
      <c r="M85">
        <f>INDEX('Draft Engine'!$X$3:$X$232,$P85)</f>
        <v/>
      </c>
      <c r="N85">
        <f>INDEX('LIVE SOURCE'!$H$3:$H$232,$P85)</f>
        <v/>
      </c>
      <c r="O85">
        <f>INDEX('LIVE SOURCE'!$J$3:$J$232,$P85)</f>
        <v/>
      </c>
      <c r="P85" s="6">
        <f>MATCH($A85,'Draft Engine'!$Q$3:$Q$232,0)</f>
        <v/>
      </c>
    </row>
    <row r="86">
      <c r="A86">
        <f>84</f>
        <v/>
      </c>
      <c r="B86">
        <f>INDEX('Draft Engine'!$A$3:$A$232,$P86)</f>
        <v/>
      </c>
      <c r="C86">
        <f>INDEX('Draft Engine'!$F$3:$F$232,$P86)</f>
        <v/>
      </c>
      <c r="D86">
        <f>INDEX('Draft Engine'!$B$3:$B$232,$P86)</f>
        <v/>
      </c>
      <c r="E86" s="4">
        <f>INDEX('Draft Engine'!$E$3:$E$232,$P86)</f>
        <v/>
      </c>
      <c r="F86">
        <f>IF($E86&gt;=95,"ELITE",IF($E86&gt;=90,"TIER 1",IF($E86&gt;=85,"TIER 2",IF($E86&gt;=80,"TIER 3",IF($E86&gt;=75,"TIER 4",IF($E86&gt;=70,"TIER 5",IF($E86&gt;=65,"TIER 6","TIER 7")))))))</f>
        <v/>
      </c>
      <c r="G86" s="4">
        <f>INDEX('Draft Engine'!$G$3:$G$232,$P86)</f>
        <v/>
      </c>
      <c r="H86" s="4">
        <f>INDEX('Draft Engine'!$J$3:$J$232,$P86)</f>
        <v/>
      </c>
      <c r="I86" s="4">
        <f>INDEX('Draft Engine'!$N$3:$N$232,$P86)</f>
        <v/>
      </c>
      <c r="J86" s="4">
        <f>INDEX('Draft Engine'!$R$3:$R$232,$P86)</f>
        <v/>
      </c>
      <c r="K86" s="4">
        <f>INDEX('Draft Engine'!$S$3:$S$232,$P86)</f>
        <v/>
      </c>
      <c r="L86">
        <f>INDEX('Draft Engine'!$T$3:$T$232,$P86)</f>
        <v/>
      </c>
      <c r="M86">
        <f>INDEX('Draft Engine'!$X$3:$X$232,$P86)</f>
        <v/>
      </c>
      <c r="N86">
        <f>INDEX('LIVE SOURCE'!$H$3:$H$232,$P86)</f>
        <v/>
      </c>
      <c r="O86">
        <f>INDEX('LIVE SOURCE'!$J$3:$J$232,$P86)</f>
        <v/>
      </c>
      <c r="P86" s="6">
        <f>MATCH($A86,'Draft Engine'!$Q$3:$Q$232,0)</f>
        <v/>
      </c>
    </row>
    <row r="87">
      <c r="A87">
        <f>85</f>
        <v/>
      </c>
      <c r="B87">
        <f>INDEX('Draft Engine'!$A$3:$A$232,$P87)</f>
        <v/>
      </c>
      <c r="C87">
        <f>INDEX('Draft Engine'!$F$3:$F$232,$P87)</f>
        <v/>
      </c>
      <c r="D87">
        <f>INDEX('Draft Engine'!$B$3:$B$232,$P87)</f>
        <v/>
      </c>
      <c r="E87" s="4">
        <f>INDEX('Draft Engine'!$E$3:$E$232,$P87)</f>
        <v/>
      </c>
      <c r="F87">
        <f>IF($E87&gt;=95,"ELITE",IF($E87&gt;=90,"TIER 1",IF($E87&gt;=85,"TIER 2",IF($E87&gt;=80,"TIER 3",IF($E87&gt;=75,"TIER 4",IF($E87&gt;=70,"TIER 5",IF($E87&gt;=65,"TIER 6","TIER 7")))))))</f>
        <v/>
      </c>
      <c r="G87" s="4">
        <f>INDEX('Draft Engine'!$G$3:$G$232,$P87)</f>
        <v/>
      </c>
      <c r="H87" s="4">
        <f>INDEX('Draft Engine'!$J$3:$J$232,$P87)</f>
        <v/>
      </c>
      <c r="I87" s="4">
        <f>INDEX('Draft Engine'!$N$3:$N$232,$P87)</f>
        <v/>
      </c>
      <c r="J87" s="4">
        <f>INDEX('Draft Engine'!$R$3:$R$232,$P87)</f>
        <v/>
      </c>
      <c r="K87" s="4">
        <f>INDEX('Draft Engine'!$S$3:$S$232,$P87)</f>
        <v/>
      </c>
      <c r="L87">
        <f>INDEX('Draft Engine'!$T$3:$T$232,$P87)</f>
        <v/>
      </c>
      <c r="M87">
        <f>INDEX('Draft Engine'!$X$3:$X$232,$P87)</f>
        <v/>
      </c>
      <c r="N87">
        <f>INDEX('LIVE SOURCE'!$H$3:$H$232,$P87)</f>
        <v/>
      </c>
      <c r="O87">
        <f>INDEX('LIVE SOURCE'!$J$3:$J$232,$P87)</f>
        <v/>
      </c>
      <c r="P87" s="6">
        <f>MATCH($A87,'Draft Engine'!$Q$3:$Q$232,0)</f>
        <v/>
      </c>
    </row>
    <row r="88">
      <c r="A88">
        <f>86</f>
        <v/>
      </c>
      <c r="B88">
        <f>INDEX('Draft Engine'!$A$3:$A$232,$P88)</f>
        <v/>
      </c>
      <c r="C88">
        <f>INDEX('Draft Engine'!$F$3:$F$232,$P88)</f>
        <v/>
      </c>
      <c r="D88">
        <f>INDEX('Draft Engine'!$B$3:$B$232,$P88)</f>
        <v/>
      </c>
      <c r="E88" s="4">
        <f>INDEX('Draft Engine'!$E$3:$E$232,$P88)</f>
        <v/>
      </c>
      <c r="F88">
        <f>IF($E88&gt;=95,"ELITE",IF($E88&gt;=90,"TIER 1",IF($E88&gt;=85,"TIER 2",IF($E88&gt;=80,"TIER 3",IF($E88&gt;=75,"TIER 4",IF($E88&gt;=70,"TIER 5",IF($E88&gt;=65,"TIER 6","TIER 7")))))))</f>
        <v/>
      </c>
      <c r="G88" s="4">
        <f>INDEX('Draft Engine'!$G$3:$G$232,$P88)</f>
        <v/>
      </c>
      <c r="H88" s="4">
        <f>INDEX('Draft Engine'!$J$3:$J$232,$P88)</f>
        <v/>
      </c>
      <c r="I88" s="4">
        <f>INDEX('Draft Engine'!$N$3:$N$232,$P88)</f>
        <v/>
      </c>
      <c r="J88" s="4">
        <f>INDEX('Draft Engine'!$R$3:$R$232,$P88)</f>
        <v/>
      </c>
      <c r="K88" s="4">
        <f>INDEX('Draft Engine'!$S$3:$S$232,$P88)</f>
        <v/>
      </c>
      <c r="L88">
        <f>INDEX('Draft Engine'!$T$3:$T$232,$P88)</f>
        <v/>
      </c>
      <c r="M88">
        <f>INDEX('Draft Engine'!$X$3:$X$232,$P88)</f>
        <v/>
      </c>
      <c r="N88">
        <f>INDEX('LIVE SOURCE'!$H$3:$H$232,$P88)</f>
        <v/>
      </c>
      <c r="O88">
        <f>INDEX('LIVE SOURCE'!$J$3:$J$232,$P88)</f>
        <v/>
      </c>
      <c r="P88" s="6">
        <f>MATCH($A88,'Draft Engine'!$Q$3:$Q$232,0)</f>
        <v/>
      </c>
    </row>
    <row r="89">
      <c r="A89">
        <f>87</f>
        <v/>
      </c>
      <c r="B89">
        <f>INDEX('Draft Engine'!$A$3:$A$232,$P89)</f>
        <v/>
      </c>
      <c r="C89">
        <f>INDEX('Draft Engine'!$F$3:$F$232,$P89)</f>
        <v/>
      </c>
      <c r="D89">
        <f>INDEX('Draft Engine'!$B$3:$B$232,$P89)</f>
        <v/>
      </c>
      <c r="E89" s="4">
        <f>INDEX('Draft Engine'!$E$3:$E$232,$P89)</f>
        <v/>
      </c>
      <c r="F89">
        <f>IF($E89&gt;=95,"ELITE",IF($E89&gt;=90,"TIER 1",IF($E89&gt;=85,"TIER 2",IF($E89&gt;=80,"TIER 3",IF($E89&gt;=75,"TIER 4",IF($E89&gt;=70,"TIER 5",IF($E89&gt;=65,"TIER 6","TIER 7")))))))</f>
        <v/>
      </c>
      <c r="G89" s="4">
        <f>INDEX('Draft Engine'!$G$3:$G$232,$P89)</f>
        <v/>
      </c>
      <c r="H89" s="4">
        <f>INDEX('Draft Engine'!$J$3:$J$232,$P89)</f>
        <v/>
      </c>
      <c r="I89" s="4">
        <f>INDEX('Draft Engine'!$N$3:$N$232,$P89)</f>
        <v/>
      </c>
      <c r="J89" s="4">
        <f>INDEX('Draft Engine'!$R$3:$R$232,$P89)</f>
        <v/>
      </c>
      <c r="K89" s="4">
        <f>INDEX('Draft Engine'!$S$3:$S$232,$P89)</f>
        <v/>
      </c>
      <c r="L89">
        <f>INDEX('Draft Engine'!$T$3:$T$232,$P89)</f>
        <v/>
      </c>
      <c r="M89">
        <f>INDEX('Draft Engine'!$X$3:$X$232,$P89)</f>
        <v/>
      </c>
      <c r="N89">
        <f>INDEX('LIVE SOURCE'!$H$3:$H$232,$P89)</f>
        <v/>
      </c>
      <c r="O89">
        <f>INDEX('LIVE SOURCE'!$J$3:$J$232,$P89)</f>
        <v/>
      </c>
      <c r="P89" s="6">
        <f>MATCH($A89,'Draft Engine'!$Q$3:$Q$232,0)</f>
        <v/>
      </c>
    </row>
    <row r="90">
      <c r="A90">
        <f>88</f>
        <v/>
      </c>
      <c r="B90">
        <f>INDEX('Draft Engine'!$A$3:$A$232,$P90)</f>
        <v/>
      </c>
      <c r="C90">
        <f>INDEX('Draft Engine'!$F$3:$F$232,$P90)</f>
        <v/>
      </c>
      <c r="D90">
        <f>INDEX('Draft Engine'!$B$3:$B$232,$P90)</f>
        <v/>
      </c>
      <c r="E90" s="4">
        <f>INDEX('Draft Engine'!$E$3:$E$232,$P90)</f>
        <v/>
      </c>
      <c r="F90">
        <f>IF($E90&gt;=95,"ELITE",IF($E90&gt;=90,"TIER 1",IF($E90&gt;=85,"TIER 2",IF($E90&gt;=80,"TIER 3",IF($E90&gt;=75,"TIER 4",IF($E90&gt;=70,"TIER 5",IF($E90&gt;=65,"TIER 6","TIER 7")))))))</f>
        <v/>
      </c>
      <c r="G90" s="4">
        <f>INDEX('Draft Engine'!$G$3:$G$232,$P90)</f>
        <v/>
      </c>
      <c r="H90" s="4">
        <f>INDEX('Draft Engine'!$J$3:$J$232,$P90)</f>
        <v/>
      </c>
      <c r="I90" s="4">
        <f>INDEX('Draft Engine'!$N$3:$N$232,$P90)</f>
        <v/>
      </c>
      <c r="J90" s="4">
        <f>INDEX('Draft Engine'!$R$3:$R$232,$P90)</f>
        <v/>
      </c>
      <c r="K90" s="4">
        <f>INDEX('Draft Engine'!$S$3:$S$232,$P90)</f>
        <v/>
      </c>
      <c r="L90">
        <f>INDEX('Draft Engine'!$T$3:$T$232,$P90)</f>
        <v/>
      </c>
      <c r="M90">
        <f>INDEX('Draft Engine'!$X$3:$X$232,$P90)</f>
        <v/>
      </c>
      <c r="N90">
        <f>INDEX('LIVE SOURCE'!$H$3:$H$232,$P90)</f>
        <v/>
      </c>
      <c r="O90">
        <f>INDEX('LIVE SOURCE'!$J$3:$J$232,$P90)</f>
        <v/>
      </c>
      <c r="P90" s="6">
        <f>MATCH($A90,'Draft Engine'!$Q$3:$Q$232,0)</f>
        <v/>
      </c>
    </row>
    <row r="91">
      <c r="A91">
        <f>89</f>
        <v/>
      </c>
      <c r="B91">
        <f>INDEX('Draft Engine'!$A$3:$A$232,$P91)</f>
        <v/>
      </c>
      <c r="C91">
        <f>INDEX('Draft Engine'!$F$3:$F$232,$P91)</f>
        <v/>
      </c>
      <c r="D91">
        <f>INDEX('Draft Engine'!$B$3:$B$232,$P91)</f>
        <v/>
      </c>
      <c r="E91" s="4">
        <f>INDEX('Draft Engine'!$E$3:$E$232,$P91)</f>
        <v/>
      </c>
      <c r="F91">
        <f>IF($E91&gt;=95,"ELITE",IF($E91&gt;=90,"TIER 1",IF($E91&gt;=85,"TIER 2",IF($E91&gt;=80,"TIER 3",IF($E91&gt;=75,"TIER 4",IF($E91&gt;=70,"TIER 5",IF($E91&gt;=65,"TIER 6","TIER 7")))))))</f>
        <v/>
      </c>
      <c r="G91" s="4">
        <f>INDEX('Draft Engine'!$G$3:$G$232,$P91)</f>
        <v/>
      </c>
      <c r="H91" s="4">
        <f>INDEX('Draft Engine'!$J$3:$J$232,$P91)</f>
        <v/>
      </c>
      <c r="I91" s="4">
        <f>INDEX('Draft Engine'!$N$3:$N$232,$P91)</f>
        <v/>
      </c>
      <c r="J91" s="4">
        <f>INDEX('Draft Engine'!$R$3:$R$232,$P91)</f>
        <v/>
      </c>
      <c r="K91" s="4">
        <f>INDEX('Draft Engine'!$S$3:$S$232,$P91)</f>
        <v/>
      </c>
      <c r="L91">
        <f>INDEX('Draft Engine'!$T$3:$T$232,$P91)</f>
        <v/>
      </c>
      <c r="M91">
        <f>INDEX('Draft Engine'!$X$3:$X$232,$P91)</f>
        <v/>
      </c>
      <c r="N91">
        <f>INDEX('LIVE SOURCE'!$H$3:$H$232,$P91)</f>
        <v/>
      </c>
      <c r="O91">
        <f>INDEX('LIVE SOURCE'!$J$3:$J$232,$P91)</f>
        <v/>
      </c>
      <c r="P91" s="6">
        <f>MATCH($A91,'Draft Engine'!$Q$3:$Q$232,0)</f>
        <v/>
      </c>
    </row>
    <row r="92">
      <c r="A92">
        <f>90</f>
        <v/>
      </c>
      <c r="B92">
        <f>INDEX('Draft Engine'!$A$3:$A$232,$P92)</f>
        <v/>
      </c>
      <c r="C92">
        <f>INDEX('Draft Engine'!$F$3:$F$232,$P92)</f>
        <v/>
      </c>
      <c r="D92">
        <f>INDEX('Draft Engine'!$B$3:$B$232,$P92)</f>
        <v/>
      </c>
      <c r="E92" s="4">
        <f>INDEX('Draft Engine'!$E$3:$E$232,$P92)</f>
        <v/>
      </c>
      <c r="F92">
        <f>IF($E92&gt;=95,"ELITE",IF($E92&gt;=90,"TIER 1",IF($E92&gt;=85,"TIER 2",IF($E92&gt;=80,"TIER 3",IF($E92&gt;=75,"TIER 4",IF($E92&gt;=70,"TIER 5",IF($E92&gt;=65,"TIER 6","TIER 7")))))))</f>
        <v/>
      </c>
      <c r="G92" s="4">
        <f>INDEX('Draft Engine'!$G$3:$G$232,$P92)</f>
        <v/>
      </c>
      <c r="H92" s="4">
        <f>INDEX('Draft Engine'!$J$3:$J$232,$P92)</f>
        <v/>
      </c>
      <c r="I92" s="4">
        <f>INDEX('Draft Engine'!$N$3:$N$232,$P92)</f>
        <v/>
      </c>
      <c r="J92" s="4">
        <f>INDEX('Draft Engine'!$R$3:$R$232,$P92)</f>
        <v/>
      </c>
      <c r="K92" s="4">
        <f>INDEX('Draft Engine'!$S$3:$S$232,$P92)</f>
        <v/>
      </c>
      <c r="L92">
        <f>INDEX('Draft Engine'!$T$3:$T$232,$P92)</f>
        <v/>
      </c>
      <c r="M92">
        <f>INDEX('Draft Engine'!$X$3:$X$232,$P92)</f>
        <v/>
      </c>
      <c r="N92">
        <f>INDEX('LIVE SOURCE'!$H$3:$H$232,$P92)</f>
        <v/>
      </c>
      <c r="O92">
        <f>INDEX('LIVE SOURCE'!$J$3:$J$232,$P92)</f>
        <v/>
      </c>
      <c r="P92" s="6">
        <f>MATCH($A92,'Draft Engine'!$Q$3:$Q$232,0)</f>
        <v/>
      </c>
    </row>
    <row r="93">
      <c r="A93">
        <f>91</f>
        <v/>
      </c>
      <c r="B93">
        <f>INDEX('Draft Engine'!$A$3:$A$232,$P93)</f>
        <v/>
      </c>
      <c r="C93">
        <f>INDEX('Draft Engine'!$F$3:$F$232,$P93)</f>
        <v/>
      </c>
      <c r="D93">
        <f>INDEX('Draft Engine'!$B$3:$B$232,$P93)</f>
        <v/>
      </c>
      <c r="E93" s="4">
        <f>INDEX('Draft Engine'!$E$3:$E$232,$P93)</f>
        <v/>
      </c>
      <c r="F93">
        <f>IF($E93&gt;=95,"ELITE",IF($E93&gt;=90,"TIER 1",IF($E93&gt;=85,"TIER 2",IF($E93&gt;=80,"TIER 3",IF($E93&gt;=75,"TIER 4",IF($E93&gt;=70,"TIER 5",IF($E93&gt;=65,"TIER 6","TIER 7")))))))</f>
        <v/>
      </c>
      <c r="G93" s="4">
        <f>INDEX('Draft Engine'!$G$3:$G$232,$P93)</f>
        <v/>
      </c>
      <c r="H93" s="4">
        <f>INDEX('Draft Engine'!$J$3:$J$232,$P93)</f>
        <v/>
      </c>
      <c r="I93" s="4">
        <f>INDEX('Draft Engine'!$N$3:$N$232,$P93)</f>
        <v/>
      </c>
      <c r="J93" s="4">
        <f>INDEX('Draft Engine'!$R$3:$R$232,$P93)</f>
        <v/>
      </c>
      <c r="K93" s="4">
        <f>INDEX('Draft Engine'!$S$3:$S$232,$P93)</f>
        <v/>
      </c>
      <c r="L93">
        <f>INDEX('Draft Engine'!$T$3:$T$232,$P93)</f>
        <v/>
      </c>
      <c r="M93">
        <f>INDEX('Draft Engine'!$X$3:$X$232,$P93)</f>
        <v/>
      </c>
      <c r="N93">
        <f>INDEX('LIVE SOURCE'!$H$3:$H$232,$P93)</f>
        <v/>
      </c>
      <c r="O93">
        <f>INDEX('LIVE SOURCE'!$J$3:$J$232,$P93)</f>
        <v/>
      </c>
      <c r="P93" s="6">
        <f>MATCH($A93,'Draft Engine'!$Q$3:$Q$232,0)</f>
        <v/>
      </c>
    </row>
    <row r="94">
      <c r="A94">
        <f>92</f>
        <v/>
      </c>
      <c r="B94">
        <f>INDEX('Draft Engine'!$A$3:$A$232,$P94)</f>
        <v/>
      </c>
      <c r="C94">
        <f>INDEX('Draft Engine'!$F$3:$F$232,$P94)</f>
        <v/>
      </c>
      <c r="D94">
        <f>INDEX('Draft Engine'!$B$3:$B$232,$P94)</f>
        <v/>
      </c>
      <c r="E94" s="4">
        <f>INDEX('Draft Engine'!$E$3:$E$232,$P94)</f>
        <v/>
      </c>
      <c r="F94">
        <f>IF($E94&gt;=95,"ELITE",IF($E94&gt;=90,"TIER 1",IF($E94&gt;=85,"TIER 2",IF($E94&gt;=80,"TIER 3",IF($E94&gt;=75,"TIER 4",IF($E94&gt;=70,"TIER 5",IF($E94&gt;=65,"TIER 6","TIER 7")))))))</f>
        <v/>
      </c>
      <c r="G94" s="4">
        <f>INDEX('Draft Engine'!$G$3:$G$232,$P94)</f>
        <v/>
      </c>
      <c r="H94" s="4">
        <f>INDEX('Draft Engine'!$J$3:$J$232,$P94)</f>
        <v/>
      </c>
      <c r="I94" s="4">
        <f>INDEX('Draft Engine'!$N$3:$N$232,$P94)</f>
        <v/>
      </c>
      <c r="J94" s="4">
        <f>INDEX('Draft Engine'!$R$3:$R$232,$P94)</f>
        <v/>
      </c>
      <c r="K94" s="4">
        <f>INDEX('Draft Engine'!$S$3:$S$232,$P94)</f>
        <v/>
      </c>
      <c r="L94">
        <f>INDEX('Draft Engine'!$T$3:$T$232,$P94)</f>
        <v/>
      </c>
      <c r="M94">
        <f>INDEX('Draft Engine'!$X$3:$X$232,$P94)</f>
        <v/>
      </c>
      <c r="N94">
        <f>INDEX('LIVE SOURCE'!$H$3:$H$232,$P94)</f>
        <v/>
      </c>
      <c r="O94">
        <f>INDEX('LIVE SOURCE'!$J$3:$J$232,$P94)</f>
        <v/>
      </c>
      <c r="P94" s="6">
        <f>MATCH($A94,'Draft Engine'!$Q$3:$Q$232,0)</f>
        <v/>
      </c>
    </row>
    <row r="95">
      <c r="A95">
        <f>93</f>
        <v/>
      </c>
      <c r="B95">
        <f>INDEX('Draft Engine'!$A$3:$A$232,$P95)</f>
        <v/>
      </c>
      <c r="C95">
        <f>INDEX('Draft Engine'!$F$3:$F$232,$P95)</f>
        <v/>
      </c>
      <c r="D95">
        <f>INDEX('Draft Engine'!$B$3:$B$232,$P95)</f>
        <v/>
      </c>
      <c r="E95" s="4">
        <f>INDEX('Draft Engine'!$E$3:$E$232,$P95)</f>
        <v/>
      </c>
      <c r="F95">
        <f>IF($E95&gt;=95,"ELITE",IF($E95&gt;=90,"TIER 1",IF($E95&gt;=85,"TIER 2",IF($E95&gt;=80,"TIER 3",IF($E95&gt;=75,"TIER 4",IF($E95&gt;=70,"TIER 5",IF($E95&gt;=65,"TIER 6","TIER 7")))))))</f>
        <v/>
      </c>
      <c r="G95" s="4">
        <f>INDEX('Draft Engine'!$G$3:$G$232,$P95)</f>
        <v/>
      </c>
      <c r="H95" s="4">
        <f>INDEX('Draft Engine'!$J$3:$J$232,$P95)</f>
        <v/>
      </c>
      <c r="I95" s="4">
        <f>INDEX('Draft Engine'!$N$3:$N$232,$P95)</f>
        <v/>
      </c>
      <c r="J95" s="4">
        <f>INDEX('Draft Engine'!$R$3:$R$232,$P95)</f>
        <v/>
      </c>
      <c r="K95" s="4">
        <f>INDEX('Draft Engine'!$S$3:$S$232,$P95)</f>
        <v/>
      </c>
      <c r="L95">
        <f>INDEX('Draft Engine'!$T$3:$T$232,$P95)</f>
        <v/>
      </c>
      <c r="M95">
        <f>INDEX('Draft Engine'!$X$3:$X$232,$P95)</f>
        <v/>
      </c>
      <c r="N95">
        <f>INDEX('LIVE SOURCE'!$H$3:$H$232,$P95)</f>
        <v/>
      </c>
      <c r="O95">
        <f>INDEX('LIVE SOURCE'!$J$3:$J$232,$P95)</f>
        <v/>
      </c>
      <c r="P95" s="6">
        <f>MATCH($A95,'Draft Engine'!$Q$3:$Q$232,0)</f>
        <v/>
      </c>
    </row>
    <row r="96">
      <c r="A96">
        <f>94</f>
        <v/>
      </c>
      <c r="B96">
        <f>INDEX('Draft Engine'!$A$3:$A$232,$P96)</f>
        <v/>
      </c>
      <c r="C96">
        <f>INDEX('Draft Engine'!$F$3:$F$232,$P96)</f>
        <v/>
      </c>
      <c r="D96">
        <f>INDEX('Draft Engine'!$B$3:$B$232,$P96)</f>
        <v/>
      </c>
      <c r="E96" s="4">
        <f>INDEX('Draft Engine'!$E$3:$E$232,$P96)</f>
        <v/>
      </c>
      <c r="F96">
        <f>IF($E96&gt;=95,"ELITE",IF($E96&gt;=90,"TIER 1",IF($E96&gt;=85,"TIER 2",IF($E96&gt;=80,"TIER 3",IF($E96&gt;=75,"TIER 4",IF($E96&gt;=70,"TIER 5",IF($E96&gt;=65,"TIER 6","TIER 7")))))))</f>
        <v/>
      </c>
      <c r="G96" s="4">
        <f>INDEX('Draft Engine'!$G$3:$G$232,$P96)</f>
        <v/>
      </c>
      <c r="H96" s="4">
        <f>INDEX('Draft Engine'!$J$3:$J$232,$P96)</f>
        <v/>
      </c>
      <c r="I96" s="4">
        <f>INDEX('Draft Engine'!$N$3:$N$232,$P96)</f>
        <v/>
      </c>
      <c r="J96" s="4">
        <f>INDEX('Draft Engine'!$R$3:$R$232,$P96)</f>
        <v/>
      </c>
      <c r="K96" s="4">
        <f>INDEX('Draft Engine'!$S$3:$S$232,$P96)</f>
        <v/>
      </c>
      <c r="L96">
        <f>INDEX('Draft Engine'!$T$3:$T$232,$P96)</f>
        <v/>
      </c>
      <c r="M96">
        <f>INDEX('Draft Engine'!$X$3:$X$232,$P96)</f>
        <v/>
      </c>
      <c r="N96">
        <f>INDEX('LIVE SOURCE'!$H$3:$H$232,$P96)</f>
        <v/>
      </c>
      <c r="O96">
        <f>INDEX('LIVE SOURCE'!$J$3:$J$232,$P96)</f>
        <v/>
      </c>
      <c r="P96" s="6">
        <f>MATCH($A96,'Draft Engine'!$Q$3:$Q$232,0)</f>
        <v/>
      </c>
    </row>
    <row r="97">
      <c r="A97">
        <f>95</f>
        <v/>
      </c>
      <c r="B97">
        <f>INDEX('Draft Engine'!$A$3:$A$232,$P97)</f>
        <v/>
      </c>
      <c r="C97">
        <f>INDEX('Draft Engine'!$F$3:$F$232,$P97)</f>
        <v/>
      </c>
      <c r="D97">
        <f>INDEX('Draft Engine'!$B$3:$B$232,$P97)</f>
        <v/>
      </c>
      <c r="E97" s="4">
        <f>INDEX('Draft Engine'!$E$3:$E$232,$P97)</f>
        <v/>
      </c>
      <c r="F97">
        <f>IF($E97&gt;=95,"ELITE",IF($E97&gt;=90,"TIER 1",IF($E97&gt;=85,"TIER 2",IF($E97&gt;=80,"TIER 3",IF($E97&gt;=75,"TIER 4",IF($E97&gt;=70,"TIER 5",IF($E97&gt;=65,"TIER 6","TIER 7")))))))</f>
        <v/>
      </c>
      <c r="G97" s="4">
        <f>INDEX('Draft Engine'!$G$3:$G$232,$P97)</f>
        <v/>
      </c>
      <c r="H97" s="4">
        <f>INDEX('Draft Engine'!$J$3:$J$232,$P97)</f>
        <v/>
      </c>
      <c r="I97" s="4">
        <f>INDEX('Draft Engine'!$N$3:$N$232,$P97)</f>
        <v/>
      </c>
      <c r="J97" s="4">
        <f>INDEX('Draft Engine'!$R$3:$R$232,$P97)</f>
        <v/>
      </c>
      <c r="K97" s="4">
        <f>INDEX('Draft Engine'!$S$3:$S$232,$P97)</f>
        <v/>
      </c>
      <c r="L97">
        <f>INDEX('Draft Engine'!$T$3:$T$232,$P97)</f>
        <v/>
      </c>
      <c r="M97">
        <f>INDEX('Draft Engine'!$X$3:$X$232,$P97)</f>
        <v/>
      </c>
      <c r="N97">
        <f>INDEX('LIVE SOURCE'!$H$3:$H$232,$P97)</f>
        <v/>
      </c>
      <c r="O97">
        <f>INDEX('LIVE SOURCE'!$J$3:$J$232,$P97)</f>
        <v/>
      </c>
      <c r="P97" s="6">
        <f>MATCH($A97,'Draft Engine'!$Q$3:$Q$232,0)</f>
        <v/>
      </c>
    </row>
    <row r="98">
      <c r="A98">
        <f>96</f>
        <v/>
      </c>
      <c r="B98">
        <f>INDEX('Draft Engine'!$A$3:$A$232,$P98)</f>
        <v/>
      </c>
      <c r="C98">
        <f>INDEX('Draft Engine'!$F$3:$F$232,$P98)</f>
        <v/>
      </c>
      <c r="D98">
        <f>INDEX('Draft Engine'!$B$3:$B$232,$P98)</f>
        <v/>
      </c>
      <c r="E98" s="4">
        <f>INDEX('Draft Engine'!$E$3:$E$232,$P98)</f>
        <v/>
      </c>
      <c r="F98">
        <f>IF($E98&gt;=95,"ELITE",IF($E98&gt;=90,"TIER 1",IF($E98&gt;=85,"TIER 2",IF($E98&gt;=80,"TIER 3",IF($E98&gt;=75,"TIER 4",IF($E98&gt;=70,"TIER 5",IF($E98&gt;=65,"TIER 6","TIER 7")))))))</f>
        <v/>
      </c>
      <c r="G98" s="4">
        <f>INDEX('Draft Engine'!$G$3:$G$232,$P98)</f>
        <v/>
      </c>
      <c r="H98" s="4">
        <f>INDEX('Draft Engine'!$J$3:$J$232,$P98)</f>
        <v/>
      </c>
      <c r="I98" s="4">
        <f>INDEX('Draft Engine'!$N$3:$N$232,$P98)</f>
        <v/>
      </c>
      <c r="J98" s="4">
        <f>INDEX('Draft Engine'!$R$3:$R$232,$P98)</f>
        <v/>
      </c>
      <c r="K98" s="4">
        <f>INDEX('Draft Engine'!$S$3:$S$232,$P98)</f>
        <v/>
      </c>
      <c r="L98">
        <f>INDEX('Draft Engine'!$T$3:$T$232,$P98)</f>
        <v/>
      </c>
      <c r="M98">
        <f>INDEX('Draft Engine'!$X$3:$X$232,$P98)</f>
        <v/>
      </c>
      <c r="N98">
        <f>INDEX('LIVE SOURCE'!$H$3:$H$232,$P98)</f>
        <v/>
      </c>
      <c r="O98">
        <f>INDEX('LIVE SOURCE'!$J$3:$J$232,$P98)</f>
        <v/>
      </c>
      <c r="P98" s="6">
        <f>MATCH($A98,'Draft Engine'!$Q$3:$Q$232,0)</f>
        <v/>
      </c>
    </row>
    <row r="99">
      <c r="A99">
        <f>97</f>
        <v/>
      </c>
      <c r="B99">
        <f>INDEX('Draft Engine'!$A$3:$A$232,$P99)</f>
        <v/>
      </c>
      <c r="C99">
        <f>INDEX('Draft Engine'!$F$3:$F$232,$P99)</f>
        <v/>
      </c>
      <c r="D99">
        <f>INDEX('Draft Engine'!$B$3:$B$232,$P99)</f>
        <v/>
      </c>
      <c r="E99" s="4">
        <f>INDEX('Draft Engine'!$E$3:$E$232,$P99)</f>
        <v/>
      </c>
      <c r="F99">
        <f>IF($E99&gt;=95,"ELITE",IF($E99&gt;=90,"TIER 1",IF($E99&gt;=85,"TIER 2",IF($E99&gt;=80,"TIER 3",IF($E99&gt;=75,"TIER 4",IF($E99&gt;=70,"TIER 5",IF($E99&gt;=65,"TIER 6","TIER 7")))))))</f>
        <v/>
      </c>
      <c r="G99" s="4">
        <f>INDEX('Draft Engine'!$G$3:$G$232,$P99)</f>
        <v/>
      </c>
      <c r="H99" s="4">
        <f>INDEX('Draft Engine'!$J$3:$J$232,$P99)</f>
        <v/>
      </c>
      <c r="I99" s="4">
        <f>INDEX('Draft Engine'!$N$3:$N$232,$P99)</f>
        <v/>
      </c>
      <c r="J99" s="4">
        <f>INDEX('Draft Engine'!$R$3:$R$232,$P99)</f>
        <v/>
      </c>
      <c r="K99" s="4">
        <f>INDEX('Draft Engine'!$S$3:$S$232,$P99)</f>
        <v/>
      </c>
      <c r="L99">
        <f>INDEX('Draft Engine'!$T$3:$T$232,$P99)</f>
        <v/>
      </c>
      <c r="M99">
        <f>INDEX('Draft Engine'!$X$3:$X$232,$P99)</f>
        <v/>
      </c>
      <c r="N99">
        <f>INDEX('LIVE SOURCE'!$H$3:$H$232,$P99)</f>
        <v/>
      </c>
      <c r="O99">
        <f>INDEX('LIVE SOURCE'!$J$3:$J$232,$P99)</f>
        <v/>
      </c>
      <c r="P99" s="6">
        <f>MATCH($A99,'Draft Engine'!$Q$3:$Q$232,0)</f>
        <v/>
      </c>
    </row>
    <row r="100">
      <c r="A100">
        <f>98</f>
        <v/>
      </c>
      <c r="B100">
        <f>INDEX('Draft Engine'!$A$3:$A$232,$P100)</f>
        <v/>
      </c>
      <c r="C100">
        <f>INDEX('Draft Engine'!$F$3:$F$232,$P100)</f>
        <v/>
      </c>
      <c r="D100">
        <f>INDEX('Draft Engine'!$B$3:$B$232,$P100)</f>
        <v/>
      </c>
      <c r="E100" s="4">
        <f>INDEX('Draft Engine'!$E$3:$E$232,$P100)</f>
        <v/>
      </c>
      <c r="F100">
        <f>IF($E100&gt;=95,"ELITE",IF($E100&gt;=90,"TIER 1",IF($E100&gt;=85,"TIER 2",IF($E100&gt;=80,"TIER 3",IF($E100&gt;=75,"TIER 4",IF($E100&gt;=70,"TIER 5",IF($E100&gt;=65,"TIER 6","TIER 7")))))))</f>
        <v/>
      </c>
      <c r="G100" s="4">
        <f>INDEX('Draft Engine'!$G$3:$G$232,$P100)</f>
        <v/>
      </c>
      <c r="H100" s="4">
        <f>INDEX('Draft Engine'!$J$3:$J$232,$P100)</f>
        <v/>
      </c>
      <c r="I100" s="4">
        <f>INDEX('Draft Engine'!$N$3:$N$232,$P100)</f>
        <v/>
      </c>
      <c r="J100" s="4">
        <f>INDEX('Draft Engine'!$R$3:$R$232,$P100)</f>
        <v/>
      </c>
      <c r="K100" s="4">
        <f>INDEX('Draft Engine'!$S$3:$S$232,$P100)</f>
        <v/>
      </c>
      <c r="L100">
        <f>INDEX('Draft Engine'!$T$3:$T$232,$P100)</f>
        <v/>
      </c>
      <c r="M100">
        <f>INDEX('Draft Engine'!$X$3:$X$232,$P100)</f>
        <v/>
      </c>
      <c r="N100">
        <f>INDEX('LIVE SOURCE'!$H$3:$H$232,$P100)</f>
        <v/>
      </c>
      <c r="O100">
        <f>INDEX('LIVE SOURCE'!$J$3:$J$232,$P100)</f>
        <v/>
      </c>
      <c r="P100" s="6">
        <f>MATCH($A100,'Draft Engine'!$Q$3:$Q$232,0)</f>
        <v/>
      </c>
    </row>
    <row r="101">
      <c r="A101">
        <f>99</f>
        <v/>
      </c>
      <c r="B101">
        <f>INDEX('Draft Engine'!$A$3:$A$232,$P101)</f>
        <v/>
      </c>
      <c r="C101">
        <f>INDEX('Draft Engine'!$F$3:$F$232,$P101)</f>
        <v/>
      </c>
      <c r="D101">
        <f>INDEX('Draft Engine'!$B$3:$B$232,$P101)</f>
        <v/>
      </c>
      <c r="E101" s="4">
        <f>INDEX('Draft Engine'!$E$3:$E$232,$P101)</f>
        <v/>
      </c>
      <c r="F101">
        <f>IF($E101&gt;=95,"ELITE",IF($E101&gt;=90,"TIER 1",IF($E101&gt;=85,"TIER 2",IF($E101&gt;=80,"TIER 3",IF($E101&gt;=75,"TIER 4",IF($E101&gt;=70,"TIER 5",IF($E101&gt;=65,"TIER 6","TIER 7")))))))</f>
        <v/>
      </c>
      <c r="G101" s="4">
        <f>INDEX('Draft Engine'!$G$3:$G$232,$P101)</f>
        <v/>
      </c>
      <c r="H101" s="4">
        <f>INDEX('Draft Engine'!$J$3:$J$232,$P101)</f>
        <v/>
      </c>
      <c r="I101" s="4">
        <f>INDEX('Draft Engine'!$N$3:$N$232,$P101)</f>
        <v/>
      </c>
      <c r="J101" s="4">
        <f>INDEX('Draft Engine'!$R$3:$R$232,$P101)</f>
        <v/>
      </c>
      <c r="K101" s="4">
        <f>INDEX('Draft Engine'!$S$3:$S$232,$P101)</f>
        <v/>
      </c>
      <c r="L101">
        <f>INDEX('Draft Engine'!$T$3:$T$232,$P101)</f>
        <v/>
      </c>
      <c r="M101">
        <f>INDEX('Draft Engine'!$X$3:$X$232,$P101)</f>
        <v/>
      </c>
      <c r="N101">
        <f>INDEX('LIVE SOURCE'!$H$3:$H$232,$P101)</f>
        <v/>
      </c>
      <c r="O101">
        <f>INDEX('LIVE SOURCE'!$J$3:$J$232,$P101)</f>
        <v/>
      </c>
      <c r="P101" s="6">
        <f>MATCH($A101,'Draft Engine'!$Q$3:$Q$232,0)</f>
        <v/>
      </c>
    </row>
    <row r="102">
      <c r="A102">
        <f>100</f>
        <v/>
      </c>
      <c r="B102">
        <f>INDEX('Draft Engine'!$A$3:$A$232,$P102)</f>
        <v/>
      </c>
      <c r="C102">
        <f>INDEX('Draft Engine'!$F$3:$F$232,$P102)</f>
        <v/>
      </c>
      <c r="D102">
        <f>INDEX('Draft Engine'!$B$3:$B$232,$P102)</f>
        <v/>
      </c>
      <c r="E102" s="4">
        <f>INDEX('Draft Engine'!$E$3:$E$232,$P102)</f>
        <v/>
      </c>
      <c r="F102">
        <f>IF($E102&gt;=95,"ELITE",IF($E102&gt;=90,"TIER 1",IF($E102&gt;=85,"TIER 2",IF($E102&gt;=80,"TIER 3",IF($E102&gt;=75,"TIER 4",IF($E102&gt;=70,"TIER 5",IF($E102&gt;=65,"TIER 6","TIER 7")))))))</f>
        <v/>
      </c>
      <c r="G102" s="4">
        <f>INDEX('Draft Engine'!$G$3:$G$232,$P102)</f>
        <v/>
      </c>
      <c r="H102" s="4">
        <f>INDEX('Draft Engine'!$J$3:$J$232,$P102)</f>
        <v/>
      </c>
      <c r="I102" s="4">
        <f>INDEX('Draft Engine'!$N$3:$N$232,$P102)</f>
        <v/>
      </c>
      <c r="J102" s="4">
        <f>INDEX('Draft Engine'!$R$3:$R$232,$P102)</f>
        <v/>
      </c>
      <c r="K102" s="4">
        <f>INDEX('Draft Engine'!$S$3:$S$232,$P102)</f>
        <v/>
      </c>
      <c r="L102">
        <f>INDEX('Draft Engine'!$T$3:$T$232,$P102)</f>
        <v/>
      </c>
      <c r="M102">
        <f>INDEX('Draft Engine'!$X$3:$X$232,$P102)</f>
        <v/>
      </c>
      <c r="N102">
        <f>INDEX('LIVE SOURCE'!$H$3:$H$232,$P102)</f>
        <v/>
      </c>
      <c r="O102">
        <f>INDEX('LIVE SOURCE'!$J$3:$J$232,$P102)</f>
        <v/>
      </c>
      <c r="P102" s="6">
        <f>MATCH($A102,'Draft Engine'!$Q$3:$Q$232,0)</f>
        <v/>
      </c>
    </row>
    <row r="103">
      <c r="A103">
        <f>101</f>
        <v/>
      </c>
      <c r="B103">
        <f>INDEX('Draft Engine'!$A$3:$A$232,$P103)</f>
        <v/>
      </c>
      <c r="C103">
        <f>INDEX('Draft Engine'!$F$3:$F$232,$P103)</f>
        <v/>
      </c>
      <c r="D103">
        <f>INDEX('Draft Engine'!$B$3:$B$232,$P103)</f>
        <v/>
      </c>
      <c r="E103" s="4">
        <f>INDEX('Draft Engine'!$E$3:$E$232,$P103)</f>
        <v/>
      </c>
      <c r="F103">
        <f>IF($E103&gt;=95,"ELITE",IF($E103&gt;=90,"TIER 1",IF($E103&gt;=85,"TIER 2",IF($E103&gt;=80,"TIER 3",IF($E103&gt;=75,"TIER 4",IF($E103&gt;=70,"TIER 5",IF($E103&gt;=65,"TIER 6","TIER 7")))))))</f>
        <v/>
      </c>
      <c r="G103" s="4">
        <f>INDEX('Draft Engine'!$G$3:$G$232,$P103)</f>
        <v/>
      </c>
      <c r="H103" s="4">
        <f>INDEX('Draft Engine'!$J$3:$J$232,$P103)</f>
        <v/>
      </c>
      <c r="I103" s="4">
        <f>INDEX('Draft Engine'!$N$3:$N$232,$P103)</f>
        <v/>
      </c>
      <c r="J103" s="4">
        <f>INDEX('Draft Engine'!$R$3:$R$232,$P103)</f>
        <v/>
      </c>
      <c r="K103" s="4">
        <f>INDEX('Draft Engine'!$S$3:$S$232,$P103)</f>
        <v/>
      </c>
      <c r="L103">
        <f>INDEX('Draft Engine'!$T$3:$T$232,$P103)</f>
        <v/>
      </c>
      <c r="M103">
        <f>INDEX('Draft Engine'!$X$3:$X$232,$P103)</f>
        <v/>
      </c>
      <c r="N103">
        <f>INDEX('LIVE SOURCE'!$H$3:$H$232,$P103)</f>
        <v/>
      </c>
      <c r="O103">
        <f>INDEX('LIVE SOURCE'!$J$3:$J$232,$P103)</f>
        <v/>
      </c>
      <c r="P103" s="6">
        <f>MATCH($A103,'Draft Engine'!$Q$3:$Q$232,0)</f>
        <v/>
      </c>
    </row>
    <row r="104">
      <c r="A104">
        <f>102</f>
        <v/>
      </c>
      <c r="B104">
        <f>INDEX('Draft Engine'!$A$3:$A$232,$P104)</f>
        <v/>
      </c>
      <c r="C104">
        <f>INDEX('Draft Engine'!$F$3:$F$232,$P104)</f>
        <v/>
      </c>
      <c r="D104">
        <f>INDEX('Draft Engine'!$B$3:$B$232,$P104)</f>
        <v/>
      </c>
      <c r="E104" s="4">
        <f>INDEX('Draft Engine'!$E$3:$E$232,$P104)</f>
        <v/>
      </c>
      <c r="F104">
        <f>IF($E104&gt;=95,"ELITE",IF($E104&gt;=90,"TIER 1",IF($E104&gt;=85,"TIER 2",IF($E104&gt;=80,"TIER 3",IF($E104&gt;=75,"TIER 4",IF($E104&gt;=70,"TIER 5",IF($E104&gt;=65,"TIER 6","TIER 7")))))))</f>
        <v/>
      </c>
      <c r="G104" s="4">
        <f>INDEX('Draft Engine'!$G$3:$G$232,$P104)</f>
        <v/>
      </c>
      <c r="H104" s="4">
        <f>INDEX('Draft Engine'!$J$3:$J$232,$P104)</f>
        <v/>
      </c>
      <c r="I104" s="4">
        <f>INDEX('Draft Engine'!$N$3:$N$232,$P104)</f>
        <v/>
      </c>
      <c r="J104" s="4">
        <f>INDEX('Draft Engine'!$R$3:$R$232,$P104)</f>
        <v/>
      </c>
      <c r="K104" s="4">
        <f>INDEX('Draft Engine'!$S$3:$S$232,$P104)</f>
        <v/>
      </c>
      <c r="L104">
        <f>INDEX('Draft Engine'!$T$3:$T$232,$P104)</f>
        <v/>
      </c>
      <c r="M104">
        <f>INDEX('Draft Engine'!$X$3:$X$232,$P104)</f>
        <v/>
      </c>
      <c r="N104">
        <f>INDEX('LIVE SOURCE'!$H$3:$H$232,$P104)</f>
        <v/>
      </c>
      <c r="O104">
        <f>INDEX('LIVE SOURCE'!$J$3:$J$232,$P104)</f>
        <v/>
      </c>
      <c r="P104" s="6">
        <f>MATCH($A104,'Draft Engine'!$Q$3:$Q$232,0)</f>
        <v/>
      </c>
    </row>
    <row r="105">
      <c r="A105">
        <f>103</f>
        <v/>
      </c>
      <c r="B105">
        <f>INDEX('Draft Engine'!$A$3:$A$232,$P105)</f>
        <v/>
      </c>
      <c r="C105">
        <f>INDEX('Draft Engine'!$F$3:$F$232,$P105)</f>
        <v/>
      </c>
      <c r="D105">
        <f>INDEX('Draft Engine'!$B$3:$B$232,$P105)</f>
        <v/>
      </c>
      <c r="E105" s="4">
        <f>INDEX('Draft Engine'!$E$3:$E$232,$P105)</f>
        <v/>
      </c>
      <c r="F105">
        <f>IF($E105&gt;=95,"ELITE",IF($E105&gt;=90,"TIER 1",IF($E105&gt;=85,"TIER 2",IF($E105&gt;=80,"TIER 3",IF($E105&gt;=75,"TIER 4",IF($E105&gt;=70,"TIER 5",IF($E105&gt;=65,"TIER 6","TIER 7")))))))</f>
        <v/>
      </c>
      <c r="G105" s="4">
        <f>INDEX('Draft Engine'!$G$3:$G$232,$P105)</f>
        <v/>
      </c>
      <c r="H105" s="4">
        <f>INDEX('Draft Engine'!$J$3:$J$232,$P105)</f>
        <v/>
      </c>
      <c r="I105" s="4">
        <f>INDEX('Draft Engine'!$N$3:$N$232,$P105)</f>
        <v/>
      </c>
      <c r="J105" s="4">
        <f>INDEX('Draft Engine'!$R$3:$R$232,$P105)</f>
        <v/>
      </c>
      <c r="K105" s="4">
        <f>INDEX('Draft Engine'!$S$3:$S$232,$P105)</f>
        <v/>
      </c>
      <c r="L105">
        <f>INDEX('Draft Engine'!$T$3:$T$232,$P105)</f>
        <v/>
      </c>
      <c r="M105">
        <f>INDEX('Draft Engine'!$X$3:$X$232,$P105)</f>
        <v/>
      </c>
      <c r="N105">
        <f>INDEX('LIVE SOURCE'!$H$3:$H$232,$P105)</f>
        <v/>
      </c>
      <c r="O105">
        <f>INDEX('LIVE SOURCE'!$J$3:$J$232,$P105)</f>
        <v/>
      </c>
      <c r="P105" s="6">
        <f>MATCH($A105,'Draft Engine'!$Q$3:$Q$232,0)</f>
        <v/>
      </c>
    </row>
    <row r="106">
      <c r="A106">
        <f>104</f>
        <v/>
      </c>
      <c r="B106">
        <f>INDEX('Draft Engine'!$A$3:$A$232,$P106)</f>
        <v/>
      </c>
      <c r="C106">
        <f>INDEX('Draft Engine'!$F$3:$F$232,$P106)</f>
        <v/>
      </c>
      <c r="D106">
        <f>INDEX('Draft Engine'!$B$3:$B$232,$P106)</f>
        <v/>
      </c>
      <c r="E106" s="4">
        <f>INDEX('Draft Engine'!$E$3:$E$232,$P106)</f>
        <v/>
      </c>
      <c r="F106">
        <f>IF($E106&gt;=95,"ELITE",IF($E106&gt;=90,"TIER 1",IF($E106&gt;=85,"TIER 2",IF($E106&gt;=80,"TIER 3",IF($E106&gt;=75,"TIER 4",IF($E106&gt;=70,"TIER 5",IF($E106&gt;=65,"TIER 6","TIER 7")))))))</f>
        <v/>
      </c>
      <c r="G106" s="4">
        <f>INDEX('Draft Engine'!$G$3:$G$232,$P106)</f>
        <v/>
      </c>
      <c r="H106" s="4">
        <f>INDEX('Draft Engine'!$J$3:$J$232,$P106)</f>
        <v/>
      </c>
      <c r="I106" s="4">
        <f>INDEX('Draft Engine'!$N$3:$N$232,$P106)</f>
        <v/>
      </c>
      <c r="J106" s="4">
        <f>INDEX('Draft Engine'!$R$3:$R$232,$P106)</f>
        <v/>
      </c>
      <c r="K106" s="4">
        <f>INDEX('Draft Engine'!$S$3:$S$232,$P106)</f>
        <v/>
      </c>
      <c r="L106">
        <f>INDEX('Draft Engine'!$T$3:$T$232,$P106)</f>
        <v/>
      </c>
      <c r="M106">
        <f>INDEX('Draft Engine'!$X$3:$X$232,$P106)</f>
        <v/>
      </c>
      <c r="N106">
        <f>INDEX('LIVE SOURCE'!$H$3:$H$232,$P106)</f>
        <v/>
      </c>
      <c r="O106">
        <f>INDEX('LIVE SOURCE'!$J$3:$J$232,$P106)</f>
        <v/>
      </c>
      <c r="P106" s="6">
        <f>MATCH($A106,'Draft Engine'!$Q$3:$Q$232,0)</f>
        <v/>
      </c>
    </row>
    <row r="107">
      <c r="A107">
        <f>105</f>
        <v/>
      </c>
      <c r="B107">
        <f>INDEX('Draft Engine'!$A$3:$A$232,$P107)</f>
        <v/>
      </c>
      <c r="C107">
        <f>INDEX('Draft Engine'!$F$3:$F$232,$P107)</f>
        <v/>
      </c>
      <c r="D107">
        <f>INDEX('Draft Engine'!$B$3:$B$232,$P107)</f>
        <v/>
      </c>
      <c r="E107" s="4">
        <f>INDEX('Draft Engine'!$E$3:$E$232,$P107)</f>
        <v/>
      </c>
      <c r="F107">
        <f>IF($E107&gt;=95,"ELITE",IF($E107&gt;=90,"TIER 1",IF($E107&gt;=85,"TIER 2",IF($E107&gt;=80,"TIER 3",IF($E107&gt;=75,"TIER 4",IF($E107&gt;=70,"TIER 5",IF($E107&gt;=65,"TIER 6","TIER 7")))))))</f>
        <v/>
      </c>
      <c r="G107" s="4">
        <f>INDEX('Draft Engine'!$G$3:$G$232,$P107)</f>
        <v/>
      </c>
      <c r="H107" s="4">
        <f>INDEX('Draft Engine'!$J$3:$J$232,$P107)</f>
        <v/>
      </c>
      <c r="I107" s="4">
        <f>INDEX('Draft Engine'!$N$3:$N$232,$P107)</f>
        <v/>
      </c>
      <c r="J107" s="4">
        <f>INDEX('Draft Engine'!$R$3:$R$232,$P107)</f>
        <v/>
      </c>
      <c r="K107" s="4">
        <f>INDEX('Draft Engine'!$S$3:$S$232,$P107)</f>
        <v/>
      </c>
      <c r="L107">
        <f>INDEX('Draft Engine'!$T$3:$T$232,$P107)</f>
        <v/>
      </c>
      <c r="M107">
        <f>INDEX('Draft Engine'!$X$3:$X$232,$P107)</f>
        <v/>
      </c>
      <c r="N107">
        <f>INDEX('LIVE SOURCE'!$H$3:$H$232,$P107)</f>
        <v/>
      </c>
      <c r="O107">
        <f>INDEX('LIVE SOURCE'!$J$3:$J$232,$P107)</f>
        <v/>
      </c>
      <c r="P107" s="6">
        <f>MATCH($A107,'Draft Engine'!$Q$3:$Q$232,0)</f>
        <v/>
      </c>
    </row>
    <row r="108">
      <c r="A108">
        <f>106</f>
        <v/>
      </c>
      <c r="B108">
        <f>INDEX('Draft Engine'!$A$3:$A$232,$P108)</f>
        <v/>
      </c>
      <c r="C108">
        <f>INDEX('Draft Engine'!$F$3:$F$232,$P108)</f>
        <v/>
      </c>
      <c r="D108">
        <f>INDEX('Draft Engine'!$B$3:$B$232,$P108)</f>
        <v/>
      </c>
      <c r="E108" s="4">
        <f>INDEX('Draft Engine'!$E$3:$E$232,$P108)</f>
        <v/>
      </c>
      <c r="F108">
        <f>IF($E108&gt;=95,"ELITE",IF($E108&gt;=90,"TIER 1",IF($E108&gt;=85,"TIER 2",IF($E108&gt;=80,"TIER 3",IF($E108&gt;=75,"TIER 4",IF($E108&gt;=70,"TIER 5",IF($E108&gt;=65,"TIER 6","TIER 7")))))))</f>
        <v/>
      </c>
      <c r="G108" s="4">
        <f>INDEX('Draft Engine'!$G$3:$G$232,$P108)</f>
        <v/>
      </c>
      <c r="H108" s="4">
        <f>INDEX('Draft Engine'!$J$3:$J$232,$P108)</f>
        <v/>
      </c>
      <c r="I108" s="4">
        <f>INDEX('Draft Engine'!$N$3:$N$232,$P108)</f>
        <v/>
      </c>
      <c r="J108" s="4">
        <f>INDEX('Draft Engine'!$R$3:$R$232,$P108)</f>
        <v/>
      </c>
      <c r="K108" s="4">
        <f>INDEX('Draft Engine'!$S$3:$S$232,$P108)</f>
        <v/>
      </c>
      <c r="L108">
        <f>INDEX('Draft Engine'!$T$3:$T$232,$P108)</f>
        <v/>
      </c>
      <c r="M108">
        <f>INDEX('Draft Engine'!$X$3:$X$232,$P108)</f>
        <v/>
      </c>
      <c r="N108">
        <f>INDEX('LIVE SOURCE'!$H$3:$H$232,$P108)</f>
        <v/>
      </c>
      <c r="O108">
        <f>INDEX('LIVE SOURCE'!$J$3:$J$232,$P108)</f>
        <v/>
      </c>
      <c r="P108" s="6">
        <f>MATCH($A108,'Draft Engine'!$Q$3:$Q$232,0)</f>
        <v/>
      </c>
    </row>
    <row r="109">
      <c r="A109">
        <f>107</f>
        <v/>
      </c>
      <c r="B109">
        <f>INDEX('Draft Engine'!$A$3:$A$232,$P109)</f>
        <v/>
      </c>
      <c r="C109">
        <f>INDEX('Draft Engine'!$F$3:$F$232,$P109)</f>
        <v/>
      </c>
      <c r="D109">
        <f>INDEX('Draft Engine'!$B$3:$B$232,$P109)</f>
        <v/>
      </c>
      <c r="E109" s="4">
        <f>INDEX('Draft Engine'!$E$3:$E$232,$P109)</f>
        <v/>
      </c>
      <c r="F109">
        <f>IF($E109&gt;=95,"ELITE",IF($E109&gt;=90,"TIER 1",IF($E109&gt;=85,"TIER 2",IF($E109&gt;=80,"TIER 3",IF($E109&gt;=75,"TIER 4",IF($E109&gt;=70,"TIER 5",IF($E109&gt;=65,"TIER 6","TIER 7")))))))</f>
        <v/>
      </c>
      <c r="G109" s="4">
        <f>INDEX('Draft Engine'!$G$3:$G$232,$P109)</f>
        <v/>
      </c>
      <c r="H109" s="4">
        <f>INDEX('Draft Engine'!$J$3:$J$232,$P109)</f>
        <v/>
      </c>
      <c r="I109" s="4">
        <f>INDEX('Draft Engine'!$N$3:$N$232,$P109)</f>
        <v/>
      </c>
      <c r="J109" s="4">
        <f>INDEX('Draft Engine'!$R$3:$R$232,$P109)</f>
        <v/>
      </c>
      <c r="K109" s="4">
        <f>INDEX('Draft Engine'!$S$3:$S$232,$P109)</f>
        <v/>
      </c>
      <c r="L109">
        <f>INDEX('Draft Engine'!$T$3:$T$232,$P109)</f>
        <v/>
      </c>
      <c r="M109">
        <f>INDEX('Draft Engine'!$X$3:$X$232,$P109)</f>
        <v/>
      </c>
      <c r="N109">
        <f>INDEX('LIVE SOURCE'!$H$3:$H$232,$P109)</f>
        <v/>
      </c>
      <c r="O109">
        <f>INDEX('LIVE SOURCE'!$J$3:$J$232,$P109)</f>
        <v/>
      </c>
      <c r="P109" s="6">
        <f>MATCH($A109,'Draft Engine'!$Q$3:$Q$232,0)</f>
        <v/>
      </c>
    </row>
    <row r="110">
      <c r="A110">
        <f>108</f>
        <v/>
      </c>
      <c r="B110">
        <f>INDEX('Draft Engine'!$A$3:$A$232,$P110)</f>
        <v/>
      </c>
      <c r="C110">
        <f>INDEX('Draft Engine'!$F$3:$F$232,$P110)</f>
        <v/>
      </c>
      <c r="D110">
        <f>INDEX('Draft Engine'!$B$3:$B$232,$P110)</f>
        <v/>
      </c>
      <c r="E110" s="4">
        <f>INDEX('Draft Engine'!$E$3:$E$232,$P110)</f>
        <v/>
      </c>
      <c r="F110">
        <f>IF($E110&gt;=95,"ELITE",IF($E110&gt;=90,"TIER 1",IF($E110&gt;=85,"TIER 2",IF($E110&gt;=80,"TIER 3",IF($E110&gt;=75,"TIER 4",IF($E110&gt;=70,"TIER 5",IF($E110&gt;=65,"TIER 6","TIER 7")))))))</f>
        <v/>
      </c>
      <c r="G110" s="4">
        <f>INDEX('Draft Engine'!$G$3:$G$232,$P110)</f>
        <v/>
      </c>
      <c r="H110" s="4">
        <f>INDEX('Draft Engine'!$J$3:$J$232,$P110)</f>
        <v/>
      </c>
      <c r="I110" s="4">
        <f>INDEX('Draft Engine'!$N$3:$N$232,$P110)</f>
        <v/>
      </c>
      <c r="J110" s="4">
        <f>INDEX('Draft Engine'!$R$3:$R$232,$P110)</f>
        <v/>
      </c>
      <c r="K110" s="4">
        <f>INDEX('Draft Engine'!$S$3:$S$232,$P110)</f>
        <v/>
      </c>
      <c r="L110">
        <f>INDEX('Draft Engine'!$T$3:$T$232,$P110)</f>
        <v/>
      </c>
      <c r="M110">
        <f>INDEX('Draft Engine'!$X$3:$X$232,$P110)</f>
        <v/>
      </c>
      <c r="N110">
        <f>INDEX('LIVE SOURCE'!$H$3:$H$232,$P110)</f>
        <v/>
      </c>
      <c r="O110">
        <f>INDEX('LIVE SOURCE'!$J$3:$J$232,$P110)</f>
        <v/>
      </c>
      <c r="P110" s="6">
        <f>MATCH($A110,'Draft Engine'!$Q$3:$Q$232,0)</f>
        <v/>
      </c>
    </row>
    <row r="111">
      <c r="A111">
        <f>109</f>
        <v/>
      </c>
      <c r="B111">
        <f>INDEX('Draft Engine'!$A$3:$A$232,$P111)</f>
        <v/>
      </c>
      <c r="C111">
        <f>INDEX('Draft Engine'!$F$3:$F$232,$P111)</f>
        <v/>
      </c>
      <c r="D111">
        <f>INDEX('Draft Engine'!$B$3:$B$232,$P111)</f>
        <v/>
      </c>
      <c r="E111" s="4">
        <f>INDEX('Draft Engine'!$E$3:$E$232,$P111)</f>
        <v/>
      </c>
      <c r="F111">
        <f>IF($E111&gt;=95,"ELITE",IF($E111&gt;=90,"TIER 1",IF($E111&gt;=85,"TIER 2",IF($E111&gt;=80,"TIER 3",IF($E111&gt;=75,"TIER 4",IF($E111&gt;=70,"TIER 5",IF($E111&gt;=65,"TIER 6","TIER 7")))))))</f>
        <v/>
      </c>
      <c r="G111" s="4">
        <f>INDEX('Draft Engine'!$G$3:$G$232,$P111)</f>
        <v/>
      </c>
      <c r="H111" s="4">
        <f>INDEX('Draft Engine'!$J$3:$J$232,$P111)</f>
        <v/>
      </c>
      <c r="I111" s="4">
        <f>INDEX('Draft Engine'!$N$3:$N$232,$P111)</f>
        <v/>
      </c>
      <c r="J111" s="4">
        <f>INDEX('Draft Engine'!$R$3:$R$232,$P111)</f>
        <v/>
      </c>
      <c r="K111" s="4">
        <f>INDEX('Draft Engine'!$S$3:$S$232,$P111)</f>
        <v/>
      </c>
      <c r="L111">
        <f>INDEX('Draft Engine'!$T$3:$T$232,$P111)</f>
        <v/>
      </c>
      <c r="M111">
        <f>INDEX('Draft Engine'!$X$3:$X$232,$P111)</f>
        <v/>
      </c>
      <c r="N111">
        <f>INDEX('LIVE SOURCE'!$H$3:$H$232,$P111)</f>
        <v/>
      </c>
      <c r="O111">
        <f>INDEX('LIVE SOURCE'!$J$3:$J$232,$P111)</f>
        <v/>
      </c>
      <c r="P111" s="6">
        <f>MATCH($A111,'Draft Engine'!$Q$3:$Q$232,0)</f>
        <v/>
      </c>
    </row>
    <row r="112">
      <c r="A112">
        <f>110</f>
        <v/>
      </c>
      <c r="B112">
        <f>INDEX('Draft Engine'!$A$3:$A$232,$P112)</f>
        <v/>
      </c>
      <c r="C112">
        <f>INDEX('Draft Engine'!$F$3:$F$232,$P112)</f>
        <v/>
      </c>
      <c r="D112">
        <f>INDEX('Draft Engine'!$B$3:$B$232,$P112)</f>
        <v/>
      </c>
      <c r="E112" s="4">
        <f>INDEX('Draft Engine'!$E$3:$E$232,$P112)</f>
        <v/>
      </c>
      <c r="F112">
        <f>IF($E112&gt;=95,"ELITE",IF($E112&gt;=90,"TIER 1",IF($E112&gt;=85,"TIER 2",IF($E112&gt;=80,"TIER 3",IF($E112&gt;=75,"TIER 4",IF($E112&gt;=70,"TIER 5",IF($E112&gt;=65,"TIER 6","TIER 7")))))))</f>
        <v/>
      </c>
      <c r="G112" s="4">
        <f>INDEX('Draft Engine'!$G$3:$G$232,$P112)</f>
        <v/>
      </c>
      <c r="H112" s="4">
        <f>INDEX('Draft Engine'!$J$3:$J$232,$P112)</f>
        <v/>
      </c>
      <c r="I112" s="4">
        <f>INDEX('Draft Engine'!$N$3:$N$232,$P112)</f>
        <v/>
      </c>
      <c r="J112" s="4">
        <f>INDEX('Draft Engine'!$R$3:$R$232,$P112)</f>
        <v/>
      </c>
      <c r="K112" s="4">
        <f>INDEX('Draft Engine'!$S$3:$S$232,$P112)</f>
        <v/>
      </c>
      <c r="L112">
        <f>INDEX('Draft Engine'!$T$3:$T$232,$P112)</f>
        <v/>
      </c>
      <c r="M112">
        <f>INDEX('Draft Engine'!$X$3:$X$232,$P112)</f>
        <v/>
      </c>
      <c r="N112">
        <f>INDEX('LIVE SOURCE'!$H$3:$H$232,$P112)</f>
        <v/>
      </c>
      <c r="O112">
        <f>INDEX('LIVE SOURCE'!$J$3:$J$232,$P112)</f>
        <v/>
      </c>
      <c r="P112" s="6">
        <f>MATCH($A112,'Draft Engine'!$Q$3:$Q$232,0)</f>
        <v/>
      </c>
    </row>
    <row r="113">
      <c r="A113">
        <f>111</f>
        <v/>
      </c>
      <c r="B113">
        <f>INDEX('Draft Engine'!$A$3:$A$232,$P113)</f>
        <v/>
      </c>
      <c r="C113">
        <f>INDEX('Draft Engine'!$F$3:$F$232,$P113)</f>
        <v/>
      </c>
      <c r="D113">
        <f>INDEX('Draft Engine'!$B$3:$B$232,$P113)</f>
        <v/>
      </c>
      <c r="E113" s="4">
        <f>INDEX('Draft Engine'!$E$3:$E$232,$P113)</f>
        <v/>
      </c>
      <c r="F113">
        <f>IF($E113&gt;=95,"ELITE",IF($E113&gt;=90,"TIER 1",IF($E113&gt;=85,"TIER 2",IF($E113&gt;=80,"TIER 3",IF($E113&gt;=75,"TIER 4",IF($E113&gt;=70,"TIER 5",IF($E113&gt;=65,"TIER 6","TIER 7")))))))</f>
        <v/>
      </c>
      <c r="G113" s="4">
        <f>INDEX('Draft Engine'!$G$3:$G$232,$P113)</f>
        <v/>
      </c>
      <c r="H113" s="4">
        <f>INDEX('Draft Engine'!$J$3:$J$232,$P113)</f>
        <v/>
      </c>
      <c r="I113" s="4">
        <f>INDEX('Draft Engine'!$N$3:$N$232,$P113)</f>
        <v/>
      </c>
      <c r="J113" s="4">
        <f>INDEX('Draft Engine'!$R$3:$R$232,$P113)</f>
        <v/>
      </c>
      <c r="K113" s="4">
        <f>INDEX('Draft Engine'!$S$3:$S$232,$P113)</f>
        <v/>
      </c>
      <c r="L113">
        <f>INDEX('Draft Engine'!$T$3:$T$232,$P113)</f>
        <v/>
      </c>
      <c r="M113">
        <f>INDEX('Draft Engine'!$X$3:$X$232,$P113)</f>
        <v/>
      </c>
      <c r="N113">
        <f>INDEX('LIVE SOURCE'!$H$3:$H$232,$P113)</f>
        <v/>
      </c>
      <c r="O113">
        <f>INDEX('LIVE SOURCE'!$J$3:$J$232,$P113)</f>
        <v/>
      </c>
      <c r="P113" s="6">
        <f>MATCH($A113,'Draft Engine'!$Q$3:$Q$232,0)</f>
        <v/>
      </c>
    </row>
    <row r="114">
      <c r="A114">
        <f>112</f>
        <v/>
      </c>
      <c r="B114">
        <f>INDEX('Draft Engine'!$A$3:$A$232,$P114)</f>
        <v/>
      </c>
      <c r="C114">
        <f>INDEX('Draft Engine'!$F$3:$F$232,$P114)</f>
        <v/>
      </c>
      <c r="D114">
        <f>INDEX('Draft Engine'!$B$3:$B$232,$P114)</f>
        <v/>
      </c>
      <c r="E114" s="4">
        <f>INDEX('Draft Engine'!$E$3:$E$232,$P114)</f>
        <v/>
      </c>
      <c r="F114">
        <f>IF($E114&gt;=95,"ELITE",IF($E114&gt;=90,"TIER 1",IF($E114&gt;=85,"TIER 2",IF($E114&gt;=80,"TIER 3",IF($E114&gt;=75,"TIER 4",IF($E114&gt;=70,"TIER 5",IF($E114&gt;=65,"TIER 6","TIER 7")))))))</f>
        <v/>
      </c>
      <c r="G114" s="4">
        <f>INDEX('Draft Engine'!$G$3:$G$232,$P114)</f>
        <v/>
      </c>
      <c r="H114" s="4">
        <f>INDEX('Draft Engine'!$J$3:$J$232,$P114)</f>
        <v/>
      </c>
      <c r="I114" s="4">
        <f>INDEX('Draft Engine'!$N$3:$N$232,$P114)</f>
        <v/>
      </c>
      <c r="J114" s="4">
        <f>INDEX('Draft Engine'!$R$3:$R$232,$P114)</f>
        <v/>
      </c>
      <c r="K114" s="4">
        <f>INDEX('Draft Engine'!$S$3:$S$232,$P114)</f>
        <v/>
      </c>
      <c r="L114">
        <f>INDEX('Draft Engine'!$T$3:$T$232,$P114)</f>
        <v/>
      </c>
      <c r="M114">
        <f>INDEX('Draft Engine'!$X$3:$X$232,$P114)</f>
        <v/>
      </c>
      <c r="N114">
        <f>INDEX('LIVE SOURCE'!$H$3:$H$232,$P114)</f>
        <v/>
      </c>
      <c r="O114">
        <f>INDEX('LIVE SOURCE'!$J$3:$J$232,$P114)</f>
        <v/>
      </c>
      <c r="P114" s="6">
        <f>MATCH($A114,'Draft Engine'!$Q$3:$Q$232,0)</f>
        <v/>
      </c>
    </row>
    <row r="115">
      <c r="A115">
        <f>113</f>
        <v/>
      </c>
      <c r="B115">
        <f>INDEX('Draft Engine'!$A$3:$A$232,$P115)</f>
        <v/>
      </c>
      <c r="C115">
        <f>INDEX('Draft Engine'!$F$3:$F$232,$P115)</f>
        <v/>
      </c>
      <c r="D115">
        <f>INDEX('Draft Engine'!$B$3:$B$232,$P115)</f>
        <v/>
      </c>
      <c r="E115" s="4">
        <f>INDEX('Draft Engine'!$E$3:$E$232,$P115)</f>
        <v/>
      </c>
      <c r="F115">
        <f>IF($E115&gt;=95,"ELITE",IF($E115&gt;=90,"TIER 1",IF($E115&gt;=85,"TIER 2",IF($E115&gt;=80,"TIER 3",IF($E115&gt;=75,"TIER 4",IF($E115&gt;=70,"TIER 5",IF($E115&gt;=65,"TIER 6","TIER 7")))))))</f>
        <v/>
      </c>
      <c r="G115" s="4">
        <f>INDEX('Draft Engine'!$G$3:$G$232,$P115)</f>
        <v/>
      </c>
      <c r="H115" s="4">
        <f>INDEX('Draft Engine'!$J$3:$J$232,$P115)</f>
        <v/>
      </c>
      <c r="I115" s="4">
        <f>INDEX('Draft Engine'!$N$3:$N$232,$P115)</f>
        <v/>
      </c>
      <c r="J115" s="4">
        <f>INDEX('Draft Engine'!$R$3:$R$232,$P115)</f>
        <v/>
      </c>
      <c r="K115" s="4">
        <f>INDEX('Draft Engine'!$S$3:$S$232,$P115)</f>
        <v/>
      </c>
      <c r="L115">
        <f>INDEX('Draft Engine'!$T$3:$T$232,$P115)</f>
        <v/>
      </c>
      <c r="M115">
        <f>INDEX('Draft Engine'!$X$3:$X$232,$P115)</f>
        <v/>
      </c>
      <c r="N115">
        <f>INDEX('LIVE SOURCE'!$H$3:$H$232,$P115)</f>
        <v/>
      </c>
      <c r="O115">
        <f>INDEX('LIVE SOURCE'!$J$3:$J$232,$P115)</f>
        <v/>
      </c>
      <c r="P115" s="6">
        <f>MATCH($A115,'Draft Engine'!$Q$3:$Q$232,0)</f>
        <v/>
      </c>
    </row>
    <row r="116">
      <c r="A116">
        <f>114</f>
        <v/>
      </c>
      <c r="B116">
        <f>INDEX('Draft Engine'!$A$3:$A$232,$P116)</f>
        <v/>
      </c>
      <c r="C116">
        <f>INDEX('Draft Engine'!$F$3:$F$232,$P116)</f>
        <v/>
      </c>
      <c r="D116">
        <f>INDEX('Draft Engine'!$B$3:$B$232,$P116)</f>
        <v/>
      </c>
      <c r="E116" s="4">
        <f>INDEX('Draft Engine'!$E$3:$E$232,$P116)</f>
        <v/>
      </c>
      <c r="F116">
        <f>IF($E116&gt;=95,"ELITE",IF($E116&gt;=90,"TIER 1",IF($E116&gt;=85,"TIER 2",IF($E116&gt;=80,"TIER 3",IF($E116&gt;=75,"TIER 4",IF($E116&gt;=70,"TIER 5",IF($E116&gt;=65,"TIER 6","TIER 7")))))))</f>
        <v/>
      </c>
      <c r="G116" s="4">
        <f>INDEX('Draft Engine'!$G$3:$G$232,$P116)</f>
        <v/>
      </c>
      <c r="H116" s="4">
        <f>INDEX('Draft Engine'!$J$3:$J$232,$P116)</f>
        <v/>
      </c>
      <c r="I116" s="4">
        <f>INDEX('Draft Engine'!$N$3:$N$232,$P116)</f>
        <v/>
      </c>
      <c r="J116" s="4">
        <f>INDEX('Draft Engine'!$R$3:$R$232,$P116)</f>
        <v/>
      </c>
      <c r="K116" s="4">
        <f>INDEX('Draft Engine'!$S$3:$S$232,$P116)</f>
        <v/>
      </c>
      <c r="L116">
        <f>INDEX('Draft Engine'!$T$3:$T$232,$P116)</f>
        <v/>
      </c>
      <c r="M116">
        <f>INDEX('Draft Engine'!$X$3:$X$232,$P116)</f>
        <v/>
      </c>
      <c r="N116">
        <f>INDEX('LIVE SOURCE'!$H$3:$H$232,$P116)</f>
        <v/>
      </c>
      <c r="O116">
        <f>INDEX('LIVE SOURCE'!$J$3:$J$232,$P116)</f>
        <v/>
      </c>
      <c r="P116" s="6">
        <f>MATCH($A116,'Draft Engine'!$Q$3:$Q$232,0)</f>
        <v/>
      </c>
    </row>
    <row r="117">
      <c r="A117">
        <f>115</f>
        <v/>
      </c>
      <c r="B117">
        <f>INDEX('Draft Engine'!$A$3:$A$232,$P117)</f>
        <v/>
      </c>
      <c r="C117">
        <f>INDEX('Draft Engine'!$F$3:$F$232,$P117)</f>
        <v/>
      </c>
      <c r="D117">
        <f>INDEX('Draft Engine'!$B$3:$B$232,$P117)</f>
        <v/>
      </c>
      <c r="E117" s="4">
        <f>INDEX('Draft Engine'!$E$3:$E$232,$P117)</f>
        <v/>
      </c>
      <c r="F117">
        <f>IF($E117&gt;=95,"ELITE",IF($E117&gt;=90,"TIER 1",IF($E117&gt;=85,"TIER 2",IF($E117&gt;=80,"TIER 3",IF($E117&gt;=75,"TIER 4",IF($E117&gt;=70,"TIER 5",IF($E117&gt;=65,"TIER 6","TIER 7")))))))</f>
        <v/>
      </c>
      <c r="G117" s="4">
        <f>INDEX('Draft Engine'!$G$3:$G$232,$P117)</f>
        <v/>
      </c>
      <c r="H117" s="4">
        <f>INDEX('Draft Engine'!$J$3:$J$232,$P117)</f>
        <v/>
      </c>
      <c r="I117" s="4">
        <f>INDEX('Draft Engine'!$N$3:$N$232,$P117)</f>
        <v/>
      </c>
      <c r="J117" s="4">
        <f>INDEX('Draft Engine'!$R$3:$R$232,$P117)</f>
        <v/>
      </c>
      <c r="K117" s="4">
        <f>INDEX('Draft Engine'!$S$3:$S$232,$P117)</f>
        <v/>
      </c>
      <c r="L117">
        <f>INDEX('Draft Engine'!$T$3:$T$232,$P117)</f>
        <v/>
      </c>
      <c r="M117">
        <f>INDEX('Draft Engine'!$X$3:$X$232,$P117)</f>
        <v/>
      </c>
      <c r="N117">
        <f>INDEX('LIVE SOURCE'!$H$3:$H$232,$P117)</f>
        <v/>
      </c>
      <c r="O117">
        <f>INDEX('LIVE SOURCE'!$J$3:$J$232,$P117)</f>
        <v/>
      </c>
      <c r="P117" s="6">
        <f>MATCH($A117,'Draft Engine'!$Q$3:$Q$232,0)</f>
        <v/>
      </c>
    </row>
    <row r="118">
      <c r="A118">
        <f>116</f>
        <v/>
      </c>
      <c r="B118">
        <f>INDEX('Draft Engine'!$A$3:$A$232,$P118)</f>
        <v/>
      </c>
      <c r="C118">
        <f>INDEX('Draft Engine'!$F$3:$F$232,$P118)</f>
        <v/>
      </c>
      <c r="D118">
        <f>INDEX('Draft Engine'!$B$3:$B$232,$P118)</f>
        <v/>
      </c>
      <c r="E118" s="4">
        <f>INDEX('Draft Engine'!$E$3:$E$232,$P118)</f>
        <v/>
      </c>
      <c r="F118">
        <f>IF($E118&gt;=95,"ELITE",IF($E118&gt;=90,"TIER 1",IF($E118&gt;=85,"TIER 2",IF($E118&gt;=80,"TIER 3",IF($E118&gt;=75,"TIER 4",IF($E118&gt;=70,"TIER 5",IF($E118&gt;=65,"TIER 6","TIER 7")))))))</f>
        <v/>
      </c>
      <c r="G118" s="4">
        <f>INDEX('Draft Engine'!$G$3:$G$232,$P118)</f>
        <v/>
      </c>
      <c r="H118" s="4">
        <f>INDEX('Draft Engine'!$J$3:$J$232,$P118)</f>
        <v/>
      </c>
      <c r="I118" s="4">
        <f>INDEX('Draft Engine'!$N$3:$N$232,$P118)</f>
        <v/>
      </c>
      <c r="J118" s="4">
        <f>INDEX('Draft Engine'!$R$3:$R$232,$P118)</f>
        <v/>
      </c>
      <c r="K118" s="4">
        <f>INDEX('Draft Engine'!$S$3:$S$232,$P118)</f>
        <v/>
      </c>
      <c r="L118">
        <f>INDEX('Draft Engine'!$T$3:$T$232,$P118)</f>
        <v/>
      </c>
      <c r="M118">
        <f>INDEX('Draft Engine'!$X$3:$X$232,$P118)</f>
        <v/>
      </c>
      <c r="N118">
        <f>INDEX('LIVE SOURCE'!$H$3:$H$232,$P118)</f>
        <v/>
      </c>
      <c r="O118">
        <f>INDEX('LIVE SOURCE'!$J$3:$J$232,$P118)</f>
        <v/>
      </c>
      <c r="P118" s="6">
        <f>MATCH($A118,'Draft Engine'!$Q$3:$Q$232,0)</f>
        <v/>
      </c>
    </row>
    <row r="119">
      <c r="A119">
        <f>117</f>
        <v/>
      </c>
      <c r="B119">
        <f>INDEX('Draft Engine'!$A$3:$A$232,$P119)</f>
        <v/>
      </c>
      <c r="C119">
        <f>INDEX('Draft Engine'!$F$3:$F$232,$P119)</f>
        <v/>
      </c>
      <c r="D119">
        <f>INDEX('Draft Engine'!$B$3:$B$232,$P119)</f>
        <v/>
      </c>
      <c r="E119" s="4">
        <f>INDEX('Draft Engine'!$E$3:$E$232,$P119)</f>
        <v/>
      </c>
      <c r="F119">
        <f>IF($E119&gt;=95,"ELITE",IF($E119&gt;=90,"TIER 1",IF($E119&gt;=85,"TIER 2",IF($E119&gt;=80,"TIER 3",IF($E119&gt;=75,"TIER 4",IF($E119&gt;=70,"TIER 5",IF($E119&gt;=65,"TIER 6","TIER 7")))))))</f>
        <v/>
      </c>
      <c r="G119" s="4">
        <f>INDEX('Draft Engine'!$G$3:$G$232,$P119)</f>
        <v/>
      </c>
      <c r="H119" s="4">
        <f>INDEX('Draft Engine'!$J$3:$J$232,$P119)</f>
        <v/>
      </c>
      <c r="I119" s="4">
        <f>INDEX('Draft Engine'!$N$3:$N$232,$P119)</f>
        <v/>
      </c>
      <c r="J119" s="4">
        <f>INDEX('Draft Engine'!$R$3:$R$232,$P119)</f>
        <v/>
      </c>
      <c r="K119" s="4">
        <f>INDEX('Draft Engine'!$S$3:$S$232,$P119)</f>
        <v/>
      </c>
      <c r="L119">
        <f>INDEX('Draft Engine'!$T$3:$T$232,$P119)</f>
        <v/>
      </c>
      <c r="M119">
        <f>INDEX('Draft Engine'!$X$3:$X$232,$P119)</f>
        <v/>
      </c>
      <c r="N119">
        <f>INDEX('LIVE SOURCE'!$H$3:$H$232,$P119)</f>
        <v/>
      </c>
      <c r="O119">
        <f>INDEX('LIVE SOURCE'!$J$3:$J$232,$P119)</f>
        <v/>
      </c>
      <c r="P119" s="6">
        <f>MATCH($A119,'Draft Engine'!$Q$3:$Q$232,0)</f>
        <v/>
      </c>
    </row>
    <row r="120">
      <c r="A120">
        <f>118</f>
        <v/>
      </c>
      <c r="B120">
        <f>INDEX('Draft Engine'!$A$3:$A$232,$P120)</f>
        <v/>
      </c>
      <c r="C120">
        <f>INDEX('Draft Engine'!$F$3:$F$232,$P120)</f>
        <v/>
      </c>
      <c r="D120">
        <f>INDEX('Draft Engine'!$B$3:$B$232,$P120)</f>
        <v/>
      </c>
      <c r="E120" s="4">
        <f>INDEX('Draft Engine'!$E$3:$E$232,$P120)</f>
        <v/>
      </c>
      <c r="F120">
        <f>IF($E120&gt;=95,"ELITE",IF($E120&gt;=90,"TIER 1",IF($E120&gt;=85,"TIER 2",IF($E120&gt;=80,"TIER 3",IF($E120&gt;=75,"TIER 4",IF($E120&gt;=70,"TIER 5",IF($E120&gt;=65,"TIER 6","TIER 7")))))))</f>
        <v/>
      </c>
      <c r="G120" s="4">
        <f>INDEX('Draft Engine'!$G$3:$G$232,$P120)</f>
        <v/>
      </c>
      <c r="H120" s="4">
        <f>INDEX('Draft Engine'!$J$3:$J$232,$P120)</f>
        <v/>
      </c>
      <c r="I120" s="4">
        <f>INDEX('Draft Engine'!$N$3:$N$232,$P120)</f>
        <v/>
      </c>
      <c r="J120" s="4">
        <f>INDEX('Draft Engine'!$R$3:$R$232,$P120)</f>
        <v/>
      </c>
      <c r="K120" s="4">
        <f>INDEX('Draft Engine'!$S$3:$S$232,$P120)</f>
        <v/>
      </c>
      <c r="L120">
        <f>INDEX('Draft Engine'!$T$3:$T$232,$P120)</f>
        <v/>
      </c>
      <c r="M120">
        <f>INDEX('Draft Engine'!$X$3:$X$232,$P120)</f>
        <v/>
      </c>
      <c r="N120">
        <f>INDEX('LIVE SOURCE'!$H$3:$H$232,$P120)</f>
        <v/>
      </c>
      <c r="O120">
        <f>INDEX('LIVE SOURCE'!$J$3:$J$232,$P120)</f>
        <v/>
      </c>
      <c r="P120" s="6">
        <f>MATCH($A120,'Draft Engine'!$Q$3:$Q$232,0)</f>
        <v/>
      </c>
    </row>
    <row r="121">
      <c r="A121">
        <f>119</f>
        <v/>
      </c>
      <c r="B121">
        <f>INDEX('Draft Engine'!$A$3:$A$232,$P121)</f>
        <v/>
      </c>
      <c r="C121">
        <f>INDEX('Draft Engine'!$F$3:$F$232,$P121)</f>
        <v/>
      </c>
      <c r="D121">
        <f>INDEX('Draft Engine'!$B$3:$B$232,$P121)</f>
        <v/>
      </c>
      <c r="E121" s="4">
        <f>INDEX('Draft Engine'!$E$3:$E$232,$P121)</f>
        <v/>
      </c>
      <c r="F121">
        <f>IF($E121&gt;=95,"ELITE",IF($E121&gt;=90,"TIER 1",IF($E121&gt;=85,"TIER 2",IF($E121&gt;=80,"TIER 3",IF($E121&gt;=75,"TIER 4",IF($E121&gt;=70,"TIER 5",IF($E121&gt;=65,"TIER 6","TIER 7")))))))</f>
        <v/>
      </c>
      <c r="G121" s="4">
        <f>INDEX('Draft Engine'!$G$3:$G$232,$P121)</f>
        <v/>
      </c>
      <c r="H121" s="4">
        <f>INDEX('Draft Engine'!$J$3:$J$232,$P121)</f>
        <v/>
      </c>
      <c r="I121" s="4">
        <f>INDEX('Draft Engine'!$N$3:$N$232,$P121)</f>
        <v/>
      </c>
      <c r="J121" s="4">
        <f>INDEX('Draft Engine'!$R$3:$R$232,$P121)</f>
        <v/>
      </c>
      <c r="K121" s="4">
        <f>INDEX('Draft Engine'!$S$3:$S$232,$P121)</f>
        <v/>
      </c>
      <c r="L121">
        <f>INDEX('Draft Engine'!$T$3:$T$232,$P121)</f>
        <v/>
      </c>
      <c r="M121">
        <f>INDEX('Draft Engine'!$X$3:$X$232,$P121)</f>
        <v/>
      </c>
      <c r="N121">
        <f>INDEX('LIVE SOURCE'!$H$3:$H$232,$P121)</f>
        <v/>
      </c>
      <c r="O121">
        <f>INDEX('LIVE SOURCE'!$J$3:$J$232,$P121)</f>
        <v/>
      </c>
      <c r="P121" s="6">
        <f>MATCH($A121,'Draft Engine'!$Q$3:$Q$232,0)</f>
        <v/>
      </c>
    </row>
    <row r="122">
      <c r="A122">
        <f>120</f>
        <v/>
      </c>
      <c r="B122">
        <f>INDEX('Draft Engine'!$A$3:$A$232,$P122)</f>
        <v/>
      </c>
      <c r="C122">
        <f>INDEX('Draft Engine'!$F$3:$F$232,$P122)</f>
        <v/>
      </c>
      <c r="D122">
        <f>INDEX('Draft Engine'!$B$3:$B$232,$P122)</f>
        <v/>
      </c>
      <c r="E122" s="4">
        <f>INDEX('Draft Engine'!$E$3:$E$232,$P122)</f>
        <v/>
      </c>
      <c r="F122">
        <f>IF($E122&gt;=95,"ELITE",IF($E122&gt;=90,"TIER 1",IF($E122&gt;=85,"TIER 2",IF($E122&gt;=80,"TIER 3",IF($E122&gt;=75,"TIER 4",IF($E122&gt;=70,"TIER 5",IF($E122&gt;=65,"TIER 6","TIER 7")))))))</f>
        <v/>
      </c>
      <c r="G122" s="4">
        <f>INDEX('Draft Engine'!$G$3:$G$232,$P122)</f>
        <v/>
      </c>
      <c r="H122" s="4">
        <f>INDEX('Draft Engine'!$J$3:$J$232,$P122)</f>
        <v/>
      </c>
      <c r="I122" s="4">
        <f>INDEX('Draft Engine'!$N$3:$N$232,$P122)</f>
        <v/>
      </c>
      <c r="J122" s="4">
        <f>INDEX('Draft Engine'!$R$3:$R$232,$P122)</f>
        <v/>
      </c>
      <c r="K122" s="4">
        <f>INDEX('Draft Engine'!$S$3:$S$232,$P122)</f>
        <v/>
      </c>
      <c r="L122">
        <f>INDEX('Draft Engine'!$T$3:$T$232,$P122)</f>
        <v/>
      </c>
      <c r="M122">
        <f>INDEX('Draft Engine'!$X$3:$X$232,$P122)</f>
        <v/>
      </c>
      <c r="N122">
        <f>INDEX('LIVE SOURCE'!$H$3:$H$232,$P122)</f>
        <v/>
      </c>
      <c r="O122">
        <f>INDEX('LIVE SOURCE'!$J$3:$J$232,$P122)</f>
        <v/>
      </c>
      <c r="P122" s="6">
        <f>MATCH($A122,'Draft Engine'!$Q$3:$Q$232,0)</f>
        <v/>
      </c>
    </row>
    <row r="123">
      <c r="A123">
        <f>121</f>
        <v/>
      </c>
      <c r="B123">
        <f>INDEX('Draft Engine'!$A$3:$A$232,$P123)</f>
        <v/>
      </c>
      <c r="C123">
        <f>INDEX('Draft Engine'!$F$3:$F$232,$P123)</f>
        <v/>
      </c>
      <c r="D123">
        <f>INDEX('Draft Engine'!$B$3:$B$232,$P123)</f>
        <v/>
      </c>
      <c r="E123" s="4">
        <f>INDEX('Draft Engine'!$E$3:$E$232,$P123)</f>
        <v/>
      </c>
      <c r="F123">
        <f>IF($E123&gt;=95,"ELITE",IF($E123&gt;=90,"TIER 1",IF($E123&gt;=85,"TIER 2",IF($E123&gt;=80,"TIER 3",IF($E123&gt;=75,"TIER 4",IF($E123&gt;=70,"TIER 5",IF($E123&gt;=65,"TIER 6","TIER 7")))))))</f>
        <v/>
      </c>
      <c r="G123" s="4">
        <f>INDEX('Draft Engine'!$G$3:$G$232,$P123)</f>
        <v/>
      </c>
      <c r="H123" s="4">
        <f>INDEX('Draft Engine'!$J$3:$J$232,$P123)</f>
        <v/>
      </c>
      <c r="I123" s="4">
        <f>INDEX('Draft Engine'!$N$3:$N$232,$P123)</f>
        <v/>
      </c>
      <c r="J123" s="4">
        <f>INDEX('Draft Engine'!$R$3:$R$232,$P123)</f>
        <v/>
      </c>
      <c r="K123" s="4">
        <f>INDEX('Draft Engine'!$S$3:$S$232,$P123)</f>
        <v/>
      </c>
      <c r="L123">
        <f>INDEX('Draft Engine'!$T$3:$T$232,$P123)</f>
        <v/>
      </c>
      <c r="M123">
        <f>INDEX('Draft Engine'!$X$3:$X$232,$P123)</f>
        <v/>
      </c>
      <c r="N123">
        <f>INDEX('LIVE SOURCE'!$H$3:$H$232,$P123)</f>
        <v/>
      </c>
      <c r="O123">
        <f>INDEX('LIVE SOURCE'!$J$3:$J$232,$P123)</f>
        <v/>
      </c>
      <c r="P123" s="6">
        <f>MATCH($A123,'Draft Engine'!$Q$3:$Q$232,0)</f>
        <v/>
      </c>
    </row>
    <row r="124">
      <c r="A124">
        <f>122</f>
        <v/>
      </c>
      <c r="B124">
        <f>INDEX('Draft Engine'!$A$3:$A$232,$P124)</f>
        <v/>
      </c>
      <c r="C124">
        <f>INDEX('Draft Engine'!$F$3:$F$232,$P124)</f>
        <v/>
      </c>
      <c r="D124">
        <f>INDEX('Draft Engine'!$B$3:$B$232,$P124)</f>
        <v/>
      </c>
      <c r="E124" s="4">
        <f>INDEX('Draft Engine'!$E$3:$E$232,$P124)</f>
        <v/>
      </c>
      <c r="F124">
        <f>IF($E124&gt;=95,"ELITE",IF($E124&gt;=90,"TIER 1",IF($E124&gt;=85,"TIER 2",IF($E124&gt;=80,"TIER 3",IF($E124&gt;=75,"TIER 4",IF($E124&gt;=70,"TIER 5",IF($E124&gt;=65,"TIER 6","TIER 7")))))))</f>
        <v/>
      </c>
      <c r="G124" s="4">
        <f>INDEX('Draft Engine'!$G$3:$G$232,$P124)</f>
        <v/>
      </c>
      <c r="H124" s="4">
        <f>INDEX('Draft Engine'!$J$3:$J$232,$P124)</f>
        <v/>
      </c>
      <c r="I124" s="4">
        <f>INDEX('Draft Engine'!$N$3:$N$232,$P124)</f>
        <v/>
      </c>
      <c r="J124" s="4">
        <f>INDEX('Draft Engine'!$R$3:$R$232,$P124)</f>
        <v/>
      </c>
      <c r="K124" s="4">
        <f>INDEX('Draft Engine'!$S$3:$S$232,$P124)</f>
        <v/>
      </c>
      <c r="L124">
        <f>INDEX('Draft Engine'!$T$3:$T$232,$P124)</f>
        <v/>
      </c>
      <c r="M124">
        <f>INDEX('Draft Engine'!$X$3:$X$232,$P124)</f>
        <v/>
      </c>
      <c r="N124">
        <f>INDEX('LIVE SOURCE'!$H$3:$H$232,$P124)</f>
        <v/>
      </c>
      <c r="O124">
        <f>INDEX('LIVE SOURCE'!$J$3:$J$232,$P124)</f>
        <v/>
      </c>
      <c r="P124" s="6">
        <f>MATCH($A124,'Draft Engine'!$Q$3:$Q$232,0)</f>
        <v/>
      </c>
    </row>
    <row r="125">
      <c r="A125">
        <f>123</f>
        <v/>
      </c>
      <c r="B125">
        <f>INDEX('Draft Engine'!$A$3:$A$232,$P125)</f>
        <v/>
      </c>
      <c r="C125">
        <f>INDEX('Draft Engine'!$F$3:$F$232,$P125)</f>
        <v/>
      </c>
      <c r="D125">
        <f>INDEX('Draft Engine'!$B$3:$B$232,$P125)</f>
        <v/>
      </c>
      <c r="E125" s="4">
        <f>INDEX('Draft Engine'!$E$3:$E$232,$P125)</f>
        <v/>
      </c>
      <c r="F125">
        <f>IF($E125&gt;=95,"ELITE",IF($E125&gt;=90,"TIER 1",IF($E125&gt;=85,"TIER 2",IF($E125&gt;=80,"TIER 3",IF($E125&gt;=75,"TIER 4",IF($E125&gt;=70,"TIER 5",IF($E125&gt;=65,"TIER 6","TIER 7")))))))</f>
        <v/>
      </c>
      <c r="G125" s="4">
        <f>INDEX('Draft Engine'!$G$3:$G$232,$P125)</f>
        <v/>
      </c>
      <c r="H125" s="4">
        <f>INDEX('Draft Engine'!$J$3:$J$232,$P125)</f>
        <v/>
      </c>
      <c r="I125" s="4">
        <f>INDEX('Draft Engine'!$N$3:$N$232,$P125)</f>
        <v/>
      </c>
      <c r="J125" s="4">
        <f>INDEX('Draft Engine'!$R$3:$R$232,$P125)</f>
        <v/>
      </c>
      <c r="K125" s="4">
        <f>INDEX('Draft Engine'!$S$3:$S$232,$P125)</f>
        <v/>
      </c>
      <c r="L125">
        <f>INDEX('Draft Engine'!$T$3:$T$232,$P125)</f>
        <v/>
      </c>
      <c r="M125">
        <f>INDEX('Draft Engine'!$X$3:$X$232,$P125)</f>
        <v/>
      </c>
      <c r="N125">
        <f>INDEX('LIVE SOURCE'!$H$3:$H$232,$P125)</f>
        <v/>
      </c>
      <c r="O125">
        <f>INDEX('LIVE SOURCE'!$J$3:$J$232,$P125)</f>
        <v/>
      </c>
      <c r="P125" s="6">
        <f>MATCH($A125,'Draft Engine'!$Q$3:$Q$232,0)</f>
        <v/>
      </c>
    </row>
    <row r="126">
      <c r="A126">
        <f>124</f>
        <v/>
      </c>
      <c r="B126">
        <f>INDEX('Draft Engine'!$A$3:$A$232,$P126)</f>
        <v/>
      </c>
      <c r="C126">
        <f>INDEX('Draft Engine'!$F$3:$F$232,$P126)</f>
        <v/>
      </c>
      <c r="D126">
        <f>INDEX('Draft Engine'!$B$3:$B$232,$P126)</f>
        <v/>
      </c>
      <c r="E126" s="4">
        <f>INDEX('Draft Engine'!$E$3:$E$232,$P126)</f>
        <v/>
      </c>
      <c r="F126">
        <f>IF($E126&gt;=95,"ELITE",IF($E126&gt;=90,"TIER 1",IF($E126&gt;=85,"TIER 2",IF($E126&gt;=80,"TIER 3",IF($E126&gt;=75,"TIER 4",IF($E126&gt;=70,"TIER 5",IF($E126&gt;=65,"TIER 6","TIER 7")))))))</f>
        <v/>
      </c>
      <c r="G126" s="4">
        <f>INDEX('Draft Engine'!$G$3:$G$232,$P126)</f>
        <v/>
      </c>
      <c r="H126" s="4">
        <f>INDEX('Draft Engine'!$J$3:$J$232,$P126)</f>
        <v/>
      </c>
      <c r="I126" s="4">
        <f>INDEX('Draft Engine'!$N$3:$N$232,$P126)</f>
        <v/>
      </c>
      <c r="J126" s="4">
        <f>INDEX('Draft Engine'!$R$3:$R$232,$P126)</f>
        <v/>
      </c>
      <c r="K126" s="4">
        <f>INDEX('Draft Engine'!$S$3:$S$232,$P126)</f>
        <v/>
      </c>
      <c r="L126">
        <f>INDEX('Draft Engine'!$T$3:$T$232,$P126)</f>
        <v/>
      </c>
      <c r="M126">
        <f>INDEX('Draft Engine'!$X$3:$X$232,$P126)</f>
        <v/>
      </c>
      <c r="N126">
        <f>INDEX('LIVE SOURCE'!$H$3:$H$232,$P126)</f>
        <v/>
      </c>
      <c r="O126">
        <f>INDEX('LIVE SOURCE'!$J$3:$J$232,$P126)</f>
        <v/>
      </c>
      <c r="P126" s="6">
        <f>MATCH($A126,'Draft Engine'!$Q$3:$Q$232,0)</f>
        <v/>
      </c>
    </row>
    <row r="127">
      <c r="A127">
        <f>125</f>
        <v/>
      </c>
      <c r="B127">
        <f>INDEX('Draft Engine'!$A$3:$A$232,$P127)</f>
        <v/>
      </c>
      <c r="C127">
        <f>INDEX('Draft Engine'!$F$3:$F$232,$P127)</f>
        <v/>
      </c>
      <c r="D127">
        <f>INDEX('Draft Engine'!$B$3:$B$232,$P127)</f>
        <v/>
      </c>
      <c r="E127" s="4">
        <f>INDEX('Draft Engine'!$E$3:$E$232,$P127)</f>
        <v/>
      </c>
      <c r="F127">
        <f>IF($E127&gt;=95,"ELITE",IF($E127&gt;=90,"TIER 1",IF($E127&gt;=85,"TIER 2",IF($E127&gt;=80,"TIER 3",IF($E127&gt;=75,"TIER 4",IF($E127&gt;=70,"TIER 5",IF($E127&gt;=65,"TIER 6","TIER 7")))))))</f>
        <v/>
      </c>
      <c r="G127" s="4">
        <f>INDEX('Draft Engine'!$G$3:$G$232,$P127)</f>
        <v/>
      </c>
      <c r="H127" s="4">
        <f>INDEX('Draft Engine'!$J$3:$J$232,$P127)</f>
        <v/>
      </c>
      <c r="I127" s="4">
        <f>INDEX('Draft Engine'!$N$3:$N$232,$P127)</f>
        <v/>
      </c>
      <c r="J127" s="4">
        <f>INDEX('Draft Engine'!$R$3:$R$232,$P127)</f>
        <v/>
      </c>
      <c r="K127" s="4">
        <f>INDEX('Draft Engine'!$S$3:$S$232,$P127)</f>
        <v/>
      </c>
      <c r="L127">
        <f>INDEX('Draft Engine'!$T$3:$T$232,$P127)</f>
        <v/>
      </c>
      <c r="M127">
        <f>INDEX('Draft Engine'!$X$3:$X$232,$P127)</f>
        <v/>
      </c>
      <c r="N127">
        <f>INDEX('LIVE SOURCE'!$H$3:$H$232,$P127)</f>
        <v/>
      </c>
      <c r="O127">
        <f>INDEX('LIVE SOURCE'!$J$3:$J$232,$P127)</f>
        <v/>
      </c>
      <c r="P127" s="6">
        <f>MATCH($A127,'Draft Engine'!$Q$3:$Q$232,0)</f>
        <v/>
      </c>
    </row>
    <row r="128">
      <c r="A128">
        <f>126</f>
        <v/>
      </c>
      <c r="B128">
        <f>INDEX('Draft Engine'!$A$3:$A$232,$P128)</f>
        <v/>
      </c>
      <c r="C128">
        <f>INDEX('Draft Engine'!$F$3:$F$232,$P128)</f>
        <v/>
      </c>
      <c r="D128">
        <f>INDEX('Draft Engine'!$B$3:$B$232,$P128)</f>
        <v/>
      </c>
      <c r="E128" s="4">
        <f>INDEX('Draft Engine'!$E$3:$E$232,$P128)</f>
        <v/>
      </c>
      <c r="F128">
        <f>IF($E128&gt;=95,"ELITE",IF($E128&gt;=90,"TIER 1",IF($E128&gt;=85,"TIER 2",IF($E128&gt;=80,"TIER 3",IF($E128&gt;=75,"TIER 4",IF($E128&gt;=70,"TIER 5",IF($E128&gt;=65,"TIER 6","TIER 7")))))))</f>
        <v/>
      </c>
      <c r="G128" s="4">
        <f>INDEX('Draft Engine'!$G$3:$G$232,$P128)</f>
        <v/>
      </c>
      <c r="H128" s="4">
        <f>INDEX('Draft Engine'!$J$3:$J$232,$P128)</f>
        <v/>
      </c>
      <c r="I128" s="4">
        <f>INDEX('Draft Engine'!$N$3:$N$232,$P128)</f>
        <v/>
      </c>
      <c r="J128" s="4">
        <f>INDEX('Draft Engine'!$R$3:$R$232,$P128)</f>
        <v/>
      </c>
      <c r="K128" s="4">
        <f>INDEX('Draft Engine'!$S$3:$S$232,$P128)</f>
        <v/>
      </c>
      <c r="L128">
        <f>INDEX('Draft Engine'!$T$3:$T$232,$P128)</f>
        <v/>
      </c>
      <c r="M128">
        <f>INDEX('Draft Engine'!$X$3:$X$232,$P128)</f>
        <v/>
      </c>
      <c r="N128">
        <f>INDEX('LIVE SOURCE'!$H$3:$H$232,$P128)</f>
        <v/>
      </c>
      <c r="O128">
        <f>INDEX('LIVE SOURCE'!$J$3:$J$232,$P128)</f>
        <v/>
      </c>
      <c r="P128" s="6">
        <f>MATCH($A128,'Draft Engine'!$Q$3:$Q$232,0)</f>
        <v/>
      </c>
    </row>
    <row r="129">
      <c r="A129">
        <f>127</f>
        <v/>
      </c>
      <c r="B129">
        <f>INDEX('Draft Engine'!$A$3:$A$232,$P129)</f>
        <v/>
      </c>
      <c r="C129">
        <f>INDEX('Draft Engine'!$F$3:$F$232,$P129)</f>
        <v/>
      </c>
      <c r="D129">
        <f>INDEX('Draft Engine'!$B$3:$B$232,$P129)</f>
        <v/>
      </c>
      <c r="E129" s="4">
        <f>INDEX('Draft Engine'!$E$3:$E$232,$P129)</f>
        <v/>
      </c>
      <c r="F129">
        <f>IF($E129&gt;=95,"ELITE",IF($E129&gt;=90,"TIER 1",IF($E129&gt;=85,"TIER 2",IF($E129&gt;=80,"TIER 3",IF($E129&gt;=75,"TIER 4",IF($E129&gt;=70,"TIER 5",IF($E129&gt;=65,"TIER 6","TIER 7")))))))</f>
        <v/>
      </c>
      <c r="G129" s="4">
        <f>INDEX('Draft Engine'!$G$3:$G$232,$P129)</f>
        <v/>
      </c>
      <c r="H129" s="4">
        <f>INDEX('Draft Engine'!$J$3:$J$232,$P129)</f>
        <v/>
      </c>
      <c r="I129" s="4">
        <f>INDEX('Draft Engine'!$N$3:$N$232,$P129)</f>
        <v/>
      </c>
      <c r="J129" s="4">
        <f>INDEX('Draft Engine'!$R$3:$R$232,$P129)</f>
        <v/>
      </c>
      <c r="K129" s="4">
        <f>INDEX('Draft Engine'!$S$3:$S$232,$P129)</f>
        <v/>
      </c>
      <c r="L129">
        <f>INDEX('Draft Engine'!$T$3:$T$232,$P129)</f>
        <v/>
      </c>
      <c r="M129">
        <f>INDEX('Draft Engine'!$X$3:$X$232,$P129)</f>
        <v/>
      </c>
      <c r="N129">
        <f>INDEX('LIVE SOURCE'!$H$3:$H$232,$P129)</f>
        <v/>
      </c>
      <c r="O129">
        <f>INDEX('LIVE SOURCE'!$J$3:$J$232,$P129)</f>
        <v/>
      </c>
      <c r="P129" s="6">
        <f>MATCH($A129,'Draft Engine'!$Q$3:$Q$232,0)</f>
        <v/>
      </c>
    </row>
    <row r="130">
      <c r="A130">
        <f>128</f>
        <v/>
      </c>
      <c r="B130">
        <f>INDEX('Draft Engine'!$A$3:$A$232,$P130)</f>
        <v/>
      </c>
      <c r="C130">
        <f>INDEX('Draft Engine'!$F$3:$F$232,$P130)</f>
        <v/>
      </c>
      <c r="D130">
        <f>INDEX('Draft Engine'!$B$3:$B$232,$P130)</f>
        <v/>
      </c>
      <c r="E130" s="4">
        <f>INDEX('Draft Engine'!$E$3:$E$232,$P130)</f>
        <v/>
      </c>
      <c r="F130">
        <f>IF($E130&gt;=95,"ELITE",IF($E130&gt;=90,"TIER 1",IF($E130&gt;=85,"TIER 2",IF($E130&gt;=80,"TIER 3",IF($E130&gt;=75,"TIER 4",IF($E130&gt;=70,"TIER 5",IF($E130&gt;=65,"TIER 6","TIER 7")))))))</f>
        <v/>
      </c>
      <c r="G130" s="4">
        <f>INDEX('Draft Engine'!$G$3:$G$232,$P130)</f>
        <v/>
      </c>
      <c r="H130" s="4">
        <f>INDEX('Draft Engine'!$J$3:$J$232,$P130)</f>
        <v/>
      </c>
      <c r="I130" s="4">
        <f>INDEX('Draft Engine'!$N$3:$N$232,$P130)</f>
        <v/>
      </c>
      <c r="J130" s="4">
        <f>INDEX('Draft Engine'!$R$3:$R$232,$P130)</f>
        <v/>
      </c>
      <c r="K130" s="4">
        <f>INDEX('Draft Engine'!$S$3:$S$232,$P130)</f>
        <v/>
      </c>
      <c r="L130">
        <f>INDEX('Draft Engine'!$T$3:$T$232,$P130)</f>
        <v/>
      </c>
      <c r="M130">
        <f>INDEX('Draft Engine'!$X$3:$X$232,$P130)</f>
        <v/>
      </c>
      <c r="N130">
        <f>INDEX('LIVE SOURCE'!$H$3:$H$232,$P130)</f>
        <v/>
      </c>
      <c r="O130">
        <f>INDEX('LIVE SOURCE'!$J$3:$J$232,$P130)</f>
        <v/>
      </c>
      <c r="P130" s="6">
        <f>MATCH($A130,'Draft Engine'!$Q$3:$Q$232,0)</f>
        <v/>
      </c>
    </row>
    <row r="131">
      <c r="A131">
        <f>129</f>
        <v/>
      </c>
      <c r="B131">
        <f>INDEX('Draft Engine'!$A$3:$A$232,$P131)</f>
        <v/>
      </c>
      <c r="C131">
        <f>INDEX('Draft Engine'!$F$3:$F$232,$P131)</f>
        <v/>
      </c>
      <c r="D131">
        <f>INDEX('Draft Engine'!$B$3:$B$232,$P131)</f>
        <v/>
      </c>
      <c r="E131" s="4">
        <f>INDEX('Draft Engine'!$E$3:$E$232,$P131)</f>
        <v/>
      </c>
      <c r="F131">
        <f>IF($E131&gt;=95,"ELITE",IF($E131&gt;=90,"TIER 1",IF($E131&gt;=85,"TIER 2",IF($E131&gt;=80,"TIER 3",IF($E131&gt;=75,"TIER 4",IF($E131&gt;=70,"TIER 5",IF($E131&gt;=65,"TIER 6","TIER 7")))))))</f>
        <v/>
      </c>
      <c r="G131" s="4">
        <f>INDEX('Draft Engine'!$G$3:$G$232,$P131)</f>
        <v/>
      </c>
      <c r="H131" s="4">
        <f>INDEX('Draft Engine'!$J$3:$J$232,$P131)</f>
        <v/>
      </c>
      <c r="I131" s="4">
        <f>INDEX('Draft Engine'!$N$3:$N$232,$P131)</f>
        <v/>
      </c>
      <c r="J131" s="4">
        <f>INDEX('Draft Engine'!$R$3:$R$232,$P131)</f>
        <v/>
      </c>
      <c r="K131" s="4">
        <f>INDEX('Draft Engine'!$S$3:$S$232,$P131)</f>
        <v/>
      </c>
      <c r="L131">
        <f>INDEX('Draft Engine'!$T$3:$T$232,$P131)</f>
        <v/>
      </c>
      <c r="M131">
        <f>INDEX('Draft Engine'!$X$3:$X$232,$P131)</f>
        <v/>
      </c>
      <c r="N131">
        <f>INDEX('LIVE SOURCE'!$H$3:$H$232,$P131)</f>
        <v/>
      </c>
      <c r="O131">
        <f>INDEX('LIVE SOURCE'!$J$3:$J$232,$P131)</f>
        <v/>
      </c>
      <c r="P131" s="6">
        <f>MATCH($A131,'Draft Engine'!$Q$3:$Q$232,0)</f>
        <v/>
      </c>
    </row>
    <row r="132">
      <c r="A132">
        <f>130</f>
        <v/>
      </c>
      <c r="B132">
        <f>INDEX('Draft Engine'!$A$3:$A$232,$P132)</f>
        <v/>
      </c>
      <c r="C132">
        <f>INDEX('Draft Engine'!$F$3:$F$232,$P132)</f>
        <v/>
      </c>
      <c r="D132">
        <f>INDEX('Draft Engine'!$B$3:$B$232,$P132)</f>
        <v/>
      </c>
      <c r="E132" s="4">
        <f>INDEX('Draft Engine'!$E$3:$E$232,$P132)</f>
        <v/>
      </c>
      <c r="F132">
        <f>IF($E132&gt;=95,"ELITE",IF($E132&gt;=90,"TIER 1",IF($E132&gt;=85,"TIER 2",IF($E132&gt;=80,"TIER 3",IF($E132&gt;=75,"TIER 4",IF($E132&gt;=70,"TIER 5",IF($E132&gt;=65,"TIER 6","TIER 7")))))))</f>
        <v/>
      </c>
      <c r="G132" s="4">
        <f>INDEX('Draft Engine'!$G$3:$G$232,$P132)</f>
        <v/>
      </c>
      <c r="H132" s="4">
        <f>INDEX('Draft Engine'!$J$3:$J$232,$P132)</f>
        <v/>
      </c>
      <c r="I132" s="4">
        <f>INDEX('Draft Engine'!$N$3:$N$232,$P132)</f>
        <v/>
      </c>
      <c r="J132" s="4">
        <f>INDEX('Draft Engine'!$R$3:$R$232,$P132)</f>
        <v/>
      </c>
      <c r="K132" s="4">
        <f>INDEX('Draft Engine'!$S$3:$S$232,$P132)</f>
        <v/>
      </c>
      <c r="L132">
        <f>INDEX('Draft Engine'!$T$3:$T$232,$P132)</f>
        <v/>
      </c>
      <c r="M132">
        <f>INDEX('Draft Engine'!$X$3:$X$232,$P132)</f>
        <v/>
      </c>
      <c r="N132">
        <f>INDEX('LIVE SOURCE'!$H$3:$H$232,$P132)</f>
        <v/>
      </c>
      <c r="O132">
        <f>INDEX('LIVE SOURCE'!$J$3:$J$232,$P132)</f>
        <v/>
      </c>
      <c r="P132" s="6">
        <f>MATCH($A132,'Draft Engine'!$Q$3:$Q$232,0)</f>
        <v/>
      </c>
    </row>
    <row r="133">
      <c r="A133">
        <f>131</f>
        <v/>
      </c>
      <c r="B133">
        <f>INDEX('Draft Engine'!$A$3:$A$232,$P133)</f>
        <v/>
      </c>
      <c r="C133">
        <f>INDEX('Draft Engine'!$F$3:$F$232,$P133)</f>
        <v/>
      </c>
      <c r="D133">
        <f>INDEX('Draft Engine'!$B$3:$B$232,$P133)</f>
        <v/>
      </c>
      <c r="E133" s="4">
        <f>INDEX('Draft Engine'!$E$3:$E$232,$P133)</f>
        <v/>
      </c>
      <c r="F133">
        <f>IF($E133&gt;=95,"ELITE",IF($E133&gt;=90,"TIER 1",IF($E133&gt;=85,"TIER 2",IF($E133&gt;=80,"TIER 3",IF($E133&gt;=75,"TIER 4",IF($E133&gt;=70,"TIER 5",IF($E133&gt;=65,"TIER 6","TIER 7")))))))</f>
        <v/>
      </c>
      <c r="G133" s="4">
        <f>INDEX('Draft Engine'!$G$3:$G$232,$P133)</f>
        <v/>
      </c>
      <c r="H133" s="4">
        <f>INDEX('Draft Engine'!$J$3:$J$232,$P133)</f>
        <v/>
      </c>
      <c r="I133" s="4">
        <f>INDEX('Draft Engine'!$N$3:$N$232,$P133)</f>
        <v/>
      </c>
      <c r="J133" s="4">
        <f>INDEX('Draft Engine'!$R$3:$R$232,$P133)</f>
        <v/>
      </c>
      <c r="K133" s="4">
        <f>INDEX('Draft Engine'!$S$3:$S$232,$P133)</f>
        <v/>
      </c>
      <c r="L133">
        <f>INDEX('Draft Engine'!$T$3:$T$232,$P133)</f>
        <v/>
      </c>
      <c r="M133">
        <f>INDEX('Draft Engine'!$X$3:$X$232,$P133)</f>
        <v/>
      </c>
      <c r="N133">
        <f>INDEX('LIVE SOURCE'!$H$3:$H$232,$P133)</f>
        <v/>
      </c>
      <c r="O133">
        <f>INDEX('LIVE SOURCE'!$J$3:$J$232,$P133)</f>
        <v/>
      </c>
      <c r="P133" s="6">
        <f>MATCH($A133,'Draft Engine'!$Q$3:$Q$232,0)</f>
        <v/>
      </c>
    </row>
    <row r="134">
      <c r="A134">
        <f>132</f>
        <v/>
      </c>
      <c r="B134">
        <f>INDEX('Draft Engine'!$A$3:$A$232,$P134)</f>
        <v/>
      </c>
      <c r="C134">
        <f>INDEX('Draft Engine'!$F$3:$F$232,$P134)</f>
        <v/>
      </c>
      <c r="D134">
        <f>INDEX('Draft Engine'!$B$3:$B$232,$P134)</f>
        <v/>
      </c>
      <c r="E134" s="4">
        <f>INDEX('Draft Engine'!$E$3:$E$232,$P134)</f>
        <v/>
      </c>
      <c r="F134">
        <f>IF($E134&gt;=95,"ELITE",IF($E134&gt;=90,"TIER 1",IF($E134&gt;=85,"TIER 2",IF($E134&gt;=80,"TIER 3",IF($E134&gt;=75,"TIER 4",IF($E134&gt;=70,"TIER 5",IF($E134&gt;=65,"TIER 6","TIER 7")))))))</f>
        <v/>
      </c>
      <c r="G134" s="4">
        <f>INDEX('Draft Engine'!$G$3:$G$232,$P134)</f>
        <v/>
      </c>
      <c r="H134" s="4">
        <f>INDEX('Draft Engine'!$J$3:$J$232,$P134)</f>
        <v/>
      </c>
      <c r="I134" s="4">
        <f>INDEX('Draft Engine'!$N$3:$N$232,$P134)</f>
        <v/>
      </c>
      <c r="J134" s="4">
        <f>INDEX('Draft Engine'!$R$3:$R$232,$P134)</f>
        <v/>
      </c>
      <c r="K134" s="4">
        <f>INDEX('Draft Engine'!$S$3:$S$232,$P134)</f>
        <v/>
      </c>
      <c r="L134">
        <f>INDEX('Draft Engine'!$T$3:$T$232,$P134)</f>
        <v/>
      </c>
      <c r="M134">
        <f>INDEX('Draft Engine'!$X$3:$X$232,$P134)</f>
        <v/>
      </c>
      <c r="N134">
        <f>INDEX('LIVE SOURCE'!$H$3:$H$232,$P134)</f>
        <v/>
      </c>
      <c r="O134">
        <f>INDEX('LIVE SOURCE'!$J$3:$J$232,$P134)</f>
        <v/>
      </c>
      <c r="P134" s="6">
        <f>MATCH($A134,'Draft Engine'!$Q$3:$Q$232,0)</f>
        <v/>
      </c>
    </row>
    <row r="135">
      <c r="A135">
        <f>133</f>
        <v/>
      </c>
      <c r="B135">
        <f>INDEX('Draft Engine'!$A$3:$A$232,$P135)</f>
        <v/>
      </c>
      <c r="C135">
        <f>INDEX('Draft Engine'!$F$3:$F$232,$P135)</f>
        <v/>
      </c>
      <c r="D135">
        <f>INDEX('Draft Engine'!$B$3:$B$232,$P135)</f>
        <v/>
      </c>
      <c r="E135" s="4">
        <f>INDEX('Draft Engine'!$E$3:$E$232,$P135)</f>
        <v/>
      </c>
      <c r="F135">
        <f>IF($E135&gt;=95,"ELITE",IF($E135&gt;=90,"TIER 1",IF($E135&gt;=85,"TIER 2",IF($E135&gt;=80,"TIER 3",IF($E135&gt;=75,"TIER 4",IF($E135&gt;=70,"TIER 5",IF($E135&gt;=65,"TIER 6","TIER 7")))))))</f>
        <v/>
      </c>
      <c r="G135" s="4">
        <f>INDEX('Draft Engine'!$G$3:$G$232,$P135)</f>
        <v/>
      </c>
      <c r="H135" s="4">
        <f>INDEX('Draft Engine'!$J$3:$J$232,$P135)</f>
        <v/>
      </c>
      <c r="I135" s="4">
        <f>INDEX('Draft Engine'!$N$3:$N$232,$P135)</f>
        <v/>
      </c>
      <c r="J135" s="4">
        <f>INDEX('Draft Engine'!$R$3:$R$232,$P135)</f>
        <v/>
      </c>
      <c r="K135" s="4">
        <f>INDEX('Draft Engine'!$S$3:$S$232,$P135)</f>
        <v/>
      </c>
      <c r="L135">
        <f>INDEX('Draft Engine'!$T$3:$T$232,$P135)</f>
        <v/>
      </c>
      <c r="M135">
        <f>INDEX('Draft Engine'!$X$3:$X$232,$P135)</f>
        <v/>
      </c>
      <c r="N135">
        <f>INDEX('LIVE SOURCE'!$H$3:$H$232,$P135)</f>
        <v/>
      </c>
      <c r="O135">
        <f>INDEX('LIVE SOURCE'!$J$3:$J$232,$P135)</f>
        <v/>
      </c>
      <c r="P135" s="6">
        <f>MATCH($A135,'Draft Engine'!$Q$3:$Q$232,0)</f>
        <v/>
      </c>
    </row>
    <row r="136">
      <c r="A136">
        <f>134</f>
        <v/>
      </c>
      <c r="B136">
        <f>INDEX('Draft Engine'!$A$3:$A$232,$P136)</f>
        <v/>
      </c>
      <c r="C136">
        <f>INDEX('Draft Engine'!$F$3:$F$232,$P136)</f>
        <v/>
      </c>
      <c r="D136">
        <f>INDEX('Draft Engine'!$B$3:$B$232,$P136)</f>
        <v/>
      </c>
      <c r="E136" s="4">
        <f>INDEX('Draft Engine'!$E$3:$E$232,$P136)</f>
        <v/>
      </c>
      <c r="F136">
        <f>IF($E136&gt;=95,"ELITE",IF($E136&gt;=90,"TIER 1",IF($E136&gt;=85,"TIER 2",IF($E136&gt;=80,"TIER 3",IF($E136&gt;=75,"TIER 4",IF($E136&gt;=70,"TIER 5",IF($E136&gt;=65,"TIER 6","TIER 7")))))))</f>
        <v/>
      </c>
      <c r="G136" s="4">
        <f>INDEX('Draft Engine'!$G$3:$G$232,$P136)</f>
        <v/>
      </c>
      <c r="H136" s="4">
        <f>INDEX('Draft Engine'!$J$3:$J$232,$P136)</f>
        <v/>
      </c>
      <c r="I136" s="4">
        <f>INDEX('Draft Engine'!$N$3:$N$232,$P136)</f>
        <v/>
      </c>
      <c r="J136" s="4">
        <f>INDEX('Draft Engine'!$R$3:$R$232,$P136)</f>
        <v/>
      </c>
      <c r="K136" s="4">
        <f>INDEX('Draft Engine'!$S$3:$S$232,$P136)</f>
        <v/>
      </c>
      <c r="L136">
        <f>INDEX('Draft Engine'!$T$3:$T$232,$P136)</f>
        <v/>
      </c>
      <c r="M136">
        <f>INDEX('Draft Engine'!$X$3:$X$232,$P136)</f>
        <v/>
      </c>
      <c r="N136">
        <f>INDEX('LIVE SOURCE'!$H$3:$H$232,$P136)</f>
        <v/>
      </c>
      <c r="O136">
        <f>INDEX('LIVE SOURCE'!$J$3:$J$232,$P136)</f>
        <v/>
      </c>
      <c r="P136" s="6">
        <f>MATCH($A136,'Draft Engine'!$Q$3:$Q$232,0)</f>
        <v/>
      </c>
    </row>
    <row r="137">
      <c r="A137">
        <f>135</f>
        <v/>
      </c>
      <c r="B137">
        <f>INDEX('Draft Engine'!$A$3:$A$232,$P137)</f>
        <v/>
      </c>
      <c r="C137">
        <f>INDEX('Draft Engine'!$F$3:$F$232,$P137)</f>
        <v/>
      </c>
      <c r="D137">
        <f>INDEX('Draft Engine'!$B$3:$B$232,$P137)</f>
        <v/>
      </c>
      <c r="E137" s="4">
        <f>INDEX('Draft Engine'!$E$3:$E$232,$P137)</f>
        <v/>
      </c>
      <c r="F137">
        <f>IF($E137&gt;=95,"ELITE",IF($E137&gt;=90,"TIER 1",IF($E137&gt;=85,"TIER 2",IF($E137&gt;=80,"TIER 3",IF($E137&gt;=75,"TIER 4",IF($E137&gt;=70,"TIER 5",IF($E137&gt;=65,"TIER 6","TIER 7")))))))</f>
        <v/>
      </c>
      <c r="G137" s="4">
        <f>INDEX('Draft Engine'!$G$3:$G$232,$P137)</f>
        <v/>
      </c>
      <c r="H137" s="4">
        <f>INDEX('Draft Engine'!$J$3:$J$232,$P137)</f>
        <v/>
      </c>
      <c r="I137" s="4">
        <f>INDEX('Draft Engine'!$N$3:$N$232,$P137)</f>
        <v/>
      </c>
      <c r="J137" s="4">
        <f>INDEX('Draft Engine'!$R$3:$R$232,$P137)</f>
        <v/>
      </c>
      <c r="K137" s="4">
        <f>INDEX('Draft Engine'!$S$3:$S$232,$P137)</f>
        <v/>
      </c>
      <c r="L137">
        <f>INDEX('Draft Engine'!$T$3:$T$232,$P137)</f>
        <v/>
      </c>
      <c r="M137">
        <f>INDEX('Draft Engine'!$X$3:$X$232,$P137)</f>
        <v/>
      </c>
      <c r="N137">
        <f>INDEX('LIVE SOURCE'!$H$3:$H$232,$P137)</f>
        <v/>
      </c>
      <c r="O137">
        <f>INDEX('LIVE SOURCE'!$J$3:$J$232,$P137)</f>
        <v/>
      </c>
      <c r="P137" s="6">
        <f>MATCH($A137,'Draft Engine'!$Q$3:$Q$232,0)</f>
        <v/>
      </c>
    </row>
    <row r="138">
      <c r="A138">
        <f>136</f>
        <v/>
      </c>
      <c r="B138">
        <f>INDEX('Draft Engine'!$A$3:$A$232,$P138)</f>
        <v/>
      </c>
      <c r="C138">
        <f>INDEX('Draft Engine'!$F$3:$F$232,$P138)</f>
        <v/>
      </c>
      <c r="D138">
        <f>INDEX('Draft Engine'!$B$3:$B$232,$P138)</f>
        <v/>
      </c>
      <c r="E138" s="4">
        <f>INDEX('Draft Engine'!$E$3:$E$232,$P138)</f>
        <v/>
      </c>
      <c r="F138">
        <f>IF($E138&gt;=95,"ELITE",IF($E138&gt;=90,"TIER 1",IF($E138&gt;=85,"TIER 2",IF($E138&gt;=80,"TIER 3",IF($E138&gt;=75,"TIER 4",IF($E138&gt;=70,"TIER 5",IF($E138&gt;=65,"TIER 6","TIER 7")))))))</f>
        <v/>
      </c>
      <c r="G138" s="4">
        <f>INDEX('Draft Engine'!$G$3:$G$232,$P138)</f>
        <v/>
      </c>
      <c r="H138" s="4">
        <f>INDEX('Draft Engine'!$J$3:$J$232,$P138)</f>
        <v/>
      </c>
      <c r="I138" s="4">
        <f>INDEX('Draft Engine'!$N$3:$N$232,$P138)</f>
        <v/>
      </c>
      <c r="J138" s="4">
        <f>INDEX('Draft Engine'!$R$3:$R$232,$P138)</f>
        <v/>
      </c>
      <c r="K138" s="4">
        <f>INDEX('Draft Engine'!$S$3:$S$232,$P138)</f>
        <v/>
      </c>
      <c r="L138">
        <f>INDEX('Draft Engine'!$T$3:$T$232,$P138)</f>
        <v/>
      </c>
      <c r="M138">
        <f>INDEX('Draft Engine'!$X$3:$X$232,$P138)</f>
        <v/>
      </c>
      <c r="N138">
        <f>INDEX('LIVE SOURCE'!$H$3:$H$232,$P138)</f>
        <v/>
      </c>
      <c r="O138">
        <f>INDEX('LIVE SOURCE'!$J$3:$J$232,$P138)</f>
        <v/>
      </c>
      <c r="P138" s="6">
        <f>MATCH($A138,'Draft Engine'!$Q$3:$Q$232,0)</f>
        <v/>
      </c>
    </row>
    <row r="139">
      <c r="A139">
        <f>137</f>
        <v/>
      </c>
      <c r="B139">
        <f>INDEX('Draft Engine'!$A$3:$A$232,$P139)</f>
        <v/>
      </c>
      <c r="C139">
        <f>INDEX('Draft Engine'!$F$3:$F$232,$P139)</f>
        <v/>
      </c>
      <c r="D139">
        <f>INDEX('Draft Engine'!$B$3:$B$232,$P139)</f>
        <v/>
      </c>
      <c r="E139" s="4">
        <f>INDEX('Draft Engine'!$E$3:$E$232,$P139)</f>
        <v/>
      </c>
      <c r="F139">
        <f>IF($E139&gt;=95,"ELITE",IF($E139&gt;=90,"TIER 1",IF($E139&gt;=85,"TIER 2",IF($E139&gt;=80,"TIER 3",IF($E139&gt;=75,"TIER 4",IF($E139&gt;=70,"TIER 5",IF($E139&gt;=65,"TIER 6","TIER 7")))))))</f>
        <v/>
      </c>
      <c r="G139" s="4">
        <f>INDEX('Draft Engine'!$G$3:$G$232,$P139)</f>
        <v/>
      </c>
      <c r="H139" s="4">
        <f>INDEX('Draft Engine'!$J$3:$J$232,$P139)</f>
        <v/>
      </c>
      <c r="I139" s="4">
        <f>INDEX('Draft Engine'!$N$3:$N$232,$P139)</f>
        <v/>
      </c>
      <c r="J139" s="4">
        <f>INDEX('Draft Engine'!$R$3:$R$232,$P139)</f>
        <v/>
      </c>
      <c r="K139" s="4">
        <f>INDEX('Draft Engine'!$S$3:$S$232,$P139)</f>
        <v/>
      </c>
      <c r="L139">
        <f>INDEX('Draft Engine'!$T$3:$T$232,$P139)</f>
        <v/>
      </c>
      <c r="M139">
        <f>INDEX('Draft Engine'!$X$3:$X$232,$P139)</f>
        <v/>
      </c>
      <c r="N139">
        <f>INDEX('LIVE SOURCE'!$H$3:$H$232,$P139)</f>
        <v/>
      </c>
      <c r="O139">
        <f>INDEX('LIVE SOURCE'!$J$3:$J$232,$P139)</f>
        <v/>
      </c>
      <c r="P139" s="6">
        <f>MATCH($A139,'Draft Engine'!$Q$3:$Q$232,0)</f>
        <v/>
      </c>
    </row>
    <row r="140">
      <c r="A140">
        <f>138</f>
        <v/>
      </c>
      <c r="B140">
        <f>INDEX('Draft Engine'!$A$3:$A$232,$P140)</f>
        <v/>
      </c>
      <c r="C140">
        <f>INDEX('Draft Engine'!$F$3:$F$232,$P140)</f>
        <v/>
      </c>
      <c r="D140">
        <f>INDEX('Draft Engine'!$B$3:$B$232,$P140)</f>
        <v/>
      </c>
      <c r="E140" s="4">
        <f>INDEX('Draft Engine'!$E$3:$E$232,$P140)</f>
        <v/>
      </c>
      <c r="F140">
        <f>IF($E140&gt;=95,"ELITE",IF($E140&gt;=90,"TIER 1",IF($E140&gt;=85,"TIER 2",IF($E140&gt;=80,"TIER 3",IF($E140&gt;=75,"TIER 4",IF($E140&gt;=70,"TIER 5",IF($E140&gt;=65,"TIER 6","TIER 7")))))))</f>
        <v/>
      </c>
      <c r="G140" s="4">
        <f>INDEX('Draft Engine'!$G$3:$G$232,$P140)</f>
        <v/>
      </c>
      <c r="H140" s="4">
        <f>INDEX('Draft Engine'!$J$3:$J$232,$P140)</f>
        <v/>
      </c>
      <c r="I140" s="4">
        <f>INDEX('Draft Engine'!$N$3:$N$232,$P140)</f>
        <v/>
      </c>
      <c r="J140" s="4">
        <f>INDEX('Draft Engine'!$R$3:$R$232,$P140)</f>
        <v/>
      </c>
      <c r="K140" s="4">
        <f>INDEX('Draft Engine'!$S$3:$S$232,$P140)</f>
        <v/>
      </c>
      <c r="L140">
        <f>INDEX('Draft Engine'!$T$3:$T$232,$P140)</f>
        <v/>
      </c>
      <c r="M140">
        <f>INDEX('Draft Engine'!$X$3:$X$232,$P140)</f>
        <v/>
      </c>
      <c r="N140">
        <f>INDEX('LIVE SOURCE'!$H$3:$H$232,$P140)</f>
        <v/>
      </c>
      <c r="O140">
        <f>INDEX('LIVE SOURCE'!$J$3:$J$232,$P140)</f>
        <v/>
      </c>
      <c r="P140" s="6">
        <f>MATCH($A140,'Draft Engine'!$Q$3:$Q$232,0)</f>
        <v/>
      </c>
    </row>
    <row r="141">
      <c r="A141">
        <f>139</f>
        <v/>
      </c>
      <c r="B141">
        <f>INDEX('Draft Engine'!$A$3:$A$232,$P141)</f>
        <v/>
      </c>
      <c r="C141">
        <f>INDEX('Draft Engine'!$F$3:$F$232,$P141)</f>
        <v/>
      </c>
      <c r="D141">
        <f>INDEX('Draft Engine'!$B$3:$B$232,$P141)</f>
        <v/>
      </c>
      <c r="E141" s="4">
        <f>INDEX('Draft Engine'!$E$3:$E$232,$P141)</f>
        <v/>
      </c>
      <c r="F141">
        <f>IF($E141&gt;=95,"ELITE",IF($E141&gt;=90,"TIER 1",IF($E141&gt;=85,"TIER 2",IF($E141&gt;=80,"TIER 3",IF($E141&gt;=75,"TIER 4",IF($E141&gt;=70,"TIER 5",IF($E141&gt;=65,"TIER 6","TIER 7")))))))</f>
        <v/>
      </c>
      <c r="G141" s="4">
        <f>INDEX('Draft Engine'!$G$3:$G$232,$P141)</f>
        <v/>
      </c>
      <c r="H141" s="4">
        <f>INDEX('Draft Engine'!$J$3:$J$232,$P141)</f>
        <v/>
      </c>
      <c r="I141" s="4">
        <f>INDEX('Draft Engine'!$N$3:$N$232,$P141)</f>
        <v/>
      </c>
      <c r="J141" s="4">
        <f>INDEX('Draft Engine'!$R$3:$R$232,$P141)</f>
        <v/>
      </c>
      <c r="K141" s="4">
        <f>INDEX('Draft Engine'!$S$3:$S$232,$P141)</f>
        <v/>
      </c>
      <c r="L141">
        <f>INDEX('Draft Engine'!$T$3:$T$232,$P141)</f>
        <v/>
      </c>
      <c r="M141">
        <f>INDEX('Draft Engine'!$X$3:$X$232,$P141)</f>
        <v/>
      </c>
      <c r="N141">
        <f>INDEX('LIVE SOURCE'!$H$3:$H$232,$P141)</f>
        <v/>
      </c>
      <c r="O141">
        <f>INDEX('LIVE SOURCE'!$J$3:$J$232,$P141)</f>
        <v/>
      </c>
      <c r="P141" s="6">
        <f>MATCH($A141,'Draft Engine'!$Q$3:$Q$232,0)</f>
        <v/>
      </c>
    </row>
    <row r="142">
      <c r="A142">
        <f>140</f>
        <v/>
      </c>
      <c r="B142">
        <f>INDEX('Draft Engine'!$A$3:$A$232,$P142)</f>
        <v/>
      </c>
      <c r="C142">
        <f>INDEX('Draft Engine'!$F$3:$F$232,$P142)</f>
        <v/>
      </c>
      <c r="D142">
        <f>INDEX('Draft Engine'!$B$3:$B$232,$P142)</f>
        <v/>
      </c>
      <c r="E142" s="4">
        <f>INDEX('Draft Engine'!$E$3:$E$232,$P142)</f>
        <v/>
      </c>
      <c r="F142">
        <f>IF($E142&gt;=95,"ELITE",IF($E142&gt;=90,"TIER 1",IF($E142&gt;=85,"TIER 2",IF($E142&gt;=80,"TIER 3",IF($E142&gt;=75,"TIER 4",IF($E142&gt;=70,"TIER 5",IF($E142&gt;=65,"TIER 6","TIER 7")))))))</f>
        <v/>
      </c>
      <c r="G142" s="4">
        <f>INDEX('Draft Engine'!$G$3:$G$232,$P142)</f>
        <v/>
      </c>
      <c r="H142" s="4">
        <f>INDEX('Draft Engine'!$J$3:$J$232,$P142)</f>
        <v/>
      </c>
      <c r="I142" s="4">
        <f>INDEX('Draft Engine'!$N$3:$N$232,$P142)</f>
        <v/>
      </c>
      <c r="J142" s="4">
        <f>INDEX('Draft Engine'!$R$3:$R$232,$P142)</f>
        <v/>
      </c>
      <c r="K142" s="4">
        <f>INDEX('Draft Engine'!$S$3:$S$232,$P142)</f>
        <v/>
      </c>
      <c r="L142">
        <f>INDEX('Draft Engine'!$T$3:$T$232,$P142)</f>
        <v/>
      </c>
      <c r="M142">
        <f>INDEX('Draft Engine'!$X$3:$X$232,$P142)</f>
        <v/>
      </c>
      <c r="N142">
        <f>INDEX('LIVE SOURCE'!$H$3:$H$232,$P142)</f>
        <v/>
      </c>
      <c r="O142">
        <f>INDEX('LIVE SOURCE'!$J$3:$J$232,$P142)</f>
        <v/>
      </c>
      <c r="P142" s="6">
        <f>MATCH($A142,'Draft Engine'!$Q$3:$Q$232,0)</f>
        <v/>
      </c>
    </row>
    <row r="143">
      <c r="A143">
        <f>141</f>
        <v/>
      </c>
      <c r="B143">
        <f>INDEX('Draft Engine'!$A$3:$A$232,$P143)</f>
        <v/>
      </c>
      <c r="C143">
        <f>INDEX('Draft Engine'!$F$3:$F$232,$P143)</f>
        <v/>
      </c>
      <c r="D143">
        <f>INDEX('Draft Engine'!$B$3:$B$232,$P143)</f>
        <v/>
      </c>
      <c r="E143" s="4">
        <f>INDEX('Draft Engine'!$E$3:$E$232,$P143)</f>
        <v/>
      </c>
      <c r="F143">
        <f>IF($E143&gt;=95,"ELITE",IF($E143&gt;=90,"TIER 1",IF($E143&gt;=85,"TIER 2",IF($E143&gt;=80,"TIER 3",IF($E143&gt;=75,"TIER 4",IF($E143&gt;=70,"TIER 5",IF($E143&gt;=65,"TIER 6","TIER 7")))))))</f>
        <v/>
      </c>
      <c r="G143" s="4">
        <f>INDEX('Draft Engine'!$G$3:$G$232,$P143)</f>
        <v/>
      </c>
      <c r="H143" s="4">
        <f>INDEX('Draft Engine'!$J$3:$J$232,$P143)</f>
        <v/>
      </c>
      <c r="I143" s="4">
        <f>INDEX('Draft Engine'!$N$3:$N$232,$P143)</f>
        <v/>
      </c>
      <c r="J143" s="4">
        <f>INDEX('Draft Engine'!$R$3:$R$232,$P143)</f>
        <v/>
      </c>
      <c r="K143" s="4">
        <f>INDEX('Draft Engine'!$S$3:$S$232,$P143)</f>
        <v/>
      </c>
      <c r="L143">
        <f>INDEX('Draft Engine'!$T$3:$T$232,$P143)</f>
        <v/>
      </c>
      <c r="M143">
        <f>INDEX('Draft Engine'!$X$3:$X$232,$P143)</f>
        <v/>
      </c>
      <c r="N143">
        <f>INDEX('LIVE SOURCE'!$H$3:$H$232,$P143)</f>
        <v/>
      </c>
      <c r="O143">
        <f>INDEX('LIVE SOURCE'!$J$3:$J$232,$P143)</f>
        <v/>
      </c>
      <c r="P143" s="6">
        <f>MATCH($A143,'Draft Engine'!$Q$3:$Q$232,0)</f>
        <v/>
      </c>
    </row>
    <row r="144">
      <c r="A144">
        <f>142</f>
        <v/>
      </c>
      <c r="B144">
        <f>INDEX('Draft Engine'!$A$3:$A$232,$P144)</f>
        <v/>
      </c>
      <c r="C144">
        <f>INDEX('Draft Engine'!$F$3:$F$232,$P144)</f>
        <v/>
      </c>
      <c r="D144">
        <f>INDEX('Draft Engine'!$B$3:$B$232,$P144)</f>
        <v/>
      </c>
      <c r="E144" s="4">
        <f>INDEX('Draft Engine'!$E$3:$E$232,$P144)</f>
        <v/>
      </c>
      <c r="F144">
        <f>IF($E144&gt;=95,"ELITE",IF($E144&gt;=90,"TIER 1",IF($E144&gt;=85,"TIER 2",IF($E144&gt;=80,"TIER 3",IF($E144&gt;=75,"TIER 4",IF($E144&gt;=70,"TIER 5",IF($E144&gt;=65,"TIER 6","TIER 7")))))))</f>
        <v/>
      </c>
      <c r="G144" s="4">
        <f>INDEX('Draft Engine'!$G$3:$G$232,$P144)</f>
        <v/>
      </c>
      <c r="H144" s="4">
        <f>INDEX('Draft Engine'!$J$3:$J$232,$P144)</f>
        <v/>
      </c>
      <c r="I144" s="4">
        <f>INDEX('Draft Engine'!$N$3:$N$232,$P144)</f>
        <v/>
      </c>
      <c r="J144" s="4">
        <f>INDEX('Draft Engine'!$R$3:$R$232,$P144)</f>
        <v/>
      </c>
      <c r="K144" s="4">
        <f>INDEX('Draft Engine'!$S$3:$S$232,$P144)</f>
        <v/>
      </c>
      <c r="L144">
        <f>INDEX('Draft Engine'!$T$3:$T$232,$P144)</f>
        <v/>
      </c>
      <c r="M144">
        <f>INDEX('Draft Engine'!$X$3:$X$232,$P144)</f>
        <v/>
      </c>
      <c r="N144">
        <f>INDEX('LIVE SOURCE'!$H$3:$H$232,$P144)</f>
        <v/>
      </c>
      <c r="O144">
        <f>INDEX('LIVE SOURCE'!$J$3:$J$232,$P144)</f>
        <v/>
      </c>
      <c r="P144" s="6">
        <f>MATCH($A144,'Draft Engine'!$Q$3:$Q$232,0)</f>
        <v/>
      </c>
    </row>
    <row r="145">
      <c r="A145">
        <f>143</f>
        <v/>
      </c>
      <c r="B145">
        <f>INDEX('Draft Engine'!$A$3:$A$232,$P145)</f>
        <v/>
      </c>
      <c r="C145">
        <f>INDEX('Draft Engine'!$F$3:$F$232,$P145)</f>
        <v/>
      </c>
      <c r="D145">
        <f>INDEX('Draft Engine'!$B$3:$B$232,$P145)</f>
        <v/>
      </c>
      <c r="E145" s="4">
        <f>INDEX('Draft Engine'!$E$3:$E$232,$P145)</f>
        <v/>
      </c>
      <c r="F145">
        <f>IF($E145&gt;=95,"ELITE",IF($E145&gt;=90,"TIER 1",IF($E145&gt;=85,"TIER 2",IF($E145&gt;=80,"TIER 3",IF($E145&gt;=75,"TIER 4",IF($E145&gt;=70,"TIER 5",IF($E145&gt;=65,"TIER 6","TIER 7")))))))</f>
        <v/>
      </c>
      <c r="G145" s="4">
        <f>INDEX('Draft Engine'!$G$3:$G$232,$P145)</f>
        <v/>
      </c>
      <c r="H145" s="4">
        <f>INDEX('Draft Engine'!$J$3:$J$232,$P145)</f>
        <v/>
      </c>
      <c r="I145" s="4">
        <f>INDEX('Draft Engine'!$N$3:$N$232,$P145)</f>
        <v/>
      </c>
      <c r="J145" s="4">
        <f>INDEX('Draft Engine'!$R$3:$R$232,$P145)</f>
        <v/>
      </c>
      <c r="K145" s="4">
        <f>INDEX('Draft Engine'!$S$3:$S$232,$P145)</f>
        <v/>
      </c>
      <c r="L145">
        <f>INDEX('Draft Engine'!$T$3:$T$232,$P145)</f>
        <v/>
      </c>
      <c r="M145">
        <f>INDEX('Draft Engine'!$X$3:$X$232,$P145)</f>
        <v/>
      </c>
      <c r="N145">
        <f>INDEX('LIVE SOURCE'!$H$3:$H$232,$P145)</f>
        <v/>
      </c>
      <c r="O145">
        <f>INDEX('LIVE SOURCE'!$J$3:$J$232,$P145)</f>
        <v/>
      </c>
      <c r="P145" s="6">
        <f>MATCH($A145,'Draft Engine'!$Q$3:$Q$232,0)</f>
        <v/>
      </c>
    </row>
    <row r="146">
      <c r="A146">
        <f>144</f>
        <v/>
      </c>
      <c r="B146">
        <f>INDEX('Draft Engine'!$A$3:$A$232,$P146)</f>
        <v/>
      </c>
      <c r="C146">
        <f>INDEX('Draft Engine'!$F$3:$F$232,$P146)</f>
        <v/>
      </c>
      <c r="D146">
        <f>INDEX('Draft Engine'!$B$3:$B$232,$P146)</f>
        <v/>
      </c>
      <c r="E146" s="4">
        <f>INDEX('Draft Engine'!$E$3:$E$232,$P146)</f>
        <v/>
      </c>
      <c r="F146">
        <f>IF($E146&gt;=95,"ELITE",IF($E146&gt;=90,"TIER 1",IF($E146&gt;=85,"TIER 2",IF($E146&gt;=80,"TIER 3",IF($E146&gt;=75,"TIER 4",IF($E146&gt;=70,"TIER 5",IF($E146&gt;=65,"TIER 6","TIER 7")))))))</f>
        <v/>
      </c>
      <c r="G146" s="4">
        <f>INDEX('Draft Engine'!$G$3:$G$232,$P146)</f>
        <v/>
      </c>
      <c r="H146" s="4">
        <f>INDEX('Draft Engine'!$J$3:$J$232,$P146)</f>
        <v/>
      </c>
      <c r="I146" s="4">
        <f>INDEX('Draft Engine'!$N$3:$N$232,$P146)</f>
        <v/>
      </c>
      <c r="J146" s="4">
        <f>INDEX('Draft Engine'!$R$3:$R$232,$P146)</f>
        <v/>
      </c>
      <c r="K146" s="4">
        <f>INDEX('Draft Engine'!$S$3:$S$232,$P146)</f>
        <v/>
      </c>
      <c r="L146">
        <f>INDEX('Draft Engine'!$T$3:$T$232,$P146)</f>
        <v/>
      </c>
      <c r="M146">
        <f>INDEX('Draft Engine'!$X$3:$X$232,$P146)</f>
        <v/>
      </c>
      <c r="N146">
        <f>INDEX('LIVE SOURCE'!$H$3:$H$232,$P146)</f>
        <v/>
      </c>
      <c r="O146">
        <f>INDEX('LIVE SOURCE'!$J$3:$J$232,$P146)</f>
        <v/>
      </c>
      <c r="P146" s="6">
        <f>MATCH($A146,'Draft Engine'!$Q$3:$Q$232,0)</f>
        <v/>
      </c>
    </row>
    <row r="147">
      <c r="A147">
        <f>145</f>
        <v/>
      </c>
      <c r="B147">
        <f>INDEX('Draft Engine'!$A$3:$A$232,$P147)</f>
        <v/>
      </c>
      <c r="C147">
        <f>INDEX('Draft Engine'!$F$3:$F$232,$P147)</f>
        <v/>
      </c>
      <c r="D147">
        <f>INDEX('Draft Engine'!$B$3:$B$232,$P147)</f>
        <v/>
      </c>
      <c r="E147" s="4">
        <f>INDEX('Draft Engine'!$E$3:$E$232,$P147)</f>
        <v/>
      </c>
      <c r="F147">
        <f>IF($E147&gt;=95,"ELITE",IF($E147&gt;=90,"TIER 1",IF($E147&gt;=85,"TIER 2",IF($E147&gt;=80,"TIER 3",IF($E147&gt;=75,"TIER 4",IF($E147&gt;=70,"TIER 5",IF($E147&gt;=65,"TIER 6","TIER 7")))))))</f>
        <v/>
      </c>
      <c r="G147" s="4">
        <f>INDEX('Draft Engine'!$G$3:$G$232,$P147)</f>
        <v/>
      </c>
      <c r="H147" s="4">
        <f>INDEX('Draft Engine'!$J$3:$J$232,$P147)</f>
        <v/>
      </c>
      <c r="I147" s="4">
        <f>INDEX('Draft Engine'!$N$3:$N$232,$P147)</f>
        <v/>
      </c>
      <c r="J147" s="4">
        <f>INDEX('Draft Engine'!$R$3:$R$232,$P147)</f>
        <v/>
      </c>
      <c r="K147" s="4">
        <f>INDEX('Draft Engine'!$S$3:$S$232,$P147)</f>
        <v/>
      </c>
      <c r="L147">
        <f>INDEX('Draft Engine'!$T$3:$T$232,$P147)</f>
        <v/>
      </c>
      <c r="M147">
        <f>INDEX('Draft Engine'!$X$3:$X$232,$P147)</f>
        <v/>
      </c>
      <c r="N147">
        <f>INDEX('LIVE SOURCE'!$H$3:$H$232,$P147)</f>
        <v/>
      </c>
      <c r="O147">
        <f>INDEX('LIVE SOURCE'!$J$3:$J$232,$P147)</f>
        <v/>
      </c>
      <c r="P147" s="6">
        <f>MATCH($A147,'Draft Engine'!$Q$3:$Q$232,0)</f>
        <v/>
      </c>
    </row>
    <row r="148">
      <c r="A148">
        <f>146</f>
        <v/>
      </c>
      <c r="B148">
        <f>INDEX('Draft Engine'!$A$3:$A$232,$P148)</f>
        <v/>
      </c>
      <c r="C148">
        <f>INDEX('Draft Engine'!$F$3:$F$232,$P148)</f>
        <v/>
      </c>
      <c r="D148">
        <f>INDEX('Draft Engine'!$B$3:$B$232,$P148)</f>
        <v/>
      </c>
      <c r="E148" s="4">
        <f>INDEX('Draft Engine'!$E$3:$E$232,$P148)</f>
        <v/>
      </c>
      <c r="F148">
        <f>IF($E148&gt;=95,"ELITE",IF($E148&gt;=90,"TIER 1",IF($E148&gt;=85,"TIER 2",IF($E148&gt;=80,"TIER 3",IF($E148&gt;=75,"TIER 4",IF($E148&gt;=70,"TIER 5",IF($E148&gt;=65,"TIER 6","TIER 7")))))))</f>
        <v/>
      </c>
      <c r="G148" s="4">
        <f>INDEX('Draft Engine'!$G$3:$G$232,$P148)</f>
        <v/>
      </c>
      <c r="H148" s="4">
        <f>INDEX('Draft Engine'!$J$3:$J$232,$P148)</f>
        <v/>
      </c>
      <c r="I148" s="4">
        <f>INDEX('Draft Engine'!$N$3:$N$232,$P148)</f>
        <v/>
      </c>
      <c r="J148" s="4">
        <f>INDEX('Draft Engine'!$R$3:$R$232,$P148)</f>
        <v/>
      </c>
      <c r="K148" s="4">
        <f>INDEX('Draft Engine'!$S$3:$S$232,$P148)</f>
        <v/>
      </c>
      <c r="L148">
        <f>INDEX('Draft Engine'!$T$3:$T$232,$P148)</f>
        <v/>
      </c>
      <c r="M148">
        <f>INDEX('Draft Engine'!$X$3:$X$232,$P148)</f>
        <v/>
      </c>
      <c r="N148">
        <f>INDEX('LIVE SOURCE'!$H$3:$H$232,$P148)</f>
        <v/>
      </c>
      <c r="O148">
        <f>INDEX('LIVE SOURCE'!$J$3:$J$232,$P148)</f>
        <v/>
      </c>
      <c r="P148" s="6">
        <f>MATCH($A148,'Draft Engine'!$Q$3:$Q$232,0)</f>
        <v/>
      </c>
    </row>
    <row r="149">
      <c r="A149">
        <f>147</f>
        <v/>
      </c>
      <c r="B149">
        <f>INDEX('Draft Engine'!$A$3:$A$232,$P149)</f>
        <v/>
      </c>
      <c r="C149">
        <f>INDEX('Draft Engine'!$F$3:$F$232,$P149)</f>
        <v/>
      </c>
      <c r="D149">
        <f>INDEX('Draft Engine'!$B$3:$B$232,$P149)</f>
        <v/>
      </c>
      <c r="E149" s="4">
        <f>INDEX('Draft Engine'!$E$3:$E$232,$P149)</f>
        <v/>
      </c>
      <c r="F149">
        <f>IF($E149&gt;=95,"ELITE",IF($E149&gt;=90,"TIER 1",IF($E149&gt;=85,"TIER 2",IF($E149&gt;=80,"TIER 3",IF($E149&gt;=75,"TIER 4",IF($E149&gt;=70,"TIER 5",IF($E149&gt;=65,"TIER 6","TIER 7")))))))</f>
        <v/>
      </c>
      <c r="G149" s="4">
        <f>INDEX('Draft Engine'!$G$3:$G$232,$P149)</f>
        <v/>
      </c>
      <c r="H149" s="4">
        <f>INDEX('Draft Engine'!$J$3:$J$232,$P149)</f>
        <v/>
      </c>
      <c r="I149" s="4">
        <f>INDEX('Draft Engine'!$N$3:$N$232,$P149)</f>
        <v/>
      </c>
      <c r="J149" s="4">
        <f>INDEX('Draft Engine'!$R$3:$R$232,$P149)</f>
        <v/>
      </c>
      <c r="K149" s="4">
        <f>INDEX('Draft Engine'!$S$3:$S$232,$P149)</f>
        <v/>
      </c>
      <c r="L149">
        <f>INDEX('Draft Engine'!$T$3:$T$232,$P149)</f>
        <v/>
      </c>
      <c r="M149">
        <f>INDEX('Draft Engine'!$X$3:$X$232,$P149)</f>
        <v/>
      </c>
      <c r="N149">
        <f>INDEX('LIVE SOURCE'!$H$3:$H$232,$P149)</f>
        <v/>
      </c>
      <c r="O149">
        <f>INDEX('LIVE SOURCE'!$J$3:$J$232,$P149)</f>
        <v/>
      </c>
      <c r="P149" s="6">
        <f>MATCH($A149,'Draft Engine'!$Q$3:$Q$232,0)</f>
        <v/>
      </c>
    </row>
    <row r="150">
      <c r="A150">
        <f>148</f>
        <v/>
      </c>
      <c r="B150">
        <f>INDEX('Draft Engine'!$A$3:$A$232,$P150)</f>
        <v/>
      </c>
      <c r="C150">
        <f>INDEX('Draft Engine'!$F$3:$F$232,$P150)</f>
        <v/>
      </c>
      <c r="D150">
        <f>INDEX('Draft Engine'!$B$3:$B$232,$P150)</f>
        <v/>
      </c>
      <c r="E150" s="4">
        <f>INDEX('Draft Engine'!$E$3:$E$232,$P150)</f>
        <v/>
      </c>
      <c r="F150">
        <f>IF($E150&gt;=95,"ELITE",IF($E150&gt;=90,"TIER 1",IF($E150&gt;=85,"TIER 2",IF($E150&gt;=80,"TIER 3",IF($E150&gt;=75,"TIER 4",IF($E150&gt;=70,"TIER 5",IF($E150&gt;=65,"TIER 6","TIER 7")))))))</f>
        <v/>
      </c>
      <c r="G150" s="4">
        <f>INDEX('Draft Engine'!$G$3:$G$232,$P150)</f>
        <v/>
      </c>
      <c r="H150" s="4">
        <f>INDEX('Draft Engine'!$J$3:$J$232,$P150)</f>
        <v/>
      </c>
      <c r="I150" s="4">
        <f>INDEX('Draft Engine'!$N$3:$N$232,$P150)</f>
        <v/>
      </c>
      <c r="J150" s="4">
        <f>INDEX('Draft Engine'!$R$3:$R$232,$P150)</f>
        <v/>
      </c>
      <c r="K150" s="4">
        <f>INDEX('Draft Engine'!$S$3:$S$232,$P150)</f>
        <v/>
      </c>
      <c r="L150">
        <f>INDEX('Draft Engine'!$T$3:$T$232,$P150)</f>
        <v/>
      </c>
      <c r="M150">
        <f>INDEX('Draft Engine'!$X$3:$X$232,$P150)</f>
        <v/>
      </c>
      <c r="N150">
        <f>INDEX('LIVE SOURCE'!$H$3:$H$232,$P150)</f>
        <v/>
      </c>
      <c r="O150">
        <f>INDEX('LIVE SOURCE'!$J$3:$J$232,$P150)</f>
        <v/>
      </c>
      <c r="P150" s="6">
        <f>MATCH($A150,'Draft Engine'!$Q$3:$Q$232,0)</f>
        <v/>
      </c>
    </row>
    <row r="151">
      <c r="A151">
        <f>149</f>
        <v/>
      </c>
      <c r="B151">
        <f>INDEX('Draft Engine'!$A$3:$A$232,$P151)</f>
        <v/>
      </c>
      <c r="C151">
        <f>INDEX('Draft Engine'!$F$3:$F$232,$P151)</f>
        <v/>
      </c>
      <c r="D151">
        <f>INDEX('Draft Engine'!$B$3:$B$232,$P151)</f>
        <v/>
      </c>
      <c r="E151" s="4">
        <f>INDEX('Draft Engine'!$E$3:$E$232,$P151)</f>
        <v/>
      </c>
      <c r="F151">
        <f>IF($E151&gt;=95,"ELITE",IF($E151&gt;=90,"TIER 1",IF($E151&gt;=85,"TIER 2",IF($E151&gt;=80,"TIER 3",IF($E151&gt;=75,"TIER 4",IF($E151&gt;=70,"TIER 5",IF($E151&gt;=65,"TIER 6","TIER 7")))))))</f>
        <v/>
      </c>
      <c r="G151" s="4">
        <f>INDEX('Draft Engine'!$G$3:$G$232,$P151)</f>
        <v/>
      </c>
      <c r="H151" s="4">
        <f>INDEX('Draft Engine'!$J$3:$J$232,$P151)</f>
        <v/>
      </c>
      <c r="I151" s="4">
        <f>INDEX('Draft Engine'!$N$3:$N$232,$P151)</f>
        <v/>
      </c>
      <c r="J151" s="4">
        <f>INDEX('Draft Engine'!$R$3:$R$232,$P151)</f>
        <v/>
      </c>
      <c r="K151" s="4">
        <f>INDEX('Draft Engine'!$S$3:$S$232,$P151)</f>
        <v/>
      </c>
      <c r="L151">
        <f>INDEX('Draft Engine'!$T$3:$T$232,$P151)</f>
        <v/>
      </c>
      <c r="M151">
        <f>INDEX('Draft Engine'!$X$3:$X$232,$P151)</f>
        <v/>
      </c>
      <c r="N151">
        <f>INDEX('LIVE SOURCE'!$H$3:$H$232,$P151)</f>
        <v/>
      </c>
      <c r="O151">
        <f>INDEX('LIVE SOURCE'!$J$3:$J$232,$P151)</f>
        <v/>
      </c>
      <c r="P151" s="6">
        <f>MATCH($A151,'Draft Engine'!$Q$3:$Q$232,0)</f>
        <v/>
      </c>
    </row>
    <row r="152">
      <c r="A152">
        <f>150</f>
        <v/>
      </c>
      <c r="B152">
        <f>INDEX('Draft Engine'!$A$3:$A$232,$P152)</f>
        <v/>
      </c>
      <c r="C152">
        <f>INDEX('Draft Engine'!$F$3:$F$232,$P152)</f>
        <v/>
      </c>
      <c r="D152">
        <f>INDEX('Draft Engine'!$B$3:$B$232,$P152)</f>
        <v/>
      </c>
      <c r="E152" s="4">
        <f>INDEX('Draft Engine'!$E$3:$E$232,$P152)</f>
        <v/>
      </c>
      <c r="F152">
        <f>IF($E152&gt;=95,"ELITE",IF($E152&gt;=90,"TIER 1",IF($E152&gt;=85,"TIER 2",IF($E152&gt;=80,"TIER 3",IF($E152&gt;=75,"TIER 4",IF($E152&gt;=70,"TIER 5",IF($E152&gt;=65,"TIER 6","TIER 7")))))))</f>
        <v/>
      </c>
      <c r="G152" s="4">
        <f>INDEX('Draft Engine'!$G$3:$G$232,$P152)</f>
        <v/>
      </c>
      <c r="H152" s="4">
        <f>INDEX('Draft Engine'!$J$3:$J$232,$P152)</f>
        <v/>
      </c>
      <c r="I152" s="4">
        <f>INDEX('Draft Engine'!$N$3:$N$232,$P152)</f>
        <v/>
      </c>
      <c r="J152" s="4">
        <f>INDEX('Draft Engine'!$R$3:$R$232,$P152)</f>
        <v/>
      </c>
      <c r="K152" s="4">
        <f>INDEX('Draft Engine'!$S$3:$S$232,$P152)</f>
        <v/>
      </c>
      <c r="L152">
        <f>INDEX('Draft Engine'!$T$3:$T$232,$P152)</f>
        <v/>
      </c>
      <c r="M152">
        <f>INDEX('Draft Engine'!$X$3:$X$232,$P152)</f>
        <v/>
      </c>
      <c r="N152">
        <f>INDEX('LIVE SOURCE'!$H$3:$H$232,$P152)</f>
        <v/>
      </c>
      <c r="O152">
        <f>INDEX('LIVE SOURCE'!$J$3:$J$232,$P152)</f>
        <v/>
      </c>
      <c r="P152" s="6">
        <f>MATCH($A152,'Draft Engine'!$Q$3:$Q$232,0)</f>
        <v/>
      </c>
    </row>
    <row r="153">
      <c r="A153">
        <f>151</f>
        <v/>
      </c>
      <c r="B153">
        <f>INDEX('Draft Engine'!$A$3:$A$232,$P153)</f>
        <v/>
      </c>
      <c r="C153">
        <f>INDEX('Draft Engine'!$F$3:$F$232,$P153)</f>
        <v/>
      </c>
      <c r="D153">
        <f>INDEX('Draft Engine'!$B$3:$B$232,$P153)</f>
        <v/>
      </c>
      <c r="E153" s="4">
        <f>INDEX('Draft Engine'!$E$3:$E$232,$P153)</f>
        <v/>
      </c>
      <c r="F153">
        <f>IF($E153&gt;=95,"ELITE",IF($E153&gt;=90,"TIER 1",IF($E153&gt;=85,"TIER 2",IF($E153&gt;=80,"TIER 3",IF($E153&gt;=75,"TIER 4",IF($E153&gt;=70,"TIER 5",IF($E153&gt;=65,"TIER 6","TIER 7")))))))</f>
        <v/>
      </c>
      <c r="G153" s="4">
        <f>INDEX('Draft Engine'!$G$3:$G$232,$P153)</f>
        <v/>
      </c>
      <c r="H153" s="4">
        <f>INDEX('Draft Engine'!$J$3:$J$232,$P153)</f>
        <v/>
      </c>
      <c r="I153" s="4">
        <f>INDEX('Draft Engine'!$N$3:$N$232,$P153)</f>
        <v/>
      </c>
      <c r="J153" s="4">
        <f>INDEX('Draft Engine'!$R$3:$R$232,$P153)</f>
        <v/>
      </c>
      <c r="K153" s="4">
        <f>INDEX('Draft Engine'!$S$3:$S$232,$P153)</f>
        <v/>
      </c>
      <c r="L153">
        <f>INDEX('Draft Engine'!$T$3:$T$232,$P153)</f>
        <v/>
      </c>
      <c r="M153">
        <f>INDEX('Draft Engine'!$X$3:$X$232,$P153)</f>
        <v/>
      </c>
      <c r="N153">
        <f>INDEX('LIVE SOURCE'!$H$3:$H$232,$P153)</f>
        <v/>
      </c>
      <c r="O153">
        <f>INDEX('LIVE SOURCE'!$J$3:$J$232,$P153)</f>
        <v/>
      </c>
      <c r="P153" s="6">
        <f>MATCH($A153,'Draft Engine'!$Q$3:$Q$232,0)</f>
        <v/>
      </c>
    </row>
    <row r="154">
      <c r="A154">
        <f>152</f>
        <v/>
      </c>
      <c r="B154">
        <f>INDEX('Draft Engine'!$A$3:$A$232,$P154)</f>
        <v/>
      </c>
      <c r="C154">
        <f>INDEX('Draft Engine'!$F$3:$F$232,$P154)</f>
        <v/>
      </c>
      <c r="D154">
        <f>INDEX('Draft Engine'!$B$3:$B$232,$P154)</f>
        <v/>
      </c>
      <c r="E154" s="4">
        <f>INDEX('Draft Engine'!$E$3:$E$232,$P154)</f>
        <v/>
      </c>
      <c r="F154">
        <f>IF($E154&gt;=95,"ELITE",IF($E154&gt;=90,"TIER 1",IF($E154&gt;=85,"TIER 2",IF($E154&gt;=80,"TIER 3",IF($E154&gt;=75,"TIER 4",IF($E154&gt;=70,"TIER 5",IF($E154&gt;=65,"TIER 6","TIER 7")))))))</f>
        <v/>
      </c>
      <c r="G154" s="4">
        <f>INDEX('Draft Engine'!$G$3:$G$232,$P154)</f>
        <v/>
      </c>
      <c r="H154" s="4">
        <f>INDEX('Draft Engine'!$J$3:$J$232,$P154)</f>
        <v/>
      </c>
      <c r="I154" s="4">
        <f>INDEX('Draft Engine'!$N$3:$N$232,$P154)</f>
        <v/>
      </c>
      <c r="J154" s="4">
        <f>INDEX('Draft Engine'!$R$3:$R$232,$P154)</f>
        <v/>
      </c>
      <c r="K154" s="4">
        <f>INDEX('Draft Engine'!$S$3:$S$232,$P154)</f>
        <v/>
      </c>
      <c r="L154">
        <f>INDEX('Draft Engine'!$T$3:$T$232,$P154)</f>
        <v/>
      </c>
      <c r="M154">
        <f>INDEX('Draft Engine'!$X$3:$X$232,$P154)</f>
        <v/>
      </c>
      <c r="N154">
        <f>INDEX('LIVE SOURCE'!$H$3:$H$232,$P154)</f>
        <v/>
      </c>
      <c r="O154">
        <f>INDEX('LIVE SOURCE'!$J$3:$J$232,$P154)</f>
        <v/>
      </c>
      <c r="P154" s="6">
        <f>MATCH($A154,'Draft Engine'!$Q$3:$Q$232,0)</f>
        <v/>
      </c>
    </row>
    <row r="155">
      <c r="A155">
        <f>153</f>
        <v/>
      </c>
      <c r="B155">
        <f>INDEX('Draft Engine'!$A$3:$A$232,$P155)</f>
        <v/>
      </c>
      <c r="C155">
        <f>INDEX('Draft Engine'!$F$3:$F$232,$P155)</f>
        <v/>
      </c>
      <c r="D155">
        <f>INDEX('Draft Engine'!$B$3:$B$232,$P155)</f>
        <v/>
      </c>
      <c r="E155" s="4">
        <f>INDEX('Draft Engine'!$E$3:$E$232,$P155)</f>
        <v/>
      </c>
      <c r="F155">
        <f>IF($E155&gt;=95,"ELITE",IF($E155&gt;=90,"TIER 1",IF($E155&gt;=85,"TIER 2",IF($E155&gt;=80,"TIER 3",IF($E155&gt;=75,"TIER 4",IF($E155&gt;=70,"TIER 5",IF($E155&gt;=65,"TIER 6","TIER 7")))))))</f>
        <v/>
      </c>
      <c r="G155" s="4">
        <f>INDEX('Draft Engine'!$G$3:$G$232,$P155)</f>
        <v/>
      </c>
      <c r="H155" s="4">
        <f>INDEX('Draft Engine'!$J$3:$J$232,$P155)</f>
        <v/>
      </c>
      <c r="I155" s="4">
        <f>INDEX('Draft Engine'!$N$3:$N$232,$P155)</f>
        <v/>
      </c>
      <c r="J155" s="4">
        <f>INDEX('Draft Engine'!$R$3:$R$232,$P155)</f>
        <v/>
      </c>
      <c r="K155" s="4">
        <f>INDEX('Draft Engine'!$S$3:$S$232,$P155)</f>
        <v/>
      </c>
      <c r="L155">
        <f>INDEX('Draft Engine'!$T$3:$T$232,$P155)</f>
        <v/>
      </c>
      <c r="M155">
        <f>INDEX('Draft Engine'!$X$3:$X$232,$P155)</f>
        <v/>
      </c>
      <c r="N155">
        <f>INDEX('LIVE SOURCE'!$H$3:$H$232,$P155)</f>
        <v/>
      </c>
      <c r="O155">
        <f>INDEX('LIVE SOURCE'!$J$3:$J$232,$P155)</f>
        <v/>
      </c>
      <c r="P155" s="6">
        <f>MATCH($A155,'Draft Engine'!$Q$3:$Q$232,0)</f>
        <v/>
      </c>
    </row>
    <row r="156">
      <c r="A156">
        <f>154</f>
        <v/>
      </c>
      <c r="B156">
        <f>INDEX('Draft Engine'!$A$3:$A$232,$P156)</f>
        <v/>
      </c>
      <c r="C156">
        <f>INDEX('Draft Engine'!$F$3:$F$232,$P156)</f>
        <v/>
      </c>
      <c r="D156">
        <f>INDEX('Draft Engine'!$B$3:$B$232,$P156)</f>
        <v/>
      </c>
      <c r="E156" s="4">
        <f>INDEX('Draft Engine'!$E$3:$E$232,$P156)</f>
        <v/>
      </c>
      <c r="F156">
        <f>IF($E156&gt;=95,"ELITE",IF($E156&gt;=90,"TIER 1",IF($E156&gt;=85,"TIER 2",IF($E156&gt;=80,"TIER 3",IF($E156&gt;=75,"TIER 4",IF($E156&gt;=70,"TIER 5",IF($E156&gt;=65,"TIER 6","TIER 7")))))))</f>
        <v/>
      </c>
      <c r="G156" s="4">
        <f>INDEX('Draft Engine'!$G$3:$G$232,$P156)</f>
        <v/>
      </c>
      <c r="H156" s="4">
        <f>INDEX('Draft Engine'!$J$3:$J$232,$P156)</f>
        <v/>
      </c>
      <c r="I156" s="4">
        <f>INDEX('Draft Engine'!$N$3:$N$232,$P156)</f>
        <v/>
      </c>
      <c r="J156" s="4">
        <f>INDEX('Draft Engine'!$R$3:$R$232,$P156)</f>
        <v/>
      </c>
      <c r="K156" s="4">
        <f>INDEX('Draft Engine'!$S$3:$S$232,$P156)</f>
        <v/>
      </c>
      <c r="L156">
        <f>INDEX('Draft Engine'!$T$3:$T$232,$P156)</f>
        <v/>
      </c>
      <c r="M156">
        <f>INDEX('Draft Engine'!$X$3:$X$232,$P156)</f>
        <v/>
      </c>
      <c r="N156">
        <f>INDEX('LIVE SOURCE'!$H$3:$H$232,$P156)</f>
        <v/>
      </c>
      <c r="O156">
        <f>INDEX('LIVE SOURCE'!$J$3:$J$232,$P156)</f>
        <v/>
      </c>
      <c r="P156" s="6">
        <f>MATCH($A156,'Draft Engine'!$Q$3:$Q$232,0)</f>
        <v/>
      </c>
    </row>
    <row r="157">
      <c r="A157">
        <f>155</f>
        <v/>
      </c>
      <c r="B157">
        <f>INDEX('Draft Engine'!$A$3:$A$232,$P157)</f>
        <v/>
      </c>
      <c r="C157">
        <f>INDEX('Draft Engine'!$F$3:$F$232,$P157)</f>
        <v/>
      </c>
      <c r="D157">
        <f>INDEX('Draft Engine'!$B$3:$B$232,$P157)</f>
        <v/>
      </c>
      <c r="E157" s="4">
        <f>INDEX('Draft Engine'!$E$3:$E$232,$P157)</f>
        <v/>
      </c>
      <c r="F157">
        <f>IF($E157&gt;=95,"ELITE",IF($E157&gt;=90,"TIER 1",IF($E157&gt;=85,"TIER 2",IF($E157&gt;=80,"TIER 3",IF($E157&gt;=75,"TIER 4",IF($E157&gt;=70,"TIER 5",IF($E157&gt;=65,"TIER 6","TIER 7")))))))</f>
        <v/>
      </c>
      <c r="G157" s="4">
        <f>INDEX('Draft Engine'!$G$3:$G$232,$P157)</f>
        <v/>
      </c>
      <c r="H157" s="4">
        <f>INDEX('Draft Engine'!$J$3:$J$232,$P157)</f>
        <v/>
      </c>
      <c r="I157" s="4">
        <f>INDEX('Draft Engine'!$N$3:$N$232,$P157)</f>
        <v/>
      </c>
      <c r="J157" s="4">
        <f>INDEX('Draft Engine'!$R$3:$R$232,$P157)</f>
        <v/>
      </c>
      <c r="K157" s="4">
        <f>INDEX('Draft Engine'!$S$3:$S$232,$P157)</f>
        <v/>
      </c>
      <c r="L157">
        <f>INDEX('Draft Engine'!$T$3:$T$232,$P157)</f>
        <v/>
      </c>
      <c r="M157">
        <f>INDEX('Draft Engine'!$X$3:$X$232,$P157)</f>
        <v/>
      </c>
      <c r="N157">
        <f>INDEX('LIVE SOURCE'!$H$3:$H$232,$P157)</f>
        <v/>
      </c>
      <c r="O157">
        <f>INDEX('LIVE SOURCE'!$J$3:$J$232,$P157)</f>
        <v/>
      </c>
      <c r="P157" s="6">
        <f>MATCH($A157,'Draft Engine'!$Q$3:$Q$232,0)</f>
        <v/>
      </c>
    </row>
    <row r="158">
      <c r="A158">
        <f>156</f>
        <v/>
      </c>
      <c r="B158">
        <f>INDEX('Draft Engine'!$A$3:$A$232,$P158)</f>
        <v/>
      </c>
      <c r="C158">
        <f>INDEX('Draft Engine'!$F$3:$F$232,$P158)</f>
        <v/>
      </c>
      <c r="D158">
        <f>INDEX('Draft Engine'!$B$3:$B$232,$P158)</f>
        <v/>
      </c>
      <c r="E158" s="4">
        <f>INDEX('Draft Engine'!$E$3:$E$232,$P158)</f>
        <v/>
      </c>
      <c r="F158">
        <f>IF($E158&gt;=95,"ELITE",IF($E158&gt;=90,"TIER 1",IF($E158&gt;=85,"TIER 2",IF($E158&gt;=80,"TIER 3",IF($E158&gt;=75,"TIER 4",IF($E158&gt;=70,"TIER 5",IF($E158&gt;=65,"TIER 6","TIER 7")))))))</f>
        <v/>
      </c>
      <c r="G158" s="4">
        <f>INDEX('Draft Engine'!$G$3:$G$232,$P158)</f>
        <v/>
      </c>
      <c r="H158" s="4">
        <f>INDEX('Draft Engine'!$J$3:$J$232,$P158)</f>
        <v/>
      </c>
      <c r="I158" s="4">
        <f>INDEX('Draft Engine'!$N$3:$N$232,$P158)</f>
        <v/>
      </c>
      <c r="J158" s="4">
        <f>INDEX('Draft Engine'!$R$3:$R$232,$P158)</f>
        <v/>
      </c>
      <c r="K158" s="4">
        <f>INDEX('Draft Engine'!$S$3:$S$232,$P158)</f>
        <v/>
      </c>
      <c r="L158">
        <f>INDEX('Draft Engine'!$T$3:$T$232,$P158)</f>
        <v/>
      </c>
      <c r="M158">
        <f>INDEX('Draft Engine'!$X$3:$X$232,$P158)</f>
        <v/>
      </c>
      <c r="N158">
        <f>INDEX('LIVE SOURCE'!$H$3:$H$232,$P158)</f>
        <v/>
      </c>
      <c r="O158">
        <f>INDEX('LIVE SOURCE'!$J$3:$J$232,$P158)</f>
        <v/>
      </c>
      <c r="P158" s="6">
        <f>MATCH($A158,'Draft Engine'!$Q$3:$Q$232,0)</f>
        <v/>
      </c>
    </row>
    <row r="159">
      <c r="A159">
        <f>157</f>
        <v/>
      </c>
      <c r="B159">
        <f>INDEX('Draft Engine'!$A$3:$A$232,$P159)</f>
        <v/>
      </c>
      <c r="C159">
        <f>INDEX('Draft Engine'!$F$3:$F$232,$P159)</f>
        <v/>
      </c>
      <c r="D159">
        <f>INDEX('Draft Engine'!$B$3:$B$232,$P159)</f>
        <v/>
      </c>
      <c r="E159" s="4">
        <f>INDEX('Draft Engine'!$E$3:$E$232,$P159)</f>
        <v/>
      </c>
      <c r="F159">
        <f>IF($E159&gt;=95,"ELITE",IF($E159&gt;=90,"TIER 1",IF($E159&gt;=85,"TIER 2",IF($E159&gt;=80,"TIER 3",IF($E159&gt;=75,"TIER 4",IF($E159&gt;=70,"TIER 5",IF($E159&gt;=65,"TIER 6","TIER 7")))))))</f>
        <v/>
      </c>
      <c r="G159" s="4">
        <f>INDEX('Draft Engine'!$G$3:$G$232,$P159)</f>
        <v/>
      </c>
      <c r="H159" s="4">
        <f>INDEX('Draft Engine'!$J$3:$J$232,$P159)</f>
        <v/>
      </c>
      <c r="I159" s="4">
        <f>INDEX('Draft Engine'!$N$3:$N$232,$P159)</f>
        <v/>
      </c>
      <c r="J159" s="4">
        <f>INDEX('Draft Engine'!$R$3:$R$232,$P159)</f>
        <v/>
      </c>
      <c r="K159" s="4">
        <f>INDEX('Draft Engine'!$S$3:$S$232,$P159)</f>
        <v/>
      </c>
      <c r="L159">
        <f>INDEX('Draft Engine'!$T$3:$T$232,$P159)</f>
        <v/>
      </c>
      <c r="M159">
        <f>INDEX('Draft Engine'!$X$3:$X$232,$P159)</f>
        <v/>
      </c>
      <c r="N159">
        <f>INDEX('LIVE SOURCE'!$H$3:$H$232,$P159)</f>
        <v/>
      </c>
      <c r="O159">
        <f>INDEX('LIVE SOURCE'!$J$3:$J$232,$P159)</f>
        <v/>
      </c>
      <c r="P159" s="6">
        <f>MATCH($A159,'Draft Engine'!$Q$3:$Q$232,0)</f>
        <v/>
      </c>
    </row>
    <row r="160">
      <c r="A160">
        <f>158</f>
        <v/>
      </c>
      <c r="B160">
        <f>INDEX('Draft Engine'!$A$3:$A$232,$P160)</f>
        <v/>
      </c>
      <c r="C160">
        <f>INDEX('Draft Engine'!$F$3:$F$232,$P160)</f>
        <v/>
      </c>
      <c r="D160">
        <f>INDEX('Draft Engine'!$B$3:$B$232,$P160)</f>
        <v/>
      </c>
      <c r="E160" s="4">
        <f>INDEX('Draft Engine'!$E$3:$E$232,$P160)</f>
        <v/>
      </c>
      <c r="F160">
        <f>IF($E160&gt;=95,"ELITE",IF($E160&gt;=90,"TIER 1",IF($E160&gt;=85,"TIER 2",IF($E160&gt;=80,"TIER 3",IF($E160&gt;=75,"TIER 4",IF($E160&gt;=70,"TIER 5",IF($E160&gt;=65,"TIER 6","TIER 7")))))))</f>
        <v/>
      </c>
      <c r="G160" s="4">
        <f>INDEX('Draft Engine'!$G$3:$G$232,$P160)</f>
        <v/>
      </c>
      <c r="H160" s="4">
        <f>INDEX('Draft Engine'!$J$3:$J$232,$P160)</f>
        <v/>
      </c>
      <c r="I160" s="4">
        <f>INDEX('Draft Engine'!$N$3:$N$232,$P160)</f>
        <v/>
      </c>
      <c r="J160" s="4">
        <f>INDEX('Draft Engine'!$R$3:$R$232,$P160)</f>
        <v/>
      </c>
      <c r="K160" s="4">
        <f>INDEX('Draft Engine'!$S$3:$S$232,$P160)</f>
        <v/>
      </c>
      <c r="L160">
        <f>INDEX('Draft Engine'!$T$3:$T$232,$P160)</f>
        <v/>
      </c>
      <c r="M160">
        <f>INDEX('Draft Engine'!$X$3:$X$232,$P160)</f>
        <v/>
      </c>
      <c r="N160">
        <f>INDEX('LIVE SOURCE'!$H$3:$H$232,$P160)</f>
        <v/>
      </c>
      <c r="O160">
        <f>INDEX('LIVE SOURCE'!$J$3:$J$232,$P160)</f>
        <v/>
      </c>
      <c r="P160" s="6">
        <f>MATCH($A160,'Draft Engine'!$Q$3:$Q$232,0)</f>
        <v/>
      </c>
    </row>
    <row r="161">
      <c r="A161">
        <f>159</f>
        <v/>
      </c>
      <c r="B161">
        <f>INDEX('Draft Engine'!$A$3:$A$232,$P161)</f>
        <v/>
      </c>
      <c r="C161">
        <f>INDEX('Draft Engine'!$F$3:$F$232,$P161)</f>
        <v/>
      </c>
      <c r="D161">
        <f>INDEX('Draft Engine'!$B$3:$B$232,$P161)</f>
        <v/>
      </c>
      <c r="E161" s="4">
        <f>INDEX('Draft Engine'!$E$3:$E$232,$P161)</f>
        <v/>
      </c>
      <c r="F161">
        <f>IF($E161&gt;=95,"ELITE",IF($E161&gt;=90,"TIER 1",IF($E161&gt;=85,"TIER 2",IF($E161&gt;=80,"TIER 3",IF($E161&gt;=75,"TIER 4",IF($E161&gt;=70,"TIER 5",IF($E161&gt;=65,"TIER 6","TIER 7")))))))</f>
        <v/>
      </c>
      <c r="G161" s="4">
        <f>INDEX('Draft Engine'!$G$3:$G$232,$P161)</f>
        <v/>
      </c>
      <c r="H161" s="4">
        <f>INDEX('Draft Engine'!$J$3:$J$232,$P161)</f>
        <v/>
      </c>
      <c r="I161" s="4">
        <f>INDEX('Draft Engine'!$N$3:$N$232,$P161)</f>
        <v/>
      </c>
      <c r="J161" s="4">
        <f>INDEX('Draft Engine'!$R$3:$R$232,$P161)</f>
        <v/>
      </c>
      <c r="K161" s="4">
        <f>INDEX('Draft Engine'!$S$3:$S$232,$P161)</f>
        <v/>
      </c>
      <c r="L161">
        <f>INDEX('Draft Engine'!$T$3:$T$232,$P161)</f>
        <v/>
      </c>
      <c r="M161">
        <f>INDEX('Draft Engine'!$X$3:$X$232,$P161)</f>
        <v/>
      </c>
      <c r="N161">
        <f>INDEX('LIVE SOURCE'!$H$3:$H$232,$P161)</f>
        <v/>
      </c>
      <c r="O161">
        <f>INDEX('LIVE SOURCE'!$J$3:$J$232,$P161)</f>
        <v/>
      </c>
      <c r="P161" s="6">
        <f>MATCH($A161,'Draft Engine'!$Q$3:$Q$232,0)</f>
        <v/>
      </c>
    </row>
    <row r="162">
      <c r="A162">
        <f>160</f>
        <v/>
      </c>
      <c r="B162">
        <f>INDEX('Draft Engine'!$A$3:$A$232,$P162)</f>
        <v/>
      </c>
      <c r="C162">
        <f>INDEX('Draft Engine'!$F$3:$F$232,$P162)</f>
        <v/>
      </c>
      <c r="D162">
        <f>INDEX('Draft Engine'!$B$3:$B$232,$P162)</f>
        <v/>
      </c>
      <c r="E162" s="4">
        <f>INDEX('Draft Engine'!$E$3:$E$232,$P162)</f>
        <v/>
      </c>
      <c r="F162">
        <f>IF($E162&gt;=95,"ELITE",IF($E162&gt;=90,"TIER 1",IF($E162&gt;=85,"TIER 2",IF($E162&gt;=80,"TIER 3",IF($E162&gt;=75,"TIER 4",IF($E162&gt;=70,"TIER 5",IF($E162&gt;=65,"TIER 6","TIER 7")))))))</f>
        <v/>
      </c>
      <c r="G162" s="4">
        <f>INDEX('Draft Engine'!$G$3:$G$232,$P162)</f>
        <v/>
      </c>
      <c r="H162" s="4">
        <f>INDEX('Draft Engine'!$J$3:$J$232,$P162)</f>
        <v/>
      </c>
      <c r="I162" s="4">
        <f>INDEX('Draft Engine'!$N$3:$N$232,$P162)</f>
        <v/>
      </c>
      <c r="J162" s="4">
        <f>INDEX('Draft Engine'!$R$3:$R$232,$P162)</f>
        <v/>
      </c>
      <c r="K162" s="4">
        <f>INDEX('Draft Engine'!$S$3:$S$232,$P162)</f>
        <v/>
      </c>
      <c r="L162">
        <f>INDEX('Draft Engine'!$T$3:$T$232,$P162)</f>
        <v/>
      </c>
      <c r="M162">
        <f>INDEX('Draft Engine'!$X$3:$X$232,$P162)</f>
        <v/>
      </c>
      <c r="N162">
        <f>INDEX('LIVE SOURCE'!$H$3:$H$232,$P162)</f>
        <v/>
      </c>
      <c r="O162">
        <f>INDEX('LIVE SOURCE'!$J$3:$J$232,$P162)</f>
        <v/>
      </c>
      <c r="P162" s="6">
        <f>MATCH($A162,'Draft Engine'!$Q$3:$Q$232,0)</f>
        <v/>
      </c>
    </row>
    <row r="163">
      <c r="A163">
        <f>161</f>
        <v/>
      </c>
      <c r="B163">
        <f>INDEX('Draft Engine'!$A$3:$A$232,$P163)</f>
        <v/>
      </c>
      <c r="C163">
        <f>INDEX('Draft Engine'!$F$3:$F$232,$P163)</f>
        <v/>
      </c>
      <c r="D163">
        <f>INDEX('Draft Engine'!$B$3:$B$232,$P163)</f>
        <v/>
      </c>
      <c r="E163" s="4">
        <f>INDEX('Draft Engine'!$E$3:$E$232,$P163)</f>
        <v/>
      </c>
      <c r="F163">
        <f>IF($E163&gt;=95,"ELITE",IF($E163&gt;=90,"TIER 1",IF($E163&gt;=85,"TIER 2",IF($E163&gt;=80,"TIER 3",IF($E163&gt;=75,"TIER 4",IF($E163&gt;=70,"TIER 5",IF($E163&gt;=65,"TIER 6","TIER 7")))))))</f>
        <v/>
      </c>
      <c r="G163" s="4">
        <f>INDEX('Draft Engine'!$G$3:$G$232,$P163)</f>
        <v/>
      </c>
      <c r="H163" s="4">
        <f>INDEX('Draft Engine'!$J$3:$J$232,$P163)</f>
        <v/>
      </c>
      <c r="I163" s="4">
        <f>INDEX('Draft Engine'!$N$3:$N$232,$P163)</f>
        <v/>
      </c>
      <c r="J163" s="4">
        <f>INDEX('Draft Engine'!$R$3:$R$232,$P163)</f>
        <v/>
      </c>
      <c r="K163" s="4">
        <f>INDEX('Draft Engine'!$S$3:$S$232,$P163)</f>
        <v/>
      </c>
      <c r="L163">
        <f>INDEX('Draft Engine'!$T$3:$T$232,$P163)</f>
        <v/>
      </c>
      <c r="M163">
        <f>INDEX('Draft Engine'!$X$3:$X$232,$P163)</f>
        <v/>
      </c>
      <c r="N163">
        <f>INDEX('LIVE SOURCE'!$H$3:$H$232,$P163)</f>
        <v/>
      </c>
      <c r="O163">
        <f>INDEX('LIVE SOURCE'!$J$3:$J$232,$P163)</f>
        <v/>
      </c>
      <c r="P163" s="6">
        <f>MATCH($A163,'Draft Engine'!$Q$3:$Q$232,0)</f>
        <v/>
      </c>
    </row>
    <row r="164">
      <c r="A164">
        <f>162</f>
        <v/>
      </c>
      <c r="B164">
        <f>INDEX('Draft Engine'!$A$3:$A$232,$P164)</f>
        <v/>
      </c>
      <c r="C164">
        <f>INDEX('Draft Engine'!$F$3:$F$232,$P164)</f>
        <v/>
      </c>
      <c r="D164">
        <f>INDEX('Draft Engine'!$B$3:$B$232,$P164)</f>
        <v/>
      </c>
      <c r="E164" s="4">
        <f>INDEX('Draft Engine'!$E$3:$E$232,$P164)</f>
        <v/>
      </c>
      <c r="F164">
        <f>IF($E164&gt;=95,"ELITE",IF($E164&gt;=90,"TIER 1",IF($E164&gt;=85,"TIER 2",IF($E164&gt;=80,"TIER 3",IF($E164&gt;=75,"TIER 4",IF($E164&gt;=70,"TIER 5",IF($E164&gt;=65,"TIER 6","TIER 7")))))))</f>
        <v/>
      </c>
      <c r="G164" s="4">
        <f>INDEX('Draft Engine'!$G$3:$G$232,$P164)</f>
        <v/>
      </c>
      <c r="H164" s="4">
        <f>INDEX('Draft Engine'!$J$3:$J$232,$P164)</f>
        <v/>
      </c>
      <c r="I164" s="4">
        <f>INDEX('Draft Engine'!$N$3:$N$232,$P164)</f>
        <v/>
      </c>
      <c r="J164" s="4">
        <f>INDEX('Draft Engine'!$R$3:$R$232,$P164)</f>
        <v/>
      </c>
      <c r="K164" s="4">
        <f>INDEX('Draft Engine'!$S$3:$S$232,$P164)</f>
        <v/>
      </c>
      <c r="L164">
        <f>INDEX('Draft Engine'!$T$3:$T$232,$P164)</f>
        <v/>
      </c>
      <c r="M164">
        <f>INDEX('Draft Engine'!$X$3:$X$232,$P164)</f>
        <v/>
      </c>
      <c r="N164">
        <f>INDEX('LIVE SOURCE'!$H$3:$H$232,$P164)</f>
        <v/>
      </c>
      <c r="O164">
        <f>INDEX('LIVE SOURCE'!$J$3:$J$232,$P164)</f>
        <v/>
      </c>
      <c r="P164" s="6">
        <f>MATCH($A164,'Draft Engine'!$Q$3:$Q$232,0)</f>
        <v/>
      </c>
    </row>
    <row r="165">
      <c r="A165">
        <f>163</f>
        <v/>
      </c>
      <c r="B165">
        <f>INDEX('Draft Engine'!$A$3:$A$232,$P165)</f>
        <v/>
      </c>
      <c r="C165">
        <f>INDEX('Draft Engine'!$F$3:$F$232,$P165)</f>
        <v/>
      </c>
      <c r="D165">
        <f>INDEX('Draft Engine'!$B$3:$B$232,$P165)</f>
        <v/>
      </c>
      <c r="E165" s="4">
        <f>INDEX('Draft Engine'!$E$3:$E$232,$P165)</f>
        <v/>
      </c>
      <c r="F165">
        <f>IF($E165&gt;=95,"ELITE",IF($E165&gt;=90,"TIER 1",IF($E165&gt;=85,"TIER 2",IF($E165&gt;=80,"TIER 3",IF($E165&gt;=75,"TIER 4",IF($E165&gt;=70,"TIER 5",IF($E165&gt;=65,"TIER 6","TIER 7")))))))</f>
        <v/>
      </c>
      <c r="G165" s="4">
        <f>INDEX('Draft Engine'!$G$3:$G$232,$P165)</f>
        <v/>
      </c>
      <c r="H165" s="4">
        <f>INDEX('Draft Engine'!$J$3:$J$232,$P165)</f>
        <v/>
      </c>
      <c r="I165" s="4">
        <f>INDEX('Draft Engine'!$N$3:$N$232,$P165)</f>
        <v/>
      </c>
      <c r="J165" s="4">
        <f>INDEX('Draft Engine'!$R$3:$R$232,$P165)</f>
        <v/>
      </c>
      <c r="K165" s="4">
        <f>INDEX('Draft Engine'!$S$3:$S$232,$P165)</f>
        <v/>
      </c>
      <c r="L165">
        <f>INDEX('Draft Engine'!$T$3:$T$232,$P165)</f>
        <v/>
      </c>
      <c r="M165">
        <f>INDEX('Draft Engine'!$X$3:$X$232,$P165)</f>
        <v/>
      </c>
      <c r="N165">
        <f>INDEX('LIVE SOURCE'!$H$3:$H$232,$P165)</f>
        <v/>
      </c>
      <c r="O165">
        <f>INDEX('LIVE SOURCE'!$J$3:$J$232,$P165)</f>
        <v/>
      </c>
      <c r="P165" s="6">
        <f>MATCH($A165,'Draft Engine'!$Q$3:$Q$232,0)</f>
        <v/>
      </c>
    </row>
    <row r="166">
      <c r="A166">
        <f>164</f>
        <v/>
      </c>
      <c r="B166">
        <f>INDEX('Draft Engine'!$A$3:$A$232,$P166)</f>
        <v/>
      </c>
      <c r="C166">
        <f>INDEX('Draft Engine'!$F$3:$F$232,$P166)</f>
        <v/>
      </c>
      <c r="D166">
        <f>INDEX('Draft Engine'!$B$3:$B$232,$P166)</f>
        <v/>
      </c>
      <c r="E166" s="4">
        <f>INDEX('Draft Engine'!$E$3:$E$232,$P166)</f>
        <v/>
      </c>
      <c r="F166">
        <f>IF($E166&gt;=95,"ELITE",IF($E166&gt;=90,"TIER 1",IF($E166&gt;=85,"TIER 2",IF($E166&gt;=80,"TIER 3",IF($E166&gt;=75,"TIER 4",IF($E166&gt;=70,"TIER 5",IF($E166&gt;=65,"TIER 6","TIER 7")))))))</f>
        <v/>
      </c>
      <c r="G166" s="4">
        <f>INDEX('Draft Engine'!$G$3:$G$232,$P166)</f>
        <v/>
      </c>
      <c r="H166" s="4">
        <f>INDEX('Draft Engine'!$J$3:$J$232,$P166)</f>
        <v/>
      </c>
      <c r="I166" s="4">
        <f>INDEX('Draft Engine'!$N$3:$N$232,$P166)</f>
        <v/>
      </c>
      <c r="J166" s="4">
        <f>INDEX('Draft Engine'!$R$3:$R$232,$P166)</f>
        <v/>
      </c>
      <c r="K166" s="4">
        <f>INDEX('Draft Engine'!$S$3:$S$232,$P166)</f>
        <v/>
      </c>
      <c r="L166">
        <f>INDEX('Draft Engine'!$T$3:$T$232,$P166)</f>
        <v/>
      </c>
      <c r="M166">
        <f>INDEX('Draft Engine'!$X$3:$X$232,$P166)</f>
        <v/>
      </c>
      <c r="N166">
        <f>INDEX('LIVE SOURCE'!$H$3:$H$232,$P166)</f>
        <v/>
      </c>
      <c r="O166">
        <f>INDEX('LIVE SOURCE'!$J$3:$J$232,$P166)</f>
        <v/>
      </c>
      <c r="P166" s="6">
        <f>MATCH($A166,'Draft Engine'!$Q$3:$Q$232,0)</f>
        <v/>
      </c>
    </row>
    <row r="167">
      <c r="A167">
        <f>165</f>
        <v/>
      </c>
      <c r="B167">
        <f>INDEX('Draft Engine'!$A$3:$A$232,$P167)</f>
        <v/>
      </c>
      <c r="C167">
        <f>INDEX('Draft Engine'!$F$3:$F$232,$P167)</f>
        <v/>
      </c>
      <c r="D167">
        <f>INDEX('Draft Engine'!$B$3:$B$232,$P167)</f>
        <v/>
      </c>
      <c r="E167" s="4">
        <f>INDEX('Draft Engine'!$E$3:$E$232,$P167)</f>
        <v/>
      </c>
      <c r="F167">
        <f>IF($E167&gt;=95,"ELITE",IF($E167&gt;=90,"TIER 1",IF($E167&gt;=85,"TIER 2",IF($E167&gt;=80,"TIER 3",IF($E167&gt;=75,"TIER 4",IF($E167&gt;=70,"TIER 5",IF($E167&gt;=65,"TIER 6","TIER 7")))))))</f>
        <v/>
      </c>
      <c r="G167" s="4">
        <f>INDEX('Draft Engine'!$G$3:$G$232,$P167)</f>
        <v/>
      </c>
      <c r="H167" s="4">
        <f>INDEX('Draft Engine'!$J$3:$J$232,$P167)</f>
        <v/>
      </c>
      <c r="I167" s="4">
        <f>INDEX('Draft Engine'!$N$3:$N$232,$P167)</f>
        <v/>
      </c>
      <c r="J167" s="4">
        <f>INDEX('Draft Engine'!$R$3:$R$232,$P167)</f>
        <v/>
      </c>
      <c r="K167" s="4">
        <f>INDEX('Draft Engine'!$S$3:$S$232,$P167)</f>
        <v/>
      </c>
      <c r="L167">
        <f>INDEX('Draft Engine'!$T$3:$T$232,$P167)</f>
        <v/>
      </c>
      <c r="M167">
        <f>INDEX('Draft Engine'!$X$3:$X$232,$P167)</f>
        <v/>
      </c>
      <c r="N167">
        <f>INDEX('LIVE SOURCE'!$H$3:$H$232,$P167)</f>
        <v/>
      </c>
      <c r="O167">
        <f>INDEX('LIVE SOURCE'!$J$3:$J$232,$P167)</f>
        <v/>
      </c>
      <c r="P167" s="6">
        <f>MATCH($A167,'Draft Engine'!$Q$3:$Q$232,0)</f>
        <v/>
      </c>
    </row>
    <row r="168">
      <c r="A168">
        <f>166</f>
        <v/>
      </c>
      <c r="B168">
        <f>INDEX('Draft Engine'!$A$3:$A$232,$P168)</f>
        <v/>
      </c>
      <c r="C168">
        <f>INDEX('Draft Engine'!$F$3:$F$232,$P168)</f>
        <v/>
      </c>
      <c r="D168">
        <f>INDEX('Draft Engine'!$B$3:$B$232,$P168)</f>
        <v/>
      </c>
      <c r="E168" s="4">
        <f>INDEX('Draft Engine'!$E$3:$E$232,$P168)</f>
        <v/>
      </c>
      <c r="F168">
        <f>IF($E168&gt;=95,"ELITE",IF($E168&gt;=90,"TIER 1",IF($E168&gt;=85,"TIER 2",IF($E168&gt;=80,"TIER 3",IF($E168&gt;=75,"TIER 4",IF($E168&gt;=70,"TIER 5",IF($E168&gt;=65,"TIER 6","TIER 7")))))))</f>
        <v/>
      </c>
      <c r="G168" s="4">
        <f>INDEX('Draft Engine'!$G$3:$G$232,$P168)</f>
        <v/>
      </c>
      <c r="H168" s="4">
        <f>INDEX('Draft Engine'!$J$3:$J$232,$P168)</f>
        <v/>
      </c>
      <c r="I168" s="4">
        <f>INDEX('Draft Engine'!$N$3:$N$232,$P168)</f>
        <v/>
      </c>
      <c r="J168" s="4">
        <f>INDEX('Draft Engine'!$R$3:$R$232,$P168)</f>
        <v/>
      </c>
      <c r="K168" s="4">
        <f>INDEX('Draft Engine'!$S$3:$S$232,$P168)</f>
        <v/>
      </c>
      <c r="L168">
        <f>INDEX('Draft Engine'!$T$3:$T$232,$P168)</f>
        <v/>
      </c>
      <c r="M168">
        <f>INDEX('Draft Engine'!$X$3:$X$232,$P168)</f>
        <v/>
      </c>
      <c r="N168">
        <f>INDEX('LIVE SOURCE'!$H$3:$H$232,$P168)</f>
        <v/>
      </c>
      <c r="O168">
        <f>INDEX('LIVE SOURCE'!$J$3:$J$232,$P168)</f>
        <v/>
      </c>
      <c r="P168" s="6">
        <f>MATCH($A168,'Draft Engine'!$Q$3:$Q$232,0)</f>
        <v/>
      </c>
    </row>
    <row r="169">
      <c r="A169">
        <f>167</f>
        <v/>
      </c>
      <c r="B169">
        <f>INDEX('Draft Engine'!$A$3:$A$232,$P169)</f>
        <v/>
      </c>
      <c r="C169">
        <f>INDEX('Draft Engine'!$F$3:$F$232,$P169)</f>
        <v/>
      </c>
      <c r="D169">
        <f>INDEX('Draft Engine'!$B$3:$B$232,$P169)</f>
        <v/>
      </c>
      <c r="E169" s="4">
        <f>INDEX('Draft Engine'!$E$3:$E$232,$P169)</f>
        <v/>
      </c>
      <c r="F169">
        <f>IF($E169&gt;=95,"ELITE",IF($E169&gt;=90,"TIER 1",IF($E169&gt;=85,"TIER 2",IF($E169&gt;=80,"TIER 3",IF($E169&gt;=75,"TIER 4",IF($E169&gt;=70,"TIER 5",IF($E169&gt;=65,"TIER 6","TIER 7")))))))</f>
        <v/>
      </c>
      <c r="G169" s="4">
        <f>INDEX('Draft Engine'!$G$3:$G$232,$P169)</f>
        <v/>
      </c>
      <c r="H169" s="4">
        <f>INDEX('Draft Engine'!$J$3:$J$232,$P169)</f>
        <v/>
      </c>
      <c r="I169" s="4">
        <f>INDEX('Draft Engine'!$N$3:$N$232,$P169)</f>
        <v/>
      </c>
      <c r="J169" s="4">
        <f>INDEX('Draft Engine'!$R$3:$R$232,$P169)</f>
        <v/>
      </c>
      <c r="K169" s="4">
        <f>INDEX('Draft Engine'!$S$3:$S$232,$P169)</f>
        <v/>
      </c>
      <c r="L169">
        <f>INDEX('Draft Engine'!$T$3:$T$232,$P169)</f>
        <v/>
      </c>
      <c r="M169">
        <f>INDEX('Draft Engine'!$X$3:$X$232,$P169)</f>
        <v/>
      </c>
      <c r="N169">
        <f>INDEX('LIVE SOURCE'!$H$3:$H$232,$P169)</f>
        <v/>
      </c>
      <c r="O169">
        <f>INDEX('LIVE SOURCE'!$J$3:$J$232,$P169)</f>
        <v/>
      </c>
      <c r="P169" s="6">
        <f>MATCH($A169,'Draft Engine'!$Q$3:$Q$232,0)</f>
        <v/>
      </c>
    </row>
    <row r="170">
      <c r="A170">
        <f>168</f>
        <v/>
      </c>
      <c r="B170">
        <f>INDEX('Draft Engine'!$A$3:$A$232,$P170)</f>
        <v/>
      </c>
      <c r="C170">
        <f>INDEX('Draft Engine'!$F$3:$F$232,$P170)</f>
        <v/>
      </c>
      <c r="D170">
        <f>INDEX('Draft Engine'!$B$3:$B$232,$P170)</f>
        <v/>
      </c>
      <c r="E170" s="4">
        <f>INDEX('Draft Engine'!$E$3:$E$232,$P170)</f>
        <v/>
      </c>
      <c r="F170">
        <f>IF($E170&gt;=95,"ELITE",IF($E170&gt;=90,"TIER 1",IF($E170&gt;=85,"TIER 2",IF($E170&gt;=80,"TIER 3",IF($E170&gt;=75,"TIER 4",IF($E170&gt;=70,"TIER 5",IF($E170&gt;=65,"TIER 6","TIER 7")))))))</f>
        <v/>
      </c>
      <c r="G170" s="4">
        <f>INDEX('Draft Engine'!$G$3:$G$232,$P170)</f>
        <v/>
      </c>
      <c r="H170" s="4">
        <f>INDEX('Draft Engine'!$J$3:$J$232,$P170)</f>
        <v/>
      </c>
      <c r="I170" s="4">
        <f>INDEX('Draft Engine'!$N$3:$N$232,$P170)</f>
        <v/>
      </c>
      <c r="J170" s="4">
        <f>INDEX('Draft Engine'!$R$3:$R$232,$P170)</f>
        <v/>
      </c>
      <c r="K170" s="4">
        <f>INDEX('Draft Engine'!$S$3:$S$232,$P170)</f>
        <v/>
      </c>
      <c r="L170">
        <f>INDEX('Draft Engine'!$T$3:$T$232,$P170)</f>
        <v/>
      </c>
      <c r="M170">
        <f>INDEX('Draft Engine'!$X$3:$X$232,$P170)</f>
        <v/>
      </c>
      <c r="N170">
        <f>INDEX('LIVE SOURCE'!$H$3:$H$232,$P170)</f>
        <v/>
      </c>
      <c r="O170">
        <f>INDEX('LIVE SOURCE'!$J$3:$J$232,$P170)</f>
        <v/>
      </c>
      <c r="P170" s="6">
        <f>MATCH($A170,'Draft Engine'!$Q$3:$Q$232,0)</f>
        <v/>
      </c>
    </row>
    <row r="171">
      <c r="A171">
        <f>169</f>
        <v/>
      </c>
      <c r="B171">
        <f>INDEX('Draft Engine'!$A$3:$A$232,$P171)</f>
        <v/>
      </c>
      <c r="C171">
        <f>INDEX('Draft Engine'!$F$3:$F$232,$P171)</f>
        <v/>
      </c>
      <c r="D171">
        <f>INDEX('Draft Engine'!$B$3:$B$232,$P171)</f>
        <v/>
      </c>
      <c r="E171" s="4">
        <f>INDEX('Draft Engine'!$E$3:$E$232,$P171)</f>
        <v/>
      </c>
      <c r="F171">
        <f>IF($E171&gt;=95,"ELITE",IF($E171&gt;=90,"TIER 1",IF($E171&gt;=85,"TIER 2",IF($E171&gt;=80,"TIER 3",IF($E171&gt;=75,"TIER 4",IF($E171&gt;=70,"TIER 5",IF($E171&gt;=65,"TIER 6","TIER 7")))))))</f>
        <v/>
      </c>
      <c r="G171" s="4">
        <f>INDEX('Draft Engine'!$G$3:$G$232,$P171)</f>
        <v/>
      </c>
      <c r="H171" s="4">
        <f>INDEX('Draft Engine'!$J$3:$J$232,$P171)</f>
        <v/>
      </c>
      <c r="I171" s="4">
        <f>INDEX('Draft Engine'!$N$3:$N$232,$P171)</f>
        <v/>
      </c>
      <c r="J171" s="4">
        <f>INDEX('Draft Engine'!$R$3:$R$232,$P171)</f>
        <v/>
      </c>
      <c r="K171" s="4">
        <f>INDEX('Draft Engine'!$S$3:$S$232,$P171)</f>
        <v/>
      </c>
      <c r="L171">
        <f>INDEX('Draft Engine'!$T$3:$T$232,$P171)</f>
        <v/>
      </c>
      <c r="M171">
        <f>INDEX('Draft Engine'!$X$3:$X$232,$P171)</f>
        <v/>
      </c>
      <c r="N171">
        <f>INDEX('LIVE SOURCE'!$H$3:$H$232,$P171)</f>
        <v/>
      </c>
      <c r="O171">
        <f>INDEX('LIVE SOURCE'!$J$3:$J$232,$P171)</f>
        <v/>
      </c>
      <c r="P171" s="6">
        <f>MATCH($A171,'Draft Engine'!$Q$3:$Q$232,0)</f>
        <v/>
      </c>
    </row>
    <row r="172">
      <c r="A172">
        <f>170</f>
        <v/>
      </c>
      <c r="B172">
        <f>INDEX('Draft Engine'!$A$3:$A$232,$P172)</f>
        <v/>
      </c>
      <c r="C172">
        <f>INDEX('Draft Engine'!$F$3:$F$232,$P172)</f>
        <v/>
      </c>
      <c r="D172">
        <f>INDEX('Draft Engine'!$B$3:$B$232,$P172)</f>
        <v/>
      </c>
      <c r="E172" s="4">
        <f>INDEX('Draft Engine'!$E$3:$E$232,$P172)</f>
        <v/>
      </c>
      <c r="F172">
        <f>IF($E172&gt;=95,"ELITE",IF($E172&gt;=90,"TIER 1",IF($E172&gt;=85,"TIER 2",IF($E172&gt;=80,"TIER 3",IF($E172&gt;=75,"TIER 4",IF($E172&gt;=70,"TIER 5",IF($E172&gt;=65,"TIER 6","TIER 7")))))))</f>
        <v/>
      </c>
      <c r="G172" s="4">
        <f>INDEX('Draft Engine'!$G$3:$G$232,$P172)</f>
        <v/>
      </c>
      <c r="H172" s="4">
        <f>INDEX('Draft Engine'!$J$3:$J$232,$P172)</f>
        <v/>
      </c>
      <c r="I172" s="4">
        <f>INDEX('Draft Engine'!$N$3:$N$232,$P172)</f>
        <v/>
      </c>
      <c r="J172" s="4">
        <f>INDEX('Draft Engine'!$R$3:$R$232,$P172)</f>
        <v/>
      </c>
      <c r="K172" s="4">
        <f>INDEX('Draft Engine'!$S$3:$S$232,$P172)</f>
        <v/>
      </c>
      <c r="L172">
        <f>INDEX('Draft Engine'!$T$3:$T$232,$P172)</f>
        <v/>
      </c>
      <c r="M172">
        <f>INDEX('Draft Engine'!$X$3:$X$232,$P172)</f>
        <v/>
      </c>
      <c r="N172">
        <f>INDEX('LIVE SOURCE'!$H$3:$H$232,$P172)</f>
        <v/>
      </c>
      <c r="O172">
        <f>INDEX('LIVE SOURCE'!$J$3:$J$232,$P172)</f>
        <v/>
      </c>
      <c r="P172" s="6">
        <f>MATCH($A172,'Draft Engine'!$Q$3:$Q$232,0)</f>
        <v/>
      </c>
    </row>
    <row r="173">
      <c r="A173">
        <f>171</f>
        <v/>
      </c>
      <c r="B173">
        <f>INDEX('Draft Engine'!$A$3:$A$232,$P173)</f>
        <v/>
      </c>
      <c r="C173">
        <f>INDEX('Draft Engine'!$F$3:$F$232,$P173)</f>
        <v/>
      </c>
      <c r="D173">
        <f>INDEX('Draft Engine'!$B$3:$B$232,$P173)</f>
        <v/>
      </c>
      <c r="E173" s="4">
        <f>INDEX('Draft Engine'!$E$3:$E$232,$P173)</f>
        <v/>
      </c>
      <c r="F173">
        <f>IF($E173&gt;=95,"ELITE",IF($E173&gt;=90,"TIER 1",IF($E173&gt;=85,"TIER 2",IF($E173&gt;=80,"TIER 3",IF($E173&gt;=75,"TIER 4",IF($E173&gt;=70,"TIER 5",IF($E173&gt;=65,"TIER 6","TIER 7")))))))</f>
        <v/>
      </c>
      <c r="G173" s="4">
        <f>INDEX('Draft Engine'!$G$3:$G$232,$P173)</f>
        <v/>
      </c>
      <c r="H173" s="4">
        <f>INDEX('Draft Engine'!$J$3:$J$232,$P173)</f>
        <v/>
      </c>
      <c r="I173" s="4">
        <f>INDEX('Draft Engine'!$N$3:$N$232,$P173)</f>
        <v/>
      </c>
      <c r="J173" s="4">
        <f>INDEX('Draft Engine'!$R$3:$R$232,$P173)</f>
        <v/>
      </c>
      <c r="K173" s="4">
        <f>INDEX('Draft Engine'!$S$3:$S$232,$P173)</f>
        <v/>
      </c>
      <c r="L173">
        <f>INDEX('Draft Engine'!$T$3:$T$232,$P173)</f>
        <v/>
      </c>
      <c r="M173">
        <f>INDEX('Draft Engine'!$X$3:$X$232,$P173)</f>
        <v/>
      </c>
      <c r="N173">
        <f>INDEX('LIVE SOURCE'!$H$3:$H$232,$P173)</f>
        <v/>
      </c>
      <c r="O173">
        <f>INDEX('LIVE SOURCE'!$J$3:$J$232,$P173)</f>
        <v/>
      </c>
      <c r="P173" s="6">
        <f>MATCH($A173,'Draft Engine'!$Q$3:$Q$232,0)</f>
        <v/>
      </c>
    </row>
    <row r="174">
      <c r="A174">
        <f>172</f>
        <v/>
      </c>
      <c r="B174">
        <f>INDEX('Draft Engine'!$A$3:$A$232,$P174)</f>
        <v/>
      </c>
      <c r="C174">
        <f>INDEX('Draft Engine'!$F$3:$F$232,$P174)</f>
        <v/>
      </c>
      <c r="D174">
        <f>INDEX('Draft Engine'!$B$3:$B$232,$P174)</f>
        <v/>
      </c>
      <c r="E174" s="4">
        <f>INDEX('Draft Engine'!$E$3:$E$232,$P174)</f>
        <v/>
      </c>
      <c r="F174">
        <f>IF($E174&gt;=95,"ELITE",IF($E174&gt;=90,"TIER 1",IF($E174&gt;=85,"TIER 2",IF($E174&gt;=80,"TIER 3",IF($E174&gt;=75,"TIER 4",IF($E174&gt;=70,"TIER 5",IF($E174&gt;=65,"TIER 6","TIER 7")))))))</f>
        <v/>
      </c>
      <c r="G174" s="4">
        <f>INDEX('Draft Engine'!$G$3:$G$232,$P174)</f>
        <v/>
      </c>
      <c r="H174" s="4">
        <f>INDEX('Draft Engine'!$J$3:$J$232,$P174)</f>
        <v/>
      </c>
      <c r="I174" s="4">
        <f>INDEX('Draft Engine'!$N$3:$N$232,$P174)</f>
        <v/>
      </c>
      <c r="J174" s="4">
        <f>INDEX('Draft Engine'!$R$3:$R$232,$P174)</f>
        <v/>
      </c>
      <c r="K174" s="4">
        <f>INDEX('Draft Engine'!$S$3:$S$232,$P174)</f>
        <v/>
      </c>
      <c r="L174">
        <f>INDEX('Draft Engine'!$T$3:$T$232,$P174)</f>
        <v/>
      </c>
      <c r="M174">
        <f>INDEX('Draft Engine'!$X$3:$X$232,$P174)</f>
        <v/>
      </c>
      <c r="N174">
        <f>INDEX('LIVE SOURCE'!$H$3:$H$232,$P174)</f>
        <v/>
      </c>
      <c r="O174">
        <f>INDEX('LIVE SOURCE'!$J$3:$J$232,$P174)</f>
        <v/>
      </c>
      <c r="P174" s="6">
        <f>MATCH($A174,'Draft Engine'!$Q$3:$Q$232,0)</f>
        <v/>
      </c>
    </row>
    <row r="175">
      <c r="A175">
        <f>173</f>
        <v/>
      </c>
      <c r="B175">
        <f>INDEX('Draft Engine'!$A$3:$A$232,$P175)</f>
        <v/>
      </c>
      <c r="C175">
        <f>INDEX('Draft Engine'!$F$3:$F$232,$P175)</f>
        <v/>
      </c>
      <c r="D175">
        <f>INDEX('Draft Engine'!$B$3:$B$232,$P175)</f>
        <v/>
      </c>
      <c r="E175" s="4">
        <f>INDEX('Draft Engine'!$E$3:$E$232,$P175)</f>
        <v/>
      </c>
      <c r="F175">
        <f>IF($E175&gt;=95,"ELITE",IF($E175&gt;=90,"TIER 1",IF($E175&gt;=85,"TIER 2",IF($E175&gt;=80,"TIER 3",IF($E175&gt;=75,"TIER 4",IF($E175&gt;=70,"TIER 5",IF($E175&gt;=65,"TIER 6","TIER 7")))))))</f>
        <v/>
      </c>
      <c r="G175" s="4">
        <f>INDEX('Draft Engine'!$G$3:$G$232,$P175)</f>
        <v/>
      </c>
      <c r="H175" s="4">
        <f>INDEX('Draft Engine'!$J$3:$J$232,$P175)</f>
        <v/>
      </c>
      <c r="I175" s="4">
        <f>INDEX('Draft Engine'!$N$3:$N$232,$P175)</f>
        <v/>
      </c>
      <c r="J175" s="4">
        <f>INDEX('Draft Engine'!$R$3:$R$232,$P175)</f>
        <v/>
      </c>
      <c r="K175" s="4">
        <f>INDEX('Draft Engine'!$S$3:$S$232,$P175)</f>
        <v/>
      </c>
      <c r="L175">
        <f>INDEX('Draft Engine'!$T$3:$T$232,$P175)</f>
        <v/>
      </c>
      <c r="M175">
        <f>INDEX('Draft Engine'!$X$3:$X$232,$P175)</f>
        <v/>
      </c>
      <c r="N175">
        <f>INDEX('LIVE SOURCE'!$H$3:$H$232,$P175)</f>
        <v/>
      </c>
      <c r="O175">
        <f>INDEX('LIVE SOURCE'!$J$3:$J$232,$P175)</f>
        <v/>
      </c>
      <c r="P175" s="6">
        <f>MATCH($A175,'Draft Engine'!$Q$3:$Q$232,0)</f>
        <v/>
      </c>
    </row>
    <row r="176">
      <c r="A176">
        <f>174</f>
        <v/>
      </c>
      <c r="B176">
        <f>INDEX('Draft Engine'!$A$3:$A$232,$P176)</f>
        <v/>
      </c>
      <c r="C176">
        <f>INDEX('Draft Engine'!$F$3:$F$232,$P176)</f>
        <v/>
      </c>
      <c r="D176">
        <f>INDEX('Draft Engine'!$B$3:$B$232,$P176)</f>
        <v/>
      </c>
      <c r="E176" s="4">
        <f>INDEX('Draft Engine'!$E$3:$E$232,$P176)</f>
        <v/>
      </c>
      <c r="F176">
        <f>IF($E176&gt;=95,"ELITE",IF($E176&gt;=90,"TIER 1",IF($E176&gt;=85,"TIER 2",IF($E176&gt;=80,"TIER 3",IF($E176&gt;=75,"TIER 4",IF($E176&gt;=70,"TIER 5",IF($E176&gt;=65,"TIER 6","TIER 7")))))))</f>
        <v/>
      </c>
      <c r="G176" s="4">
        <f>INDEX('Draft Engine'!$G$3:$G$232,$P176)</f>
        <v/>
      </c>
      <c r="H176" s="4">
        <f>INDEX('Draft Engine'!$J$3:$J$232,$P176)</f>
        <v/>
      </c>
      <c r="I176" s="4">
        <f>INDEX('Draft Engine'!$N$3:$N$232,$P176)</f>
        <v/>
      </c>
      <c r="J176" s="4">
        <f>INDEX('Draft Engine'!$R$3:$R$232,$P176)</f>
        <v/>
      </c>
      <c r="K176" s="4">
        <f>INDEX('Draft Engine'!$S$3:$S$232,$P176)</f>
        <v/>
      </c>
      <c r="L176">
        <f>INDEX('Draft Engine'!$T$3:$T$232,$P176)</f>
        <v/>
      </c>
      <c r="M176">
        <f>INDEX('Draft Engine'!$X$3:$X$232,$P176)</f>
        <v/>
      </c>
      <c r="N176">
        <f>INDEX('LIVE SOURCE'!$H$3:$H$232,$P176)</f>
        <v/>
      </c>
      <c r="O176">
        <f>INDEX('LIVE SOURCE'!$J$3:$J$232,$P176)</f>
        <v/>
      </c>
      <c r="P176" s="6">
        <f>MATCH($A176,'Draft Engine'!$Q$3:$Q$232,0)</f>
        <v/>
      </c>
    </row>
    <row r="177">
      <c r="A177">
        <f>175</f>
        <v/>
      </c>
      <c r="B177">
        <f>INDEX('Draft Engine'!$A$3:$A$232,$P177)</f>
        <v/>
      </c>
      <c r="C177">
        <f>INDEX('Draft Engine'!$F$3:$F$232,$P177)</f>
        <v/>
      </c>
      <c r="D177">
        <f>INDEX('Draft Engine'!$B$3:$B$232,$P177)</f>
        <v/>
      </c>
      <c r="E177" s="4">
        <f>INDEX('Draft Engine'!$E$3:$E$232,$P177)</f>
        <v/>
      </c>
      <c r="F177">
        <f>IF($E177&gt;=95,"ELITE",IF($E177&gt;=90,"TIER 1",IF($E177&gt;=85,"TIER 2",IF($E177&gt;=80,"TIER 3",IF($E177&gt;=75,"TIER 4",IF($E177&gt;=70,"TIER 5",IF($E177&gt;=65,"TIER 6","TIER 7")))))))</f>
        <v/>
      </c>
      <c r="G177" s="4">
        <f>INDEX('Draft Engine'!$G$3:$G$232,$P177)</f>
        <v/>
      </c>
      <c r="H177" s="4">
        <f>INDEX('Draft Engine'!$J$3:$J$232,$P177)</f>
        <v/>
      </c>
      <c r="I177" s="4">
        <f>INDEX('Draft Engine'!$N$3:$N$232,$P177)</f>
        <v/>
      </c>
      <c r="J177" s="4">
        <f>INDEX('Draft Engine'!$R$3:$R$232,$P177)</f>
        <v/>
      </c>
      <c r="K177" s="4">
        <f>INDEX('Draft Engine'!$S$3:$S$232,$P177)</f>
        <v/>
      </c>
      <c r="L177">
        <f>INDEX('Draft Engine'!$T$3:$T$232,$P177)</f>
        <v/>
      </c>
      <c r="M177">
        <f>INDEX('Draft Engine'!$X$3:$X$232,$P177)</f>
        <v/>
      </c>
      <c r="N177">
        <f>INDEX('LIVE SOURCE'!$H$3:$H$232,$P177)</f>
        <v/>
      </c>
      <c r="O177">
        <f>INDEX('LIVE SOURCE'!$J$3:$J$232,$P177)</f>
        <v/>
      </c>
      <c r="P177" s="6">
        <f>MATCH($A177,'Draft Engine'!$Q$3:$Q$232,0)</f>
        <v/>
      </c>
    </row>
    <row r="178">
      <c r="A178">
        <f>176</f>
        <v/>
      </c>
      <c r="B178">
        <f>INDEX('Draft Engine'!$A$3:$A$232,$P178)</f>
        <v/>
      </c>
      <c r="C178">
        <f>INDEX('Draft Engine'!$F$3:$F$232,$P178)</f>
        <v/>
      </c>
      <c r="D178">
        <f>INDEX('Draft Engine'!$B$3:$B$232,$P178)</f>
        <v/>
      </c>
      <c r="E178" s="4">
        <f>INDEX('Draft Engine'!$E$3:$E$232,$P178)</f>
        <v/>
      </c>
      <c r="F178">
        <f>IF($E178&gt;=95,"ELITE",IF($E178&gt;=90,"TIER 1",IF($E178&gt;=85,"TIER 2",IF($E178&gt;=80,"TIER 3",IF($E178&gt;=75,"TIER 4",IF($E178&gt;=70,"TIER 5",IF($E178&gt;=65,"TIER 6","TIER 7")))))))</f>
        <v/>
      </c>
      <c r="G178" s="4">
        <f>INDEX('Draft Engine'!$G$3:$G$232,$P178)</f>
        <v/>
      </c>
      <c r="H178" s="4">
        <f>INDEX('Draft Engine'!$J$3:$J$232,$P178)</f>
        <v/>
      </c>
      <c r="I178" s="4">
        <f>INDEX('Draft Engine'!$N$3:$N$232,$P178)</f>
        <v/>
      </c>
      <c r="J178" s="4">
        <f>INDEX('Draft Engine'!$R$3:$R$232,$P178)</f>
        <v/>
      </c>
      <c r="K178" s="4">
        <f>INDEX('Draft Engine'!$S$3:$S$232,$P178)</f>
        <v/>
      </c>
      <c r="L178">
        <f>INDEX('Draft Engine'!$T$3:$T$232,$P178)</f>
        <v/>
      </c>
      <c r="M178">
        <f>INDEX('Draft Engine'!$X$3:$X$232,$P178)</f>
        <v/>
      </c>
      <c r="N178">
        <f>INDEX('LIVE SOURCE'!$H$3:$H$232,$P178)</f>
        <v/>
      </c>
      <c r="O178">
        <f>INDEX('LIVE SOURCE'!$J$3:$J$232,$P178)</f>
        <v/>
      </c>
      <c r="P178" s="6">
        <f>MATCH($A178,'Draft Engine'!$Q$3:$Q$232,0)</f>
        <v/>
      </c>
    </row>
    <row r="179">
      <c r="A179">
        <f>177</f>
        <v/>
      </c>
      <c r="B179">
        <f>INDEX('Draft Engine'!$A$3:$A$232,$P179)</f>
        <v/>
      </c>
      <c r="C179">
        <f>INDEX('Draft Engine'!$F$3:$F$232,$P179)</f>
        <v/>
      </c>
      <c r="D179">
        <f>INDEX('Draft Engine'!$B$3:$B$232,$P179)</f>
        <v/>
      </c>
      <c r="E179" s="4">
        <f>INDEX('Draft Engine'!$E$3:$E$232,$P179)</f>
        <v/>
      </c>
      <c r="F179">
        <f>IF($E179&gt;=95,"ELITE",IF($E179&gt;=90,"TIER 1",IF($E179&gt;=85,"TIER 2",IF($E179&gt;=80,"TIER 3",IF($E179&gt;=75,"TIER 4",IF($E179&gt;=70,"TIER 5",IF($E179&gt;=65,"TIER 6","TIER 7")))))))</f>
        <v/>
      </c>
      <c r="G179" s="4">
        <f>INDEX('Draft Engine'!$G$3:$G$232,$P179)</f>
        <v/>
      </c>
      <c r="H179" s="4">
        <f>INDEX('Draft Engine'!$J$3:$J$232,$P179)</f>
        <v/>
      </c>
      <c r="I179" s="4">
        <f>INDEX('Draft Engine'!$N$3:$N$232,$P179)</f>
        <v/>
      </c>
      <c r="J179" s="4">
        <f>INDEX('Draft Engine'!$R$3:$R$232,$P179)</f>
        <v/>
      </c>
      <c r="K179" s="4">
        <f>INDEX('Draft Engine'!$S$3:$S$232,$P179)</f>
        <v/>
      </c>
      <c r="L179">
        <f>INDEX('Draft Engine'!$T$3:$T$232,$P179)</f>
        <v/>
      </c>
      <c r="M179">
        <f>INDEX('Draft Engine'!$X$3:$X$232,$P179)</f>
        <v/>
      </c>
      <c r="N179">
        <f>INDEX('LIVE SOURCE'!$H$3:$H$232,$P179)</f>
        <v/>
      </c>
      <c r="O179">
        <f>INDEX('LIVE SOURCE'!$J$3:$J$232,$P179)</f>
        <v/>
      </c>
      <c r="P179" s="6">
        <f>MATCH($A179,'Draft Engine'!$Q$3:$Q$232,0)</f>
        <v/>
      </c>
    </row>
    <row r="180">
      <c r="A180">
        <f>178</f>
        <v/>
      </c>
      <c r="B180">
        <f>INDEX('Draft Engine'!$A$3:$A$232,$P180)</f>
        <v/>
      </c>
      <c r="C180">
        <f>INDEX('Draft Engine'!$F$3:$F$232,$P180)</f>
        <v/>
      </c>
      <c r="D180">
        <f>INDEX('Draft Engine'!$B$3:$B$232,$P180)</f>
        <v/>
      </c>
      <c r="E180" s="4">
        <f>INDEX('Draft Engine'!$E$3:$E$232,$P180)</f>
        <v/>
      </c>
      <c r="F180">
        <f>IF($E180&gt;=95,"ELITE",IF($E180&gt;=90,"TIER 1",IF($E180&gt;=85,"TIER 2",IF($E180&gt;=80,"TIER 3",IF($E180&gt;=75,"TIER 4",IF($E180&gt;=70,"TIER 5",IF($E180&gt;=65,"TIER 6","TIER 7")))))))</f>
        <v/>
      </c>
      <c r="G180" s="4">
        <f>INDEX('Draft Engine'!$G$3:$G$232,$P180)</f>
        <v/>
      </c>
      <c r="H180" s="4">
        <f>INDEX('Draft Engine'!$J$3:$J$232,$P180)</f>
        <v/>
      </c>
      <c r="I180" s="4">
        <f>INDEX('Draft Engine'!$N$3:$N$232,$P180)</f>
        <v/>
      </c>
      <c r="J180" s="4">
        <f>INDEX('Draft Engine'!$R$3:$R$232,$P180)</f>
        <v/>
      </c>
      <c r="K180" s="4">
        <f>INDEX('Draft Engine'!$S$3:$S$232,$P180)</f>
        <v/>
      </c>
      <c r="L180">
        <f>INDEX('Draft Engine'!$T$3:$T$232,$P180)</f>
        <v/>
      </c>
      <c r="M180">
        <f>INDEX('Draft Engine'!$X$3:$X$232,$P180)</f>
        <v/>
      </c>
      <c r="N180">
        <f>INDEX('LIVE SOURCE'!$H$3:$H$232,$P180)</f>
        <v/>
      </c>
      <c r="O180">
        <f>INDEX('LIVE SOURCE'!$J$3:$J$232,$P180)</f>
        <v/>
      </c>
      <c r="P180" s="6">
        <f>MATCH($A180,'Draft Engine'!$Q$3:$Q$232,0)</f>
        <v/>
      </c>
    </row>
    <row r="181">
      <c r="A181">
        <f>179</f>
        <v/>
      </c>
      <c r="B181">
        <f>INDEX('Draft Engine'!$A$3:$A$232,$P181)</f>
        <v/>
      </c>
      <c r="C181">
        <f>INDEX('Draft Engine'!$F$3:$F$232,$P181)</f>
        <v/>
      </c>
      <c r="D181">
        <f>INDEX('Draft Engine'!$B$3:$B$232,$P181)</f>
        <v/>
      </c>
      <c r="E181" s="4">
        <f>INDEX('Draft Engine'!$E$3:$E$232,$P181)</f>
        <v/>
      </c>
      <c r="F181">
        <f>IF($E181&gt;=95,"ELITE",IF($E181&gt;=90,"TIER 1",IF($E181&gt;=85,"TIER 2",IF($E181&gt;=80,"TIER 3",IF($E181&gt;=75,"TIER 4",IF($E181&gt;=70,"TIER 5",IF($E181&gt;=65,"TIER 6","TIER 7")))))))</f>
        <v/>
      </c>
      <c r="G181" s="4">
        <f>INDEX('Draft Engine'!$G$3:$G$232,$P181)</f>
        <v/>
      </c>
      <c r="H181" s="4">
        <f>INDEX('Draft Engine'!$J$3:$J$232,$P181)</f>
        <v/>
      </c>
      <c r="I181" s="4">
        <f>INDEX('Draft Engine'!$N$3:$N$232,$P181)</f>
        <v/>
      </c>
      <c r="J181" s="4">
        <f>INDEX('Draft Engine'!$R$3:$R$232,$P181)</f>
        <v/>
      </c>
      <c r="K181" s="4">
        <f>INDEX('Draft Engine'!$S$3:$S$232,$P181)</f>
        <v/>
      </c>
      <c r="L181">
        <f>INDEX('Draft Engine'!$T$3:$T$232,$P181)</f>
        <v/>
      </c>
      <c r="M181">
        <f>INDEX('Draft Engine'!$X$3:$X$232,$P181)</f>
        <v/>
      </c>
      <c r="N181">
        <f>INDEX('LIVE SOURCE'!$H$3:$H$232,$P181)</f>
        <v/>
      </c>
      <c r="O181">
        <f>INDEX('LIVE SOURCE'!$J$3:$J$232,$P181)</f>
        <v/>
      </c>
      <c r="P181" s="6">
        <f>MATCH($A181,'Draft Engine'!$Q$3:$Q$232,0)</f>
        <v/>
      </c>
    </row>
    <row r="182">
      <c r="A182">
        <f>180</f>
        <v/>
      </c>
      <c r="B182">
        <f>INDEX('Draft Engine'!$A$3:$A$232,$P182)</f>
        <v/>
      </c>
      <c r="C182">
        <f>INDEX('Draft Engine'!$F$3:$F$232,$P182)</f>
        <v/>
      </c>
      <c r="D182">
        <f>INDEX('Draft Engine'!$B$3:$B$232,$P182)</f>
        <v/>
      </c>
      <c r="E182" s="4">
        <f>INDEX('Draft Engine'!$E$3:$E$232,$P182)</f>
        <v/>
      </c>
      <c r="F182">
        <f>IF($E182&gt;=95,"ELITE",IF($E182&gt;=90,"TIER 1",IF($E182&gt;=85,"TIER 2",IF($E182&gt;=80,"TIER 3",IF($E182&gt;=75,"TIER 4",IF($E182&gt;=70,"TIER 5",IF($E182&gt;=65,"TIER 6","TIER 7")))))))</f>
        <v/>
      </c>
      <c r="G182" s="4">
        <f>INDEX('Draft Engine'!$G$3:$G$232,$P182)</f>
        <v/>
      </c>
      <c r="H182" s="4">
        <f>INDEX('Draft Engine'!$J$3:$J$232,$P182)</f>
        <v/>
      </c>
      <c r="I182" s="4">
        <f>INDEX('Draft Engine'!$N$3:$N$232,$P182)</f>
        <v/>
      </c>
      <c r="J182" s="4">
        <f>INDEX('Draft Engine'!$R$3:$R$232,$P182)</f>
        <v/>
      </c>
      <c r="K182" s="4">
        <f>INDEX('Draft Engine'!$S$3:$S$232,$P182)</f>
        <v/>
      </c>
      <c r="L182">
        <f>INDEX('Draft Engine'!$T$3:$T$232,$P182)</f>
        <v/>
      </c>
      <c r="M182">
        <f>INDEX('Draft Engine'!$X$3:$X$232,$P182)</f>
        <v/>
      </c>
      <c r="N182">
        <f>INDEX('LIVE SOURCE'!$H$3:$H$232,$P182)</f>
        <v/>
      </c>
      <c r="O182">
        <f>INDEX('LIVE SOURCE'!$J$3:$J$232,$P182)</f>
        <v/>
      </c>
      <c r="P182" s="6">
        <f>MATCH($A182,'Draft Engine'!$Q$3:$Q$232,0)</f>
        <v/>
      </c>
    </row>
    <row r="183">
      <c r="A183">
        <f>181</f>
        <v/>
      </c>
      <c r="B183">
        <f>INDEX('Draft Engine'!$A$3:$A$232,$P183)</f>
        <v/>
      </c>
      <c r="C183">
        <f>INDEX('Draft Engine'!$F$3:$F$232,$P183)</f>
        <v/>
      </c>
      <c r="D183">
        <f>INDEX('Draft Engine'!$B$3:$B$232,$P183)</f>
        <v/>
      </c>
      <c r="E183" s="4">
        <f>INDEX('Draft Engine'!$E$3:$E$232,$P183)</f>
        <v/>
      </c>
      <c r="F183">
        <f>IF($E183&gt;=95,"ELITE",IF($E183&gt;=90,"TIER 1",IF($E183&gt;=85,"TIER 2",IF($E183&gt;=80,"TIER 3",IF($E183&gt;=75,"TIER 4",IF($E183&gt;=70,"TIER 5",IF($E183&gt;=65,"TIER 6","TIER 7")))))))</f>
        <v/>
      </c>
      <c r="G183" s="4">
        <f>INDEX('Draft Engine'!$G$3:$G$232,$P183)</f>
        <v/>
      </c>
      <c r="H183" s="4">
        <f>INDEX('Draft Engine'!$J$3:$J$232,$P183)</f>
        <v/>
      </c>
      <c r="I183" s="4">
        <f>INDEX('Draft Engine'!$N$3:$N$232,$P183)</f>
        <v/>
      </c>
      <c r="J183" s="4">
        <f>INDEX('Draft Engine'!$R$3:$R$232,$P183)</f>
        <v/>
      </c>
      <c r="K183" s="4">
        <f>INDEX('Draft Engine'!$S$3:$S$232,$P183)</f>
        <v/>
      </c>
      <c r="L183">
        <f>INDEX('Draft Engine'!$T$3:$T$232,$P183)</f>
        <v/>
      </c>
      <c r="M183">
        <f>INDEX('Draft Engine'!$X$3:$X$232,$P183)</f>
        <v/>
      </c>
      <c r="N183">
        <f>INDEX('LIVE SOURCE'!$H$3:$H$232,$P183)</f>
        <v/>
      </c>
      <c r="O183">
        <f>INDEX('LIVE SOURCE'!$J$3:$J$232,$P183)</f>
        <v/>
      </c>
      <c r="P183" s="6">
        <f>MATCH($A183,'Draft Engine'!$Q$3:$Q$232,0)</f>
        <v/>
      </c>
    </row>
    <row r="184">
      <c r="A184">
        <f>182</f>
        <v/>
      </c>
      <c r="B184">
        <f>INDEX('Draft Engine'!$A$3:$A$232,$P184)</f>
        <v/>
      </c>
      <c r="C184">
        <f>INDEX('Draft Engine'!$F$3:$F$232,$P184)</f>
        <v/>
      </c>
      <c r="D184">
        <f>INDEX('Draft Engine'!$B$3:$B$232,$P184)</f>
        <v/>
      </c>
      <c r="E184" s="4">
        <f>INDEX('Draft Engine'!$E$3:$E$232,$P184)</f>
        <v/>
      </c>
      <c r="F184">
        <f>IF($E184&gt;=95,"ELITE",IF($E184&gt;=90,"TIER 1",IF($E184&gt;=85,"TIER 2",IF($E184&gt;=80,"TIER 3",IF($E184&gt;=75,"TIER 4",IF($E184&gt;=70,"TIER 5",IF($E184&gt;=65,"TIER 6","TIER 7")))))))</f>
        <v/>
      </c>
      <c r="G184" s="4">
        <f>INDEX('Draft Engine'!$G$3:$G$232,$P184)</f>
        <v/>
      </c>
      <c r="H184" s="4">
        <f>INDEX('Draft Engine'!$J$3:$J$232,$P184)</f>
        <v/>
      </c>
      <c r="I184" s="4">
        <f>INDEX('Draft Engine'!$N$3:$N$232,$P184)</f>
        <v/>
      </c>
      <c r="J184" s="4">
        <f>INDEX('Draft Engine'!$R$3:$R$232,$P184)</f>
        <v/>
      </c>
      <c r="K184" s="4">
        <f>INDEX('Draft Engine'!$S$3:$S$232,$P184)</f>
        <v/>
      </c>
      <c r="L184">
        <f>INDEX('Draft Engine'!$T$3:$T$232,$P184)</f>
        <v/>
      </c>
      <c r="M184">
        <f>INDEX('Draft Engine'!$X$3:$X$232,$P184)</f>
        <v/>
      </c>
      <c r="N184">
        <f>INDEX('LIVE SOURCE'!$H$3:$H$232,$P184)</f>
        <v/>
      </c>
      <c r="O184">
        <f>INDEX('LIVE SOURCE'!$J$3:$J$232,$P184)</f>
        <v/>
      </c>
      <c r="P184" s="6">
        <f>MATCH($A184,'Draft Engine'!$Q$3:$Q$232,0)</f>
        <v/>
      </c>
    </row>
    <row r="185">
      <c r="A185">
        <f>183</f>
        <v/>
      </c>
      <c r="B185">
        <f>INDEX('Draft Engine'!$A$3:$A$232,$P185)</f>
        <v/>
      </c>
      <c r="C185">
        <f>INDEX('Draft Engine'!$F$3:$F$232,$P185)</f>
        <v/>
      </c>
      <c r="D185">
        <f>INDEX('Draft Engine'!$B$3:$B$232,$P185)</f>
        <v/>
      </c>
      <c r="E185" s="4">
        <f>INDEX('Draft Engine'!$E$3:$E$232,$P185)</f>
        <v/>
      </c>
      <c r="F185">
        <f>IF($E185&gt;=95,"ELITE",IF($E185&gt;=90,"TIER 1",IF($E185&gt;=85,"TIER 2",IF($E185&gt;=80,"TIER 3",IF($E185&gt;=75,"TIER 4",IF($E185&gt;=70,"TIER 5",IF($E185&gt;=65,"TIER 6","TIER 7")))))))</f>
        <v/>
      </c>
      <c r="G185" s="4">
        <f>INDEX('Draft Engine'!$G$3:$G$232,$P185)</f>
        <v/>
      </c>
      <c r="H185" s="4">
        <f>INDEX('Draft Engine'!$J$3:$J$232,$P185)</f>
        <v/>
      </c>
      <c r="I185" s="4">
        <f>INDEX('Draft Engine'!$N$3:$N$232,$P185)</f>
        <v/>
      </c>
      <c r="J185" s="4">
        <f>INDEX('Draft Engine'!$R$3:$R$232,$P185)</f>
        <v/>
      </c>
      <c r="K185" s="4">
        <f>INDEX('Draft Engine'!$S$3:$S$232,$P185)</f>
        <v/>
      </c>
      <c r="L185">
        <f>INDEX('Draft Engine'!$T$3:$T$232,$P185)</f>
        <v/>
      </c>
      <c r="M185">
        <f>INDEX('Draft Engine'!$X$3:$X$232,$P185)</f>
        <v/>
      </c>
      <c r="N185">
        <f>INDEX('LIVE SOURCE'!$H$3:$H$232,$P185)</f>
        <v/>
      </c>
      <c r="O185">
        <f>INDEX('LIVE SOURCE'!$J$3:$J$232,$P185)</f>
        <v/>
      </c>
      <c r="P185" s="6">
        <f>MATCH($A185,'Draft Engine'!$Q$3:$Q$232,0)</f>
        <v/>
      </c>
    </row>
    <row r="186">
      <c r="A186">
        <f>184</f>
        <v/>
      </c>
      <c r="B186">
        <f>INDEX('Draft Engine'!$A$3:$A$232,$P186)</f>
        <v/>
      </c>
      <c r="C186">
        <f>INDEX('Draft Engine'!$F$3:$F$232,$P186)</f>
        <v/>
      </c>
      <c r="D186">
        <f>INDEX('Draft Engine'!$B$3:$B$232,$P186)</f>
        <v/>
      </c>
      <c r="E186" s="4">
        <f>INDEX('Draft Engine'!$E$3:$E$232,$P186)</f>
        <v/>
      </c>
      <c r="F186">
        <f>IF($E186&gt;=95,"ELITE",IF($E186&gt;=90,"TIER 1",IF($E186&gt;=85,"TIER 2",IF($E186&gt;=80,"TIER 3",IF($E186&gt;=75,"TIER 4",IF($E186&gt;=70,"TIER 5",IF($E186&gt;=65,"TIER 6","TIER 7")))))))</f>
        <v/>
      </c>
      <c r="G186" s="4">
        <f>INDEX('Draft Engine'!$G$3:$G$232,$P186)</f>
        <v/>
      </c>
      <c r="H186" s="4">
        <f>INDEX('Draft Engine'!$J$3:$J$232,$P186)</f>
        <v/>
      </c>
      <c r="I186" s="4">
        <f>INDEX('Draft Engine'!$N$3:$N$232,$P186)</f>
        <v/>
      </c>
      <c r="J186" s="4">
        <f>INDEX('Draft Engine'!$R$3:$R$232,$P186)</f>
        <v/>
      </c>
      <c r="K186" s="4">
        <f>INDEX('Draft Engine'!$S$3:$S$232,$P186)</f>
        <v/>
      </c>
      <c r="L186">
        <f>INDEX('Draft Engine'!$T$3:$T$232,$P186)</f>
        <v/>
      </c>
      <c r="M186">
        <f>INDEX('Draft Engine'!$X$3:$X$232,$P186)</f>
        <v/>
      </c>
      <c r="N186">
        <f>INDEX('LIVE SOURCE'!$H$3:$H$232,$P186)</f>
        <v/>
      </c>
      <c r="O186">
        <f>INDEX('LIVE SOURCE'!$J$3:$J$232,$P186)</f>
        <v/>
      </c>
      <c r="P186" s="6">
        <f>MATCH($A186,'Draft Engine'!$Q$3:$Q$232,0)</f>
        <v/>
      </c>
    </row>
    <row r="187">
      <c r="A187">
        <f>185</f>
        <v/>
      </c>
      <c r="B187">
        <f>INDEX('Draft Engine'!$A$3:$A$232,$P187)</f>
        <v/>
      </c>
      <c r="C187">
        <f>INDEX('Draft Engine'!$F$3:$F$232,$P187)</f>
        <v/>
      </c>
      <c r="D187">
        <f>INDEX('Draft Engine'!$B$3:$B$232,$P187)</f>
        <v/>
      </c>
      <c r="E187" s="4">
        <f>INDEX('Draft Engine'!$E$3:$E$232,$P187)</f>
        <v/>
      </c>
      <c r="F187">
        <f>IF($E187&gt;=95,"ELITE",IF($E187&gt;=90,"TIER 1",IF($E187&gt;=85,"TIER 2",IF($E187&gt;=80,"TIER 3",IF($E187&gt;=75,"TIER 4",IF($E187&gt;=70,"TIER 5",IF($E187&gt;=65,"TIER 6","TIER 7")))))))</f>
        <v/>
      </c>
      <c r="G187" s="4">
        <f>INDEX('Draft Engine'!$G$3:$G$232,$P187)</f>
        <v/>
      </c>
      <c r="H187" s="4">
        <f>INDEX('Draft Engine'!$J$3:$J$232,$P187)</f>
        <v/>
      </c>
      <c r="I187" s="4">
        <f>INDEX('Draft Engine'!$N$3:$N$232,$P187)</f>
        <v/>
      </c>
      <c r="J187" s="4">
        <f>INDEX('Draft Engine'!$R$3:$R$232,$P187)</f>
        <v/>
      </c>
      <c r="K187" s="4">
        <f>INDEX('Draft Engine'!$S$3:$S$232,$P187)</f>
        <v/>
      </c>
      <c r="L187">
        <f>INDEX('Draft Engine'!$T$3:$T$232,$P187)</f>
        <v/>
      </c>
      <c r="M187">
        <f>INDEX('Draft Engine'!$X$3:$X$232,$P187)</f>
        <v/>
      </c>
      <c r="N187">
        <f>INDEX('LIVE SOURCE'!$H$3:$H$232,$P187)</f>
        <v/>
      </c>
      <c r="O187">
        <f>INDEX('LIVE SOURCE'!$J$3:$J$232,$P187)</f>
        <v/>
      </c>
      <c r="P187" s="6">
        <f>MATCH($A187,'Draft Engine'!$Q$3:$Q$232,0)</f>
        <v/>
      </c>
    </row>
    <row r="188">
      <c r="A188">
        <f>186</f>
        <v/>
      </c>
      <c r="B188">
        <f>INDEX('Draft Engine'!$A$3:$A$232,$P188)</f>
        <v/>
      </c>
      <c r="C188">
        <f>INDEX('Draft Engine'!$F$3:$F$232,$P188)</f>
        <v/>
      </c>
      <c r="D188">
        <f>INDEX('Draft Engine'!$B$3:$B$232,$P188)</f>
        <v/>
      </c>
      <c r="E188" s="4">
        <f>INDEX('Draft Engine'!$E$3:$E$232,$P188)</f>
        <v/>
      </c>
      <c r="F188">
        <f>IF($E188&gt;=95,"ELITE",IF($E188&gt;=90,"TIER 1",IF($E188&gt;=85,"TIER 2",IF($E188&gt;=80,"TIER 3",IF($E188&gt;=75,"TIER 4",IF($E188&gt;=70,"TIER 5",IF($E188&gt;=65,"TIER 6","TIER 7")))))))</f>
        <v/>
      </c>
      <c r="G188" s="4">
        <f>INDEX('Draft Engine'!$G$3:$G$232,$P188)</f>
        <v/>
      </c>
      <c r="H188" s="4">
        <f>INDEX('Draft Engine'!$J$3:$J$232,$P188)</f>
        <v/>
      </c>
      <c r="I188" s="4">
        <f>INDEX('Draft Engine'!$N$3:$N$232,$P188)</f>
        <v/>
      </c>
      <c r="J188" s="4">
        <f>INDEX('Draft Engine'!$R$3:$R$232,$P188)</f>
        <v/>
      </c>
      <c r="K188" s="4">
        <f>INDEX('Draft Engine'!$S$3:$S$232,$P188)</f>
        <v/>
      </c>
      <c r="L188">
        <f>INDEX('Draft Engine'!$T$3:$T$232,$P188)</f>
        <v/>
      </c>
      <c r="M188">
        <f>INDEX('Draft Engine'!$X$3:$X$232,$P188)</f>
        <v/>
      </c>
      <c r="N188">
        <f>INDEX('LIVE SOURCE'!$H$3:$H$232,$P188)</f>
        <v/>
      </c>
      <c r="O188">
        <f>INDEX('LIVE SOURCE'!$J$3:$J$232,$P188)</f>
        <v/>
      </c>
      <c r="P188" s="6">
        <f>MATCH($A188,'Draft Engine'!$Q$3:$Q$232,0)</f>
        <v/>
      </c>
    </row>
    <row r="189">
      <c r="A189">
        <f>187</f>
        <v/>
      </c>
      <c r="B189">
        <f>INDEX('Draft Engine'!$A$3:$A$232,$P189)</f>
        <v/>
      </c>
      <c r="C189">
        <f>INDEX('Draft Engine'!$F$3:$F$232,$P189)</f>
        <v/>
      </c>
      <c r="D189">
        <f>INDEX('Draft Engine'!$B$3:$B$232,$P189)</f>
        <v/>
      </c>
      <c r="E189" s="4">
        <f>INDEX('Draft Engine'!$E$3:$E$232,$P189)</f>
        <v/>
      </c>
      <c r="F189">
        <f>IF($E189&gt;=95,"ELITE",IF($E189&gt;=90,"TIER 1",IF($E189&gt;=85,"TIER 2",IF($E189&gt;=80,"TIER 3",IF($E189&gt;=75,"TIER 4",IF($E189&gt;=70,"TIER 5",IF($E189&gt;=65,"TIER 6","TIER 7")))))))</f>
        <v/>
      </c>
      <c r="G189" s="4">
        <f>INDEX('Draft Engine'!$G$3:$G$232,$P189)</f>
        <v/>
      </c>
      <c r="H189" s="4">
        <f>INDEX('Draft Engine'!$J$3:$J$232,$P189)</f>
        <v/>
      </c>
      <c r="I189" s="4">
        <f>INDEX('Draft Engine'!$N$3:$N$232,$P189)</f>
        <v/>
      </c>
      <c r="J189" s="4">
        <f>INDEX('Draft Engine'!$R$3:$R$232,$P189)</f>
        <v/>
      </c>
      <c r="K189" s="4">
        <f>INDEX('Draft Engine'!$S$3:$S$232,$P189)</f>
        <v/>
      </c>
      <c r="L189">
        <f>INDEX('Draft Engine'!$T$3:$T$232,$P189)</f>
        <v/>
      </c>
      <c r="M189">
        <f>INDEX('Draft Engine'!$X$3:$X$232,$P189)</f>
        <v/>
      </c>
      <c r="N189">
        <f>INDEX('LIVE SOURCE'!$H$3:$H$232,$P189)</f>
        <v/>
      </c>
      <c r="O189">
        <f>INDEX('LIVE SOURCE'!$J$3:$J$232,$P189)</f>
        <v/>
      </c>
      <c r="P189" s="6">
        <f>MATCH($A189,'Draft Engine'!$Q$3:$Q$232,0)</f>
        <v/>
      </c>
    </row>
    <row r="190">
      <c r="A190">
        <f>188</f>
        <v/>
      </c>
      <c r="B190">
        <f>INDEX('Draft Engine'!$A$3:$A$232,$P190)</f>
        <v/>
      </c>
      <c r="C190">
        <f>INDEX('Draft Engine'!$F$3:$F$232,$P190)</f>
        <v/>
      </c>
      <c r="D190">
        <f>INDEX('Draft Engine'!$B$3:$B$232,$P190)</f>
        <v/>
      </c>
      <c r="E190" s="4">
        <f>INDEX('Draft Engine'!$E$3:$E$232,$P190)</f>
        <v/>
      </c>
      <c r="F190">
        <f>IF($E190&gt;=95,"ELITE",IF($E190&gt;=90,"TIER 1",IF($E190&gt;=85,"TIER 2",IF($E190&gt;=80,"TIER 3",IF($E190&gt;=75,"TIER 4",IF($E190&gt;=70,"TIER 5",IF($E190&gt;=65,"TIER 6","TIER 7")))))))</f>
        <v/>
      </c>
      <c r="G190" s="4">
        <f>INDEX('Draft Engine'!$G$3:$G$232,$P190)</f>
        <v/>
      </c>
      <c r="H190" s="4">
        <f>INDEX('Draft Engine'!$J$3:$J$232,$P190)</f>
        <v/>
      </c>
      <c r="I190" s="4">
        <f>INDEX('Draft Engine'!$N$3:$N$232,$P190)</f>
        <v/>
      </c>
      <c r="J190" s="4">
        <f>INDEX('Draft Engine'!$R$3:$R$232,$P190)</f>
        <v/>
      </c>
      <c r="K190" s="4">
        <f>INDEX('Draft Engine'!$S$3:$S$232,$P190)</f>
        <v/>
      </c>
      <c r="L190">
        <f>INDEX('Draft Engine'!$T$3:$T$232,$P190)</f>
        <v/>
      </c>
      <c r="M190">
        <f>INDEX('Draft Engine'!$X$3:$X$232,$P190)</f>
        <v/>
      </c>
      <c r="N190">
        <f>INDEX('LIVE SOURCE'!$H$3:$H$232,$P190)</f>
        <v/>
      </c>
      <c r="O190">
        <f>INDEX('LIVE SOURCE'!$J$3:$J$232,$P190)</f>
        <v/>
      </c>
      <c r="P190" s="6">
        <f>MATCH($A190,'Draft Engine'!$Q$3:$Q$232,0)</f>
        <v/>
      </c>
    </row>
    <row r="191">
      <c r="A191">
        <f>189</f>
        <v/>
      </c>
      <c r="B191">
        <f>INDEX('Draft Engine'!$A$3:$A$232,$P191)</f>
        <v/>
      </c>
      <c r="C191">
        <f>INDEX('Draft Engine'!$F$3:$F$232,$P191)</f>
        <v/>
      </c>
      <c r="D191">
        <f>INDEX('Draft Engine'!$B$3:$B$232,$P191)</f>
        <v/>
      </c>
      <c r="E191" s="4">
        <f>INDEX('Draft Engine'!$E$3:$E$232,$P191)</f>
        <v/>
      </c>
      <c r="F191">
        <f>IF($E191&gt;=95,"ELITE",IF($E191&gt;=90,"TIER 1",IF($E191&gt;=85,"TIER 2",IF($E191&gt;=80,"TIER 3",IF($E191&gt;=75,"TIER 4",IF($E191&gt;=70,"TIER 5",IF($E191&gt;=65,"TIER 6","TIER 7")))))))</f>
        <v/>
      </c>
      <c r="G191" s="4">
        <f>INDEX('Draft Engine'!$G$3:$G$232,$P191)</f>
        <v/>
      </c>
      <c r="H191" s="4">
        <f>INDEX('Draft Engine'!$J$3:$J$232,$P191)</f>
        <v/>
      </c>
      <c r="I191" s="4">
        <f>INDEX('Draft Engine'!$N$3:$N$232,$P191)</f>
        <v/>
      </c>
      <c r="J191" s="4">
        <f>INDEX('Draft Engine'!$R$3:$R$232,$P191)</f>
        <v/>
      </c>
      <c r="K191" s="4">
        <f>INDEX('Draft Engine'!$S$3:$S$232,$P191)</f>
        <v/>
      </c>
      <c r="L191">
        <f>INDEX('Draft Engine'!$T$3:$T$232,$P191)</f>
        <v/>
      </c>
      <c r="M191">
        <f>INDEX('Draft Engine'!$X$3:$X$232,$P191)</f>
        <v/>
      </c>
      <c r="N191">
        <f>INDEX('LIVE SOURCE'!$H$3:$H$232,$P191)</f>
        <v/>
      </c>
      <c r="O191">
        <f>INDEX('LIVE SOURCE'!$J$3:$J$232,$P191)</f>
        <v/>
      </c>
      <c r="P191" s="6">
        <f>MATCH($A191,'Draft Engine'!$Q$3:$Q$232,0)</f>
        <v/>
      </c>
    </row>
    <row r="192">
      <c r="A192">
        <f>190</f>
        <v/>
      </c>
      <c r="B192">
        <f>INDEX('Draft Engine'!$A$3:$A$232,$P192)</f>
        <v/>
      </c>
      <c r="C192">
        <f>INDEX('Draft Engine'!$F$3:$F$232,$P192)</f>
        <v/>
      </c>
      <c r="D192">
        <f>INDEX('Draft Engine'!$B$3:$B$232,$P192)</f>
        <v/>
      </c>
      <c r="E192" s="4">
        <f>INDEX('Draft Engine'!$E$3:$E$232,$P192)</f>
        <v/>
      </c>
      <c r="F192">
        <f>IF($E192&gt;=95,"ELITE",IF($E192&gt;=90,"TIER 1",IF($E192&gt;=85,"TIER 2",IF($E192&gt;=80,"TIER 3",IF($E192&gt;=75,"TIER 4",IF($E192&gt;=70,"TIER 5",IF($E192&gt;=65,"TIER 6","TIER 7")))))))</f>
        <v/>
      </c>
      <c r="G192" s="4">
        <f>INDEX('Draft Engine'!$G$3:$G$232,$P192)</f>
        <v/>
      </c>
      <c r="H192" s="4">
        <f>INDEX('Draft Engine'!$J$3:$J$232,$P192)</f>
        <v/>
      </c>
      <c r="I192" s="4">
        <f>INDEX('Draft Engine'!$N$3:$N$232,$P192)</f>
        <v/>
      </c>
      <c r="J192" s="4">
        <f>INDEX('Draft Engine'!$R$3:$R$232,$P192)</f>
        <v/>
      </c>
      <c r="K192" s="4">
        <f>INDEX('Draft Engine'!$S$3:$S$232,$P192)</f>
        <v/>
      </c>
      <c r="L192">
        <f>INDEX('Draft Engine'!$T$3:$T$232,$P192)</f>
        <v/>
      </c>
      <c r="M192">
        <f>INDEX('Draft Engine'!$X$3:$X$232,$P192)</f>
        <v/>
      </c>
      <c r="N192">
        <f>INDEX('LIVE SOURCE'!$H$3:$H$232,$P192)</f>
        <v/>
      </c>
      <c r="O192">
        <f>INDEX('LIVE SOURCE'!$J$3:$J$232,$P192)</f>
        <v/>
      </c>
      <c r="P192" s="6">
        <f>MATCH($A192,'Draft Engine'!$Q$3:$Q$232,0)</f>
        <v/>
      </c>
    </row>
    <row r="193">
      <c r="A193">
        <f>191</f>
        <v/>
      </c>
      <c r="B193">
        <f>INDEX('Draft Engine'!$A$3:$A$232,$P193)</f>
        <v/>
      </c>
      <c r="C193">
        <f>INDEX('Draft Engine'!$F$3:$F$232,$P193)</f>
        <v/>
      </c>
      <c r="D193">
        <f>INDEX('Draft Engine'!$B$3:$B$232,$P193)</f>
        <v/>
      </c>
      <c r="E193" s="4">
        <f>INDEX('Draft Engine'!$E$3:$E$232,$P193)</f>
        <v/>
      </c>
      <c r="F193">
        <f>IF($E193&gt;=95,"ELITE",IF($E193&gt;=90,"TIER 1",IF($E193&gt;=85,"TIER 2",IF($E193&gt;=80,"TIER 3",IF($E193&gt;=75,"TIER 4",IF($E193&gt;=70,"TIER 5",IF($E193&gt;=65,"TIER 6","TIER 7")))))))</f>
        <v/>
      </c>
      <c r="G193" s="4">
        <f>INDEX('Draft Engine'!$G$3:$G$232,$P193)</f>
        <v/>
      </c>
      <c r="H193" s="4">
        <f>INDEX('Draft Engine'!$J$3:$J$232,$P193)</f>
        <v/>
      </c>
      <c r="I193" s="4">
        <f>INDEX('Draft Engine'!$N$3:$N$232,$P193)</f>
        <v/>
      </c>
      <c r="J193" s="4">
        <f>INDEX('Draft Engine'!$R$3:$R$232,$P193)</f>
        <v/>
      </c>
      <c r="K193" s="4">
        <f>INDEX('Draft Engine'!$S$3:$S$232,$P193)</f>
        <v/>
      </c>
      <c r="L193">
        <f>INDEX('Draft Engine'!$T$3:$T$232,$P193)</f>
        <v/>
      </c>
      <c r="M193">
        <f>INDEX('Draft Engine'!$X$3:$X$232,$P193)</f>
        <v/>
      </c>
      <c r="N193">
        <f>INDEX('LIVE SOURCE'!$H$3:$H$232,$P193)</f>
        <v/>
      </c>
      <c r="O193">
        <f>INDEX('LIVE SOURCE'!$J$3:$J$232,$P193)</f>
        <v/>
      </c>
      <c r="P193" s="6">
        <f>MATCH($A193,'Draft Engine'!$Q$3:$Q$232,0)</f>
        <v/>
      </c>
    </row>
    <row r="194">
      <c r="A194">
        <f>192</f>
        <v/>
      </c>
      <c r="B194">
        <f>INDEX('Draft Engine'!$A$3:$A$232,$P194)</f>
        <v/>
      </c>
      <c r="C194">
        <f>INDEX('Draft Engine'!$F$3:$F$232,$P194)</f>
        <v/>
      </c>
      <c r="D194">
        <f>INDEX('Draft Engine'!$B$3:$B$232,$P194)</f>
        <v/>
      </c>
      <c r="E194" s="4">
        <f>INDEX('Draft Engine'!$E$3:$E$232,$P194)</f>
        <v/>
      </c>
      <c r="F194">
        <f>IF($E194&gt;=95,"ELITE",IF($E194&gt;=90,"TIER 1",IF($E194&gt;=85,"TIER 2",IF($E194&gt;=80,"TIER 3",IF($E194&gt;=75,"TIER 4",IF($E194&gt;=70,"TIER 5",IF($E194&gt;=65,"TIER 6","TIER 7")))))))</f>
        <v/>
      </c>
      <c r="G194" s="4">
        <f>INDEX('Draft Engine'!$G$3:$G$232,$P194)</f>
        <v/>
      </c>
      <c r="H194" s="4">
        <f>INDEX('Draft Engine'!$J$3:$J$232,$P194)</f>
        <v/>
      </c>
      <c r="I194" s="4">
        <f>INDEX('Draft Engine'!$N$3:$N$232,$P194)</f>
        <v/>
      </c>
      <c r="J194" s="4">
        <f>INDEX('Draft Engine'!$R$3:$R$232,$P194)</f>
        <v/>
      </c>
      <c r="K194" s="4">
        <f>INDEX('Draft Engine'!$S$3:$S$232,$P194)</f>
        <v/>
      </c>
      <c r="L194">
        <f>INDEX('Draft Engine'!$T$3:$T$232,$P194)</f>
        <v/>
      </c>
      <c r="M194">
        <f>INDEX('Draft Engine'!$X$3:$X$232,$P194)</f>
        <v/>
      </c>
      <c r="N194">
        <f>INDEX('LIVE SOURCE'!$H$3:$H$232,$P194)</f>
        <v/>
      </c>
      <c r="O194">
        <f>INDEX('LIVE SOURCE'!$J$3:$J$232,$P194)</f>
        <v/>
      </c>
      <c r="P194" s="6">
        <f>MATCH($A194,'Draft Engine'!$Q$3:$Q$232,0)</f>
        <v/>
      </c>
    </row>
    <row r="195">
      <c r="A195">
        <f>193</f>
        <v/>
      </c>
      <c r="B195">
        <f>INDEX('Draft Engine'!$A$3:$A$232,$P195)</f>
        <v/>
      </c>
      <c r="C195">
        <f>INDEX('Draft Engine'!$F$3:$F$232,$P195)</f>
        <v/>
      </c>
      <c r="D195">
        <f>INDEX('Draft Engine'!$B$3:$B$232,$P195)</f>
        <v/>
      </c>
      <c r="E195" s="4">
        <f>INDEX('Draft Engine'!$E$3:$E$232,$P195)</f>
        <v/>
      </c>
      <c r="F195">
        <f>IF($E195&gt;=95,"ELITE",IF($E195&gt;=90,"TIER 1",IF($E195&gt;=85,"TIER 2",IF($E195&gt;=80,"TIER 3",IF($E195&gt;=75,"TIER 4",IF($E195&gt;=70,"TIER 5",IF($E195&gt;=65,"TIER 6","TIER 7")))))))</f>
        <v/>
      </c>
      <c r="G195" s="4">
        <f>INDEX('Draft Engine'!$G$3:$G$232,$P195)</f>
        <v/>
      </c>
      <c r="H195" s="4">
        <f>INDEX('Draft Engine'!$J$3:$J$232,$P195)</f>
        <v/>
      </c>
      <c r="I195" s="4">
        <f>INDEX('Draft Engine'!$N$3:$N$232,$P195)</f>
        <v/>
      </c>
      <c r="J195" s="4">
        <f>INDEX('Draft Engine'!$R$3:$R$232,$P195)</f>
        <v/>
      </c>
      <c r="K195" s="4">
        <f>INDEX('Draft Engine'!$S$3:$S$232,$P195)</f>
        <v/>
      </c>
      <c r="L195">
        <f>INDEX('Draft Engine'!$T$3:$T$232,$P195)</f>
        <v/>
      </c>
      <c r="M195">
        <f>INDEX('Draft Engine'!$X$3:$X$232,$P195)</f>
        <v/>
      </c>
      <c r="N195">
        <f>INDEX('LIVE SOURCE'!$H$3:$H$232,$P195)</f>
        <v/>
      </c>
      <c r="O195">
        <f>INDEX('LIVE SOURCE'!$J$3:$J$232,$P195)</f>
        <v/>
      </c>
      <c r="P195" s="6">
        <f>MATCH($A195,'Draft Engine'!$Q$3:$Q$232,0)</f>
        <v/>
      </c>
    </row>
    <row r="196">
      <c r="A196">
        <f>194</f>
        <v/>
      </c>
      <c r="B196">
        <f>INDEX('Draft Engine'!$A$3:$A$232,$P196)</f>
        <v/>
      </c>
      <c r="C196">
        <f>INDEX('Draft Engine'!$F$3:$F$232,$P196)</f>
        <v/>
      </c>
      <c r="D196">
        <f>INDEX('Draft Engine'!$B$3:$B$232,$P196)</f>
        <v/>
      </c>
      <c r="E196" s="4">
        <f>INDEX('Draft Engine'!$E$3:$E$232,$P196)</f>
        <v/>
      </c>
      <c r="F196">
        <f>IF($E196&gt;=95,"ELITE",IF($E196&gt;=90,"TIER 1",IF($E196&gt;=85,"TIER 2",IF($E196&gt;=80,"TIER 3",IF($E196&gt;=75,"TIER 4",IF($E196&gt;=70,"TIER 5",IF($E196&gt;=65,"TIER 6","TIER 7")))))))</f>
        <v/>
      </c>
      <c r="G196" s="4">
        <f>INDEX('Draft Engine'!$G$3:$G$232,$P196)</f>
        <v/>
      </c>
      <c r="H196" s="4">
        <f>INDEX('Draft Engine'!$J$3:$J$232,$P196)</f>
        <v/>
      </c>
      <c r="I196" s="4">
        <f>INDEX('Draft Engine'!$N$3:$N$232,$P196)</f>
        <v/>
      </c>
      <c r="J196" s="4">
        <f>INDEX('Draft Engine'!$R$3:$R$232,$P196)</f>
        <v/>
      </c>
      <c r="K196" s="4">
        <f>INDEX('Draft Engine'!$S$3:$S$232,$P196)</f>
        <v/>
      </c>
      <c r="L196">
        <f>INDEX('Draft Engine'!$T$3:$T$232,$P196)</f>
        <v/>
      </c>
      <c r="M196">
        <f>INDEX('Draft Engine'!$X$3:$X$232,$P196)</f>
        <v/>
      </c>
      <c r="N196">
        <f>INDEX('LIVE SOURCE'!$H$3:$H$232,$P196)</f>
        <v/>
      </c>
      <c r="O196">
        <f>INDEX('LIVE SOURCE'!$J$3:$J$232,$P196)</f>
        <v/>
      </c>
      <c r="P196" s="6">
        <f>MATCH($A196,'Draft Engine'!$Q$3:$Q$232,0)</f>
        <v/>
      </c>
    </row>
    <row r="197">
      <c r="A197">
        <f>195</f>
        <v/>
      </c>
      <c r="B197">
        <f>INDEX('Draft Engine'!$A$3:$A$232,$P197)</f>
        <v/>
      </c>
      <c r="C197">
        <f>INDEX('Draft Engine'!$F$3:$F$232,$P197)</f>
        <v/>
      </c>
      <c r="D197">
        <f>INDEX('Draft Engine'!$B$3:$B$232,$P197)</f>
        <v/>
      </c>
      <c r="E197" s="4">
        <f>INDEX('Draft Engine'!$E$3:$E$232,$P197)</f>
        <v/>
      </c>
      <c r="F197">
        <f>IF($E197&gt;=95,"ELITE",IF($E197&gt;=90,"TIER 1",IF($E197&gt;=85,"TIER 2",IF($E197&gt;=80,"TIER 3",IF($E197&gt;=75,"TIER 4",IF($E197&gt;=70,"TIER 5",IF($E197&gt;=65,"TIER 6","TIER 7")))))))</f>
        <v/>
      </c>
      <c r="G197" s="4">
        <f>INDEX('Draft Engine'!$G$3:$G$232,$P197)</f>
        <v/>
      </c>
      <c r="H197" s="4">
        <f>INDEX('Draft Engine'!$J$3:$J$232,$P197)</f>
        <v/>
      </c>
      <c r="I197" s="4">
        <f>INDEX('Draft Engine'!$N$3:$N$232,$P197)</f>
        <v/>
      </c>
      <c r="J197" s="4">
        <f>INDEX('Draft Engine'!$R$3:$R$232,$P197)</f>
        <v/>
      </c>
      <c r="K197" s="4">
        <f>INDEX('Draft Engine'!$S$3:$S$232,$P197)</f>
        <v/>
      </c>
      <c r="L197">
        <f>INDEX('Draft Engine'!$T$3:$T$232,$P197)</f>
        <v/>
      </c>
      <c r="M197">
        <f>INDEX('Draft Engine'!$X$3:$X$232,$P197)</f>
        <v/>
      </c>
      <c r="N197">
        <f>INDEX('LIVE SOURCE'!$H$3:$H$232,$P197)</f>
        <v/>
      </c>
      <c r="O197">
        <f>INDEX('LIVE SOURCE'!$J$3:$J$232,$P197)</f>
        <v/>
      </c>
      <c r="P197" s="6">
        <f>MATCH($A197,'Draft Engine'!$Q$3:$Q$232,0)</f>
        <v/>
      </c>
    </row>
    <row r="198">
      <c r="A198">
        <f>196</f>
        <v/>
      </c>
      <c r="B198">
        <f>INDEX('Draft Engine'!$A$3:$A$232,$P198)</f>
        <v/>
      </c>
      <c r="C198">
        <f>INDEX('Draft Engine'!$F$3:$F$232,$P198)</f>
        <v/>
      </c>
      <c r="D198">
        <f>INDEX('Draft Engine'!$B$3:$B$232,$P198)</f>
        <v/>
      </c>
      <c r="E198" s="4">
        <f>INDEX('Draft Engine'!$E$3:$E$232,$P198)</f>
        <v/>
      </c>
      <c r="F198">
        <f>IF($E198&gt;=95,"ELITE",IF($E198&gt;=90,"TIER 1",IF($E198&gt;=85,"TIER 2",IF($E198&gt;=80,"TIER 3",IF($E198&gt;=75,"TIER 4",IF($E198&gt;=70,"TIER 5",IF($E198&gt;=65,"TIER 6","TIER 7")))))))</f>
        <v/>
      </c>
      <c r="G198" s="4">
        <f>INDEX('Draft Engine'!$G$3:$G$232,$P198)</f>
        <v/>
      </c>
      <c r="H198" s="4">
        <f>INDEX('Draft Engine'!$J$3:$J$232,$P198)</f>
        <v/>
      </c>
      <c r="I198" s="4">
        <f>INDEX('Draft Engine'!$N$3:$N$232,$P198)</f>
        <v/>
      </c>
      <c r="J198" s="4">
        <f>INDEX('Draft Engine'!$R$3:$R$232,$P198)</f>
        <v/>
      </c>
      <c r="K198" s="4">
        <f>INDEX('Draft Engine'!$S$3:$S$232,$P198)</f>
        <v/>
      </c>
      <c r="L198">
        <f>INDEX('Draft Engine'!$T$3:$T$232,$P198)</f>
        <v/>
      </c>
      <c r="M198">
        <f>INDEX('Draft Engine'!$X$3:$X$232,$P198)</f>
        <v/>
      </c>
      <c r="N198">
        <f>INDEX('LIVE SOURCE'!$H$3:$H$232,$P198)</f>
        <v/>
      </c>
      <c r="O198">
        <f>INDEX('LIVE SOURCE'!$J$3:$J$232,$P198)</f>
        <v/>
      </c>
      <c r="P198" s="6">
        <f>MATCH($A198,'Draft Engine'!$Q$3:$Q$232,0)</f>
        <v/>
      </c>
    </row>
    <row r="199">
      <c r="A199">
        <f>197</f>
        <v/>
      </c>
      <c r="B199">
        <f>INDEX('Draft Engine'!$A$3:$A$232,$P199)</f>
        <v/>
      </c>
      <c r="C199">
        <f>INDEX('Draft Engine'!$F$3:$F$232,$P199)</f>
        <v/>
      </c>
      <c r="D199">
        <f>INDEX('Draft Engine'!$B$3:$B$232,$P199)</f>
        <v/>
      </c>
      <c r="E199" s="4">
        <f>INDEX('Draft Engine'!$E$3:$E$232,$P199)</f>
        <v/>
      </c>
      <c r="F199">
        <f>IF($E199&gt;=95,"ELITE",IF($E199&gt;=90,"TIER 1",IF($E199&gt;=85,"TIER 2",IF($E199&gt;=80,"TIER 3",IF($E199&gt;=75,"TIER 4",IF($E199&gt;=70,"TIER 5",IF($E199&gt;=65,"TIER 6","TIER 7")))))))</f>
        <v/>
      </c>
      <c r="G199" s="4">
        <f>INDEX('Draft Engine'!$G$3:$G$232,$P199)</f>
        <v/>
      </c>
      <c r="H199" s="4">
        <f>INDEX('Draft Engine'!$J$3:$J$232,$P199)</f>
        <v/>
      </c>
      <c r="I199" s="4">
        <f>INDEX('Draft Engine'!$N$3:$N$232,$P199)</f>
        <v/>
      </c>
      <c r="J199" s="4">
        <f>INDEX('Draft Engine'!$R$3:$R$232,$P199)</f>
        <v/>
      </c>
      <c r="K199" s="4">
        <f>INDEX('Draft Engine'!$S$3:$S$232,$P199)</f>
        <v/>
      </c>
      <c r="L199">
        <f>INDEX('Draft Engine'!$T$3:$T$232,$P199)</f>
        <v/>
      </c>
      <c r="M199">
        <f>INDEX('Draft Engine'!$X$3:$X$232,$P199)</f>
        <v/>
      </c>
      <c r="N199">
        <f>INDEX('LIVE SOURCE'!$H$3:$H$232,$P199)</f>
        <v/>
      </c>
      <c r="O199">
        <f>INDEX('LIVE SOURCE'!$J$3:$J$232,$P199)</f>
        <v/>
      </c>
      <c r="P199" s="6">
        <f>MATCH($A199,'Draft Engine'!$Q$3:$Q$232,0)</f>
        <v/>
      </c>
    </row>
    <row r="200">
      <c r="A200">
        <f>198</f>
        <v/>
      </c>
      <c r="B200">
        <f>INDEX('Draft Engine'!$A$3:$A$232,$P200)</f>
        <v/>
      </c>
      <c r="C200">
        <f>INDEX('Draft Engine'!$F$3:$F$232,$P200)</f>
        <v/>
      </c>
      <c r="D200">
        <f>INDEX('Draft Engine'!$B$3:$B$232,$P200)</f>
        <v/>
      </c>
      <c r="E200" s="4">
        <f>INDEX('Draft Engine'!$E$3:$E$232,$P200)</f>
        <v/>
      </c>
      <c r="F200">
        <f>IF($E200&gt;=95,"ELITE",IF($E200&gt;=90,"TIER 1",IF($E200&gt;=85,"TIER 2",IF($E200&gt;=80,"TIER 3",IF($E200&gt;=75,"TIER 4",IF($E200&gt;=70,"TIER 5",IF($E200&gt;=65,"TIER 6","TIER 7")))))))</f>
        <v/>
      </c>
      <c r="G200" s="4">
        <f>INDEX('Draft Engine'!$G$3:$G$232,$P200)</f>
        <v/>
      </c>
      <c r="H200" s="4">
        <f>INDEX('Draft Engine'!$J$3:$J$232,$P200)</f>
        <v/>
      </c>
      <c r="I200" s="4">
        <f>INDEX('Draft Engine'!$N$3:$N$232,$P200)</f>
        <v/>
      </c>
      <c r="J200" s="4">
        <f>INDEX('Draft Engine'!$R$3:$R$232,$P200)</f>
        <v/>
      </c>
      <c r="K200" s="4">
        <f>INDEX('Draft Engine'!$S$3:$S$232,$P200)</f>
        <v/>
      </c>
      <c r="L200">
        <f>INDEX('Draft Engine'!$T$3:$T$232,$P200)</f>
        <v/>
      </c>
      <c r="M200">
        <f>INDEX('Draft Engine'!$X$3:$X$232,$P200)</f>
        <v/>
      </c>
      <c r="N200">
        <f>INDEX('LIVE SOURCE'!$H$3:$H$232,$P200)</f>
        <v/>
      </c>
      <c r="O200">
        <f>INDEX('LIVE SOURCE'!$J$3:$J$232,$P200)</f>
        <v/>
      </c>
      <c r="P200" s="6">
        <f>MATCH($A200,'Draft Engine'!$Q$3:$Q$232,0)</f>
        <v/>
      </c>
    </row>
    <row r="201">
      <c r="A201">
        <f>199</f>
        <v/>
      </c>
      <c r="B201">
        <f>INDEX('Draft Engine'!$A$3:$A$232,$P201)</f>
        <v/>
      </c>
      <c r="C201">
        <f>INDEX('Draft Engine'!$F$3:$F$232,$P201)</f>
        <v/>
      </c>
      <c r="D201">
        <f>INDEX('Draft Engine'!$B$3:$B$232,$P201)</f>
        <v/>
      </c>
      <c r="E201" s="4">
        <f>INDEX('Draft Engine'!$E$3:$E$232,$P201)</f>
        <v/>
      </c>
      <c r="F201">
        <f>IF($E201&gt;=95,"ELITE",IF($E201&gt;=90,"TIER 1",IF($E201&gt;=85,"TIER 2",IF($E201&gt;=80,"TIER 3",IF($E201&gt;=75,"TIER 4",IF($E201&gt;=70,"TIER 5",IF($E201&gt;=65,"TIER 6","TIER 7")))))))</f>
        <v/>
      </c>
      <c r="G201" s="4">
        <f>INDEX('Draft Engine'!$G$3:$G$232,$P201)</f>
        <v/>
      </c>
      <c r="H201" s="4">
        <f>INDEX('Draft Engine'!$J$3:$J$232,$P201)</f>
        <v/>
      </c>
      <c r="I201" s="4">
        <f>INDEX('Draft Engine'!$N$3:$N$232,$P201)</f>
        <v/>
      </c>
      <c r="J201" s="4">
        <f>INDEX('Draft Engine'!$R$3:$R$232,$P201)</f>
        <v/>
      </c>
      <c r="K201" s="4">
        <f>INDEX('Draft Engine'!$S$3:$S$232,$P201)</f>
        <v/>
      </c>
      <c r="L201">
        <f>INDEX('Draft Engine'!$T$3:$T$232,$P201)</f>
        <v/>
      </c>
      <c r="M201">
        <f>INDEX('Draft Engine'!$X$3:$X$232,$P201)</f>
        <v/>
      </c>
      <c r="N201">
        <f>INDEX('LIVE SOURCE'!$H$3:$H$232,$P201)</f>
        <v/>
      </c>
      <c r="O201">
        <f>INDEX('LIVE SOURCE'!$J$3:$J$232,$P201)</f>
        <v/>
      </c>
      <c r="P201" s="6">
        <f>MATCH($A201,'Draft Engine'!$Q$3:$Q$232,0)</f>
        <v/>
      </c>
    </row>
    <row r="202">
      <c r="A202">
        <f>200</f>
        <v/>
      </c>
      <c r="B202">
        <f>INDEX('Draft Engine'!$A$3:$A$232,$P202)</f>
        <v/>
      </c>
      <c r="C202">
        <f>INDEX('Draft Engine'!$F$3:$F$232,$P202)</f>
        <v/>
      </c>
      <c r="D202">
        <f>INDEX('Draft Engine'!$B$3:$B$232,$P202)</f>
        <v/>
      </c>
      <c r="E202" s="4">
        <f>INDEX('Draft Engine'!$E$3:$E$232,$P202)</f>
        <v/>
      </c>
      <c r="F202">
        <f>IF($E202&gt;=95,"ELITE",IF($E202&gt;=90,"TIER 1",IF($E202&gt;=85,"TIER 2",IF($E202&gt;=80,"TIER 3",IF($E202&gt;=75,"TIER 4",IF($E202&gt;=70,"TIER 5",IF($E202&gt;=65,"TIER 6","TIER 7")))))))</f>
        <v/>
      </c>
      <c r="G202" s="4">
        <f>INDEX('Draft Engine'!$G$3:$G$232,$P202)</f>
        <v/>
      </c>
      <c r="H202" s="4">
        <f>INDEX('Draft Engine'!$J$3:$J$232,$P202)</f>
        <v/>
      </c>
      <c r="I202" s="4">
        <f>INDEX('Draft Engine'!$N$3:$N$232,$P202)</f>
        <v/>
      </c>
      <c r="J202" s="4">
        <f>INDEX('Draft Engine'!$R$3:$R$232,$P202)</f>
        <v/>
      </c>
      <c r="K202" s="4">
        <f>INDEX('Draft Engine'!$S$3:$S$232,$P202)</f>
        <v/>
      </c>
      <c r="L202">
        <f>INDEX('Draft Engine'!$T$3:$T$232,$P202)</f>
        <v/>
      </c>
      <c r="M202">
        <f>INDEX('Draft Engine'!$X$3:$X$232,$P202)</f>
        <v/>
      </c>
      <c r="N202">
        <f>INDEX('LIVE SOURCE'!$H$3:$H$232,$P202)</f>
        <v/>
      </c>
      <c r="O202">
        <f>INDEX('LIVE SOURCE'!$J$3:$J$232,$P202)</f>
        <v/>
      </c>
      <c r="P202" s="6">
        <f>MATCH($A202,'Draft Engine'!$Q$3:$Q$232,0)</f>
        <v/>
      </c>
    </row>
    <row r="203">
      <c r="A203">
        <f>201</f>
        <v/>
      </c>
      <c r="B203">
        <f>INDEX('Draft Engine'!$A$3:$A$232,$P203)</f>
        <v/>
      </c>
      <c r="C203">
        <f>INDEX('Draft Engine'!$F$3:$F$232,$P203)</f>
        <v/>
      </c>
      <c r="D203">
        <f>INDEX('Draft Engine'!$B$3:$B$232,$P203)</f>
        <v/>
      </c>
      <c r="E203" s="4">
        <f>INDEX('Draft Engine'!$E$3:$E$232,$P203)</f>
        <v/>
      </c>
      <c r="F203">
        <f>IF($E203&gt;=95,"ELITE",IF($E203&gt;=90,"TIER 1",IF($E203&gt;=85,"TIER 2",IF($E203&gt;=80,"TIER 3",IF($E203&gt;=75,"TIER 4",IF($E203&gt;=70,"TIER 5",IF($E203&gt;=65,"TIER 6","TIER 7")))))))</f>
        <v/>
      </c>
      <c r="G203" s="4">
        <f>INDEX('Draft Engine'!$G$3:$G$232,$P203)</f>
        <v/>
      </c>
      <c r="H203" s="4">
        <f>INDEX('Draft Engine'!$J$3:$J$232,$P203)</f>
        <v/>
      </c>
      <c r="I203" s="4">
        <f>INDEX('Draft Engine'!$N$3:$N$232,$P203)</f>
        <v/>
      </c>
      <c r="J203" s="4">
        <f>INDEX('Draft Engine'!$R$3:$R$232,$P203)</f>
        <v/>
      </c>
      <c r="K203" s="4">
        <f>INDEX('Draft Engine'!$S$3:$S$232,$P203)</f>
        <v/>
      </c>
      <c r="L203">
        <f>INDEX('Draft Engine'!$T$3:$T$232,$P203)</f>
        <v/>
      </c>
      <c r="M203">
        <f>INDEX('Draft Engine'!$X$3:$X$232,$P203)</f>
        <v/>
      </c>
      <c r="N203">
        <f>INDEX('LIVE SOURCE'!$H$3:$H$232,$P203)</f>
        <v/>
      </c>
      <c r="O203">
        <f>INDEX('LIVE SOURCE'!$J$3:$J$232,$P203)</f>
        <v/>
      </c>
      <c r="P203" s="6">
        <f>MATCH($A203,'Draft Engine'!$Q$3:$Q$232,0)</f>
        <v/>
      </c>
    </row>
    <row r="204">
      <c r="A204">
        <f>202</f>
        <v/>
      </c>
      <c r="B204">
        <f>INDEX('Draft Engine'!$A$3:$A$232,$P204)</f>
        <v/>
      </c>
      <c r="C204">
        <f>INDEX('Draft Engine'!$F$3:$F$232,$P204)</f>
        <v/>
      </c>
      <c r="D204">
        <f>INDEX('Draft Engine'!$B$3:$B$232,$P204)</f>
        <v/>
      </c>
      <c r="E204" s="4">
        <f>INDEX('Draft Engine'!$E$3:$E$232,$P204)</f>
        <v/>
      </c>
      <c r="F204">
        <f>IF($E204&gt;=95,"ELITE",IF($E204&gt;=90,"TIER 1",IF($E204&gt;=85,"TIER 2",IF($E204&gt;=80,"TIER 3",IF($E204&gt;=75,"TIER 4",IF($E204&gt;=70,"TIER 5",IF($E204&gt;=65,"TIER 6","TIER 7")))))))</f>
        <v/>
      </c>
      <c r="G204" s="4">
        <f>INDEX('Draft Engine'!$G$3:$G$232,$P204)</f>
        <v/>
      </c>
      <c r="H204" s="4">
        <f>INDEX('Draft Engine'!$J$3:$J$232,$P204)</f>
        <v/>
      </c>
      <c r="I204" s="4">
        <f>INDEX('Draft Engine'!$N$3:$N$232,$P204)</f>
        <v/>
      </c>
      <c r="J204" s="4">
        <f>INDEX('Draft Engine'!$R$3:$R$232,$P204)</f>
        <v/>
      </c>
      <c r="K204" s="4">
        <f>INDEX('Draft Engine'!$S$3:$S$232,$P204)</f>
        <v/>
      </c>
      <c r="L204">
        <f>INDEX('Draft Engine'!$T$3:$T$232,$P204)</f>
        <v/>
      </c>
      <c r="M204">
        <f>INDEX('Draft Engine'!$X$3:$X$232,$P204)</f>
        <v/>
      </c>
      <c r="N204">
        <f>INDEX('LIVE SOURCE'!$H$3:$H$232,$P204)</f>
        <v/>
      </c>
      <c r="O204">
        <f>INDEX('LIVE SOURCE'!$J$3:$J$232,$P204)</f>
        <v/>
      </c>
      <c r="P204" s="6">
        <f>MATCH($A204,'Draft Engine'!$Q$3:$Q$232,0)</f>
        <v/>
      </c>
    </row>
    <row r="205">
      <c r="A205">
        <f>203</f>
        <v/>
      </c>
      <c r="B205">
        <f>INDEX('Draft Engine'!$A$3:$A$232,$P205)</f>
        <v/>
      </c>
      <c r="C205">
        <f>INDEX('Draft Engine'!$F$3:$F$232,$P205)</f>
        <v/>
      </c>
      <c r="D205">
        <f>INDEX('Draft Engine'!$B$3:$B$232,$P205)</f>
        <v/>
      </c>
      <c r="E205" s="4">
        <f>INDEX('Draft Engine'!$E$3:$E$232,$P205)</f>
        <v/>
      </c>
      <c r="F205">
        <f>IF($E205&gt;=95,"ELITE",IF($E205&gt;=90,"TIER 1",IF($E205&gt;=85,"TIER 2",IF($E205&gt;=80,"TIER 3",IF($E205&gt;=75,"TIER 4",IF($E205&gt;=70,"TIER 5",IF($E205&gt;=65,"TIER 6","TIER 7")))))))</f>
        <v/>
      </c>
      <c r="G205" s="4">
        <f>INDEX('Draft Engine'!$G$3:$G$232,$P205)</f>
        <v/>
      </c>
      <c r="H205" s="4">
        <f>INDEX('Draft Engine'!$J$3:$J$232,$P205)</f>
        <v/>
      </c>
      <c r="I205" s="4">
        <f>INDEX('Draft Engine'!$N$3:$N$232,$P205)</f>
        <v/>
      </c>
      <c r="J205" s="4">
        <f>INDEX('Draft Engine'!$R$3:$R$232,$P205)</f>
        <v/>
      </c>
      <c r="K205" s="4">
        <f>INDEX('Draft Engine'!$S$3:$S$232,$P205)</f>
        <v/>
      </c>
      <c r="L205">
        <f>INDEX('Draft Engine'!$T$3:$T$232,$P205)</f>
        <v/>
      </c>
      <c r="M205">
        <f>INDEX('Draft Engine'!$X$3:$X$232,$P205)</f>
        <v/>
      </c>
      <c r="N205">
        <f>INDEX('LIVE SOURCE'!$H$3:$H$232,$P205)</f>
        <v/>
      </c>
      <c r="O205">
        <f>INDEX('LIVE SOURCE'!$J$3:$J$232,$P205)</f>
        <v/>
      </c>
      <c r="P205" s="6">
        <f>MATCH($A205,'Draft Engine'!$Q$3:$Q$232,0)</f>
        <v/>
      </c>
    </row>
    <row r="206">
      <c r="A206">
        <f>204</f>
        <v/>
      </c>
      <c r="B206">
        <f>INDEX('Draft Engine'!$A$3:$A$232,$P206)</f>
        <v/>
      </c>
      <c r="C206">
        <f>INDEX('Draft Engine'!$F$3:$F$232,$P206)</f>
        <v/>
      </c>
      <c r="D206">
        <f>INDEX('Draft Engine'!$B$3:$B$232,$P206)</f>
        <v/>
      </c>
      <c r="E206" s="4">
        <f>INDEX('Draft Engine'!$E$3:$E$232,$P206)</f>
        <v/>
      </c>
      <c r="F206">
        <f>IF($E206&gt;=95,"ELITE",IF($E206&gt;=90,"TIER 1",IF($E206&gt;=85,"TIER 2",IF($E206&gt;=80,"TIER 3",IF($E206&gt;=75,"TIER 4",IF($E206&gt;=70,"TIER 5",IF($E206&gt;=65,"TIER 6","TIER 7")))))))</f>
        <v/>
      </c>
      <c r="G206" s="4">
        <f>INDEX('Draft Engine'!$G$3:$G$232,$P206)</f>
        <v/>
      </c>
      <c r="H206" s="4">
        <f>INDEX('Draft Engine'!$J$3:$J$232,$P206)</f>
        <v/>
      </c>
      <c r="I206" s="4">
        <f>INDEX('Draft Engine'!$N$3:$N$232,$P206)</f>
        <v/>
      </c>
      <c r="J206" s="4">
        <f>INDEX('Draft Engine'!$R$3:$R$232,$P206)</f>
        <v/>
      </c>
      <c r="K206" s="4">
        <f>INDEX('Draft Engine'!$S$3:$S$232,$P206)</f>
        <v/>
      </c>
      <c r="L206">
        <f>INDEX('Draft Engine'!$T$3:$T$232,$P206)</f>
        <v/>
      </c>
      <c r="M206">
        <f>INDEX('Draft Engine'!$X$3:$X$232,$P206)</f>
        <v/>
      </c>
      <c r="N206">
        <f>INDEX('LIVE SOURCE'!$H$3:$H$232,$P206)</f>
        <v/>
      </c>
      <c r="O206">
        <f>INDEX('LIVE SOURCE'!$J$3:$J$232,$P206)</f>
        <v/>
      </c>
      <c r="P206" s="6">
        <f>MATCH($A206,'Draft Engine'!$Q$3:$Q$232,0)</f>
        <v/>
      </c>
    </row>
    <row r="207">
      <c r="A207">
        <f>205</f>
        <v/>
      </c>
      <c r="B207">
        <f>INDEX('Draft Engine'!$A$3:$A$232,$P207)</f>
        <v/>
      </c>
      <c r="C207">
        <f>INDEX('Draft Engine'!$F$3:$F$232,$P207)</f>
        <v/>
      </c>
      <c r="D207">
        <f>INDEX('Draft Engine'!$B$3:$B$232,$P207)</f>
        <v/>
      </c>
      <c r="E207" s="4">
        <f>INDEX('Draft Engine'!$E$3:$E$232,$P207)</f>
        <v/>
      </c>
      <c r="F207">
        <f>IF($E207&gt;=95,"ELITE",IF($E207&gt;=90,"TIER 1",IF($E207&gt;=85,"TIER 2",IF($E207&gt;=80,"TIER 3",IF($E207&gt;=75,"TIER 4",IF($E207&gt;=70,"TIER 5",IF($E207&gt;=65,"TIER 6","TIER 7")))))))</f>
        <v/>
      </c>
      <c r="G207" s="4">
        <f>INDEX('Draft Engine'!$G$3:$G$232,$P207)</f>
        <v/>
      </c>
      <c r="H207" s="4">
        <f>INDEX('Draft Engine'!$J$3:$J$232,$P207)</f>
        <v/>
      </c>
      <c r="I207" s="4">
        <f>INDEX('Draft Engine'!$N$3:$N$232,$P207)</f>
        <v/>
      </c>
      <c r="J207" s="4">
        <f>INDEX('Draft Engine'!$R$3:$R$232,$P207)</f>
        <v/>
      </c>
      <c r="K207" s="4">
        <f>INDEX('Draft Engine'!$S$3:$S$232,$P207)</f>
        <v/>
      </c>
      <c r="L207">
        <f>INDEX('Draft Engine'!$T$3:$T$232,$P207)</f>
        <v/>
      </c>
      <c r="M207">
        <f>INDEX('Draft Engine'!$X$3:$X$232,$P207)</f>
        <v/>
      </c>
      <c r="N207">
        <f>INDEX('LIVE SOURCE'!$H$3:$H$232,$P207)</f>
        <v/>
      </c>
      <c r="O207">
        <f>INDEX('LIVE SOURCE'!$J$3:$J$232,$P207)</f>
        <v/>
      </c>
      <c r="P207" s="6">
        <f>MATCH($A207,'Draft Engine'!$Q$3:$Q$232,0)</f>
        <v/>
      </c>
    </row>
    <row r="208">
      <c r="A208">
        <f>206</f>
        <v/>
      </c>
      <c r="B208">
        <f>INDEX('Draft Engine'!$A$3:$A$232,$P208)</f>
        <v/>
      </c>
      <c r="C208">
        <f>INDEX('Draft Engine'!$F$3:$F$232,$P208)</f>
        <v/>
      </c>
      <c r="D208">
        <f>INDEX('Draft Engine'!$B$3:$B$232,$P208)</f>
        <v/>
      </c>
      <c r="E208" s="4">
        <f>INDEX('Draft Engine'!$E$3:$E$232,$P208)</f>
        <v/>
      </c>
      <c r="F208">
        <f>IF($E208&gt;=95,"ELITE",IF($E208&gt;=90,"TIER 1",IF($E208&gt;=85,"TIER 2",IF($E208&gt;=80,"TIER 3",IF($E208&gt;=75,"TIER 4",IF($E208&gt;=70,"TIER 5",IF($E208&gt;=65,"TIER 6","TIER 7")))))))</f>
        <v/>
      </c>
      <c r="G208" s="4">
        <f>INDEX('Draft Engine'!$G$3:$G$232,$P208)</f>
        <v/>
      </c>
      <c r="H208" s="4">
        <f>INDEX('Draft Engine'!$J$3:$J$232,$P208)</f>
        <v/>
      </c>
      <c r="I208" s="4">
        <f>INDEX('Draft Engine'!$N$3:$N$232,$P208)</f>
        <v/>
      </c>
      <c r="J208" s="4">
        <f>INDEX('Draft Engine'!$R$3:$R$232,$P208)</f>
        <v/>
      </c>
      <c r="K208" s="4">
        <f>INDEX('Draft Engine'!$S$3:$S$232,$P208)</f>
        <v/>
      </c>
      <c r="L208">
        <f>INDEX('Draft Engine'!$T$3:$T$232,$P208)</f>
        <v/>
      </c>
      <c r="M208">
        <f>INDEX('Draft Engine'!$X$3:$X$232,$P208)</f>
        <v/>
      </c>
      <c r="N208">
        <f>INDEX('LIVE SOURCE'!$H$3:$H$232,$P208)</f>
        <v/>
      </c>
      <c r="O208">
        <f>INDEX('LIVE SOURCE'!$J$3:$J$232,$P208)</f>
        <v/>
      </c>
      <c r="P208" s="6">
        <f>MATCH($A208,'Draft Engine'!$Q$3:$Q$232,0)</f>
        <v/>
      </c>
    </row>
    <row r="209">
      <c r="A209">
        <f>207</f>
        <v/>
      </c>
      <c r="B209">
        <f>INDEX('Draft Engine'!$A$3:$A$232,$P209)</f>
        <v/>
      </c>
      <c r="C209">
        <f>INDEX('Draft Engine'!$F$3:$F$232,$P209)</f>
        <v/>
      </c>
      <c r="D209">
        <f>INDEX('Draft Engine'!$B$3:$B$232,$P209)</f>
        <v/>
      </c>
      <c r="E209" s="4">
        <f>INDEX('Draft Engine'!$E$3:$E$232,$P209)</f>
        <v/>
      </c>
      <c r="F209">
        <f>IF($E209&gt;=95,"ELITE",IF($E209&gt;=90,"TIER 1",IF($E209&gt;=85,"TIER 2",IF($E209&gt;=80,"TIER 3",IF($E209&gt;=75,"TIER 4",IF($E209&gt;=70,"TIER 5",IF($E209&gt;=65,"TIER 6","TIER 7")))))))</f>
        <v/>
      </c>
      <c r="G209" s="4">
        <f>INDEX('Draft Engine'!$G$3:$G$232,$P209)</f>
        <v/>
      </c>
      <c r="H209" s="4">
        <f>INDEX('Draft Engine'!$J$3:$J$232,$P209)</f>
        <v/>
      </c>
      <c r="I209" s="4">
        <f>INDEX('Draft Engine'!$N$3:$N$232,$P209)</f>
        <v/>
      </c>
      <c r="J209" s="4">
        <f>INDEX('Draft Engine'!$R$3:$R$232,$P209)</f>
        <v/>
      </c>
      <c r="K209" s="4">
        <f>INDEX('Draft Engine'!$S$3:$S$232,$P209)</f>
        <v/>
      </c>
      <c r="L209">
        <f>INDEX('Draft Engine'!$T$3:$T$232,$P209)</f>
        <v/>
      </c>
      <c r="M209">
        <f>INDEX('Draft Engine'!$X$3:$X$232,$P209)</f>
        <v/>
      </c>
      <c r="N209">
        <f>INDEX('LIVE SOURCE'!$H$3:$H$232,$P209)</f>
        <v/>
      </c>
      <c r="O209">
        <f>INDEX('LIVE SOURCE'!$J$3:$J$232,$P209)</f>
        <v/>
      </c>
      <c r="P209" s="6">
        <f>MATCH($A209,'Draft Engine'!$Q$3:$Q$232,0)</f>
        <v/>
      </c>
    </row>
    <row r="210">
      <c r="A210">
        <f>208</f>
        <v/>
      </c>
      <c r="B210">
        <f>INDEX('Draft Engine'!$A$3:$A$232,$P210)</f>
        <v/>
      </c>
      <c r="C210">
        <f>INDEX('Draft Engine'!$F$3:$F$232,$P210)</f>
        <v/>
      </c>
      <c r="D210">
        <f>INDEX('Draft Engine'!$B$3:$B$232,$P210)</f>
        <v/>
      </c>
      <c r="E210" s="4">
        <f>INDEX('Draft Engine'!$E$3:$E$232,$P210)</f>
        <v/>
      </c>
      <c r="F210">
        <f>IF($E210&gt;=95,"ELITE",IF($E210&gt;=90,"TIER 1",IF($E210&gt;=85,"TIER 2",IF($E210&gt;=80,"TIER 3",IF($E210&gt;=75,"TIER 4",IF($E210&gt;=70,"TIER 5",IF($E210&gt;=65,"TIER 6","TIER 7")))))))</f>
        <v/>
      </c>
      <c r="G210" s="4">
        <f>INDEX('Draft Engine'!$G$3:$G$232,$P210)</f>
        <v/>
      </c>
      <c r="H210" s="4">
        <f>INDEX('Draft Engine'!$J$3:$J$232,$P210)</f>
        <v/>
      </c>
      <c r="I210" s="4">
        <f>INDEX('Draft Engine'!$N$3:$N$232,$P210)</f>
        <v/>
      </c>
      <c r="J210" s="4">
        <f>INDEX('Draft Engine'!$R$3:$R$232,$P210)</f>
        <v/>
      </c>
      <c r="K210" s="4">
        <f>INDEX('Draft Engine'!$S$3:$S$232,$P210)</f>
        <v/>
      </c>
      <c r="L210">
        <f>INDEX('Draft Engine'!$T$3:$T$232,$P210)</f>
        <v/>
      </c>
      <c r="M210">
        <f>INDEX('Draft Engine'!$X$3:$X$232,$P210)</f>
        <v/>
      </c>
      <c r="N210">
        <f>INDEX('LIVE SOURCE'!$H$3:$H$232,$P210)</f>
        <v/>
      </c>
      <c r="O210">
        <f>INDEX('LIVE SOURCE'!$J$3:$J$232,$P210)</f>
        <v/>
      </c>
      <c r="P210" s="6">
        <f>MATCH($A210,'Draft Engine'!$Q$3:$Q$232,0)</f>
        <v/>
      </c>
    </row>
    <row r="211">
      <c r="A211">
        <f>209</f>
        <v/>
      </c>
      <c r="B211">
        <f>INDEX('Draft Engine'!$A$3:$A$232,$P211)</f>
        <v/>
      </c>
      <c r="C211">
        <f>INDEX('Draft Engine'!$F$3:$F$232,$P211)</f>
        <v/>
      </c>
      <c r="D211">
        <f>INDEX('Draft Engine'!$B$3:$B$232,$P211)</f>
        <v/>
      </c>
      <c r="E211" s="4">
        <f>INDEX('Draft Engine'!$E$3:$E$232,$P211)</f>
        <v/>
      </c>
      <c r="F211">
        <f>IF($E211&gt;=95,"ELITE",IF($E211&gt;=90,"TIER 1",IF($E211&gt;=85,"TIER 2",IF($E211&gt;=80,"TIER 3",IF($E211&gt;=75,"TIER 4",IF($E211&gt;=70,"TIER 5",IF($E211&gt;=65,"TIER 6","TIER 7")))))))</f>
        <v/>
      </c>
      <c r="G211" s="4">
        <f>INDEX('Draft Engine'!$G$3:$G$232,$P211)</f>
        <v/>
      </c>
      <c r="H211" s="4">
        <f>INDEX('Draft Engine'!$J$3:$J$232,$P211)</f>
        <v/>
      </c>
      <c r="I211" s="4">
        <f>INDEX('Draft Engine'!$N$3:$N$232,$P211)</f>
        <v/>
      </c>
      <c r="J211" s="4">
        <f>INDEX('Draft Engine'!$R$3:$R$232,$P211)</f>
        <v/>
      </c>
      <c r="K211" s="4">
        <f>INDEX('Draft Engine'!$S$3:$S$232,$P211)</f>
        <v/>
      </c>
      <c r="L211">
        <f>INDEX('Draft Engine'!$T$3:$T$232,$P211)</f>
        <v/>
      </c>
      <c r="M211">
        <f>INDEX('Draft Engine'!$X$3:$X$232,$P211)</f>
        <v/>
      </c>
      <c r="N211">
        <f>INDEX('LIVE SOURCE'!$H$3:$H$232,$P211)</f>
        <v/>
      </c>
      <c r="O211">
        <f>INDEX('LIVE SOURCE'!$J$3:$J$232,$P211)</f>
        <v/>
      </c>
      <c r="P211" s="6">
        <f>MATCH($A211,'Draft Engine'!$Q$3:$Q$232,0)</f>
        <v/>
      </c>
    </row>
    <row r="212">
      <c r="A212">
        <f>210</f>
        <v/>
      </c>
      <c r="B212">
        <f>INDEX('Draft Engine'!$A$3:$A$232,$P212)</f>
        <v/>
      </c>
      <c r="C212">
        <f>INDEX('Draft Engine'!$F$3:$F$232,$P212)</f>
        <v/>
      </c>
      <c r="D212">
        <f>INDEX('Draft Engine'!$B$3:$B$232,$P212)</f>
        <v/>
      </c>
      <c r="E212" s="4">
        <f>INDEX('Draft Engine'!$E$3:$E$232,$P212)</f>
        <v/>
      </c>
      <c r="F212">
        <f>IF($E212&gt;=95,"ELITE",IF($E212&gt;=90,"TIER 1",IF($E212&gt;=85,"TIER 2",IF($E212&gt;=80,"TIER 3",IF($E212&gt;=75,"TIER 4",IF($E212&gt;=70,"TIER 5",IF($E212&gt;=65,"TIER 6","TIER 7")))))))</f>
        <v/>
      </c>
      <c r="G212" s="4">
        <f>INDEX('Draft Engine'!$G$3:$G$232,$P212)</f>
        <v/>
      </c>
      <c r="H212" s="4">
        <f>INDEX('Draft Engine'!$J$3:$J$232,$P212)</f>
        <v/>
      </c>
      <c r="I212" s="4">
        <f>INDEX('Draft Engine'!$N$3:$N$232,$P212)</f>
        <v/>
      </c>
      <c r="J212" s="4">
        <f>INDEX('Draft Engine'!$R$3:$R$232,$P212)</f>
        <v/>
      </c>
      <c r="K212" s="4">
        <f>INDEX('Draft Engine'!$S$3:$S$232,$P212)</f>
        <v/>
      </c>
      <c r="L212">
        <f>INDEX('Draft Engine'!$T$3:$T$232,$P212)</f>
        <v/>
      </c>
      <c r="M212">
        <f>INDEX('Draft Engine'!$X$3:$X$232,$P212)</f>
        <v/>
      </c>
      <c r="N212">
        <f>INDEX('LIVE SOURCE'!$H$3:$H$232,$P212)</f>
        <v/>
      </c>
      <c r="O212">
        <f>INDEX('LIVE SOURCE'!$J$3:$J$232,$P212)</f>
        <v/>
      </c>
      <c r="P212" s="6">
        <f>MATCH($A212,'Draft Engine'!$Q$3:$Q$232,0)</f>
        <v/>
      </c>
    </row>
    <row r="213">
      <c r="A213">
        <f>211</f>
        <v/>
      </c>
      <c r="B213">
        <f>INDEX('Draft Engine'!$A$3:$A$232,$P213)</f>
        <v/>
      </c>
      <c r="C213">
        <f>INDEX('Draft Engine'!$F$3:$F$232,$P213)</f>
        <v/>
      </c>
      <c r="D213">
        <f>INDEX('Draft Engine'!$B$3:$B$232,$P213)</f>
        <v/>
      </c>
      <c r="E213" s="4">
        <f>INDEX('Draft Engine'!$E$3:$E$232,$P213)</f>
        <v/>
      </c>
      <c r="F213">
        <f>IF($E213&gt;=95,"ELITE",IF($E213&gt;=90,"TIER 1",IF($E213&gt;=85,"TIER 2",IF($E213&gt;=80,"TIER 3",IF($E213&gt;=75,"TIER 4",IF($E213&gt;=70,"TIER 5",IF($E213&gt;=65,"TIER 6","TIER 7")))))))</f>
        <v/>
      </c>
      <c r="G213" s="4">
        <f>INDEX('Draft Engine'!$G$3:$G$232,$P213)</f>
        <v/>
      </c>
      <c r="H213" s="4">
        <f>INDEX('Draft Engine'!$J$3:$J$232,$P213)</f>
        <v/>
      </c>
      <c r="I213" s="4">
        <f>INDEX('Draft Engine'!$N$3:$N$232,$P213)</f>
        <v/>
      </c>
      <c r="J213" s="4">
        <f>INDEX('Draft Engine'!$R$3:$R$232,$P213)</f>
        <v/>
      </c>
      <c r="K213" s="4">
        <f>INDEX('Draft Engine'!$S$3:$S$232,$P213)</f>
        <v/>
      </c>
      <c r="L213">
        <f>INDEX('Draft Engine'!$T$3:$T$232,$P213)</f>
        <v/>
      </c>
      <c r="M213">
        <f>INDEX('Draft Engine'!$X$3:$X$232,$P213)</f>
        <v/>
      </c>
      <c r="N213">
        <f>INDEX('LIVE SOURCE'!$H$3:$H$232,$P213)</f>
        <v/>
      </c>
      <c r="O213">
        <f>INDEX('LIVE SOURCE'!$J$3:$J$232,$P213)</f>
        <v/>
      </c>
      <c r="P213" s="6">
        <f>MATCH($A213,'Draft Engine'!$Q$3:$Q$232,0)</f>
        <v/>
      </c>
    </row>
    <row r="214">
      <c r="A214">
        <f>212</f>
        <v/>
      </c>
      <c r="B214">
        <f>INDEX('Draft Engine'!$A$3:$A$232,$P214)</f>
        <v/>
      </c>
      <c r="C214">
        <f>INDEX('Draft Engine'!$F$3:$F$232,$P214)</f>
        <v/>
      </c>
      <c r="D214">
        <f>INDEX('Draft Engine'!$B$3:$B$232,$P214)</f>
        <v/>
      </c>
      <c r="E214" s="4">
        <f>INDEX('Draft Engine'!$E$3:$E$232,$P214)</f>
        <v/>
      </c>
      <c r="F214">
        <f>IF($E214&gt;=95,"ELITE",IF($E214&gt;=90,"TIER 1",IF($E214&gt;=85,"TIER 2",IF($E214&gt;=80,"TIER 3",IF($E214&gt;=75,"TIER 4",IF($E214&gt;=70,"TIER 5",IF($E214&gt;=65,"TIER 6","TIER 7")))))))</f>
        <v/>
      </c>
      <c r="G214" s="4">
        <f>INDEX('Draft Engine'!$G$3:$G$232,$P214)</f>
        <v/>
      </c>
      <c r="H214" s="4">
        <f>INDEX('Draft Engine'!$J$3:$J$232,$P214)</f>
        <v/>
      </c>
      <c r="I214" s="4">
        <f>INDEX('Draft Engine'!$N$3:$N$232,$P214)</f>
        <v/>
      </c>
      <c r="J214" s="4">
        <f>INDEX('Draft Engine'!$R$3:$R$232,$P214)</f>
        <v/>
      </c>
      <c r="K214" s="4">
        <f>INDEX('Draft Engine'!$S$3:$S$232,$P214)</f>
        <v/>
      </c>
      <c r="L214">
        <f>INDEX('Draft Engine'!$T$3:$T$232,$P214)</f>
        <v/>
      </c>
      <c r="M214">
        <f>INDEX('Draft Engine'!$X$3:$X$232,$P214)</f>
        <v/>
      </c>
      <c r="N214">
        <f>INDEX('LIVE SOURCE'!$H$3:$H$232,$P214)</f>
        <v/>
      </c>
      <c r="O214">
        <f>INDEX('LIVE SOURCE'!$J$3:$J$232,$P214)</f>
        <v/>
      </c>
      <c r="P214" s="6">
        <f>MATCH($A214,'Draft Engine'!$Q$3:$Q$232,0)</f>
        <v/>
      </c>
    </row>
    <row r="215">
      <c r="A215">
        <f>213</f>
        <v/>
      </c>
      <c r="B215">
        <f>INDEX('Draft Engine'!$A$3:$A$232,$P215)</f>
        <v/>
      </c>
      <c r="C215">
        <f>INDEX('Draft Engine'!$F$3:$F$232,$P215)</f>
        <v/>
      </c>
      <c r="D215">
        <f>INDEX('Draft Engine'!$B$3:$B$232,$P215)</f>
        <v/>
      </c>
      <c r="E215" s="4">
        <f>INDEX('Draft Engine'!$E$3:$E$232,$P215)</f>
        <v/>
      </c>
      <c r="F215">
        <f>IF($E215&gt;=95,"ELITE",IF($E215&gt;=90,"TIER 1",IF($E215&gt;=85,"TIER 2",IF($E215&gt;=80,"TIER 3",IF($E215&gt;=75,"TIER 4",IF($E215&gt;=70,"TIER 5",IF($E215&gt;=65,"TIER 6","TIER 7")))))))</f>
        <v/>
      </c>
      <c r="G215" s="4">
        <f>INDEX('Draft Engine'!$G$3:$G$232,$P215)</f>
        <v/>
      </c>
      <c r="H215" s="4">
        <f>INDEX('Draft Engine'!$J$3:$J$232,$P215)</f>
        <v/>
      </c>
      <c r="I215" s="4">
        <f>INDEX('Draft Engine'!$N$3:$N$232,$P215)</f>
        <v/>
      </c>
      <c r="J215" s="4">
        <f>INDEX('Draft Engine'!$R$3:$R$232,$P215)</f>
        <v/>
      </c>
      <c r="K215" s="4">
        <f>INDEX('Draft Engine'!$S$3:$S$232,$P215)</f>
        <v/>
      </c>
      <c r="L215">
        <f>INDEX('Draft Engine'!$T$3:$T$232,$P215)</f>
        <v/>
      </c>
      <c r="M215">
        <f>INDEX('Draft Engine'!$X$3:$X$232,$P215)</f>
        <v/>
      </c>
      <c r="N215">
        <f>INDEX('LIVE SOURCE'!$H$3:$H$232,$P215)</f>
        <v/>
      </c>
      <c r="O215">
        <f>INDEX('LIVE SOURCE'!$J$3:$J$232,$P215)</f>
        <v/>
      </c>
      <c r="P215" s="6">
        <f>MATCH($A215,'Draft Engine'!$Q$3:$Q$232,0)</f>
        <v/>
      </c>
    </row>
    <row r="216">
      <c r="A216">
        <f>214</f>
        <v/>
      </c>
      <c r="B216">
        <f>INDEX('Draft Engine'!$A$3:$A$232,$P216)</f>
        <v/>
      </c>
      <c r="C216">
        <f>INDEX('Draft Engine'!$F$3:$F$232,$P216)</f>
        <v/>
      </c>
      <c r="D216">
        <f>INDEX('Draft Engine'!$B$3:$B$232,$P216)</f>
        <v/>
      </c>
      <c r="E216" s="4">
        <f>INDEX('Draft Engine'!$E$3:$E$232,$P216)</f>
        <v/>
      </c>
      <c r="F216">
        <f>IF($E216&gt;=95,"ELITE",IF($E216&gt;=90,"TIER 1",IF($E216&gt;=85,"TIER 2",IF($E216&gt;=80,"TIER 3",IF($E216&gt;=75,"TIER 4",IF($E216&gt;=70,"TIER 5",IF($E216&gt;=65,"TIER 6","TIER 7")))))))</f>
        <v/>
      </c>
      <c r="G216" s="4">
        <f>INDEX('Draft Engine'!$G$3:$G$232,$P216)</f>
        <v/>
      </c>
      <c r="H216" s="4">
        <f>INDEX('Draft Engine'!$J$3:$J$232,$P216)</f>
        <v/>
      </c>
      <c r="I216" s="4">
        <f>INDEX('Draft Engine'!$N$3:$N$232,$P216)</f>
        <v/>
      </c>
      <c r="J216" s="4">
        <f>INDEX('Draft Engine'!$R$3:$R$232,$P216)</f>
        <v/>
      </c>
      <c r="K216" s="4">
        <f>INDEX('Draft Engine'!$S$3:$S$232,$P216)</f>
        <v/>
      </c>
      <c r="L216">
        <f>INDEX('Draft Engine'!$T$3:$T$232,$P216)</f>
        <v/>
      </c>
      <c r="M216">
        <f>INDEX('Draft Engine'!$X$3:$X$232,$P216)</f>
        <v/>
      </c>
      <c r="N216">
        <f>INDEX('LIVE SOURCE'!$H$3:$H$232,$P216)</f>
        <v/>
      </c>
      <c r="O216">
        <f>INDEX('LIVE SOURCE'!$J$3:$J$232,$P216)</f>
        <v/>
      </c>
      <c r="P216" s="6">
        <f>MATCH($A216,'Draft Engine'!$Q$3:$Q$232,0)</f>
        <v/>
      </c>
    </row>
    <row r="217">
      <c r="A217">
        <f>215</f>
        <v/>
      </c>
      <c r="B217">
        <f>INDEX('Draft Engine'!$A$3:$A$232,$P217)</f>
        <v/>
      </c>
      <c r="C217">
        <f>INDEX('Draft Engine'!$F$3:$F$232,$P217)</f>
        <v/>
      </c>
      <c r="D217">
        <f>INDEX('Draft Engine'!$B$3:$B$232,$P217)</f>
        <v/>
      </c>
      <c r="E217" s="4">
        <f>INDEX('Draft Engine'!$E$3:$E$232,$P217)</f>
        <v/>
      </c>
      <c r="F217">
        <f>IF($E217&gt;=95,"ELITE",IF($E217&gt;=90,"TIER 1",IF($E217&gt;=85,"TIER 2",IF($E217&gt;=80,"TIER 3",IF($E217&gt;=75,"TIER 4",IF($E217&gt;=70,"TIER 5",IF($E217&gt;=65,"TIER 6","TIER 7")))))))</f>
        <v/>
      </c>
      <c r="G217" s="4">
        <f>INDEX('Draft Engine'!$G$3:$G$232,$P217)</f>
        <v/>
      </c>
      <c r="H217" s="4">
        <f>INDEX('Draft Engine'!$J$3:$J$232,$P217)</f>
        <v/>
      </c>
      <c r="I217" s="4">
        <f>INDEX('Draft Engine'!$N$3:$N$232,$P217)</f>
        <v/>
      </c>
      <c r="J217" s="4">
        <f>INDEX('Draft Engine'!$R$3:$R$232,$P217)</f>
        <v/>
      </c>
      <c r="K217" s="4">
        <f>INDEX('Draft Engine'!$S$3:$S$232,$P217)</f>
        <v/>
      </c>
      <c r="L217">
        <f>INDEX('Draft Engine'!$T$3:$T$232,$P217)</f>
        <v/>
      </c>
      <c r="M217">
        <f>INDEX('Draft Engine'!$X$3:$X$232,$P217)</f>
        <v/>
      </c>
      <c r="N217">
        <f>INDEX('LIVE SOURCE'!$H$3:$H$232,$P217)</f>
        <v/>
      </c>
      <c r="O217">
        <f>INDEX('LIVE SOURCE'!$J$3:$J$232,$P217)</f>
        <v/>
      </c>
      <c r="P217" s="6">
        <f>MATCH($A217,'Draft Engine'!$Q$3:$Q$232,0)</f>
        <v/>
      </c>
    </row>
    <row r="218">
      <c r="A218">
        <f>216</f>
        <v/>
      </c>
      <c r="B218">
        <f>INDEX('Draft Engine'!$A$3:$A$232,$P218)</f>
        <v/>
      </c>
      <c r="C218">
        <f>INDEX('Draft Engine'!$F$3:$F$232,$P218)</f>
        <v/>
      </c>
      <c r="D218">
        <f>INDEX('Draft Engine'!$B$3:$B$232,$P218)</f>
        <v/>
      </c>
      <c r="E218" s="4">
        <f>INDEX('Draft Engine'!$E$3:$E$232,$P218)</f>
        <v/>
      </c>
      <c r="F218">
        <f>IF($E218&gt;=95,"ELITE",IF($E218&gt;=90,"TIER 1",IF($E218&gt;=85,"TIER 2",IF($E218&gt;=80,"TIER 3",IF($E218&gt;=75,"TIER 4",IF($E218&gt;=70,"TIER 5",IF($E218&gt;=65,"TIER 6","TIER 7")))))))</f>
        <v/>
      </c>
      <c r="G218" s="4">
        <f>INDEX('Draft Engine'!$G$3:$G$232,$P218)</f>
        <v/>
      </c>
      <c r="H218" s="4">
        <f>INDEX('Draft Engine'!$J$3:$J$232,$P218)</f>
        <v/>
      </c>
      <c r="I218" s="4">
        <f>INDEX('Draft Engine'!$N$3:$N$232,$P218)</f>
        <v/>
      </c>
      <c r="J218" s="4">
        <f>INDEX('Draft Engine'!$R$3:$R$232,$P218)</f>
        <v/>
      </c>
      <c r="K218" s="4">
        <f>INDEX('Draft Engine'!$S$3:$S$232,$P218)</f>
        <v/>
      </c>
      <c r="L218">
        <f>INDEX('Draft Engine'!$T$3:$T$232,$P218)</f>
        <v/>
      </c>
      <c r="M218">
        <f>INDEX('Draft Engine'!$X$3:$X$232,$P218)</f>
        <v/>
      </c>
      <c r="N218">
        <f>INDEX('LIVE SOURCE'!$H$3:$H$232,$P218)</f>
        <v/>
      </c>
      <c r="O218">
        <f>INDEX('LIVE SOURCE'!$J$3:$J$232,$P218)</f>
        <v/>
      </c>
      <c r="P218" s="6">
        <f>MATCH($A218,'Draft Engine'!$Q$3:$Q$232,0)</f>
        <v/>
      </c>
    </row>
    <row r="219">
      <c r="A219">
        <f>217</f>
        <v/>
      </c>
      <c r="B219">
        <f>INDEX('Draft Engine'!$A$3:$A$232,$P219)</f>
        <v/>
      </c>
      <c r="C219">
        <f>INDEX('Draft Engine'!$F$3:$F$232,$P219)</f>
        <v/>
      </c>
      <c r="D219">
        <f>INDEX('Draft Engine'!$B$3:$B$232,$P219)</f>
        <v/>
      </c>
      <c r="E219" s="4">
        <f>INDEX('Draft Engine'!$E$3:$E$232,$P219)</f>
        <v/>
      </c>
      <c r="F219">
        <f>IF($E219&gt;=95,"ELITE",IF($E219&gt;=90,"TIER 1",IF($E219&gt;=85,"TIER 2",IF($E219&gt;=80,"TIER 3",IF($E219&gt;=75,"TIER 4",IF($E219&gt;=70,"TIER 5",IF($E219&gt;=65,"TIER 6","TIER 7")))))))</f>
        <v/>
      </c>
      <c r="G219" s="4">
        <f>INDEX('Draft Engine'!$G$3:$G$232,$P219)</f>
        <v/>
      </c>
      <c r="H219" s="4">
        <f>INDEX('Draft Engine'!$J$3:$J$232,$P219)</f>
        <v/>
      </c>
      <c r="I219" s="4">
        <f>INDEX('Draft Engine'!$N$3:$N$232,$P219)</f>
        <v/>
      </c>
      <c r="J219" s="4">
        <f>INDEX('Draft Engine'!$R$3:$R$232,$P219)</f>
        <v/>
      </c>
      <c r="K219" s="4">
        <f>INDEX('Draft Engine'!$S$3:$S$232,$P219)</f>
        <v/>
      </c>
      <c r="L219">
        <f>INDEX('Draft Engine'!$T$3:$T$232,$P219)</f>
        <v/>
      </c>
      <c r="M219">
        <f>INDEX('Draft Engine'!$X$3:$X$232,$P219)</f>
        <v/>
      </c>
      <c r="N219">
        <f>INDEX('LIVE SOURCE'!$H$3:$H$232,$P219)</f>
        <v/>
      </c>
      <c r="O219">
        <f>INDEX('LIVE SOURCE'!$J$3:$J$232,$P219)</f>
        <v/>
      </c>
      <c r="P219" s="6">
        <f>MATCH($A219,'Draft Engine'!$Q$3:$Q$232,0)</f>
        <v/>
      </c>
    </row>
    <row r="220">
      <c r="A220">
        <f>218</f>
        <v/>
      </c>
      <c r="B220">
        <f>INDEX('Draft Engine'!$A$3:$A$232,$P220)</f>
        <v/>
      </c>
      <c r="C220">
        <f>INDEX('Draft Engine'!$F$3:$F$232,$P220)</f>
        <v/>
      </c>
      <c r="D220">
        <f>INDEX('Draft Engine'!$B$3:$B$232,$P220)</f>
        <v/>
      </c>
      <c r="E220" s="4">
        <f>INDEX('Draft Engine'!$E$3:$E$232,$P220)</f>
        <v/>
      </c>
      <c r="F220">
        <f>IF($E220&gt;=95,"ELITE",IF($E220&gt;=90,"TIER 1",IF($E220&gt;=85,"TIER 2",IF($E220&gt;=80,"TIER 3",IF($E220&gt;=75,"TIER 4",IF($E220&gt;=70,"TIER 5",IF($E220&gt;=65,"TIER 6","TIER 7")))))))</f>
        <v/>
      </c>
      <c r="G220" s="4">
        <f>INDEX('Draft Engine'!$G$3:$G$232,$P220)</f>
        <v/>
      </c>
      <c r="H220" s="4">
        <f>INDEX('Draft Engine'!$J$3:$J$232,$P220)</f>
        <v/>
      </c>
      <c r="I220" s="4">
        <f>INDEX('Draft Engine'!$N$3:$N$232,$P220)</f>
        <v/>
      </c>
      <c r="J220" s="4">
        <f>INDEX('Draft Engine'!$R$3:$R$232,$P220)</f>
        <v/>
      </c>
      <c r="K220" s="4">
        <f>INDEX('Draft Engine'!$S$3:$S$232,$P220)</f>
        <v/>
      </c>
      <c r="L220">
        <f>INDEX('Draft Engine'!$T$3:$T$232,$P220)</f>
        <v/>
      </c>
      <c r="M220">
        <f>INDEX('Draft Engine'!$X$3:$X$232,$P220)</f>
        <v/>
      </c>
      <c r="N220">
        <f>INDEX('LIVE SOURCE'!$H$3:$H$232,$P220)</f>
        <v/>
      </c>
      <c r="O220">
        <f>INDEX('LIVE SOURCE'!$J$3:$J$232,$P220)</f>
        <v/>
      </c>
      <c r="P220" s="6">
        <f>MATCH($A220,'Draft Engine'!$Q$3:$Q$232,0)</f>
        <v/>
      </c>
    </row>
    <row r="221">
      <c r="A221">
        <f>219</f>
        <v/>
      </c>
      <c r="B221">
        <f>INDEX('Draft Engine'!$A$3:$A$232,$P221)</f>
        <v/>
      </c>
      <c r="C221">
        <f>INDEX('Draft Engine'!$F$3:$F$232,$P221)</f>
        <v/>
      </c>
      <c r="D221">
        <f>INDEX('Draft Engine'!$B$3:$B$232,$P221)</f>
        <v/>
      </c>
      <c r="E221" s="4">
        <f>INDEX('Draft Engine'!$E$3:$E$232,$P221)</f>
        <v/>
      </c>
      <c r="F221">
        <f>IF($E221&gt;=95,"ELITE",IF($E221&gt;=90,"TIER 1",IF($E221&gt;=85,"TIER 2",IF($E221&gt;=80,"TIER 3",IF($E221&gt;=75,"TIER 4",IF($E221&gt;=70,"TIER 5",IF($E221&gt;=65,"TIER 6","TIER 7")))))))</f>
        <v/>
      </c>
      <c r="G221" s="4">
        <f>INDEX('Draft Engine'!$G$3:$G$232,$P221)</f>
        <v/>
      </c>
      <c r="H221" s="4">
        <f>INDEX('Draft Engine'!$J$3:$J$232,$P221)</f>
        <v/>
      </c>
      <c r="I221" s="4">
        <f>INDEX('Draft Engine'!$N$3:$N$232,$P221)</f>
        <v/>
      </c>
      <c r="J221" s="4">
        <f>INDEX('Draft Engine'!$R$3:$R$232,$P221)</f>
        <v/>
      </c>
      <c r="K221" s="4">
        <f>INDEX('Draft Engine'!$S$3:$S$232,$P221)</f>
        <v/>
      </c>
      <c r="L221">
        <f>INDEX('Draft Engine'!$T$3:$T$232,$P221)</f>
        <v/>
      </c>
      <c r="M221">
        <f>INDEX('Draft Engine'!$X$3:$X$232,$P221)</f>
        <v/>
      </c>
      <c r="N221">
        <f>INDEX('LIVE SOURCE'!$H$3:$H$232,$P221)</f>
        <v/>
      </c>
      <c r="O221">
        <f>INDEX('LIVE SOURCE'!$J$3:$J$232,$P221)</f>
        <v/>
      </c>
      <c r="P221" s="6">
        <f>MATCH($A221,'Draft Engine'!$Q$3:$Q$232,0)</f>
        <v/>
      </c>
    </row>
    <row r="222">
      <c r="A222">
        <f>220</f>
        <v/>
      </c>
      <c r="B222">
        <f>INDEX('Draft Engine'!$A$3:$A$232,$P222)</f>
        <v/>
      </c>
      <c r="C222">
        <f>INDEX('Draft Engine'!$F$3:$F$232,$P222)</f>
        <v/>
      </c>
      <c r="D222">
        <f>INDEX('Draft Engine'!$B$3:$B$232,$P222)</f>
        <v/>
      </c>
      <c r="E222" s="4">
        <f>INDEX('Draft Engine'!$E$3:$E$232,$P222)</f>
        <v/>
      </c>
      <c r="F222">
        <f>IF($E222&gt;=95,"ELITE",IF($E222&gt;=90,"TIER 1",IF($E222&gt;=85,"TIER 2",IF($E222&gt;=80,"TIER 3",IF($E222&gt;=75,"TIER 4",IF($E222&gt;=70,"TIER 5",IF($E222&gt;=65,"TIER 6","TIER 7")))))))</f>
        <v/>
      </c>
      <c r="G222" s="4">
        <f>INDEX('Draft Engine'!$G$3:$G$232,$P222)</f>
        <v/>
      </c>
      <c r="H222" s="4">
        <f>INDEX('Draft Engine'!$J$3:$J$232,$P222)</f>
        <v/>
      </c>
      <c r="I222" s="4">
        <f>INDEX('Draft Engine'!$N$3:$N$232,$P222)</f>
        <v/>
      </c>
      <c r="J222" s="4">
        <f>INDEX('Draft Engine'!$R$3:$R$232,$P222)</f>
        <v/>
      </c>
      <c r="K222" s="4">
        <f>INDEX('Draft Engine'!$S$3:$S$232,$P222)</f>
        <v/>
      </c>
      <c r="L222">
        <f>INDEX('Draft Engine'!$T$3:$T$232,$P222)</f>
        <v/>
      </c>
      <c r="M222">
        <f>INDEX('Draft Engine'!$X$3:$X$232,$P222)</f>
        <v/>
      </c>
      <c r="N222">
        <f>INDEX('LIVE SOURCE'!$H$3:$H$232,$P222)</f>
        <v/>
      </c>
      <c r="O222">
        <f>INDEX('LIVE SOURCE'!$J$3:$J$232,$P222)</f>
        <v/>
      </c>
      <c r="P222" s="6">
        <f>MATCH($A222,'Draft Engine'!$Q$3:$Q$232,0)</f>
        <v/>
      </c>
    </row>
    <row r="223">
      <c r="A223">
        <f>221</f>
        <v/>
      </c>
      <c r="B223">
        <f>INDEX('Draft Engine'!$A$3:$A$232,$P223)</f>
        <v/>
      </c>
      <c r="C223">
        <f>INDEX('Draft Engine'!$F$3:$F$232,$P223)</f>
        <v/>
      </c>
      <c r="D223">
        <f>INDEX('Draft Engine'!$B$3:$B$232,$P223)</f>
        <v/>
      </c>
      <c r="E223" s="4">
        <f>INDEX('Draft Engine'!$E$3:$E$232,$P223)</f>
        <v/>
      </c>
      <c r="F223">
        <f>IF($E223&gt;=95,"ELITE",IF($E223&gt;=90,"TIER 1",IF($E223&gt;=85,"TIER 2",IF($E223&gt;=80,"TIER 3",IF($E223&gt;=75,"TIER 4",IF($E223&gt;=70,"TIER 5",IF($E223&gt;=65,"TIER 6","TIER 7")))))))</f>
        <v/>
      </c>
      <c r="G223" s="4">
        <f>INDEX('Draft Engine'!$G$3:$G$232,$P223)</f>
        <v/>
      </c>
      <c r="H223" s="4">
        <f>INDEX('Draft Engine'!$J$3:$J$232,$P223)</f>
        <v/>
      </c>
      <c r="I223" s="4">
        <f>INDEX('Draft Engine'!$N$3:$N$232,$P223)</f>
        <v/>
      </c>
      <c r="J223" s="4">
        <f>INDEX('Draft Engine'!$R$3:$R$232,$P223)</f>
        <v/>
      </c>
      <c r="K223" s="4">
        <f>INDEX('Draft Engine'!$S$3:$S$232,$P223)</f>
        <v/>
      </c>
      <c r="L223">
        <f>INDEX('Draft Engine'!$T$3:$T$232,$P223)</f>
        <v/>
      </c>
      <c r="M223">
        <f>INDEX('Draft Engine'!$X$3:$X$232,$P223)</f>
        <v/>
      </c>
      <c r="N223">
        <f>INDEX('LIVE SOURCE'!$H$3:$H$232,$P223)</f>
        <v/>
      </c>
      <c r="O223">
        <f>INDEX('LIVE SOURCE'!$J$3:$J$232,$P223)</f>
        <v/>
      </c>
      <c r="P223" s="6">
        <f>MATCH($A223,'Draft Engine'!$Q$3:$Q$232,0)</f>
        <v/>
      </c>
    </row>
    <row r="224">
      <c r="A224">
        <f>222</f>
        <v/>
      </c>
      <c r="B224">
        <f>INDEX('Draft Engine'!$A$3:$A$232,$P224)</f>
        <v/>
      </c>
      <c r="C224">
        <f>INDEX('Draft Engine'!$F$3:$F$232,$P224)</f>
        <v/>
      </c>
      <c r="D224">
        <f>INDEX('Draft Engine'!$B$3:$B$232,$P224)</f>
        <v/>
      </c>
      <c r="E224" s="4">
        <f>INDEX('Draft Engine'!$E$3:$E$232,$P224)</f>
        <v/>
      </c>
      <c r="F224">
        <f>IF($E224&gt;=95,"ELITE",IF($E224&gt;=90,"TIER 1",IF($E224&gt;=85,"TIER 2",IF($E224&gt;=80,"TIER 3",IF($E224&gt;=75,"TIER 4",IF($E224&gt;=70,"TIER 5",IF($E224&gt;=65,"TIER 6","TIER 7")))))))</f>
        <v/>
      </c>
      <c r="G224" s="4">
        <f>INDEX('Draft Engine'!$G$3:$G$232,$P224)</f>
        <v/>
      </c>
      <c r="H224" s="4">
        <f>INDEX('Draft Engine'!$J$3:$J$232,$P224)</f>
        <v/>
      </c>
      <c r="I224" s="4">
        <f>INDEX('Draft Engine'!$N$3:$N$232,$P224)</f>
        <v/>
      </c>
      <c r="J224" s="4">
        <f>INDEX('Draft Engine'!$R$3:$R$232,$P224)</f>
        <v/>
      </c>
      <c r="K224" s="4">
        <f>INDEX('Draft Engine'!$S$3:$S$232,$P224)</f>
        <v/>
      </c>
      <c r="L224">
        <f>INDEX('Draft Engine'!$T$3:$T$232,$P224)</f>
        <v/>
      </c>
      <c r="M224">
        <f>INDEX('Draft Engine'!$X$3:$X$232,$P224)</f>
        <v/>
      </c>
      <c r="N224">
        <f>INDEX('LIVE SOURCE'!$H$3:$H$232,$P224)</f>
        <v/>
      </c>
      <c r="O224">
        <f>INDEX('LIVE SOURCE'!$J$3:$J$232,$P224)</f>
        <v/>
      </c>
      <c r="P224" s="6">
        <f>MATCH($A224,'Draft Engine'!$Q$3:$Q$232,0)</f>
        <v/>
      </c>
    </row>
    <row r="225">
      <c r="A225">
        <f>223</f>
        <v/>
      </c>
      <c r="B225">
        <f>INDEX('Draft Engine'!$A$3:$A$232,$P225)</f>
        <v/>
      </c>
      <c r="C225">
        <f>INDEX('Draft Engine'!$F$3:$F$232,$P225)</f>
        <v/>
      </c>
      <c r="D225">
        <f>INDEX('Draft Engine'!$B$3:$B$232,$P225)</f>
        <v/>
      </c>
      <c r="E225" s="4">
        <f>INDEX('Draft Engine'!$E$3:$E$232,$P225)</f>
        <v/>
      </c>
      <c r="F225">
        <f>IF($E225&gt;=95,"ELITE",IF($E225&gt;=90,"TIER 1",IF($E225&gt;=85,"TIER 2",IF($E225&gt;=80,"TIER 3",IF($E225&gt;=75,"TIER 4",IF($E225&gt;=70,"TIER 5",IF($E225&gt;=65,"TIER 6","TIER 7")))))))</f>
        <v/>
      </c>
      <c r="G225" s="4">
        <f>INDEX('Draft Engine'!$G$3:$G$232,$P225)</f>
        <v/>
      </c>
      <c r="H225" s="4">
        <f>INDEX('Draft Engine'!$J$3:$J$232,$P225)</f>
        <v/>
      </c>
      <c r="I225" s="4">
        <f>INDEX('Draft Engine'!$N$3:$N$232,$P225)</f>
        <v/>
      </c>
      <c r="J225" s="4">
        <f>INDEX('Draft Engine'!$R$3:$R$232,$P225)</f>
        <v/>
      </c>
      <c r="K225" s="4">
        <f>INDEX('Draft Engine'!$S$3:$S$232,$P225)</f>
        <v/>
      </c>
      <c r="L225">
        <f>INDEX('Draft Engine'!$T$3:$T$232,$P225)</f>
        <v/>
      </c>
      <c r="M225">
        <f>INDEX('Draft Engine'!$X$3:$X$232,$P225)</f>
        <v/>
      </c>
      <c r="N225">
        <f>INDEX('LIVE SOURCE'!$H$3:$H$232,$P225)</f>
        <v/>
      </c>
      <c r="O225">
        <f>INDEX('LIVE SOURCE'!$J$3:$J$232,$P225)</f>
        <v/>
      </c>
      <c r="P225" s="6">
        <f>MATCH($A225,'Draft Engine'!$Q$3:$Q$232,0)</f>
        <v/>
      </c>
    </row>
    <row r="226">
      <c r="A226">
        <f>224</f>
        <v/>
      </c>
      <c r="B226">
        <f>INDEX('Draft Engine'!$A$3:$A$232,$P226)</f>
        <v/>
      </c>
      <c r="C226">
        <f>INDEX('Draft Engine'!$F$3:$F$232,$P226)</f>
        <v/>
      </c>
      <c r="D226">
        <f>INDEX('Draft Engine'!$B$3:$B$232,$P226)</f>
        <v/>
      </c>
      <c r="E226" s="4">
        <f>INDEX('Draft Engine'!$E$3:$E$232,$P226)</f>
        <v/>
      </c>
      <c r="F226">
        <f>IF($E226&gt;=95,"ELITE",IF($E226&gt;=90,"TIER 1",IF($E226&gt;=85,"TIER 2",IF($E226&gt;=80,"TIER 3",IF($E226&gt;=75,"TIER 4",IF($E226&gt;=70,"TIER 5",IF($E226&gt;=65,"TIER 6","TIER 7")))))))</f>
        <v/>
      </c>
      <c r="G226" s="4">
        <f>INDEX('Draft Engine'!$G$3:$G$232,$P226)</f>
        <v/>
      </c>
      <c r="H226" s="4">
        <f>INDEX('Draft Engine'!$J$3:$J$232,$P226)</f>
        <v/>
      </c>
      <c r="I226" s="4">
        <f>INDEX('Draft Engine'!$N$3:$N$232,$P226)</f>
        <v/>
      </c>
      <c r="J226" s="4">
        <f>INDEX('Draft Engine'!$R$3:$R$232,$P226)</f>
        <v/>
      </c>
      <c r="K226" s="4">
        <f>INDEX('Draft Engine'!$S$3:$S$232,$P226)</f>
        <v/>
      </c>
      <c r="L226">
        <f>INDEX('Draft Engine'!$T$3:$T$232,$P226)</f>
        <v/>
      </c>
      <c r="M226">
        <f>INDEX('Draft Engine'!$X$3:$X$232,$P226)</f>
        <v/>
      </c>
      <c r="N226">
        <f>INDEX('LIVE SOURCE'!$H$3:$H$232,$P226)</f>
        <v/>
      </c>
      <c r="O226">
        <f>INDEX('LIVE SOURCE'!$J$3:$J$232,$P226)</f>
        <v/>
      </c>
      <c r="P226" s="6">
        <f>MATCH($A226,'Draft Engine'!$Q$3:$Q$232,0)</f>
        <v/>
      </c>
    </row>
    <row r="227">
      <c r="A227">
        <f>225</f>
        <v/>
      </c>
      <c r="B227">
        <f>INDEX('Draft Engine'!$A$3:$A$232,$P227)</f>
        <v/>
      </c>
      <c r="C227">
        <f>INDEX('Draft Engine'!$F$3:$F$232,$P227)</f>
        <v/>
      </c>
      <c r="D227">
        <f>INDEX('Draft Engine'!$B$3:$B$232,$P227)</f>
        <v/>
      </c>
      <c r="E227" s="4">
        <f>INDEX('Draft Engine'!$E$3:$E$232,$P227)</f>
        <v/>
      </c>
      <c r="F227">
        <f>IF($E227&gt;=95,"ELITE",IF($E227&gt;=90,"TIER 1",IF($E227&gt;=85,"TIER 2",IF($E227&gt;=80,"TIER 3",IF($E227&gt;=75,"TIER 4",IF($E227&gt;=70,"TIER 5",IF($E227&gt;=65,"TIER 6","TIER 7")))))))</f>
        <v/>
      </c>
      <c r="G227" s="4">
        <f>INDEX('Draft Engine'!$G$3:$G$232,$P227)</f>
        <v/>
      </c>
      <c r="H227" s="4">
        <f>INDEX('Draft Engine'!$J$3:$J$232,$P227)</f>
        <v/>
      </c>
      <c r="I227" s="4">
        <f>INDEX('Draft Engine'!$N$3:$N$232,$P227)</f>
        <v/>
      </c>
      <c r="J227" s="4">
        <f>INDEX('Draft Engine'!$R$3:$R$232,$P227)</f>
        <v/>
      </c>
      <c r="K227" s="4">
        <f>INDEX('Draft Engine'!$S$3:$S$232,$P227)</f>
        <v/>
      </c>
      <c r="L227">
        <f>INDEX('Draft Engine'!$T$3:$T$232,$P227)</f>
        <v/>
      </c>
      <c r="M227">
        <f>INDEX('Draft Engine'!$X$3:$X$232,$P227)</f>
        <v/>
      </c>
      <c r="N227">
        <f>INDEX('LIVE SOURCE'!$H$3:$H$232,$P227)</f>
        <v/>
      </c>
      <c r="O227">
        <f>INDEX('LIVE SOURCE'!$J$3:$J$232,$P227)</f>
        <v/>
      </c>
      <c r="P227" s="6">
        <f>MATCH($A227,'Draft Engine'!$Q$3:$Q$232,0)</f>
        <v/>
      </c>
    </row>
    <row r="228">
      <c r="A228">
        <f>226</f>
        <v/>
      </c>
      <c r="B228">
        <f>INDEX('Draft Engine'!$A$3:$A$232,$P228)</f>
        <v/>
      </c>
      <c r="C228">
        <f>INDEX('Draft Engine'!$F$3:$F$232,$P228)</f>
        <v/>
      </c>
      <c r="D228">
        <f>INDEX('Draft Engine'!$B$3:$B$232,$P228)</f>
        <v/>
      </c>
      <c r="E228" s="4">
        <f>INDEX('Draft Engine'!$E$3:$E$232,$P228)</f>
        <v/>
      </c>
      <c r="F228">
        <f>IF($E228&gt;=95,"ELITE",IF($E228&gt;=90,"TIER 1",IF($E228&gt;=85,"TIER 2",IF($E228&gt;=80,"TIER 3",IF($E228&gt;=75,"TIER 4",IF($E228&gt;=70,"TIER 5",IF($E228&gt;=65,"TIER 6","TIER 7")))))))</f>
        <v/>
      </c>
      <c r="G228" s="4">
        <f>INDEX('Draft Engine'!$G$3:$G$232,$P228)</f>
        <v/>
      </c>
      <c r="H228" s="4">
        <f>INDEX('Draft Engine'!$J$3:$J$232,$P228)</f>
        <v/>
      </c>
      <c r="I228" s="4">
        <f>INDEX('Draft Engine'!$N$3:$N$232,$P228)</f>
        <v/>
      </c>
      <c r="J228" s="4">
        <f>INDEX('Draft Engine'!$R$3:$R$232,$P228)</f>
        <v/>
      </c>
      <c r="K228" s="4">
        <f>INDEX('Draft Engine'!$S$3:$S$232,$P228)</f>
        <v/>
      </c>
      <c r="L228">
        <f>INDEX('Draft Engine'!$T$3:$T$232,$P228)</f>
        <v/>
      </c>
      <c r="M228">
        <f>INDEX('Draft Engine'!$X$3:$X$232,$P228)</f>
        <v/>
      </c>
      <c r="N228">
        <f>INDEX('LIVE SOURCE'!$H$3:$H$232,$P228)</f>
        <v/>
      </c>
      <c r="O228">
        <f>INDEX('LIVE SOURCE'!$J$3:$J$232,$P228)</f>
        <v/>
      </c>
      <c r="P228" s="6">
        <f>MATCH($A228,'Draft Engine'!$Q$3:$Q$232,0)</f>
        <v/>
      </c>
    </row>
    <row r="229">
      <c r="A229">
        <f>227</f>
        <v/>
      </c>
      <c r="B229">
        <f>INDEX('Draft Engine'!$A$3:$A$232,$P229)</f>
        <v/>
      </c>
      <c r="C229">
        <f>INDEX('Draft Engine'!$F$3:$F$232,$P229)</f>
        <v/>
      </c>
      <c r="D229">
        <f>INDEX('Draft Engine'!$B$3:$B$232,$P229)</f>
        <v/>
      </c>
      <c r="E229" s="4">
        <f>INDEX('Draft Engine'!$E$3:$E$232,$P229)</f>
        <v/>
      </c>
      <c r="F229">
        <f>IF($E229&gt;=95,"ELITE",IF($E229&gt;=90,"TIER 1",IF($E229&gt;=85,"TIER 2",IF($E229&gt;=80,"TIER 3",IF($E229&gt;=75,"TIER 4",IF($E229&gt;=70,"TIER 5",IF($E229&gt;=65,"TIER 6","TIER 7")))))))</f>
        <v/>
      </c>
      <c r="G229" s="4">
        <f>INDEX('Draft Engine'!$G$3:$G$232,$P229)</f>
        <v/>
      </c>
      <c r="H229" s="4">
        <f>INDEX('Draft Engine'!$J$3:$J$232,$P229)</f>
        <v/>
      </c>
      <c r="I229" s="4">
        <f>INDEX('Draft Engine'!$N$3:$N$232,$P229)</f>
        <v/>
      </c>
      <c r="J229" s="4">
        <f>INDEX('Draft Engine'!$R$3:$R$232,$P229)</f>
        <v/>
      </c>
      <c r="K229" s="4">
        <f>INDEX('Draft Engine'!$S$3:$S$232,$P229)</f>
        <v/>
      </c>
      <c r="L229">
        <f>INDEX('Draft Engine'!$T$3:$T$232,$P229)</f>
        <v/>
      </c>
      <c r="M229">
        <f>INDEX('Draft Engine'!$X$3:$X$232,$P229)</f>
        <v/>
      </c>
      <c r="N229">
        <f>INDEX('LIVE SOURCE'!$H$3:$H$232,$P229)</f>
        <v/>
      </c>
      <c r="O229">
        <f>INDEX('LIVE SOURCE'!$J$3:$J$232,$P229)</f>
        <v/>
      </c>
      <c r="P229" s="6">
        <f>MATCH($A229,'Draft Engine'!$Q$3:$Q$232,0)</f>
        <v/>
      </c>
    </row>
    <row r="230">
      <c r="A230">
        <f>228</f>
        <v/>
      </c>
      <c r="B230">
        <f>INDEX('Draft Engine'!$A$3:$A$232,$P230)</f>
        <v/>
      </c>
      <c r="C230">
        <f>INDEX('Draft Engine'!$F$3:$F$232,$P230)</f>
        <v/>
      </c>
      <c r="D230">
        <f>INDEX('Draft Engine'!$B$3:$B$232,$P230)</f>
        <v/>
      </c>
      <c r="E230" s="4">
        <f>INDEX('Draft Engine'!$E$3:$E$232,$P230)</f>
        <v/>
      </c>
      <c r="F230">
        <f>IF($E230&gt;=95,"ELITE",IF($E230&gt;=90,"TIER 1",IF($E230&gt;=85,"TIER 2",IF($E230&gt;=80,"TIER 3",IF($E230&gt;=75,"TIER 4",IF($E230&gt;=70,"TIER 5",IF($E230&gt;=65,"TIER 6","TIER 7")))))))</f>
        <v/>
      </c>
      <c r="G230" s="4">
        <f>INDEX('Draft Engine'!$G$3:$G$232,$P230)</f>
        <v/>
      </c>
      <c r="H230" s="4">
        <f>INDEX('Draft Engine'!$J$3:$J$232,$P230)</f>
        <v/>
      </c>
      <c r="I230" s="4">
        <f>INDEX('Draft Engine'!$N$3:$N$232,$P230)</f>
        <v/>
      </c>
      <c r="J230" s="4">
        <f>INDEX('Draft Engine'!$R$3:$R$232,$P230)</f>
        <v/>
      </c>
      <c r="K230" s="4">
        <f>INDEX('Draft Engine'!$S$3:$S$232,$P230)</f>
        <v/>
      </c>
      <c r="L230">
        <f>INDEX('Draft Engine'!$T$3:$T$232,$P230)</f>
        <v/>
      </c>
      <c r="M230">
        <f>INDEX('Draft Engine'!$X$3:$X$232,$P230)</f>
        <v/>
      </c>
      <c r="N230">
        <f>INDEX('LIVE SOURCE'!$H$3:$H$232,$P230)</f>
        <v/>
      </c>
      <c r="O230">
        <f>INDEX('LIVE SOURCE'!$J$3:$J$232,$P230)</f>
        <v/>
      </c>
      <c r="P230" s="6">
        <f>MATCH($A230,'Draft Engine'!$Q$3:$Q$232,0)</f>
        <v/>
      </c>
    </row>
    <row r="231">
      <c r="A231">
        <f>229</f>
        <v/>
      </c>
      <c r="B231">
        <f>INDEX('Draft Engine'!$A$3:$A$232,$P231)</f>
        <v/>
      </c>
      <c r="C231">
        <f>INDEX('Draft Engine'!$F$3:$F$232,$P231)</f>
        <v/>
      </c>
      <c r="D231">
        <f>INDEX('Draft Engine'!$B$3:$B$232,$P231)</f>
        <v/>
      </c>
      <c r="E231" s="4">
        <f>INDEX('Draft Engine'!$E$3:$E$232,$P231)</f>
        <v/>
      </c>
      <c r="F231">
        <f>IF($E231&gt;=95,"ELITE",IF($E231&gt;=90,"TIER 1",IF($E231&gt;=85,"TIER 2",IF($E231&gt;=80,"TIER 3",IF($E231&gt;=75,"TIER 4",IF($E231&gt;=70,"TIER 5",IF($E231&gt;=65,"TIER 6","TIER 7")))))))</f>
        <v/>
      </c>
      <c r="G231" s="4">
        <f>INDEX('Draft Engine'!$G$3:$G$232,$P231)</f>
        <v/>
      </c>
      <c r="H231" s="4">
        <f>INDEX('Draft Engine'!$J$3:$J$232,$P231)</f>
        <v/>
      </c>
      <c r="I231" s="4">
        <f>INDEX('Draft Engine'!$N$3:$N$232,$P231)</f>
        <v/>
      </c>
      <c r="J231" s="4">
        <f>INDEX('Draft Engine'!$R$3:$R$232,$P231)</f>
        <v/>
      </c>
      <c r="K231" s="4">
        <f>INDEX('Draft Engine'!$S$3:$S$232,$P231)</f>
        <v/>
      </c>
      <c r="L231">
        <f>INDEX('Draft Engine'!$T$3:$T$232,$P231)</f>
        <v/>
      </c>
      <c r="M231">
        <f>INDEX('Draft Engine'!$X$3:$X$232,$P231)</f>
        <v/>
      </c>
      <c r="N231">
        <f>INDEX('LIVE SOURCE'!$H$3:$H$232,$P231)</f>
        <v/>
      </c>
      <c r="O231">
        <f>INDEX('LIVE SOURCE'!$J$3:$J$232,$P231)</f>
        <v/>
      </c>
      <c r="P231" s="6">
        <f>MATCH($A231,'Draft Engine'!$Q$3:$Q$232,0)</f>
        <v/>
      </c>
    </row>
    <row r="232">
      <c r="A232">
        <f>230</f>
        <v/>
      </c>
      <c r="B232">
        <f>INDEX('Draft Engine'!$A$3:$A$232,$P232)</f>
        <v/>
      </c>
      <c r="C232">
        <f>INDEX('Draft Engine'!$F$3:$F$232,$P232)</f>
        <v/>
      </c>
      <c r="D232">
        <f>INDEX('Draft Engine'!$B$3:$B$232,$P232)</f>
        <v/>
      </c>
      <c r="E232" s="4">
        <f>INDEX('Draft Engine'!$E$3:$E$232,$P232)</f>
        <v/>
      </c>
      <c r="F232">
        <f>IF($E232&gt;=95,"ELITE",IF($E232&gt;=90,"TIER 1",IF($E232&gt;=85,"TIER 2",IF($E232&gt;=80,"TIER 3",IF($E232&gt;=75,"TIER 4",IF($E232&gt;=70,"TIER 5",IF($E232&gt;=65,"TIER 6","TIER 7")))))))</f>
        <v/>
      </c>
      <c r="G232" s="4">
        <f>INDEX('Draft Engine'!$G$3:$G$232,$P232)</f>
        <v/>
      </c>
      <c r="H232" s="4">
        <f>INDEX('Draft Engine'!$J$3:$J$232,$P232)</f>
        <v/>
      </c>
      <c r="I232" s="4">
        <f>INDEX('Draft Engine'!$N$3:$N$232,$P232)</f>
        <v/>
      </c>
      <c r="J232" s="4">
        <f>INDEX('Draft Engine'!$R$3:$R$232,$P232)</f>
        <v/>
      </c>
      <c r="K232" s="4">
        <f>INDEX('Draft Engine'!$S$3:$S$232,$P232)</f>
        <v/>
      </c>
      <c r="L232">
        <f>INDEX('Draft Engine'!$T$3:$T$232,$P232)</f>
        <v/>
      </c>
      <c r="M232">
        <f>INDEX('Draft Engine'!$X$3:$X$232,$P232)</f>
        <v/>
      </c>
      <c r="N232">
        <f>INDEX('LIVE SOURCE'!$H$3:$H$232,$P232)</f>
        <v/>
      </c>
      <c r="O232">
        <f>INDEX('LIVE SOURCE'!$J$3:$J$232,$P232)</f>
        <v/>
      </c>
      <c r="P232" s="6">
        <f>MATCH($A232,'Draft Engine'!$Q$3:$Q$232,0)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O2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1" customWidth="1" min="5" max="5"/>
    <col width="10" customWidth="1" min="6" max="6"/>
    <col width="10" customWidth="1" min="7" max="7"/>
    <col width="8" customWidth="1" min="8" max="8"/>
    <col width="9" customWidth="1" min="9" max="9"/>
    <col width="10" customWidth="1" min="10" max="10"/>
    <col width="9" customWidth="1" min="11" max="11"/>
    <col width="8" customWidth="1" min="12" max="12"/>
    <col width="8" customWidth="1" min="13" max="13"/>
    <col width="10" customWidth="1" min="14" max="14"/>
    <col width="6" customWidth="1" min="15" max="15"/>
  </cols>
  <sheetData>
    <row r="1">
      <c r="A1" s="1" t="inlineStr">
        <is>
          <t>2026 Overall Top 200: pure formula view, updates with every adjustment.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</t>
        </is>
      </c>
      <c r="E2" s="3" t="inlineStr">
        <is>
          <t>Draft Score</t>
        </is>
      </c>
      <c r="F2" s="3" t="inlineStr">
        <is>
          <t>Adj Rating</t>
        </is>
      </c>
      <c r="G2" s="3" t="inlineStr">
        <is>
          <t>Proj Points</t>
        </is>
      </c>
      <c r="H2" s="3" t="inlineStr">
        <is>
          <t>VORP</t>
        </is>
      </c>
      <c r="I2" s="3" t="inlineStr">
        <is>
          <t>Scarcity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Floor</t>
        </is>
      </c>
      <c r="M2" s="3" t="inlineStr">
        <is>
          <t>Ceiling</t>
        </is>
      </c>
      <c r="N2" s="3" t="inlineStr">
        <is>
          <t>Confidence</t>
        </is>
      </c>
      <c r="O2" s="3" t="inlineStr">
        <is>
          <t>Src</t>
        </is>
      </c>
    </row>
    <row r="3">
      <c r="A3">
        <f>1</f>
        <v/>
      </c>
      <c r="B3">
        <f>INDEX('Draft Engine'!$A$3:$A$232,$O3)</f>
        <v/>
      </c>
      <c r="C3">
        <f>INDEX('Draft Engine'!$F$3:$F$232,$O3)</f>
        <v/>
      </c>
      <c r="D3">
        <f>INDEX('Draft Engine'!$B$3:$B$232,$O3)</f>
        <v/>
      </c>
      <c r="E3" s="4">
        <f>INDEX('Draft Engine'!$N$3:$N$232,$O3)</f>
        <v/>
      </c>
      <c r="F3" s="4">
        <f>INDEX('Draft Engine'!$E$3:$E$232,$O3)</f>
        <v/>
      </c>
      <c r="G3" s="4">
        <f>INDEX('Draft Engine'!$G$3:$G$232,$O3)</f>
        <v/>
      </c>
      <c r="H3" s="4">
        <f>INDEX('Draft Engine'!$J$3:$J$232,$O3)</f>
        <v/>
      </c>
      <c r="I3" s="4">
        <f>INDEX('Draft Engine'!$L$3:$L$232,$O3)</f>
        <v/>
      </c>
      <c r="J3" s="4">
        <f>INDEX('Draft Engine'!$R$3:$R$232,$O3)</f>
        <v/>
      </c>
      <c r="K3" s="4">
        <f>INDEX('Draft Engine'!$S$3:$S$232,$O3)</f>
        <v/>
      </c>
      <c r="L3" s="4">
        <f>INDEX('Draft Engine'!$U$3:$U$232,$O3)</f>
        <v/>
      </c>
      <c r="M3" s="4">
        <f>INDEX('Draft Engine'!$W$3:$W$232,$O3)</f>
        <v/>
      </c>
      <c r="N3">
        <f>INDEX('Draft Engine'!$T$3:$T$232,$O3)</f>
        <v/>
      </c>
      <c r="O3" s="6">
        <f>MATCH($A3,'Draft Engine'!$Q$3:$Q$232,0)</f>
        <v/>
      </c>
    </row>
    <row r="4">
      <c r="A4">
        <f>2</f>
        <v/>
      </c>
      <c r="B4">
        <f>INDEX('Draft Engine'!$A$3:$A$232,$O4)</f>
        <v/>
      </c>
      <c r="C4">
        <f>INDEX('Draft Engine'!$F$3:$F$232,$O4)</f>
        <v/>
      </c>
      <c r="D4">
        <f>INDEX('Draft Engine'!$B$3:$B$232,$O4)</f>
        <v/>
      </c>
      <c r="E4" s="4">
        <f>INDEX('Draft Engine'!$N$3:$N$232,$O4)</f>
        <v/>
      </c>
      <c r="F4" s="4">
        <f>INDEX('Draft Engine'!$E$3:$E$232,$O4)</f>
        <v/>
      </c>
      <c r="G4" s="4">
        <f>INDEX('Draft Engine'!$G$3:$G$232,$O4)</f>
        <v/>
      </c>
      <c r="H4" s="4">
        <f>INDEX('Draft Engine'!$J$3:$J$232,$O4)</f>
        <v/>
      </c>
      <c r="I4" s="4">
        <f>INDEX('Draft Engine'!$L$3:$L$232,$O4)</f>
        <v/>
      </c>
      <c r="J4" s="4">
        <f>INDEX('Draft Engine'!$R$3:$R$232,$O4)</f>
        <v/>
      </c>
      <c r="K4" s="4">
        <f>INDEX('Draft Engine'!$S$3:$S$232,$O4)</f>
        <v/>
      </c>
      <c r="L4" s="4">
        <f>INDEX('Draft Engine'!$U$3:$U$232,$O4)</f>
        <v/>
      </c>
      <c r="M4" s="4">
        <f>INDEX('Draft Engine'!$W$3:$W$232,$O4)</f>
        <v/>
      </c>
      <c r="N4">
        <f>INDEX('Draft Engine'!$T$3:$T$232,$O4)</f>
        <v/>
      </c>
      <c r="O4" s="6">
        <f>MATCH($A4,'Draft Engine'!$Q$3:$Q$232,0)</f>
        <v/>
      </c>
    </row>
    <row r="5">
      <c r="A5">
        <f>3</f>
        <v/>
      </c>
      <c r="B5">
        <f>INDEX('Draft Engine'!$A$3:$A$232,$O5)</f>
        <v/>
      </c>
      <c r="C5">
        <f>INDEX('Draft Engine'!$F$3:$F$232,$O5)</f>
        <v/>
      </c>
      <c r="D5">
        <f>INDEX('Draft Engine'!$B$3:$B$232,$O5)</f>
        <v/>
      </c>
      <c r="E5" s="4">
        <f>INDEX('Draft Engine'!$N$3:$N$232,$O5)</f>
        <v/>
      </c>
      <c r="F5" s="4">
        <f>INDEX('Draft Engine'!$E$3:$E$232,$O5)</f>
        <v/>
      </c>
      <c r="G5" s="4">
        <f>INDEX('Draft Engine'!$G$3:$G$232,$O5)</f>
        <v/>
      </c>
      <c r="H5" s="4">
        <f>INDEX('Draft Engine'!$J$3:$J$232,$O5)</f>
        <v/>
      </c>
      <c r="I5" s="4">
        <f>INDEX('Draft Engine'!$L$3:$L$232,$O5)</f>
        <v/>
      </c>
      <c r="J5" s="4">
        <f>INDEX('Draft Engine'!$R$3:$R$232,$O5)</f>
        <v/>
      </c>
      <c r="K5" s="4">
        <f>INDEX('Draft Engine'!$S$3:$S$232,$O5)</f>
        <v/>
      </c>
      <c r="L5" s="4">
        <f>INDEX('Draft Engine'!$U$3:$U$232,$O5)</f>
        <v/>
      </c>
      <c r="M5" s="4">
        <f>INDEX('Draft Engine'!$W$3:$W$232,$O5)</f>
        <v/>
      </c>
      <c r="N5">
        <f>INDEX('Draft Engine'!$T$3:$T$232,$O5)</f>
        <v/>
      </c>
      <c r="O5" s="6">
        <f>MATCH($A5,'Draft Engine'!$Q$3:$Q$232,0)</f>
        <v/>
      </c>
    </row>
    <row r="6">
      <c r="A6">
        <f>4</f>
        <v/>
      </c>
      <c r="B6">
        <f>INDEX('Draft Engine'!$A$3:$A$232,$O6)</f>
        <v/>
      </c>
      <c r="C6">
        <f>INDEX('Draft Engine'!$F$3:$F$232,$O6)</f>
        <v/>
      </c>
      <c r="D6">
        <f>INDEX('Draft Engine'!$B$3:$B$232,$O6)</f>
        <v/>
      </c>
      <c r="E6" s="4">
        <f>INDEX('Draft Engine'!$N$3:$N$232,$O6)</f>
        <v/>
      </c>
      <c r="F6" s="4">
        <f>INDEX('Draft Engine'!$E$3:$E$232,$O6)</f>
        <v/>
      </c>
      <c r="G6" s="4">
        <f>INDEX('Draft Engine'!$G$3:$G$232,$O6)</f>
        <v/>
      </c>
      <c r="H6" s="4">
        <f>INDEX('Draft Engine'!$J$3:$J$232,$O6)</f>
        <v/>
      </c>
      <c r="I6" s="4">
        <f>INDEX('Draft Engine'!$L$3:$L$232,$O6)</f>
        <v/>
      </c>
      <c r="J6" s="4">
        <f>INDEX('Draft Engine'!$R$3:$R$232,$O6)</f>
        <v/>
      </c>
      <c r="K6" s="4">
        <f>INDEX('Draft Engine'!$S$3:$S$232,$O6)</f>
        <v/>
      </c>
      <c r="L6" s="4">
        <f>INDEX('Draft Engine'!$U$3:$U$232,$O6)</f>
        <v/>
      </c>
      <c r="M6" s="4">
        <f>INDEX('Draft Engine'!$W$3:$W$232,$O6)</f>
        <v/>
      </c>
      <c r="N6">
        <f>INDEX('Draft Engine'!$T$3:$T$232,$O6)</f>
        <v/>
      </c>
      <c r="O6" s="6">
        <f>MATCH($A6,'Draft Engine'!$Q$3:$Q$232,0)</f>
        <v/>
      </c>
    </row>
    <row r="7">
      <c r="A7">
        <f>5</f>
        <v/>
      </c>
      <c r="B7">
        <f>INDEX('Draft Engine'!$A$3:$A$232,$O7)</f>
        <v/>
      </c>
      <c r="C7">
        <f>INDEX('Draft Engine'!$F$3:$F$232,$O7)</f>
        <v/>
      </c>
      <c r="D7">
        <f>INDEX('Draft Engine'!$B$3:$B$232,$O7)</f>
        <v/>
      </c>
      <c r="E7" s="4">
        <f>INDEX('Draft Engine'!$N$3:$N$232,$O7)</f>
        <v/>
      </c>
      <c r="F7" s="4">
        <f>INDEX('Draft Engine'!$E$3:$E$232,$O7)</f>
        <v/>
      </c>
      <c r="G7" s="4">
        <f>INDEX('Draft Engine'!$G$3:$G$232,$O7)</f>
        <v/>
      </c>
      <c r="H7" s="4">
        <f>INDEX('Draft Engine'!$J$3:$J$232,$O7)</f>
        <v/>
      </c>
      <c r="I7" s="4">
        <f>INDEX('Draft Engine'!$L$3:$L$232,$O7)</f>
        <v/>
      </c>
      <c r="J7" s="4">
        <f>INDEX('Draft Engine'!$R$3:$R$232,$O7)</f>
        <v/>
      </c>
      <c r="K7" s="4">
        <f>INDEX('Draft Engine'!$S$3:$S$232,$O7)</f>
        <v/>
      </c>
      <c r="L7" s="4">
        <f>INDEX('Draft Engine'!$U$3:$U$232,$O7)</f>
        <v/>
      </c>
      <c r="M7" s="4">
        <f>INDEX('Draft Engine'!$W$3:$W$232,$O7)</f>
        <v/>
      </c>
      <c r="N7">
        <f>INDEX('Draft Engine'!$T$3:$T$232,$O7)</f>
        <v/>
      </c>
      <c r="O7" s="6">
        <f>MATCH($A7,'Draft Engine'!$Q$3:$Q$232,0)</f>
        <v/>
      </c>
    </row>
    <row r="8">
      <c r="A8">
        <f>6</f>
        <v/>
      </c>
      <c r="B8">
        <f>INDEX('Draft Engine'!$A$3:$A$232,$O8)</f>
        <v/>
      </c>
      <c r="C8">
        <f>INDEX('Draft Engine'!$F$3:$F$232,$O8)</f>
        <v/>
      </c>
      <c r="D8">
        <f>INDEX('Draft Engine'!$B$3:$B$232,$O8)</f>
        <v/>
      </c>
      <c r="E8" s="4">
        <f>INDEX('Draft Engine'!$N$3:$N$232,$O8)</f>
        <v/>
      </c>
      <c r="F8" s="4">
        <f>INDEX('Draft Engine'!$E$3:$E$232,$O8)</f>
        <v/>
      </c>
      <c r="G8" s="4">
        <f>INDEX('Draft Engine'!$G$3:$G$232,$O8)</f>
        <v/>
      </c>
      <c r="H8" s="4">
        <f>INDEX('Draft Engine'!$J$3:$J$232,$O8)</f>
        <v/>
      </c>
      <c r="I8" s="4">
        <f>INDEX('Draft Engine'!$L$3:$L$232,$O8)</f>
        <v/>
      </c>
      <c r="J8" s="4">
        <f>INDEX('Draft Engine'!$R$3:$R$232,$O8)</f>
        <v/>
      </c>
      <c r="K8" s="4">
        <f>INDEX('Draft Engine'!$S$3:$S$232,$O8)</f>
        <v/>
      </c>
      <c r="L8" s="4">
        <f>INDEX('Draft Engine'!$U$3:$U$232,$O8)</f>
        <v/>
      </c>
      <c r="M8" s="4">
        <f>INDEX('Draft Engine'!$W$3:$W$232,$O8)</f>
        <v/>
      </c>
      <c r="N8">
        <f>INDEX('Draft Engine'!$T$3:$T$232,$O8)</f>
        <v/>
      </c>
      <c r="O8" s="6">
        <f>MATCH($A8,'Draft Engine'!$Q$3:$Q$232,0)</f>
        <v/>
      </c>
    </row>
    <row r="9">
      <c r="A9">
        <f>7</f>
        <v/>
      </c>
      <c r="B9">
        <f>INDEX('Draft Engine'!$A$3:$A$232,$O9)</f>
        <v/>
      </c>
      <c r="C9">
        <f>INDEX('Draft Engine'!$F$3:$F$232,$O9)</f>
        <v/>
      </c>
      <c r="D9">
        <f>INDEX('Draft Engine'!$B$3:$B$232,$O9)</f>
        <v/>
      </c>
      <c r="E9" s="4">
        <f>INDEX('Draft Engine'!$N$3:$N$232,$O9)</f>
        <v/>
      </c>
      <c r="F9" s="4">
        <f>INDEX('Draft Engine'!$E$3:$E$232,$O9)</f>
        <v/>
      </c>
      <c r="G9" s="4">
        <f>INDEX('Draft Engine'!$G$3:$G$232,$O9)</f>
        <v/>
      </c>
      <c r="H9" s="4">
        <f>INDEX('Draft Engine'!$J$3:$J$232,$O9)</f>
        <v/>
      </c>
      <c r="I9" s="4">
        <f>INDEX('Draft Engine'!$L$3:$L$232,$O9)</f>
        <v/>
      </c>
      <c r="J9" s="4">
        <f>INDEX('Draft Engine'!$R$3:$R$232,$O9)</f>
        <v/>
      </c>
      <c r="K9" s="4">
        <f>INDEX('Draft Engine'!$S$3:$S$232,$O9)</f>
        <v/>
      </c>
      <c r="L9" s="4">
        <f>INDEX('Draft Engine'!$U$3:$U$232,$O9)</f>
        <v/>
      </c>
      <c r="M9" s="4">
        <f>INDEX('Draft Engine'!$W$3:$W$232,$O9)</f>
        <v/>
      </c>
      <c r="N9">
        <f>INDEX('Draft Engine'!$T$3:$T$232,$O9)</f>
        <v/>
      </c>
      <c r="O9" s="6">
        <f>MATCH($A9,'Draft Engine'!$Q$3:$Q$232,0)</f>
        <v/>
      </c>
    </row>
    <row r="10">
      <c r="A10">
        <f>8</f>
        <v/>
      </c>
      <c r="B10">
        <f>INDEX('Draft Engine'!$A$3:$A$232,$O10)</f>
        <v/>
      </c>
      <c r="C10">
        <f>INDEX('Draft Engine'!$F$3:$F$232,$O10)</f>
        <v/>
      </c>
      <c r="D10">
        <f>INDEX('Draft Engine'!$B$3:$B$232,$O10)</f>
        <v/>
      </c>
      <c r="E10" s="4">
        <f>INDEX('Draft Engine'!$N$3:$N$232,$O10)</f>
        <v/>
      </c>
      <c r="F10" s="4">
        <f>INDEX('Draft Engine'!$E$3:$E$232,$O10)</f>
        <v/>
      </c>
      <c r="G10" s="4">
        <f>INDEX('Draft Engine'!$G$3:$G$232,$O10)</f>
        <v/>
      </c>
      <c r="H10" s="4">
        <f>INDEX('Draft Engine'!$J$3:$J$232,$O10)</f>
        <v/>
      </c>
      <c r="I10" s="4">
        <f>INDEX('Draft Engine'!$L$3:$L$232,$O10)</f>
        <v/>
      </c>
      <c r="J10" s="4">
        <f>INDEX('Draft Engine'!$R$3:$R$232,$O10)</f>
        <v/>
      </c>
      <c r="K10" s="4">
        <f>INDEX('Draft Engine'!$S$3:$S$232,$O10)</f>
        <v/>
      </c>
      <c r="L10" s="4">
        <f>INDEX('Draft Engine'!$U$3:$U$232,$O10)</f>
        <v/>
      </c>
      <c r="M10" s="4">
        <f>INDEX('Draft Engine'!$W$3:$W$232,$O10)</f>
        <v/>
      </c>
      <c r="N10">
        <f>INDEX('Draft Engine'!$T$3:$T$232,$O10)</f>
        <v/>
      </c>
      <c r="O10" s="6">
        <f>MATCH($A10,'Draft Engine'!$Q$3:$Q$232,0)</f>
        <v/>
      </c>
    </row>
    <row r="11">
      <c r="A11">
        <f>9</f>
        <v/>
      </c>
      <c r="B11">
        <f>INDEX('Draft Engine'!$A$3:$A$232,$O11)</f>
        <v/>
      </c>
      <c r="C11">
        <f>INDEX('Draft Engine'!$F$3:$F$232,$O11)</f>
        <v/>
      </c>
      <c r="D11">
        <f>INDEX('Draft Engine'!$B$3:$B$232,$O11)</f>
        <v/>
      </c>
      <c r="E11" s="4">
        <f>INDEX('Draft Engine'!$N$3:$N$232,$O11)</f>
        <v/>
      </c>
      <c r="F11" s="4">
        <f>INDEX('Draft Engine'!$E$3:$E$232,$O11)</f>
        <v/>
      </c>
      <c r="G11" s="4">
        <f>INDEX('Draft Engine'!$G$3:$G$232,$O11)</f>
        <v/>
      </c>
      <c r="H11" s="4">
        <f>INDEX('Draft Engine'!$J$3:$J$232,$O11)</f>
        <v/>
      </c>
      <c r="I11" s="4">
        <f>INDEX('Draft Engine'!$L$3:$L$232,$O11)</f>
        <v/>
      </c>
      <c r="J11" s="4">
        <f>INDEX('Draft Engine'!$R$3:$R$232,$O11)</f>
        <v/>
      </c>
      <c r="K11" s="4">
        <f>INDEX('Draft Engine'!$S$3:$S$232,$O11)</f>
        <v/>
      </c>
      <c r="L11" s="4">
        <f>INDEX('Draft Engine'!$U$3:$U$232,$O11)</f>
        <v/>
      </c>
      <c r="M11" s="4">
        <f>INDEX('Draft Engine'!$W$3:$W$232,$O11)</f>
        <v/>
      </c>
      <c r="N11">
        <f>INDEX('Draft Engine'!$T$3:$T$232,$O11)</f>
        <v/>
      </c>
      <c r="O11" s="6">
        <f>MATCH($A11,'Draft Engine'!$Q$3:$Q$232,0)</f>
        <v/>
      </c>
    </row>
    <row r="12">
      <c r="A12">
        <f>10</f>
        <v/>
      </c>
      <c r="B12">
        <f>INDEX('Draft Engine'!$A$3:$A$232,$O12)</f>
        <v/>
      </c>
      <c r="C12">
        <f>INDEX('Draft Engine'!$F$3:$F$232,$O12)</f>
        <v/>
      </c>
      <c r="D12">
        <f>INDEX('Draft Engine'!$B$3:$B$232,$O12)</f>
        <v/>
      </c>
      <c r="E12" s="4">
        <f>INDEX('Draft Engine'!$N$3:$N$232,$O12)</f>
        <v/>
      </c>
      <c r="F12" s="4">
        <f>INDEX('Draft Engine'!$E$3:$E$232,$O12)</f>
        <v/>
      </c>
      <c r="G12" s="4">
        <f>INDEX('Draft Engine'!$G$3:$G$232,$O12)</f>
        <v/>
      </c>
      <c r="H12" s="4">
        <f>INDEX('Draft Engine'!$J$3:$J$232,$O12)</f>
        <v/>
      </c>
      <c r="I12" s="4">
        <f>INDEX('Draft Engine'!$L$3:$L$232,$O12)</f>
        <v/>
      </c>
      <c r="J12" s="4">
        <f>INDEX('Draft Engine'!$R$3:$R$232,$O12)</f>
        <v/>
      </c>
      <c r="K12" s="4">
        <f>INDEX('Draft Engine'!$S$3:$S$232,$O12)</f>
        <v/>
      </c>
      <c r="L12" s="4">
        <f>INDEX('Draft Engine'!$U$3:$U$232,$O12)</f>
        <v/>
      </c>
      <c r="M12" s="4">
        <f>INDEX('Draft Engine'!$W$3:$W$232,$O12)</f>
        <v/>
      </c>
      <c r="N12">
        <f>INDEX('Draft Engine'!$T$3:$T$232,$O12)</f>
        <v/>
      </c>
      <c r="O12" s="6">
        <f>MATCH($A12,'Draft Engine'!$Q$3:$Q$232,0)</f>
        <v/>
      </c>
    </row>
    <row r="13">
      <c r="A13">
        <f>11</f>
        <v/>
      </c>
      <c r="B13">
        <f>INDEX('Draft Engine'!$A$3:$A$232,$O13)</f>
        <v/>
      </c>
      <c r="C13">
        <f>INDEX('Draft Engine'!$F$3:$F$232,$O13)</f>
        <v/>
      </c>
      <c r="D13">
        <f>INDEX('Draft Engine'!$B$3:$B$232,$O13)</f>
        <v/>
      </c>
      <c r="E13" s="4">
        <f>INDEX('Draft Engine'!$N$3:$N$232,$O13)</f>
        <v/>
      </c>
      <c r="F13" s="4">
        <f>INDEX('Draft Engine'!$E$3:$E$232,$O13)</f>
        <v/>
      </c>
      <c r="G13" s="4">
        <f>INDEX('Draft Engine'!$G$3:$G$232,$O13)</f>
        <v/>
      </c>
      <c r="H13" s="4">
        <f>INDEX('Draft Engine'!$J$3:$J$232,$O13)</f>
        <v/>
      </c>
      <c r="I13" s="4">
        <f>INDEX('Draft Engine'!$L$3:$L$232,$O13)</f>
        <v/>
      </c>
      <c r="J13" s="4">
        <f>INDEX('Draft Engine'!$R$3:$R$232,$O13)</f>
        <v/>
      </c>
      <c r="K13" s="4">
        <f>INDEX('Draft Engine'!$S$3:$S$232,$O13)</f>
        <v/>
      </c>
      <c r="L13" s="4">
        <f>INDEX('Draft Engine'!$U$3:$U$232,$O13)</f>
        <v/>
      </c>
      <c r="M13" s="4">
        <f>INDEX('Draft Engine'!$W$3:$W$232,$O13)</f>
        <v/>
      </c>
      <c r="N13">
        <f>INDEX('Draft Engine'!$T$3:$T$232,$O13)</f>
        <v/>
      </c>
      <c r="O13" s="6">
        <f>MATCH($A13,'Draft Engine'!$Q$3:$Q$232,0)</f>
        <v/>
      </c>
    </row>
    <row r="14">
      <c r="A14">
        <f>12</f>
        <v/>
      </c>
      <c r="B14">
        <f>INDEX('Draft Engine'!$A$3:$A$232,$O14)</f>
        <v/>
      </c>
      <c r="C14">
        <f>INDEX('Draft Engine'!$F$3:$F$232,$O14)</f>
        <v/>
      </c>
      <c r="D14">
        <f>INDEX('Draft Engine'!$B$3:$B$232,$O14)</f>
        <v/>
      </c>
      <c r="E14" s="4">
        <f>INDEX('Draft Engine'!$N$3:$N$232,$O14)</f>
        <v/>
      </c>
      <c r="F14" s="4">
        <f>INDEX('Draft Engine'!$E$3:$E$232,$O14)</f>
        <v/>
      </c>
      <c r="G14" s="4">
        <f>INDEX('Draft Engine'!$G$3:$G$232,$O14)</f>
        <v/>
      </c>
      <c r="H14" s="4">
        <f>INDEX('Draft Engine'!$J$3:$J$232,$O14)</f>
        <v/>
      </c>
      <c r="I14" s="4">
        <f>INDEX('Draft Engine'!$L$3:$L$232,$O14)</f>
        <v/>
      </c>
      <c r="J14" s="4">
        <f>INDEX('Draft Engine'!$R$3:$R$232,$O14)</f>
        <v/>
      </c>
      <c r="K14" s="4">
        <f>INDEX('Draft Engine'!$S$3:$S$232,$O14)</f>
        <v/>
      </c>
      <c r="L14" s="4">
        <f>INDEX('Draft Engine'!$U$3:$U$232,$O14)</f>
        <v/>
      </c>
      <c r="M14" s="4">
        <f>INDEX('Draft Engine'!$W$3:$W$232,$O14)</f>
        <v/>
      </c>
      <c r="N14">
        <f>INDEX('Draft Engine'!$T$3:$T$232,$O14)</f>
        <v/>
      </c>
      <c r="O14" s="6">
        <f>MATCH($A14,'Draft Engine'!$Q$3:$Q$232,0)</f>
        <v/>
      </c>
    </row>
    <row r="15">
      <c r="A15">
        <f>13</f>
        <v/>
      </c>
      <c r="B15">
        <f>INDEX('Draft Engine'!$A$3:$A$232,$O15)</f>
        <v/>
      </c>
      <c r="C15">
        <f>INDEX('Draft Engine'!$F$3:$F$232,$O15)</f>
        <v/>
      </c>
      <c r="D15">
        <f>INDEX('Draft Engine'!$B$3:$B$232,$O15)</f>
        <v/>
      </c>
      <c r="E15" s="4">
        <f>INDEX('Draft Engine'!$N$3:$N$232,$O15)</f>
        <v/>
      </c>
      <c r="F15" s="4">
        <f>INDEX('Draft Engine'!$E$3:$E$232,$O15)</f>
        <v/>
      </c>
      <c r="G15" s="4">
        <f>INDEX('Draft Engine'!$G$3:$G$232,$O15)</f>
        <v/>
      </c>
      <c r="H15" s="4">
        <f>INDEX('Draft Engine'!$J$3:$J$232,$O15)</f>
        <v/>
      </c>
      <c r="I15" s="4">
        <f>INDEX('Draft Engine'!$L$3:$L$232,$O15)</f>
        <v/>
      </c>
      <c r="J15" s="4">
        <f>INDEX('Draft Engine'!$R$3:$R$232,$O15)</f>
        <v/>
      </c>
      <c r="K15" s="4">
        <f>INDEX('Draft Engine'!$S$3:$S$232,$O15)</f>
        <v/>
      </c>
      <c r="L15" s="4">
        <f>INDEX('Draft Engine'!$U$3:$U$232,$O15)</f>
        <v/>
      </c>
      <c r="M15" s="4">
        <f>INDEX('Draft Engine'!$W$3:$W$232,$O15)</f>
        <v/>
      </c>
      <c r="N15">
        <f>INDEX('Draft Engine'!$T$3:$T$232,$O15)</f>
        <v/>
      </c>
      <c r="O15" s="6">
        <f>MATCH($A15,'Draft Engine'!$Q$3:$Q$232,0)</f>
        <v/>
      </c>
    </row>
    <row r="16">
      <c r="A16">
        <f>14</f>
        <v/>
      </c>
      <c r="B16">
        <f>INDEX('Draft Engine'!$A$3:$A$232,$O16)</f>
        <v/>
      </c>
      <c r="C16">
        <f>INDEX('Draft Engine'!$F$3:$F$232,$O16)</f>
        <v/>
      </c>
      <c r="D16">
        <f>INDEX('Draft Engine'!$B$3:$B$232,$O16)</f>
        <v/>
      </c>
      <c r="E16" s="4">
        <f>INDEX('Draft Engine'!$N$3:$N$232,$O16)</f>
        <v/>
      </c>
      <c r="F16" s="4">
        <f>INDEX('Draft Engine'!$E$3:$E$232,$O16)</f>
        <v/>
      </c>
      <c r="G16" s="4">
        <f>INDEX('Draft Engine'!$G$3:$G$232,$O16)</f>
        <v/>
      </c>
      <c r="H16" s="4">
        <f>INDEX('Draft Engine'!$J$3:$J$232,$O16)</f>
        <v/>
      </c>
      <c r="I16" s="4">
        <f>INDEX('Draft Engine'!$L$3:$L$232,$O16)</f>
        <v/>
      </c>
      <c r="J16" s="4">
        <f>INDEX('Draft Engine'!$R$3:$R$232,$O16)</f>
        <v/>
      </c>
      <c r="K16" s="4">
        <f>INDEX('Draft Engine'!$S$3:$S$232,$O16)</f>
        <v/>
      </c>
      <c r="L16" s="4">
        <f>INDEX('Draft Engine'!$U$3:$U$232,$O16)</f>
        <v/>
      </c>
      <c r="M16" s="4">
        <f>INDEX('Draft Engine'!$W$3:$W$232,$O16)</f>
        <v/>
      </c>
      <c r="N16">
        <f>INDEX('Draft Engine'!$T$3:$T$232,$O16)</f>
        <v/>
      </c>
      <c r="O16" s="6">
        <f>MATCH($A16,'Draft Engine'!$Q$3:$Q$232,0)</f>
        <v/>
      </c>
    </row>
    <row r="17">
      <c r="A17">
        <f>15</f>
        <v/>
      </c>
      <c r="B17">
        <f>INDEX('Draft Engine'!$A$3:$A$232,$O17)</f>
        <v/>
      </c>
      <c r="C17">
        <f>INDEX('Draft Engine'!$F$3:$F$232,$O17)</f>
        <v/>
      </c>
      <c r="D17">
        <f>INDEX('Draft Engine'!$B$3:$B$232,$O17)</f>
        <v/>
      </c>
      <c r="E17" s="4">
        <f>INDEX('Draft Engine'!$N$3:$N$232,$O17)</f>
        <v/>
      </c>
      <c r="F17" s="4">
        <f>INDEX('Draft Engine'!$E$3:$E$232,$O17)</f>
        <v/>
      </c>
      <c r="G17" s="4">
        <f>INDEX('Draft Engine'!$G$3:$G$232,$O17)</f>
        <v/>
      </c>
      <c r="H17" s="4">
        <f>INDEX('Draft Engine'!$J$3:$J$232,$O17)</f>
        <v/>
      </c>
      <c r="I17" s="4">
        <f>INDEX('Draft Engine'!$L$3:$L$232,$O17)</f>
        <v/>
      </c>
      <c r="J17" s="4">
        <f>INDEX('Draft Engine'!$R$3:$R$232,$O17)</f>
        <v/>
      </c>
      <c r="K17" s="4">
        <f>INDEX('Draft Engine'!$S$3:$S$232,$O17)</f>
        <v/>
      </c>
      <c r="L17" s="4">
        <f>INDEX('Draft Engine'!$U$3:$U$232,$O17)</f>
        <v/>
      </c>
      <c r="M17" s="4">
        <f>INDEX('Draft Engine'!$W$3:$W$232,$O17)</f>
        <v/>
      </c>
      <c r="N17">
        <f>INDEX('Draft Engine'!$T$3:$T$232,$O17)</f>
        <v/>
      </c>
      <c r="O17" s="6">
        <f>MATCH($A17,'Draft Engine'!$Q$3:$Q$232,0)</f>
        <v/>
      </c>
    </row>
    <row r="18">
      <c r="A18">
        <f>16</f>
        <v/>
      </c>
      <c r="B18">
        <f>INDEX('Draft Engine'!$A$3:$A$232,$O18)</f>
        <v/>
      </c>
      <c r="C18">
        <f>INDEX('Draft Engine'!$F$3:$F$232,$O18)</f>
        <v/>
      </c>
      <c r="D18">
        <f>INDEX('Draft Engine'!$B$3:$B$232,$O18)</f>
        <v/>
      </c>
      <c r="E18" s="4">
        <f>INDEX('Draft Engine'!$N$3:$N$232,$O18)</f>
        <v/>
      </c>
      <c r="F18" s="4">
        <f>INDEX('Draft Engine'!$E$3:$E$232,$O18)</f>
        <v/>
      </c>
      <c r="G18" s="4">
        <f>INDEX('Draft Engine'!$G$3:$G$232,$O18)</f>
        <v/>
      </c>
      <c r="H18" s="4">
        <f>INDEX('Draft Engine'!$J$3:$J$232,$O18)</f>
        <v/>
      </c>
      <c r="I18" s="4">
        <f>INDEX('Draft Engine'!$L$3:$L$232,$O18)</f>
        <v/>
      </c>
      <c r="J18" s="4">
        <f>INDEX('Draft Engine'!$R$3:$R$232,$O18)</f>
        <v/>
      </c>
      <c r="K18" s="4">
        <f>INDEX('Draft Engine'!$S$3:$S$232,$O18)</f>
        <v/>
      </c>
      <c r="L18" s="4">
        <f>INDEX('Draft Engine'!$U$3:$U$232,$O18)</f>
        <v/>
      </c>
      <c r="M18" s="4">
        <f>INDEX('Draft Engine'!$W$3:$W$232,$O18)</f>
        <v/>
      </c>
      <c r="N18">
        <f>INDEX('Draft Engine'!$T$3:$T$232,$O18)</f>
        <v/>
      </c>
      <c r="O18" s="6">
        <f>MATCH($A18,'Draft Engine'!$Q$3:$Q$232,0)</f>
        <v/>
      </c>
    </row>
    <row r="19">
      <c r="A19">
        <f>17</f>
        <v/>
      </c>
      <c r="B19">
        <f>INDEX('Draft Engine'!$A$3:$A$232,$O19)</f>
        <v/>
      </c>
      <c r="C19">
        <f>INDEX('Draft Engine'!$F$3:$F$232,$O19)</f>
        <v/>
      </c>
      <c r="D19">
        <f>INDEX('Draft Engine'!$B$3:$B$232,$O19)</f>
        <v/>
      </c>
      <c r="E19" s="4">
        <f>INDEX('Draft Engine'!$N$3:$N$232,$O19)</f>
        <v/>
      </c>
      <c r="F19" s="4">
        <f>INDEX('Draft Engine'!$E$3:$E$232,$O19)</f>
        <v/>
      </c>
      <c r="G19" s="4">
        <f>INDEX('Draft Engine'!$G$3:$G$232,$O19)</f>
        <v/>
      </c>
      <c r="H19" s="4">
        <f>INDEX('Draft Engine'!$J$3:$J$232,$O19)</f>
        <v/>
      </c>
      <c r="I19" s="4">
        <f>INDEX('Draft Engine'!$L$3:$L$232,$O19)</f>
        <v/>
      </c>
      <c r="J19" s="4">
        <f>INDEX('Draft Engine'!$R$3:$R$232,$O19)</f>
        <v/>
      </c>
      <c r="K19" s="4">
        <f>INDEX('Draft Engine'!$S$3:$S$232,$O19)</f>
        <v/>
      </c>
      <c r="L19" s="4">
        <f>INDEX('Draft Engine'!$U$3:$U$232,$O19)</f>
        <v/>
      </c>
      <c r="M19" s="4">
        <f>INDEX('Draft Engine'!$W$3:$W$232,$O19)</f>
        <v/>
      </c>
      <c r="N19">
        <f>INDEX('Draft Engine'!$T$3:$T$232,$O19)</f>
        <v/>
      </c>
      <c r="O19" s="6">
        <f>MATCH($A19,'Draft Engine'!$Q$3:$Q$232,0)</f>
        <v/>
      </c>
    </row>
    <row r="20">
      <c r="A20">
        <f>18</f>
        <v/>
      </c>
      <c r="B20">
        <f>INDEX('Draft Engine'!$A$3:$A$232,$O20)</f>
        <v/>
      </c>
      <c r="C20">
        <f>INDEX('Draft Engine'!$F$3:$F$232,$O20)</f>
        <v/>
      </c>
      <c r="D20">
        <f>INDEX('Draft Engine'!$B$3:$B$232,$O20)</f>
        <v/>
      </c>
      <c r="E20" s="4">
        <f>INDEX('Draft Engine'!$N$3:$N$232,$O20)</f>
        <v/>
      </c>
      <c r="F20" s="4">
        <f>INDEX('Draft Engine'!$E$3:$E$232,$O20)</f>
        <v/>
      </c>
      <c r="G20" s="4">
        <f>INDEX('Draft Engine'!$G$3:$G$232,$O20)</f>
        <v/>
      </c>
      <c r="H20" s="4">
        <f>INDEX('Draft Engine'!$J$3:$J$232,$O20)</f>
        <v/>
      </c>
      <c r="I20" s="4">
        <f>INDEX('Draft Engine'!$L$3:$L$232,$O20)</f>
        <v/>
      </c>
      <c r="J20" s="4">
        <f>INDEX('Draft Engine'!$R$3:$R$232,$O20)</f>
        <v/>
      </c>
      <c r="K20" s="4">
        <f>INDEX('Draft Engine'!$S$3:$S$232,$O20)</f>
        <v/>
      </c>
      <c r="L20" s="4">
        <f>INDEX('Draft Engine'!$U$3:$U$232,$O20)</f>
        <v/>
      </c>
      <c r="M20" s="4">
        <f>INDEX('Draft Engine'!$W$3:$W$232,$O20)</f>
        <v/>
      </c>
      <c r="N20">
        <f>INDEX('Draft Engine'!$T$3:$T$232,$O20)</f>
        <v/>
      </c>
      <c r="O20" s="6">
        <f>MATCH($A20,'Draft Engine'!$Q$3:$Q$232,0)</f>
        <v/>
      </c>
    </row>
    <row r="21">
      <c r="A21">
        <f>19</f>
        <v/>
      </c>
      <c r="B21">
        <f>INDEX('Draft Engine'!$A$3:$A$232,$O21)</f>
        <v/>
      </c>
      <c r="C21">
        <f>INDEX('Draft Engine'!$F$3:$F$232,$O21)</f>
        <v/>
      </c>
      <c r="D21">
        <f>INDEX('Draft Engine'!$B$3:$B$232,$O21)</f>
        <v/>
      </c>
      <c r="E21" s="4">
        <f>INDEX('Draft Engine'!$N$3:$N$232,$O21)</f>
        <v/>
      </c>
      <c r="F21" s="4">
        <f>INDEX('Draft Engine'!$E$3:$E$232,$O21)</f>
        <v/>
      </c>
      <c r="G21" s="4">
        <f>INDEX('Draft Engine'!$G$3:$G$232,$O21)</f>
        <v/>
      </c>
      <c r="H21" s="4">
        <f>INDEX('Draft Engine'!$J$3:$J$232,$O21)</f>
        <v/>
      </c>
      <c r="I21" s="4">
        <f>INDEX('Draft Engine'!$L$3:$L$232,$O21)</f>
        <v/>
      </c>
      <c r="J21" s="4">
        <f>INDEX('Draft Engine'!$R$3:$R$232,$O21)</f>
        <v/>
      </c>
      <c r="K21" s="4">
        <f>INDEX('Draft Engine'!$S$3:$S$232,$O21)</f>
        <v/>
      </c>
      <c r="L21" s="4">
        <f>INDEX('Draft Engine'!$U$3:$U$232,$O21)</f>
        <v/>
      </c>
      <c r="M21" s="4">
        <f>INDEX('Draft Engine'!$W$3:$W$232,$O21)</f>
        <v/>
      </c>
      <c r="N21">
        <f>INDEX('Draft Engine'!$T$3:$T$232,$O21)</f>
        <v/>
      </c>
      <c r="O21" s="6">
        <f>MATCH($A21,'Draft Engine'!$Q$3:$Q$232,0)</f>
        <v/>
      </c>
    </row>
    <row r="22">
      <c r="A22">
        <f>20</f>
        <v/>
      </c>
      <c r="B22">
        <f>INDEX('Draft Engine'!$A$3:$A$232,$O22)</f>
        <v/>
      </c>
      <c r="C22">
        <f>INDEX('Draft Engine'!$F$3:$F$232,$O22)</f>
        <v/>
      </c>
      <c r="D22">
        <f>INDEX('Draft Engine'!$B$3:$B$232,$O22)</f>
        <v/>
      </c>
      <c r="E22" s="4">
        <f>INDEX('Draft Engine'!$N$3:$N$232,$O22)</f>
        <v/>
      </c>
      <c r="F22" s="4">
        <f>INDEX('Draft Engine'!$E$3:$E$232,$O22)</f>
        <v/>
      </c>
      <c r="G22" s="4">
        <f>INDEX('Draft Engine'!$G$3:$G$232,$O22)</f>
        <v/>
      </c>
      <c r="H22" s="4">
        <f>INDEX('Draft Engine'!$J$3:$J$232,$O22)</f>
        <v/>
      </c>
      <c r="I22" s="4">
        <f>INDEX('Draft Engine'!$L$3:$L$232,$O22)</f>
        <v/>
      </c>
      <c r="J22" s="4">
        <f>INDEX('Draft Engine'!$R$3:$R$232,$O22)</f>
        <v/>
      </c>
      <c r="K22" s="4">
        <f>INDEX('Draft Engine'!$S$3:$S$232,$O22)</f>
        <v/>
      </c>
      <c r="L22" s="4">
        <f>INDEX('Draft Engine'!$U$3:$U$232,$O22)</f>
        <v/>
      </c>
      <c r="M22" s="4">
        <f>INDEX('Draft Engine'!$W$3:$W$232,$O22)</f>
        <v/>
      </c>
      <c r="N22">
        <f>INDEX('Draft Engine'!$T$3:$T$232,$O22)</f>
        <v/>
      </c>
      <c r="O22" s="6">
        <f>MATCH($A22,'Draft Engine'!$Q$3:$Q$232,0)</f>
        <v/>
      </c>
    </row>
    <row r="23">
      <c r="A23">
        <f>21</f>
        <v/>
      </c>
      <c r="B23">
        <f>INDEX('Draft Engine'!$A$3:$A$232,$O23)</f>
        <v/>
      </c>
      <c r="C23">
        <f>INDEX('Draft Engine'!$F$3:$F$232,$O23)</f>
        <v/>
      </c>
      <c r="D23">
        <f>INDEX('Draft Engine'!$B$3:$B$232,$O23)</f>
        <v/>
      </c>
      <c r="E23" s="4">
        <f>INDEX('Draft Engine'!$N$3:$N$232,$O23)</f>
        <v/>
      </c>
      <c r="F23" s="4">
        <f>INDEX('Draft Engine'!$E$3:$E$232,$O23)</f>
        <v/>
      </c>
      <c r="G23" s="4">
        <f>INDEX('Draft Engine'!$G$3:$G$232,$O23)</f>
        <v/>
      </c>
      <c r="H23" s="4">
        <f>INDEX('Draft Engine'!$J$3:$J$232,$O23)</f>
        <v/>
      </c>
      <c r="I23" s="4">
        <f>INDEX('Draft Engine'!$L$3:$L$232,$O23)</f>
        <v/>
      </c>
      <c r="J23" s="4">
        <f>INDEX('Draft Engine'!$R$3:$R$232,$O23)</f>
        <v/>
      </c>
      <c r="K23" s="4">
        <f>INDEX('Draft Engine'!$S$3:$S$232,$O23)</f>
        <v/>
      </c>
      <c r="L23" s="4">
        <f>INDEX('Draft Engine'!$U$3:$U$232,$O23)</f>
        <v/>
      </c>
      <c r="M23" s="4">
        <f>INDEX('Draft Engine'!$W$3:$W$232,$O23)</f>
        <v/>
      </c>
      <c r="N23">
        <f>INDEX('Draft Engine'!$T$3:$T$232,$O23)</f>
        <v/>
      </c>
      <c r="O23" s="6">
        <f>MATCH($A23,'Draft Engine'!$Q$3:$Q$232,0)</f>
        <v/>
      </c>
    </row>
    <row r="24">
      <c r="A24">
        <f>22</f>
        <v/>
      </c>
      <c r="B24">
        <f>INDEX('Draft Engine'!$A$3:$A$232,$O24)</f>
        <v/>
      </c>
      <c r="C24">
        <f>INDEX('Draft Engine'!$F$3:$F$232,$O24)</f>
        <v/>
      </c>
      <c r="D24">
        <f>INDEX('Draft Engine'!$B$3:$B$232,$O24)</f>
        <v/>
      </c>
      <c r="E24" s="4">
        <f>INDEX('Draft Engine'!$N$3:$N$232,$O24)</f>
        <v/>
      </c>
      <c r="F24" s="4">
        <f>INDEX('Draft Engine'!$E$3:$E$232,$O24)</f>
        <v/>
      </c>
      <c r="G24" s="4">
        <f>INDEX('Draft Engine'!$G$3:$G$232,$O24)</f>
        <v/>
      </c>
      <c r="H24" s="4">
        <f>INDEX('Draft Engine'!$J$3:$J$232,$O24)</f>
        <v/>
      </c>
      <c r="I24" s="4">
        <f>INDEX('Draft Engine'!$L$3:$L$232,$O24)</f>
        <v/>
      </c>
      <c r="J24" s="4">
        <f>INDEX('Draft Engine'!$R$3:$R$232,$O24)</f>
        <v/>
      </c>
      <c r="K24" s="4">
        <f>INDEX('Draft Engine'!$S$3:$S$232,$O24)</f>
        <v/>
      </c>
      <c r="L24" s="4">
        <f>INDEX('Draft Engine'!$U$3:$U$232,$O24)</f>
        <v/>
      </c>
      <c r="M24" s="4">
        <f>INDEX('Draft Engine'!$W$3:$W$232,$O24)</f>
        <v/>
      </c>
      <c r="N24">
        <f>INDEX('Draft Engine'!$T$3:$T$232,$O24)</f>
        <v/>
      </c>
      <c r="O24" s="6">
        <f>MATCH($A24,'Draft Engine'!$Q$3:$Q$232,0)</f>
        <v/>
      </c>
    </row>
    <row r="25">
      <c r="A25">
        <f>23</f>
        <v/>
      </c>
      <c r="B25">
        <f>INDEX('Draft Engine'!$A$3:$A$232,$O25)</f>
        <v/>
      </c>
      <c r="C25">
        <f>INDEX('Draft Engine'!$F$3:$F$232,$O25)</f>
        <v/>
      </c>
      <c r="D25">
        <f>INDEX('Draft Engine'!$B$3:$B$232,$O25)</f>
        <v/>
      </c>
      <c r="E25" s="4">
        <f>INDEX('Draft Engine'!$N$3:$N$232,$O25)</f>
        <v/>
      </c>
      <c r="F25" s="4">
        <f>INDEX('Draft Engine'!$E$3:$E$232,$O25)</f>
        <v/>
      </c>
      <c r="G25" s="4">
        <f>INDEX('Draft Engine'!$G$3:$G$232,$O25)</f>
        <v/>
      </c>
      <c r="H25" s="4">
        <f>INDEX('Draft Engine'!$J$3:$J$232,$O25)</f>
        <v/>
      </c>
      <c r="I25" s="4">
        <f>INDEX('Draft Engine'!$L$3:$L$232,$O25)</f>
        <v/>
      </c>
      <c r="J25" s="4">
        <f>INDEX('Draft Engine'!$R$3:$R$232,$O25)</f>
        <v/>
      </c>
      <c r="K25" s="4">
        <f>INDEX('Draft Engine'!$S$3:$S$232,$O25)</f>
        <v/>
      </c>
      <c r="L25" s="4">
        <f>INDEX('Draft Engine'!$U$3:$U$232,$O25)</f>
        <v/>
      </c>
      <c r="M25" s="4">
        <f>INDEX('Draft Engine'!$W$3:$W$232,$O25)</f>
        <v/>
      </c>
      <c r="N25">
        <f>INDEX('Draft Engine'!$T$3:$T$232,$O25)</f>
        <v/>
      </c>
      <c r="O25" s="6">
        <f>MATCH($A25,'Draft Engine'!$Q$3:$Q$232,0)</f>
        <v/>
      </c>
    </row>
    <row r="26">
      <c r="A26">
        <f>24</f>
        <v/>
      </c>
      <c r="B26">
        <f>INDEX('Draft Engine'!$A$3:$A$232,$O26)</f>
        <v/>
      </c>
      <c r="C26">
        <f>INDEX('Draft Engine'!$F$3:$F$232,$O26)</f>
        <v/>
      </c>
      <c r="D26">
        <f>INDEX('Draft Engine'!$B$3:$B$232,$O26)</f>
        <v/>
      </c>
      <c r="E26" s="4">
        <f>INDEX('Draft Engine'!$N$3:$N$232,$O26)</f>
        <v/>
      </c>
      <c r="F26" s="4">
        <f>INDEX('Draft Engine'!$E$3:$E$232,$O26)</f>
        <v/>
      </c>
      <c r="G26" s="4">
        <f>INDEX('Draft Engine'!$G$3:$G$232,$O26)</f>
        <v/>
      </c>
      <c r="H26" s="4">
        <f>INDEX('Draft Engine'!$J$3:$J$232,$O26)</f>
        <v/>
      </c>
      <c r="I26" s="4">
        <f>INDEX('Draft Engine'!$L$3:$L$232,$O26)</f>
        <v/>
      </c>
      <c r="J26" s="4">
        <f>INDEX('Draft Engine'!$R$3:$R$232,$O26)</f>
        <v/>
      </c>
      <c r="K26" s="4">
        <f>INDEX('Draft Engine'!$S$3:$S$232,$O26)</f>
        <v/>
      </c>
      <c r="L26" s="4">
        <f>INDEX('Draft Engine'!$U$3:$U$232,$O26)</f>
        <v/>
      </c>
      <c r="M26" s="4">
        <f>INDEX('Draft Engine'!$W$3:$W$232,$O26)</f>
        <v/>
      </c>
      <c r="N26">
        <f>INDEX('Draft Engine'!$T$3:$T$232,$O26)</f>
        <v/>
      </c>
      <c r="O26" s="6">
        <f>MATCH($A26,'Draft Engine'!$Q$3:$Q$232,0)</f>
        <v/>
      </c>
    </row>
    <row r="27">
      <c r="A27">
        <f>25</f>
        <v/>
      </c>
      <c r="B27">
        <f>INDEX('Draft Engine'!$A$3:$A$232,$O27)</f>
        <v/>
      </c>
      <c r="C27">
        <f>INDEX('Draft Engine'!$F$3:$F$232,$O27)</f>
        <v/>
      </c>
      <c r="D27">
        <f>INDEX('Draft Engine'!$B$3:$B$232,$O27)</f>
        <v/>
      </c>
      <c r="E27" s="4">
        <f>INDEX('Draft Engine'!$N$3:$N$232,$O27)</f>
        <v/>
      </c>
      <c r="F27" s="4">
        <f>INDEX('Draft Engine'!$E$3:$E$232,$O27)</f>
        <v/>
      </c>
      <c r="G27" s="4">
        <f>INDEX('Draft Engine'!$G$3:$G$232,$O27)</f>
        <v/>
      </c>
      <c r="H27" s="4">
        <f>INDEX('Draft Engine'!$J$3:$J$232,$O27)</f>
        <v/>
      </c>
      <c r="I27" s="4">
        <f>INDEX('Draft Engine'!$L$3:$L$232,$O27)</f>
        <v/>
      </c>
      <c r="J27" s="4">
        <f>INDEX('Draft Engine'!$R$3:$R$232,$O27)</f>
        <v/>
      </c>
      <c r="K27" s="4">
        <f>INDEX('Draft Engine'!$S$3:$S$232,$O27)</f>
        <v/>
      </c>
      <c r="L27" s="4">
        <f>INDEX('Draft Engine'!$U$3:$U$232,$O27)</f>
        <v/>
      </c>
      <c r="M27" s="4">
        <f>INDEX('Draft Engine'!$W$3:$W$232,$O27)</f>
        <v/>
      </c>
      <c r="N27">
        <f>INDEX('Draft Engine'!$T$3:$T$232,$O27)</f>
        <v/>
      </c>
      <c r="O27" s="6">
        <f>MATCH($A27,'Draft Engine'!$Q$3:$Q$232,0)</f>
        <v/>
      </c>
    </row>
    <row r="28">
      <c r="A28">
        <f>26</f>
        <v/>
      </c>
      <c r="B28">
        <f>INDEX('Draft Engine'!$A$3:$A$232,$O28)</f>
        <v/>
      </c>
      <c r="C28">
        <f>INDEX('Draft Engine'!$F$3:$F$232,$O28)</f>
        <v/>
      </c>
      <c r="D28">
        <f>INDEX('Draft Engine'!$B$3:$B$232,$O28)</f>
        <v/>
      </c>
      <c r="E28" s="4">
        <f>INDEX('Draft Engine'!$N$3:$N$232,$O28)</f>
        <v/>
      </c>
      <c r="F28" s="4">
        <f>INDEX('Draft Engine'!$E$3:$E$232,$O28)</f>
        <v/>
      </c>
      <c r="G28" s="4">
        <f>INDEX('Draft Engine'!$G$3:$G$232,$O28)</f>
        <v/>
      </c>
      <c r="H28" s="4">
        <f>INDEX('Draft Engine'!$J$3:$J$232,$O28)</f>
        <v/>
      </c>
      <c r="I28" s="4">
        <f>INDEX('Draft Engine'!$L$3:$L$232,$O28)</f>
        <v/>
      </c>
      <c r="J28" s="4">
        <f>INDEX('Draft Engine'!$R$3:$R$232,$O28)</f>
        <v/>
      </c>
      <c r="K28" s="4">
        <f>INDEX('Draft Engine'!$S$3:$S$232,$O28)</f>
        <v/>
      </c>
      <c r="L28" s="4">
        <f>INDEX('Draft Engine'!$U$3:$U$232,$O28)</f>
        <v/>
      </c>
      <c r="M28" s="4">
        <f>INDEX('Draft Engine'!$W$3:$W$232,$O28)</f>
        <v/>
      </c>
      <c r="N28">
        <f>INDEX('Draft Engine'!$T$3:$T$232,$O28)</f>
        <v/>
      </c>
      <c r="O28" s="6">
        <f>MATCH($A28,'Draft Engine'!$Q$3:$Q$232,0)</f>
        <v/>
      </c>
    </row>
    <row r="29">
      <c r="A29">
        <f>27</f>
        <v/>
      </c>
      <c r="B29">
        <f>INDEX('Draft Engine'!$A$3:$A$232,$O29)</f>
        <v/>
      </c>
      <c r="C29">
        <f>INDEX('Draft Engine'!$F$3:$F$232,$O29)</f>
        <v/>
      </c>
      <c r="D29">
        <f>INDEX('Draft Engine'!$B$3:$B$232,$O29)</f>
        <v/>
      </c>
      <c r="E29" s="4">
        <f>INDEX('Draft Engine'!$N$3:$N$232,$O29)</f>
        <v/>
      </c>
      <c r="F29" s="4">
        <f>INDEX('Draft Engine'!$E$3:$E$232,$O29)</f>
        <v/>
      </c>
      <c r="G29" s="4">
        <f>INDEX('Draft Engine'!$G$3:$G$232,$O29)</f>
        <v/>
      </c>
      <c r="H29" s="4">
        <f>INDEX('Draft Engine'!$J$3:$J$232,$O29)</f>
        <v/>
      </c>
      <c r="I29" s="4">
        <f>INDEX('Draft Engine'!$L$3:$L$232,$O29)</f>
        <v/>
      </c>
      <c r="J29" s="4">
        <f>INDEX('Draft Engine'!$R$3:$R$232,$O29)</f>
        <v/>
      </c>
      <c r="K29" s="4">
        <f>INDEX('Draft Engine'!$S$3:$S$232,$O29)</f>
        <v/>
      </c>
      <c r="L29" s="4">
        <f>INDEX('Draft Engine'!$U$3:$U$232,$O29)</f>
        <v/>
      </c>
      <c r="M29" s="4">
        <f>INDEX('Draft Engine'!$W$3:$W$232,$O29)</f>
        <v/>
      </c>
      <c r="N29">
        <f>INDEX('Draft Engine'!$T$3:$T$232,$O29)</f>
        <v/>
      </c>
      <c r="O29" s="6">
        <f>MATCH($A29,'Draft Engine'!$Q$3:$Q$232,0)</f>
        <v/>
      </c>
    </row>
    <row r="30">
      <c r="A30">
        <f>28</f>
        <v/>
      </c>
      <c r="B30">
        <f>INDEX('Draft Engine'!$A$3:$A$232,$O30)</f>
        <v/>
      </c>
      <c r="C30">
        <f>INDEX('Draft Engine'!$F$3:$F$232,$O30)</f>
        <v/>
      </c>
      <c r="D30">
        <f>INDEX('Draft Engine'!$B$3:$B$232,$O30)</f>
        <v/>
      </c>
      <c r="E30" s="4">
        <f>INDEX('Draft Engine'!$N$3:$N$232,$O30)</f>
        <v/>
      </c>
      <c r="F30" s="4">
        <f>INDEX('Draft Engine'!$E$3:$E$232,$O30)</f>
        <v/>
      </c>
      <c r="G30" s="4">
        <f>INDEX('Draft Engine'!$G$3:$G$232,$O30)</f>
        <v/>
      </c>
      <c r="H30" s="4">
        <f>INDEX('Draft Engine'!$J$3:$J$232,$O30)</f>
        <v/>
      </c>
      <c r="I30" s="4">
        <f>INDEX('Draft Engine'!$L$3:$L$232,$O30)</f>
        <v/>
      </c>
      <c r="J30" s="4">
        <f>INDEX('Draft Engine'!$R$3:$R$232,$O30)</f>
        <v/>
      </c>
      <c r="K30" s="4">
        <f>INDEX('Draft Engine'!$S$3:$S$232,$O30)</f>
        <v/>
      </c>
      <c r="L30" s="4">
        <f>INDEX('Draft Engine'!$U$3:$U$232,$O30)</f>
        <v/>
      </c>
      <c r="M30" s="4">
        <f>INDEX('Draft Engine'!$W$3:$W$232,$O30)</f>
        <v/>
      </c>
      <c r="N30">
        <f>INDEX('Draft Engine'!$T$3:$T$232,$O30)</f>
        <v/>
      </c>
      <c r="O30" s="6">
        <f>MATCH($A30,'Draft Engine'!$Q$3:$Q$232,0)</f>
        <v/>
      </c>
    </row>
    <row r="31">
      <c r="A31">
        <f>29</f>
        <v/>
      </c>
      <c r="B31">
        <f>INDEX('Draft Engine'!$A$3:$A$232,$O31)</f>
        <v/>
      </c>
      <c r="C31">
        <f>INDEX('Draft Engine'!$F$3:$F$232,$O31)</f>
        <v/>
      </c>
      <c r="D31">
        <f>INDEX('Draft Engine'!$B$3:$B$232,$O31)</f>
        <v/>
      </c>
      <c r="E31" s="4">
        <f>INDEX('Draft Engine'!$N$3:$N$232,$O31)</f>
        <v/>
      </c>
      <c r="F31" s="4">
        <f>INDEX('Draft Engine'!$E$3:$E$232,$O31)</f>
        <v/>
      </c>
      <c r="G31" s="4">
        <f>INDEX('Draft Engine'!$G$3:$G$232,$O31)</f>
        <v/>
      </c>
      <c r="H31" s="4">
        <f>INDEX('Draft Engine'!$J$3:$J$232,$O31)</f>
        <v/>
      </c>
      <c r="I31" s="4">
        <f>INDEX('Draft Engine'!$L$3:$L$232,$O31)</f>
        <v/>
      </c>
      <c r="J31" s="4">
        <f>INDEX('Draft Engine'!$R$3:$R$232,$O31)</f>
        <v/>
      </c>
      <c r="K31" s="4">
        <f>INDEX('Draft Engine'!$S$3:$S$232,$O31)</f>
        <v/>
      </c>
      <c r="L31" s="4">
        <f>INDEX('Draft Engine'!$U$3:$U$232,$O31)</f>
        <v/>
      </c>
      <c r="M31" s="4">
        <f>INDEX('Draft Engine'!$W$3:$W$232,$O31)</f>
        <v/>
      </c>
      <c r="N31">
        <f>INDEX('Draft Engine'!$T$3:$T$232,$O31)</f>
        <v/>
      </c>
      <c r="O31" s="6">
        <f>MATCH($A31,'Draft Engine'!$Q$3:$Q$232,0)</f>
        <v/>
      </c>
    </row>
    <row r="32">
      <c r="A32">
        <f>30</f>
        <v/>
      </c>
      <c r="B32">
        <f>INDEX('Draft Engine'!$A$3:$A$232,$O32)</f>
        <v/>
      </c>
      <c r="C32">
        <f>INDEX('Draft Engine'!$F$3:$F$232,$O32)</f>
        <v/>
      </c>
      <c r="D32">
        <f>INDEX('Draft Engine'!$B$3:$B$232,$O32)</f>
        <v/>
      </c>
      <c r="E32" s="4">
        <f>INDEX('Draft Engine'!$N$3:$N$232,$O32)</f>
        <v/>
      </c>
      <c r="F32" s="4">
        <f>INDEX('Draft Engine'!$E$3:$E$232,$O32)</f>
        <v/>
      </c>
      <c r="G32" s="4">
        <f>INDEX('Draft Engine'!$G$3:$G$232,$O32)</f>
        <v/>
      </c>
      <c r="H32" s="4">
        <f>INDEX('Draft Engine'!$J$3:$J$232,$O32)</f>
        <v/>
      </c>
      <c r="I32" s="4">
        <f>INDEX('Draft Engine'!$L$3:$L$232,$O32)</f>
        <v/>
      </c>
      <c r="J32" s="4">
        <f>INDEX('Draft Engine'!$R$3:$R$232,$O32)</f>
        <v/>
      </c>
      <c r="K32" s="4">
        <f>INDEX('Draft Engine'!$S$3:$S$232,$O32)</f>
        <v/>
      </c>
      <c r="L32" s="4">
        <f>INDEX('Draft Engine'!$U$3:$U$232,$O32)</f>
        <v/>
      </c>
      <c r="M32" s="4">
        <f>INDEX('Draft Engine'!$W$3:$W$232,$O32)</f>
        <v/>
      </c>
      <c r="N32">
        <f>INDEX('Draft Engine'!$T$3:$T$232,$O32)</f>
        <v/>
      </c>
      <c r="O32" s="6">
        <f>MATCH($A32,'Draft Engine'!$Q$3:$Q$232,0)</f>
        <v/>
      </c>
    </row>
    <row r="33">
      <c r="A33">
        <f>31</f>
        <v/>
      </c>
      <c r="B33">
        <f>INDEX('Draft Engine'!$A$3:$A$232,$O33)</f>
        <v/>
      </c>
      <c r="C33">
        <f>INDEX('Draft Engine'!$F$3:$F$232,$O33)</f>
        <v/>
      </c>
      <c r="D33">
        <f>INDEX('Draft Engine'!$B$3:$B$232,$O33)</f>
        <v/>
      </c>
      <c r="E33" s="4">
        <f>INDEX('Draft Engine'!$N$3:$N$232,$O33)</f>
        <v/>
      </c>
      <c r="F33" s="4">
        <f>INDEX('Draft Engine'!$E$3:$E$232,$O33)</f>
        <v/>
      </c>
      <c r="G33" s="4">
        <f>INDEX('Draft Engine'!$G$3:$G$232,$O33)</f>
        <v/>
      </c>
      <c r="H33" s="4">
        <f>INDEX('Draft Engine'!$J$3:$J$232,$O33)</f>
        <v/>
      </c>
      <c r="I33" s="4">
        <f>INDEX('Draft Engine'!$L$3:$L$232,$O33)</f>
        <v/>
      </c>
      <c r="J33" s="4">
        <f>INDEX('Draft Engine'!$R$3:$R$232,$O33)</f>
        <v/>
      </c>
      <c r="K33" s="4">
        <f>INDEX('Draft Engine'!$S$3:$S$232,$O33)</f>
        <v/>
      </c>
      <c r="L33" s="4">
        <f>INDEX('Draft Engine'!$U$3:$U$232,$O33)</f>
        <v/>
      </c>
      <c r="M33" s="4">
        <f>INDEX('Draft Engine'!$W$3:$W$232,$O33)</f>
        <v/>
      </c>
      <c r="N33">
        <f>INDEX('Draft Engine'!$T$3:$T$232,$O33)</f>
        <v/>
      </c>
      <c r="O33" s="6">
        <f>MATCH($A33,'Draft Engine'!$Q$3:$Q$232,0)</f>
        <v/>
      </c>
    </row>
    <row r="34">
      <c r="A34">
        <f>32</f>
        <v/>
      </c>
      <c r="B34">
        <f>INDEX('Draft Engine'!$A$3:$A$232,$O34)</f>
        <v/>
      </c>
      <c r="C34">
        <f>INDEX('Draft Engine'!$F$3:$F$232,$O34)</f>
        <v/>
      </c>
      <c r="D34">
        <f>INDEX('Draft Engine'!$B$3:$B$232,$O34)</f>
        <v/>
      </c>
      <c r="E34" s="4">
        <f>INDEX('Draft Engine'!$N$3:$N$232,$O34)</f>
        <v/>
      </c>
      <c r="F34" s="4">
        <f>INDEX('Draft Engine'!$E$3:$E$232,$O34)</f>
        <v/>
      </c>
      <c r="G34" s="4">
        <f>INDEX('Draft Engine'!$G$3:$G$232,$O34)</f>
        <v/>
      </c>
      <c r="H34" s="4">
        <f>INDEX('Draft Engine'!$J$3:$J$232,$O34)</f>
        <v/>
      </c>
      <c r="I34" s="4">
        <f>INDEX('Draft Engine'!$L$3:$L$232,$O34)</f>
        <v/>
      </c>
      <c r="J34" s="4">
        <f>INDEX('Draft Engine'!$R$3:$R$232,$O34)</f>
        <v/>
      </c>
      <c r="K34" s="4">
        <f>INDEX('Draft Engine'!$S$3:$S$232,$O34)</f>
        <v/>
      </c>
      <c r="L34" s="4">
        <f>INDEX('Draft Engine'!$U$3:$U$232,$O34)</f>
        <v/>
      </c>
      <c r="M34" s="4">
        <f>INDEX('Draft Engine'!$W$3:$W$232,$O34)</f>
        <v/>
      </c>
      <c r="N34">
        <f>INDEX('Draft Engine'!$T$3:$T$232,$O34)</f>
        <v/>
      </c>
      <c r="O34" s="6">
        <f>MATCH($A34,'Draft Engine'!$Q$3:$Q$232,0)</f>
        <v/>
      </c>
    </row>
    <row r="35">
      <c r="A35">
        <f>33</f>
        <v/>
      </c>
      <c r="B35">
        <f>INDEX('Draft Engine'!$A$3:$A$232,$O35)</f>
        <v/>
      </c>
      <c r="C35">
        <f>INDEX('Draft Engine'!$F$3:$F$232,$O35)</f>
        <v/>
      </c>
      <c r="D35">
        <f>INDEX('Draft Engine'!$B$3:$B$232,$O35)</f>
        <v/>
      </c>
      <c r="E35" s="4">
        <f>INDEX('Draft Engine'!$N$3:$N$232,$O35)</f>
        <v/>
      </c>
      <c r="F35" s="4">
        <f>INDEX('Draft Engine'!$E$3:$E$232,$O35)</f>
        <v/>
      </c>
      <c r="G35" s="4">
        <f>INDEX('Draft Engine'!$G$3:$G$232,$O35)</f>
        <v/>
      </c>
      <c r="H35" s="4">
        <f>INDEX('Draft Engine'!$J$3:$J$232,$O35)</f>
        <v/>
      </c>
      <c r="I35" s="4">
        <f>INDEX('Draft Engine'!$L$3:$L$232,$O35)</f>
        <v/>
      </c>
      <c r="J35" s="4">
        <f>INDEX('Draft Engine'!$R$3:$R$232,$O35)</f>
        <v/>
      </c>
      <c r="K35" s="4">
        <f>INDEX('Draft Engine'!$S$3:$S$232,$O35)</f>
        <v/>
      </c>
      <c r="L35" s="4">
        <f>INDEX('Draft Engine'!$U$3:$U$232,$O35)</f>
        <v/>
      </c>
      <c r="M35" s="4">
        <f>INDEX('Draft Engine'!$W$3:$W$232,$O35)</f>
        <v/>
      </c>
      <c r="N35">
        <f>INDEX('Draft Engine'!$T$3:$T$232,$O35)</f>
        <v/>
      </c>
      <c r="O35" s="6">
        <f>MATCH($A35,'Draft Engine'!$Q$3:$Q$232,0)</f>
        <v/>
      </c>
    </row>
    <row r="36">
      <c r="A36">
        <f>34</f>
        <v/>
      </c>
      <c r="B36">
        <f>INDEX('Draft Engine'!$A$3:$A$232,$O36)</f>
        <v/>
      </c>
      <c r="C36">
        <f>INDEX('Draft Engine'!$F$3:$F$232,$O36)</f>
        <v/>
      </c>
      <c r="D36">
        <f>INDEX('Draft Engine'!$B$3:$B$232,$O36)</f>
        <v/>
      </c>
      <c r="E36" s="4">
        <f>INDEX('Draft Engine'!$N$3:$N$232,$O36)</f>
        <v/>
      </c>
      <c r="F36" s="4">
        <f>INDEX('Draft Engine'!$E$3:$E$232,$O36)</f>
        <v/>
      </c>
      <c r="G36" s="4">
        <f>INDEX('Draft Engine'!$G$3:$G$232,$O36)</f>
        <v/>
      </c>
      <c r="H36" s="4">
        <f>INDEX('Draft Engine'!$J$3:$J$232,$O36)</f>
        <v/>
      </c>
      <c r="I36" s="4">
        <f>INDEX('Draft Engine'!$L$3:$L$232,$O36)</f>
        <v/>
      </c>
      <c r="J36" s="4">
        <f>INDEX('Draft Engine'!$R$3:$R$232,$O36)</f>
        <v/>
      </c>
      <c r="K36" s="4">
        <f>INDEX('Draft Engine'!$S$3:$S$232,$O36)</f>
        <v/>
      </c>
      <c r="L36" s="4">
        <f>INDEX('Draft Engine'!$U$3:$U$232,$O36)</f>
        <v/>
      </c>
      <c r="M36" s="4">
        <f>INDEX('Draft Engine'!$W$3:$W$232,$O36)</f>
        <v/>
      </c>
      <c r="N36">
        <f>INDEX('Draft Engine'!$T$3:$T$232,$O36)</f>
        <v/>
      </c>
      <c r="O36" s="6">
        <f>MATCH($A36,'Draft Engine'!$Q$3:$Q$232,0)</f>
        <v/>
      </c>
    </row>
    <row r="37">
      <c r="A37">
        <f>35</f>
        <v/>
      </c>
      <c r="B37">
        <f>INDEX('Draft Engine'!$A$3:$A$232,$O37)</f>
        <v/>
      </c>
      <c r="C37">
        <f>INDEX('Draft Engine'!$F$3:$F$232,$O37)</f>
        <v/>
      </c>
      <c r="D37">
        <f>INDEX('Draft Engine'!$B$3:$B$232,$O37)</f>
        <v/>
      </c>
      <c r="E37" s="4">
        <f>INDEX('Draft Engine'!$N$3:$N$232,$O37)</f>
        <v/>
      </c>
      <c r="F37" s="4">
        <f>INDEX('Draft Engine'!$E$3:$E$232,$O37)</f>
        <v/>
      </c>
      <c r="G37" s="4">
        <f>INDEX('Draft Engine'!$G$3:$G$232,$O37)</f>
        <v/>
      </c>
      <c r="H37" s="4">
        <f>INDEX('Draft Engine'!$J$3:$J$232,$O37)</f>
        <v/>
      </c>
      <c r="I37" s="4">
        <f>INDEX('Draft Engine'!$L$3:$L$232,$O37)</f>
        <v/>
      </c>
      <c r="J37" s="4">
        <f>INDEX('Draft Engine'!$R$3:$R$232,$O37)</f>
        <v/>
      </c>
      <c r="K37" s="4">
        <f>INDEX('Draft Engine'!$S$3:$S$232,$O37)</f>
        <v/>
      </c>
      <c r="L37" s="4">
        <f>INDEX('Draft Engine'!$U$3:$U$232,$O37)</f>
        <v/>
      </c>
      <c r="M37" s="4">
        <f>INDEX('Draft Engine'!$W$3:$W$232,$O37)</f>
        <v/>
      </c>
      <c r="N37">
        <f>INDEX('Draft Engine'!$T$3:$T$232,$O37)</f>
        <v/>
      </c>
      <c r="O37" s="6">
        <f>MATCH($A37,'Draft Engine'!$Q$3:$Q$232,0)</f>
        <v/>
      </c>
    </row>
    <row r="38">
      <c r="A38">
        <f>36</f>
        <v/>
      </c>
      <c r="B38">
        <f>INDEX('Draft Engine'!$A$3:$A$232,$O38)</f>
        <v/>
      </c>
      <c r="C38">
        <f>INDEX('Draft Engine'!$F$3:$F$232,$O38)</f>
        <v/>
      </c>
      <c r="D38">
        <f>INDEX('Draft Engine'!$B$3:$B$232,$O38)</f>
        <v/>
      </c>
      <c r="E38" s="4">
        <f>INDEX('Draft Engine'!$N$3:$N$232,$O38)</f>
        <v/>
      </c>
      <c r="F38" s="4">
        <f>INDEX('Draft Engine'!$E$3:$E$232,$O38)</f>
        <v/>
      </c>
      <c r="G38" s="4">
        <f>INDEX('Draft Engine'!$G$3:$G$232,$O38)</f>
        <v/>
      </c>
      <c r="H38" s="4">
        <f>INDEX('Draft Engine'!$J$3:$J$232,$O38)</f>
        <v/>
      </c>
      <c r="I38" s="4">
        <f>INDEX('Draft Engine'!$L$3:$L$232,$O38)</f>
        <v/>
      </c>
      <c r="J38" s="4">
        <f>INDEX('Draft Engine'!$R$3:$R$232,$O38)</f>
        <v/>
      </c>
      <c r="K38" s="4">
        <f>INDEX('Draft Engine'!$S$3:$S$232,$O38)</f>
        <v/>
      </c>
      <c r="L38" s="4">
        <f>INDEX('Draft Engine'!$U$3:$U$232,$O38)</f>
        <v/>
      </c>
      <c r="M38" s="4">
        <f>INDEX('Draft Engine'!$W$3:$W$232,$O38)</f>
        <v/>
      </c>
      <c r="N38">
        <f>INDEX('Draft Engine'!$T$3:$T$232,$O38)</f>
        <v/>
      </c>
      <c r="O38" s="6">
        <f>MATCH($A38,'Draft Engine'!$Q$3:$Q$232,0)</f>
        <v/>
      </c>
    </row>
    <row r="39">
      <c r="A39">
        <f>37</f>
        <v/>
      </c>
      <c r="B39">
        <f>INDEX('Draft Engine'!$A$3:$A$232,$O39)</f>
        <v/>
      </c>
      <c r="C39">
        <f>INDEX('Draft Engine'!$F$3:$F$232,$O39)</f>
        <v/>
      </c>
      <c r="D39">
        <f>INDEX('Draft Engine'!$B$3:$B$232,$O39)</f>
        <v/>
      </c>
      <c r="E39" s="4">
        <f>INDEX('Draft Engine'!$N$3:$N$232,$O39)</f>
        <v/>
      </c>
      <c r="F39" s="4">
        <f>INDEX('Draft Engine'!$E$3:$E$232,$O39)</f>
        <v/>
      </c>
      <c r="G39" s="4">
        <f>INDEX('Draft Engine'!$G$3:$G$232,$O39)</f>
        <v/>
      </c>
      <c r="H39" s="4">
        <f>INDEX('Draft Engine'!$J$3:$J$232,$O39)</f>
        <v/>
      </c>
      <c r="I39" s="4">
        <f>INDEX('Draft Engine'!$L$3:$L$232,$O39)</f>
        <v/>
      </c>
      <c r="J39" s="4">
        <f>INDEX('Draft Engine'!$R$3:$R$232,$O39)</f>
        <v/>
      </c>
      <c r="K39" s="4">
        <f>INDEX('Draft Engine'!$S$3:$S$232,$O39)</f>
        <v/>
      </c>
      <c r="L39" s="4">
        <f>INDEX('Draft Engine'!$U$3:$U$232,$O39)</f>
        <v/>
      </c>
      <c r="M39" s="4">
        <f>INDEX('Draft Engine'!$W$3:$W$232,$O39)</f>
        <v/>
      </c>
      <c r="N39">
        <f>INDEX('Draft Engine'!$T$3:$T$232,$O39)</f>
        <v/>
      </c>
      <c r="O39" s="6">
        <f>MATCH($A39,'Draft Engine'!$Q$3:$Q$232,0)</f>
        <v/>
      </c>
    </row>
    <row r="40">
      <c r="A40">
        <f>38</f>
        <v/>
      </c>
      <c r="B40">
        <f>INDEX('Draft Engine'!$A$3:$A$232,$O40)</f>
        <v/>
      </c>
      <c r="C40">
        <f>INDEX('Draft Engine'!$F$3:$F$232,$O40)</f>
        <v/>
      </c>
      <c r="D40">
        <f>INDEX('Draft Engine'!$B$3:$B$232,$O40)</f>
        <v/>
      </c>
      <c r="E40" s="4">
        <f>INDEX('Draft Engine'!$N$3:$N$232,$O40)</f>
        <v/>
      </c>
      <c r="F40" s="4">
        <f>INDEX('Draft Engine'!$E$3:$E$232,$O40)</f>
        <v/>
      </c>
      <c r="G40" s="4">
        <f>INDEX('Draft Engine'!$G$3:$G$232,$O40)</f>
        <v/>
      </c>
      <c r="H40" s="4">
        <f>INDEX('Draft Engine'!$J$3:$J$232,$O40)</f>
        <v/>
      </c>
      <c r="I40" s="4">
        <f>INDEX('Draft Engine'!$L$3:$L$232,$O40)</f>
        <v/>
      </c>
      <c r="J40" s="4">
        <f>INDEX('Draft Engine'!$R$3:$R$232,$O40)</f>
        <v/>
      </c>
      <c r="K40" s="4">
        <f>INDEX('Draft Engine'!$S$3:$S$232,$O40)</f>
        <v/>
      </c>
      <c r="L40" s="4">
        <f>INDEX('Draft Engine'!$U$3:$U$232,$O40)</f>
        <v/>
      </c>
      <c r="M40" s="4">
        <f>INDEX('Draft Engine'!$W$3:$W$232,$O40)</f>
        <v/>
      </c>
      <c r="N40">
        <f>INDEX('Draft Engine'!$T$3:$T$232,$O40)</f>
        <v/>
      </c>
      <c r="O40" s="6">
        <f>MATCH($A40,'Draft Engine'!$Q$3:$Q$232,0)</f>
        <v/>
      </c>
    </row>
    <row r="41">
      <c r="A41">
        <f>39</f>
        <v/>
      </c>
      <c r="B41">
        <f>INDEX('Draft Engine'!$A$3:$A$232,$O41)</f>
        <v/>
      </c>
      <c r="C41">
        <f>INDEX('Draft Engine'!$F$3:$F$232,$O41)</f>
        <v/>
      </c>
      <c r="D41">
        <f>INDEX('Draft Engine'!$B$3:$B$232,$O41)</f>
        <v/>
      </c>
      <c r="E41" s="4">
        <f>INDEX('Draft Engine'!$N$3:$N$232,$O41)</f>
        <v/>
      </c>
      <c r="F41" s="4">
        <f>INDEX('Draft Engine'!$E$3:$E$232,$O41)</f>
        <v/>
      </c>
      <c r="G41" s="4">
        <f>INDEX('Draft Engine'!$G$3:$G$232,$O41)</f>
        <v/>
      </c>
      <c r="H41" s="4">
        <f>INDEX('Draft Engine'!$J$3:$J$232,$O41)</f>
        <v/>
      </c>
      <c r="I41" s="4">
        <f>INDEX('Draft Engine'!$L$3:$L$232,$O41)</f>
        <v/>
      </c>
      <c r="J41" s="4">
        <f>INDEX('Draft Engine'!$R$3:$R$232,$O41)</f>
        <v/>
      </c>
      <c r="K41" s="4">
        <f>INDEX('Draft Engine'!$S$3:$S$232,$O41)</f>
        <v/>
      </c>
      <c r="L41" s="4">
        <f>INDEX('Draft Engine'!$U$3:$U$232,$O41)</f>
        <v/>
      </c>
      <c r="M41" s="4">
        <f>INDEX('Draft Engine'!$W$3:$W$232,$O41)</f>
        <v/>
      </c>
      <c r="N41">
        <f>INDEX('Draft Engine'!$T$3:$T$232,$O41)</f>
        <v/>
      </c>
      <c r="O41" s="6">
        <f>MATCH($A41,'Draft Engine'!$Q$3:$Q$232,0)</f>
        <v/>
      </c>
    </row>
    <row r="42">
      <c r="A42">
        <f>40</f>
        <v/>
      </c>
      <c r="B42">
        <f>INDEX('Draft Engine'!$A$3:$A$232,$O42)</f>
        <v/>
      </c>
      <c r="C42">
        <f>INDEX('Draft Engine'!$F$3:$F$232,$O42)</f>
        <v/>
      </c>
      <c r="D42">
        <f>INDEX('Draft Engine'!$B$3:$B$232,$O42)</f>
        <v/>
      </c>
      <c r="E42" s="4">
        <f>INDEX('Draft Engine'!$N$3:$N$232,$O42)</f>
        <v/>
      </c>
      <c r="F42" s="4">
        <f>INDEX('Draft Engine'!$E$3:$E$232,$O42)</f>
        <v/>
      </c>
      <c r="G42" s="4">
        <f>INDEX('Draft Engine'!$G$3:$G$232,$O42)</f>
        <v/>
      </c>
      <c r="H42" s="4">
        <f>INDEX('Draft Engine'!$J$3:$J$232,$O42)</f>
        <v/>
      </c>
      <c r="I42" s="4">
        <f>INDEX('Draft Engine'!$L$3:$L$232,$O42)</f>
        <v/>
      </c>
      <c r="J42" s="4">
        <f>INDEX('Draft Engine'!$R$3:$R$232,$O42)</f>
        <v/>
      </c>
      <c r="K42" s="4">
        <f>INDEX('Draft Engine'!$S$3:$S$232,$O42)</f>
        <v/>
      </c>
      <c r="L42" s="4">
        <f>INDEX('Draft Engine'!$U$3:$U$232,$O42)</f>
        <v/>
      </c>
      <c r="M42" s="4">
        <f>INDEX('Draft Engine'!$W$3:$W$232,$O42)</f>
        <v/>
      </c>
      <c r="N42">
        <f>INDEX('Draft Engine'!$T$3:$T$232,$O42)</f>
        <v/>
      </c>
      <c r="O42" s="6">
        <f>MATCH($A42,'Draft Engine'!$Q$3:$Q$232,0)</f>
        <v/>
      </c>
    </row>
    <row r="43">
      <c r="A43">
        <f>41</f>
        <v/>
      </c>
      <c r="B43">
        <f>INDEX('Draft Engine'!$A$3:$A$232,$O43)</f>
        <v/>
      </c>
      <c r="C43">
        <f>INDEX('Draft Engine'!$F$3:$F$232,$O43)</f>
        <v/>
      </c>
      <c r="D43">
        <f>INDEX('Draft Engine'!$B$3:$B$232,$O43)</f>
        <v/>
      </c>
      <c r="E43" s="4">
        <f>INDEX('Draft Engine'!$N$3:$N$232,$O43)</f>
        <v/>
      </c>
      <c r="F43" s="4">
        <f>INDEX('Draft Engine'!$E$3:$E$232,$O43)</f>
        <v/>
      </c>
      <c r="G43" s="4">
        <f>INDEX('Draft Engine'!$G$3:$G$232,$O43)</f>
        <v/>
      </c>
      <c r="H43" s="4">
        <f>INDEX('Draft Engine'!$J$3:$J$232,$O43)</f>
        <v/>
      </c>
      <c r="I43" s="4">
        <f>INDEX('Draft Engine'!$L$3:$L$232,$O43)</f>
        <v/>
      </c>
      <c r="J43" s="4">
        <f>INDEX('Draft Engine'!$R$3:$R$232,$O43)</f>
        <v/>
      </c>
      <c r="K43" s="4">
        <f>INDEX('Draft Engine'!$S$3:$S$232,$O43)</f>
        <v/>
      </c>
      <c r="L43" s="4">
        <f>INDEX('Draft Engine'!$U$3:$U$232,$O43)</f>
        <v/>
      </c>
      <c r="M43" s="4">
        <f>INDEX('Draft Engine'!$W$3:$W$232,$O43)</f>
        <v/>
      </c>
      <c r="N43">
        <f>INDEX('Draft Engine'!$T$3:$T$232,$O43)</f>
        <v/>
      </c>
      <c r="O43" s="6">
        <f>MATCH($A43,'Draft Engine'!$Q$3:$Q$232,0)</f>
        <v/>
      </c>
    </row>
    <row r="44">
      <c r="A44">
        <f>42</f>
        <v/>
      </c>
      <c r="B44">
        <f>INDEX('Draft Engine'!$A$3:$A$232,$O44)</f>
        <v/>
      </c>
      <c r="C44">
        <f>INDEX('Draft Engine'!$F$3:$F$232,$O44)</f>
        <v/>
      </c>
      <c r="D44">
        <f>INDEX('Draft Engine'!$B$3:$B$232,$O44)</f>
        <v/>
      </c>
      <c r="E44" s="4">
        <f>INDEX('Draft Engine'!$N$3:$N$232,$O44)</f>
        <v/>
      </c>
      <c r="F44" s="4">
        <f>INDEX('Draft Engine'!$E$3:$E$232,$O44)</f>
        <v/>
      </c>
      <c r="G44" s="4">
        <f>INDEX('Draft Engine'!$G$3:$G$232,$O44)</f>
        <v/>
      </c>
      <c r="H44" s="4">
        <f>INDEX('Draft Engine'!$J$3:$J$232,$O44)</f>
        <v/>
      </c>
      <c r="I44" s="4">
        <f>INDEX('Draft Engine'!$L$3:$L$232,$O44)</f>
        <v/>
      </c>
      <c r="J44" s="4">
        <f>INDEX('Draft Engine'!$R$3:$R$232,$O44)</f>
        <v/>
      </c>
      <c r="K44" s="4">
        <f>INDEX('Draft Engine'!$S$3:$S$232,$O44)</f>
        <v/>
      </c>
      <c r="L44" s="4">
        <f>INDEX('Draft Engine'!$U$3:$U$232,$O44)</f>
        <v/>
      </c>
      <c r="M44" s="4">
        <f>INDEX('Draft Engine'!$W$3:$W$232,$O44)</f>
        <v/>
      </c>
      <c r="N44">
        <f>INDEX('Draft Engine'!$T$3:$T$232,$O44)</f>
        <v/>
      </c>
      <c r="O44" s="6">
        <f>MATCH($A44,'Draft Engine'!$Q$3:$Q$232,0)</f>
        <v/>
      </c>
    </row>
    <row r="45">
      <c r="A45">
        <f>43</f>
        <v/>
      </c>
      <c r="B45">
        <f>INDEX('Draft Engine'!$A$3:$A$232,$O45)</f>
        <v/>
      </c>
      <c r="C45">
        <f>INDEX('Draft Engine'!$F$3:$F$232,$O45)</f>
        <v/>
      </c>
      <c r="D45">
        <f>INDEX('Draft Engine'!$B$3:$B$232,$O45)</f>
        <v/>
      </c>
      <c r="E45" s="4">
        <f>INDEX('Draft Engine'!$N$3:$N$232,$O45)</f>
        <v/>
      </c>
      <c r="F45" s="4">
        <f>INDEX('Draft Engine'!$E$3:$E$232,$O45)</f>
        <v/>
      </c>
      <c r="G45" s="4">
        <f>INDEX('Draft Engine'!$G$3:$G$232,$O45)</f>
        <v/>
      </c>
      <c r="H45" s="4">
        <f>INDEX('Draft Engine'!$J$3:$J$232,$O45)</f>
        <v/>
      </c>
      <c r="I45" s="4">
        <f>INDEX('Draft Engine'!$L$3:$L$232,$O45)</f>
        <v/>
      </c>
      <c r="J45" s="4">
        <f>INDEX('Draft Engine'!$R$3:$R$232,$O45)</f>
        <v/>
      </c>
      <c r="K45" s="4">
        <f>INDEX('Draft Engine'!$S$3:$S$232,$O45)</f>
        <v/>
      </c>
      <c r="L45" s="4">
        <f>INDEX('Draft Engine'!$U$3:$U$232,$O45)</f>
        <v/>
      </c>
      <c r="M45" s="4">
        <f>INDEX('Draft Engine'!$W$3:$W$232,$O45)</f>
        <v/>
      </c>
      <c r="N45">
        <f>INDEX('Draft Engine'!$T$3:$T$232,$O45)</f>
        <v/>
      </c>
      <c r="O45" s="6">
        <f>MATCH($A45,'Draft Engine'!$Q$3:$Q$232,0)</f>
        <v/>
      </c>
    </row>
    <row r="46">
      <c r="A46">
        <f>44</f>
        <v/>
      </c>
      <c r="B46">
        <f>INDEX('Draft Engine'!$A$3:$A$232,$O46)</f>
        <v/>
      </c>
      <c r="C46">
        <f>INDEX('Draft Engine'!$F$3:$F$232,$O46)</f>
        <v/>
      </c>
      <c r="D46">
        <f>INDEX('Draft Engine'!$B$3:$B$232,$O46)</f>
        <v/>
      </c>
      <c r="E46" s="4">
        <f>INDEX('Draft Engine'!$N$3:$N$232,$O46)</f>
        <v/>
      </c>
      <c r="F46" s="4">
        <f>INDEX('Draft Engine'!$E$3:$E$232,$O46)</f>
        <v/>
      </c>
      <c r="G46" s="4">
        <f>INDEX('Draft Engine'!$G$3:$G$232,$O46)</f>
        <v/>
      </c>
      <c r="H46" s="4">
        <f>INDEX('Draft Engine'!$J$3:$J$232,$O46)</f>
        <v/>
      </c>
      <c r="I46" s="4">
        <f>INDEX('Draft Engine'!$L$3:$L$232,$O46)</f>
        <v/>
      </c>
      <c r="J46" s="4">
        <f>INDEX('Draft Engine'!$R$3:$R$232,$O46)</f>
        <v/>
      </c>
      <c r="K46" s="4">
        <f>INDEX('Draft Engine'!$S$3:$S$232,$O46)</f>
        <v/>
      </c>
      <c r="L46" s="4">
        <f>INDEX('Draft Engine'!$U$3:$U$232,$O46)</f>
        <v/>
      </c>
      <c r="M46" s="4">
        <f>INDEX('Draft Engine'!$W$3:$W$232,$O46)</f>
        <v/>
      </c>
      <c r="N46">
        <f>INDEX('Draft Engine'!$T$3:$T$232,$O46)</f>
        <v/>
      </c>
      <c r="O46" s="6">
        <f>MATCH($A46,'Draft Engine'!$Q$3:$Q$232,0)</f>
        <v/>
      </c>
    </row>
    <row r="47">
      <c r="A47">
        <f>45</f>
        <v/>
      </c>
      <c r="B47">
        <f>INDEX('Draft Engine'!$A$3:$A$232,$O47)</f>
        <v/>
      </c>
      <c r="C47">
        <f>INDEX('Draft Engine'!$F$3:$F$232,$O47)</f>
        <v/>
      </c>
      <c r="D47">
        <f>INDEX('Draft Engine'!$B$3:$B$232,$O47)</f>
        <v/>
      </c>
      <c r="E47" s="4">
        <f>INDEX('Draft Engine'!$N$3:$N$232,$O47)</f>
        <v/>
      </c>
      <c r="F47" s="4">
        <f>INDEX('Draft Engine'!$E$3:$E$232,$O47)</f>
        <v/>
      </c>
      <c r="G47" s="4">
        <f>INDEX('Draft Engine'!$G$3:$G$232,$O47)</f>
        <v/>
      </c>
      <c r="H47" s="4">
        <f>INDEX('Draft Engine'!$J$3:$J$232,$O47)</f>
        <v/>
      </c>
      <c r="I47" s="4">
        <f>INDEX('Draft Engine'!$L$3:$L$232,$O47)</f>
        <v/>
      </c>
      <c r="J47" s="4">
        <f>INDEX('Draft Engine'!$R$3:$R$232,$O47)</f>
        <v/>
      </c>
      <c r="K47" s="4">
        <f>INDEX('Draft Engine'!$S$3:$S$232,$O47)</f>
        <v/>
      </c>
      <c r="L47" s="4">
        <f>INDEX('Draft Engine'!$U$3:$U$232,$O47)</f>
        <v/>
      </c>
      <c r="M47" s="4">
        <f>INDEX('Draft Engine'!$W$3:$W$232,$O47)</f>
        <v/>
      </c>
      <c r="N47">
        <f>INDEX('Draft Engine'!$T$3:$T$232,$O47)</f>
        <v/>
      </c>
      <c r="O47" s="6">
        <f>MATCH($A47,'Draft Engine'!$Q$3:$Q$232,0)</f>
        <v/>
      </c>
    </row>
    <row r="48">
      <c r="A48">
        <f>46</f>
        <v/>
      </c>
      <c r="B48">
        <f>INDEX('Draft Engine'!$A$3:$A$232,$O48)</f>
        <v/>
      </c>
      <c r="C48">
        <f>INDEX('Draft Engine'!$F$3:$F$232,$O48)</f>
        <v/>
      </c>
      <c r="D48">
        <f>INDEX('Draft Engine'!$B$3:$B$232,$O48)</f>
        <v/>
      </c>
      <c r="E48" s="4">
        <f>INDEX('Draft Engine'!$N$3:$N$232,$O48)</f>
        <v/>
      </c>
      <c r="F48" s="4">
        <f>INDEX('Draft Engine'!$E$3:$E$232,$O48)</f>
        <v/>
      </c>
      <c r="G48" s="4">
        <f>INDEX('Draft Engine'!$G$3:$G$232,$O48)</f>
        <v/>
      </c>
      <c r="H48" s="4">
        <f>INDEX('Draft Engine'!$J$3:$J$232,$O48)</f>
        <v/>
      </c>
      <c r="I48" s="4">
        <f>INDEX('Draft Engine'!$L$3:$L$232,$O48)</f>
        <v/>
      </c>
      <c r="J48" s="4">
        <f>INDEX('Draft Engine'!$R$3:$R$232,$O48)</f>
        <v/>
      </c>
      <c r="K48" s="4">
        <f>INDEX('Draft Engine'!$S$3:$S$232,$O48)</f>
        <v/>
      </c>
      <c r="L48" s="4">
        <f>INDEX('Draft Engine'!$U$3:$U$232,$O48)</f>
        <v/>
      </c>
      <c r="M48" s="4">
        <f>INDEX('Draft Engine'!$W$3:$W$232,$O48)</f>
        <v/>
      </c>
      <c r="N48">
        <f>INDEX('Draft Engine'!$T$3:$T$232,$O48)</f>
        <v/>
      </c>
      <c r="O48" s="6">
        <f>MATCH($A48,'Draft Engine'!$Q$3:$Q$232,0)</f>
        <v/>
      </c>
    </row>
    <row r="49">
      <c r="A49">
        <f>47</f>
        <v/>
      </c>
      <c r="B49">
        <f>INDEX('Draft Engine'!$A$3:$A$232,$O49)</f>
        <v/>
      </c>
      <c r="C49">
        <f>INDEX('Draft Engine'!$F$3:$F$232,$O49)</f>
        <v/>
      </c>
      <c r="D49">
        <f>INDEX('Draft Engine'!$B$3:$B$232,$O49)</f>
        <v/>
      </c>
      <c r="E49" s="4">
        <f>INDEX('Draft Engine'!$N$3:$N$232,$O49)</f>
        <v/>
      </c>
      <c r="F49" s="4">
        <f>INDEX('Draft Engine'!$E$3:$E$232,$O49)</f>
        <v/>
      </c>
      <c r="G49" s="4">
        <f>INDEX('Draft Engine'!$G$3:$G$232,$O49)</f>
        <v/>
      </c>
      <c r="H49" s="4">
        <f>INDEX('Draft Engine'!$J$3:$J$232,$O49)</f>
        <v/>
      </c>
      <c r="I49" s="4">
        <f>INDEX('Draft Engine'!$L$3:$L$232,$O49)</f>
        <v/>
      </c>
      <c r="J49" s="4">
        <f>INDEX('Draft Engine'!$R$3:$R$232,$O49)</f>
        <v/>
      </c>
      <c r="K49" s="4">
        <f>INDEX('Draft Engine'!$S$3:$S$232,$O49)</f>
        <v/>
      </c>
      <c r="L49" s="4">
        <f>INDEX('Draft Engine'!$U$3:$U$232,$O49)</f>
        <v/>
      </c>
      <c r="M49" s="4">
        <f>INDEX('Draft Engine'!$W$3:$W$232,$O49)</f>
        <v/>
      </c>
      <c r="N49">
        <f>INDEX('Draft Engine'!$T$3:$T$232,$O49)</f>
        <v/>
      </c>
      <c r="O49" s="6">
        <f>MATCH($A49,'Draft Engine'!$Q$3:$Q$232,0)</f>
        <v/>
      </c>
    </row>
    <row r="50">
      <c r="A50">
        <f>48</f>
        <v/>
      </c>
      <c r="B50">
        <f>INDEX('Draft Engine'!$A$3:$A$232,$O50)</f>
        <v/>
      </c>
      <c r="C50">
        <f>INDEX('Draft Engine'!$F$3:$F$232,$O50)</f>
        <v/>
      </c>
      <c r="D50">
        <f>INDEX('Draft Engine'!$B$3:$B$232,$O50)</f>
        <v/>
      </c>
      <c r="E50" s="4">
        <f>INDEX('Draft Engine'!$N$3:$N$232,$O50)</f>
        <v/>
      </c>
      <c r="F50" s="4">
        <f>INDEX('Draft Engine'!$E$3:$E$232,$O50)</f>
        <v/>
      </c>
      <c r="G50" s="4">
        <f>INDEX('Draft Engine'!$G$3:$G$232,$O50)</f>
        <v/>
      </c>
      <c r="H50" s="4">
        <f>INDEX('Draft Engine'!$J$3:$J$232,$O50)</f>
        <v/>
      </c>
      <c r="I50" s="4">
        <f>INDEX('Draft Engine'!$L$3:$L$232,$O50)</f>
        <v/>
      </c>
      <c r="J50" s="4">
        <f>INDEX('Draft Engine'!$R$3:$R$232,$O50)</f>
        <v/>
      </c>
      <c r="K50" s="4">
        <f>INDEX('Draft Engine'!$S$3:$S$232,$O50)</f>
        <v/>
      </c>
      <c r="L50" s="4">
        <f>INDEX('Draft Engine'!$U$3:$U$232,$O50)</f>
        <v/>
      </c>
      <c r="M50" s="4">
        <f>INDEX('Draft Engine'!$W$3:$W$232,$O50)</f>
        <v/>
      </c>
      <c r="N50">
        <f>INDEX('Draft Engine'!$T$3:$T$232,$O50)</f>
        <v/>
      </c>
      <c r="O50" s="6">
        <f>MATCH($A50,'Draft Engine'!$Q$3:$Q$232,0)</f>
        <v/>
      </c>
    </row>
    <row r="51">
      <c r="A51">
        <f>49</f>
        <v/>
      </c>
      <c r="B51">
        <f>INDEX('Draft Engine'!$A$3:$A$232,$O51)</f>
        <v/>
      </c>
      <c r="C51">
        <f>INDEX('Draft Engine'!$F$3:$F$232,$O51)</f>
        <v/>
      </c>
      <c r="D51">
        <f>INDEX('Draft Engine'!$B$3:$B$232,$O51)</f>
        <v/>
      </c>
      <c r="E51" s="4">
        <f>INDEX('Draft Engine'!$N$3:$N$232,$O51)</f>
        <v/>
      </c>
      <c r="F51" s="4">
        <f>INDEX('Draft Engine'!$E$3:$E$232,$O51)</f>
        <v/>
      </c>
      <c r="G51" s="4">
        <f>INDEX('Draft Engine'!$G$3:$G$232,$O51)</f>
        <v/>
      </c>
      <c r="H51" s="4">
        <f>INDEX('Draft Engine'!$J$3:$J$232,$O51)</f>
        <v/>
      </c>
      <c r="I51" s="4">
        <f>INDEX('Draft Engine'!$L$3:$L$232,$O51)</f>
        <v/>
      </c>
      <c r="J51" s="4">
        <f>INDEX('Draft Engine'!$R$3:$R$232,$O51)</f>
        <v/>
      </c>
      <c r="K51" s="4">
        <f>INDEX('Draft Engine'!$S$3:$S$232,$O51)</f>
        <v/>
      </c>
      <c r="L51" s="4">
        <f>INDEX('Draft Engine'!$U$3:$U$232,$O51)</f>
        <v/>
      </c>
      <c r="M51" s="4">
        <f>INDEX('Draft Engine'!$W$3:$W$232,$O51)</f>
        <v/>
      </c>
      <c r="N51">
        <f>INDEX('Draft Engine'!$T$3:$T$232,$O51)</f>
        <v/>
      </c>
      <c r="O51" s="6">
        <f>MATCH($A51,'Draft Engine'!$Q$3:$Q$232,0)</f>
        <v/>
      </c>
    </row>
    <row r="52">
      <c r="A52">
        <f>50</f>
        <v/>
      </c>
      <c r="B52">
        <f>INDEX('Draft Engine'!$A$3:$A$232,$O52)</f>
        <v/>
      </c>
      <c r="C52">
        <f>INDEX('Draft Engine'!$F$3:$F$232,$O52)</f>
        <v/>
      </c>
      <c r="D52">
        <f>INDEX('Draft Engine'!$B$3:$B$232,$O52)</f>
        <v/>
      </c>
      <c r="E52" s="4">
        <f>INDEX('Draft Engine'!$N$3:$N$232,$O52)</f>
        <v/>
      </c>
      <c r="F52" s="4">
        <f>INDEX('Draft Engine'!$E$3:$E$232,$O52)</f>
        <v/>
      </c>
      <c r="G52" s="4">
        <f>INDEX('Draft Engine'!$G$3:$G$232,$O52)</f>
        <v/>
      </c>
      <c r="H52" s="4">
        <f>INDEX('Draft Engine'!$J$3:$J$232,$O52)</f>
        <v/>
      </c>
      <c r="I52" s="4">
        <f>INDEX('Draft Engine'!$L$3:$L$232,$O52)</f>
        <v/>
      </c>
      <c r="J52" s="4">
        <f>INDEX('Draft Engine'!$R$3:$R$232,$O52)</f>
        <v/>
      </c>
      <c r="K52" s="4">
        <f>INDEX('Draft Engine'!$S$3:$S$232,$O52)</f>
        <v/>
      </c>
      <c r="L52" s="4">
        <f>INDEX('Draft Engine'!$U$3:$U$232,$O52)</f>
        <v/>
      </c>
      <c r="M52" s="4">
        <f>INDEX('Draft Engine'!$W$3:$W$232,$O52)</f>
        <v/>
      </c>
      <c r="N52">
        <f>INDEX('Draft Engine'!$T$3:$T$232,$O52)</f>
        <v/>
      </c>
      <c r="O52" s="6">
        <f>MATCH($A52,'Draft Engine'!$Q$3:$Q$232,0)</f>
        <v/>
      </c>
    </row>
    <row r="53">
      <c r="A53">
        <f>51</f>
        <v/>
      </c>
      <c r="B53">
        <f>INDEX('Draft Engine'!$A$3:$A$232,$O53)</f>
        <v/>
      </c>
      <c r="C53">
        <f>INDEX('Draft Engine'!$F$3:$F$232,$O53)</f>
        <v/>
      </c>
      <c r="D53">
        <f>INDEX('Draft Engine'!$B$3:$B$232,$O53)</f>
        <v/>
      </c>
      <c r="E53" s="4">
        <f>INDEX('Draft Engine'!$N$3:$N$232,$O53)</f>
        <v/>
      </c>
      <c r="F53" s="4">
        <f>INDEX('Draft Engine'!$E$3:$E$232,$O53)</f>
        <v/>
      </c>
      <c r="G53" s="4">
        <f>INDEX('Draft Engine'!$G$3:$G$232,$O53)</f>
        <v/>
      </c>
      <c r="H53" s="4">
        <f>INDEX('Draft Engine'!$J$3:$J$232,$O53)</f>
        <v/>
      </c>
      <c r="I53" s="4">
        <f>INDEX('Draft Engine'!$L$3:$L$232,$O53)</f>
        <v/>
      </c>
      <c r="J53" s="4">
        <f>INDEX('Draft Engine'!$R$3:$R$232,$O53)</f>
        <v/>
      </c>
      <c r="K53" s="4">
        <f>INDEX('Draft Engine'!$S$3:$S$232,$O53)</f>
        <v/>
      </c>
      <c r="L53" s="4">
        <f>INDEX('Draft Engine'!$U$3:$U$232,$O53)</f>
        <v/>
      </c>
      <c r="M53" s="4">
        <f>INDEX('Draft Engine'!$W$3:$W$232,$O53)</f>
        <v/>
      </c>
      <c r="N53">
        <f>INDEX('Draft Engine'!$T$3:$T$232,$O53)</f>
        <v/>
      </c>
      <c r="O53" s="6">
        <f>MATCH($A53,'Draft Engine'!$Q$3:$Q$232,0)</f>
        <v/>
      </c>
    </row>
    <row r="54">
      <c r="A54">
        <f>52</f>
        <v/>
      </c>
      <c r="B54">
        <f>INDEX('Draft Engine'!$A$3:$A$232,$O54)</f>
        <v/>
      </c>
      <c r="C54">
        <f>INDEX('Draft Engine'!$F$3:$F$232,$O54)</f>
        <v/>
      </c>
      <c r="D54">
        <f>INDEX('Draft Engine'!$B$3:$B$232,$O54)</f>
        <v/>
      </c>
      <c r="E54" s="4">
        <f>INDEX('Draft Engine'!$N$3:$N$232,$O54)</f>
        <v/>
      </c>
      <c r="F54" s="4">
        <f>INDEX('Draft Engine'!$E$3:$E$232,$O54)</f>
        <v/>
      </c>
      <c r="G54" s="4">
        <f>INDEX('Draft Engine'!$G$3:$G$232,$O54)</f>
        <v/>
      </c>
      <c r="H54" s="4">
        <f>INDEX('Draft Engine'!$J$3:$J$232,$O54)</f>
        <v/>
      </c>
      <c r="I54" s="4">
        <f>INDEX('Draft Engine'!$L$3:$L$232,$O54)</f>
        <v/>
      </c>
      <c r="J54" s="4">
        <f>INDEX('Draft Engine'!$R$3:$R$232,$O54)</f>
        <v/>
      </c>
      <c r="K54" s="4">
        <f>INDEX('Draft Engine'!$S$3:$S$232,$O54)</f>
        <v/>
      </c>
      <c r="L54" s="4">
        <f>INDEX('Draft Engine'!$U$3:$U$232,$O54)</f>
        <v/>
      </c>
      <c r="M54" s="4">
        <f>INDEX('Draft Engine'!$W$3:$W$232,$O54)</f>
        <v/>
      </c>
      <c r="N54">
        <f>INDEX('Draft Engine'!$T$3:$T$232,$O54)</f>
        <v/>
      </c>
      <c r="O54" s="6">
        <f>MATCH($A54,'Draft Engine'!$Q$3:$Q$232,0)</f>
        <v/>
      </c>
    </row>
    <row r="55">
      <c r="A55">
        <f>53</f>
        <v/>
      </c>
      <c r="B55">
        <f>INDEX('Draft Engine'!$A$3:$A$232,$O55)</f>
        <v/>
      </c>
      <c r="C55">
        <f>INDEX('Draft Engine'!$F$3:$F$232,$O55)</f>
        <v/>
      </c>
      <c r="D55">
        <f>INDEX('Draft Engine'!$B$3:$B$232,$O55)</f>
        <v/>
      </c>
      <c r="E55" s="4">
        <f>INDEX('Draft Engine'!$N$3:$N$232,$O55)</f>
        <v/>
      </c>
      <c r="F55" s="4">
        <f>INDEX('Draft Engine'!$E$3:$E$232,$O55)</f>
        <v/>
      </c>
      <c r="G55" s="4">
        <f>INDEX('Draft Engine'!$G$3:$G$232,$O55)</f>
        <v/>
      </c>
      <c r="H55" s="4">
        <f>INDEX('Draft Engine'!$J$3:$J$232,$O55)</f>
        <v/>
      </c>
      <c r="I55" s="4">
        <f>INDEX('Draft Engine'!$L$3:$L$232,$O55)</f>
        <v/>
      </c>
      <c r="J55" s="4">
        <f>INDEX('Draft Engine'!$R$3:$R$232,$O55)</f>
        <v/>
      </c>
      <c r="K55" s="4">
        <f>INDEX('Draft Engine'!$S$3:$S$232,$O55)</f>
        <v/>
      </c>
      <c r="L55" s="4">
        <f>INDEX('Draft Engine'!$U$3:$U$232,$O55)</f>
        <v/>
      </c>
      <c r="M55" s="4">
        <f>INDEX('Draft Engine'!$W$3:$W$232,$O55)</f>
        <v/>
      </c>
      <c r="N55">
        <f>INDEX('Draft Engine'!$T$3:$T$232,$O55)</f>
        <v/>
      </c>
      <c r="O55" s="6">
        <f>MATCH($A55,'Draft Engine'!$Q$3:$Q$232,0)</f>
        <v/>
      </c>
    </row>
    <row r="56">
      <c r="A56">
        <f>54</f>
        <v/>
      </c>
      <c r="B56">
        <f>INDEX('Draft Engine'!$A$3:$A$232,$O56)</f>
        <v/>
      </c>
      <c r="C56">
        <f>INDEX('Draft Engine'!$F$3:$F$232,$O56)</f>
        <v/>
      </c>
      <c r="D56">
        <f>INDEX('Draft Engine'!$B$3:$B$232,$O56)</f>
        <v/>
      </c>
      <c r="E56" s="4">
        <f>INDEX('Draft Engine'!$N$3:$N$232,$O56)</f>
        <v/>
      </c>
      <c r="F56" s="4">
        <f>INDEX('Draft Engine'!$E$3:$E$232,$O56)</f>
        <v/>
      </c>
      <c r="G56" s="4">
        <f>INDEX('Draft Engine'!$G$3:$G$232,$O56)</f>
        <v/>
      </c>
      <c r="H56" s="4">
        <f>INDEX('Draft Engine'!$J$3:$J$232,$O56)</f>
        <v/>
      </c>
      <c r="I56" s="4">
        <f>INDEX('Draft Engine'!$L$3:$L$232,$O56)</f>
        <v/>
      </c>
      <c r="J56" s="4">
        <f>INDEX('Draft Engine'!$R$3:$R$232,$O56)</f>
        <v/>
      </c>
      <c r="K56" s="4">
        <f>INDEX('Draft Engine'!$S$3:$S$232,$O56)</f>
        <v/>
      </c>
      <c r="L56" s="4">
        <f>INDEX('Draft Engine'!$U$3:$U$232,$O56)</f>
        <v/>
      </c>
      <c r="M56" s="4">
        <f>INDEX('Draft Engine'!$W$3:$W$232,$O56)</f>
        <v/>
      </c>
      <c r="N56">
        <f>INDEX('Draft Engine'!$T$3:$T$232,$O56)</f>
        <v/>
      </c>
      <c r="O56" s="6">
        <f>MATCH($A56,'Draft Engine'!$Q$3:$Q$232,0)</f>
        <v/>
      </c>
    </row>
    <row r="57">
      <c r="A57">
        <f>55</f>
        <v/>
      </c>
      <c r="B57">
        <f>INDEX('Draft Engine'!$A$3:$A$232,$O57)</f>
        <v/>
      </c>
      <c r="C57">
        <f>INDEX('Draft Engine'!$F$3:$F$232,$O57)</f>
        <v/>
      </c>
      <c r="D57">
        <f>INDEX('Draft Engine'!$B$3:$B$232,$O57)</f>
        <v/>
      </c>
      <c r="E57" s="4">
        <f>INDEX('Draft Engine'!$N$3:$N$232,$O57)</f>
        <v/>
      </c>
      <c r="F57" s="4">
        <f>INDEX('Draft Engine'!$E$3:$E$232,$O57)</f>
        <v/>
      </c>
      <c r="G57" s="4">
        <f>INDEX('Draft Engine'!$G$3:$G$232,$O57)</f>
        <v/>
      </c>
      <c r="H57" s="4">
        <f>INDEX('Draft Engine'!$J$3:$J$232,$O57)</f>
        <v/>
      </c>
      <c r="I57" s="4">
        <f>INDEX('Draft Engine'!$L$3:$L$232,$O57)</f>
        <v/>
      </c>
      <c r="J57" s="4">
        <f>INDEX('Draft Engine'!$R$3:$R$232,$O57)</f>
        <v/>
      </c>
      <c r="K57" s="4">
        <f>INDEX('Draft Engine'!$S$3:$S$232,$O57)</f>
        <v/>
      </c>
      <c r="L57" s="4">
        <f>INDEX('Draft Engine'!$U$3:$U$232,$O57)</f>
        <v/>
      </c>
      <c r="M57" s="4">
        <f>INDEX('Draft Engine'!$W$3:$W$232,$O57)</f>
        <v/>
      </c>
      <c r="N57">
        <f>INDEX('Draft Engine'!$T$3:$T$232,$O57)</f>
        <v/>
      </c>
      <c r="O57" s="6">
        <f>MATCH($A57,'Draft Engine'!$Q$3:$Q$232,0)</f>
        <v/>
      </c>
    </row>
    <row r="58">
      <c r="A58">
        <f>56</f>
        <v/>
      </c>
      <c r="B58">
        <f>INDEX('Draft Engine'!$A$3:$A$232,$O58)</f>
        <v/>
      </c>
      <c r="C58">
        <f>INDEX('Draft Engine'!$F$3:$F$232,$O58)</f>
        <v/>
      </c>
      <c r="D58">
        <f>INDEX('Draft Engine'!$B$3:$B$232,$O58)</f>
        <v/>
      </c>
      <c r="E58" s="4">
        <f>INDEX('Draft Engine'!$N$3:$N$232,$O58)</f>
        <v/>
      </c>
      <c r="F58" s="4">
        <f>INDEX('Draft Engine'!$E$3:$E$232,$O58)</f>
        <v/>
      </c>
      <c r="G58" s="4">
        <f>INDEX('Draft Engine'!$G$3:$G$232,$O58)</f>
        <v/>
      </c>
      <c r="H58" s="4">
        <f>INDEX('Draft Engine'!$J$3:$J$232,$O58)</f>
        <v/>
      </c>
      <c r="I58" s="4">
        <f>INDEX('Draft Engine'!$L$3:$L$232,$O58)</f>
        <v/>
      </c>
      <c r="J58" s="4">
        <f>INDEX('Draft Engine'!$R$3:$R$232,$O58)</f>
        <v/>
      </c>
      <c r="K58" s="4">
        <f>INDEX('Draft Engine'!$S$3:$S$232,$O58)</f>
        <v/>
      </c>
      <c r="L58" s="4">
        <f>INDEX('Draft Engine'!$U$3:$U$232,$O58)</f>
        <v/>
      </c>
      <c r="M58" s="4">
        <f>INDEX('Draft Engine'!$W$3:$W$232,$O58)</f>
        <v/>
      </c>
      <c r="N58">
        <f>INDEX('Draft Engine'!$T$3:$T$232,$O58)</f>
        <v/>
      </c>
      <c r="O58" s="6">
        <f>MATCH($A58,'Draft Engine'!$Q$3:$Q$232,0)</f>
        <v/>
      </c>
    </row>
    <row r="59">
      <c r="A59">
        <f>57</f>
        <v/>
      </c>
      <c r="B59">
        <f>INDEX('Draft Engine'!$A$3:$A$232,$O59)</f>
        <v/>
      </c>
      <c r="C59">
        <f>INDEX('Draft Engine'!$F$3:$F$232,$O59)</f>
        <v/>
      </c>
      <c r="D59">
        <f>INDEX('Draft Engine'!$B$3:$B$232,$O59)</f>
        <v/>
      </c>
      <c r="E59" s="4">
        <f>INDEX('Draft Engine'!$N$3:$N$232,$O59)</f>
        <v/>
      </c>
      <c r="F59" s="4">
        <f>INDEX('Draft Engine'!$E$3:$E$232,$O59)</f>
        <v/>
      </c>
      <c r="G59" s="4">
        <f>INDEX('Draft Engine'!$G$3:$G$232,$O59)</f>
        <v/>
      </c>
      <c r="H59" s="4">
        <f>INDEX('Draft Engine'!$J$3:$J$232,$O59)</f>
        <v/>
      </c>
      <c r="I59" s="4">
        <f>INDEX('Draft Engine'!$L$3:$L$232,$O59)</f>
        <v/>
      </c>
      <c r="J59" s="4">
        <f>INDEX('Draft Engine'!$R$3:$R$232,$O59)</f>
        <v/>
      </c>
      <c r="K59" s="4">
        <f>INDEX('Draft Engine'!$S$3:$S$232,$O59)</f>
        <v/>
      </c>
      <c r="L59" s="4">
        <f>INDEX('Draft Engine'!$U$3:$U$232,$O59)</f>
        <v/>
      </c>
      <c r="M59" s="4">
        <f>INDEX('Draft Engine'!$W$3:$W$232,$O59)</f>
        <v/>
      </c>
      <c r="N59">
        <f>INDEX('Draft Engine'!$T$3:$T$232,$O59)</f>
        <v/>
      </c>
      <c r="O59" s="6">
        <f>MATCH($A59,'Draft Engine'!$Q$3:$Q$232,0)</f>
        <v/>
      </c>
    </row>
    <row r="60">
      <c r="A60">
        <f>58</f>
        <v/>
      </c>
      <c r="B60">
        <f>INDEX('Draft Engine'!$A$3:$A$232,$O60)</f>
        <v/>
      </c>
      <c r="C60">
        <f>INDEX('Draft Engine'!$F$3:$F$232,$O60)</f>
        <v/>
      </c>
      <c r="D60">
        <f>INDEX('Draft Engine'!$B$3:$B$232,$O60)</f>
        <v/>
      </c>
      <c r="E60" s="4">
        <f>INDEX('Draft Engine'!$N$3:$N$232,$O60)</f>
        <v/>
      </c>
      <c r="F60" s="4">
        <f>INDEX('Draft Engine'!$E$3:$E$232,$O60)</f>
        <v/>
      </c>
      <c r="G60" s="4">
        <f>INDEX('Draft Engine'!$G$3:$G$232,$O60)</f>
        <v/>
      </c>
      <c r="H60" s="4">
        <f>INDEX('Draft Engine'!$J$3:$J$232,$O60)</f>
        <v/>
      </c>
      <c r="I60" s="4">
        <f>INDEX('Draft Engine'!$L$3:$L$232,$O60)</f>
        <v/>
      </c>
      <c r="J60" s="4">
        <f>INDEX('Draft Engine'!$R$3:$R$232,$O60)</f>
        <v/>
      </c>
      <c r="K60" s="4">
        <f>INDEX('Draft Engine'!$S$3:$S$232,$O60)</f>
        <v/>
      </c>
      <c r="L60" s="4">
        <f>INDEX('Draft Engine'!$U$3:$U$232,$O60)</f>
        <v/>
      </c>
      <c r="M60" s="4">
        <f>INDEX('Draft Engine'!$W$3:$W$232,$O60)</f>
        <v/>
      </c>
      <c r="N60">
        <f>INDEX('Draft Engine'!$T$3:$T$232,$O60)</f>
        <v/>
      </c>
      <c r="O60" s="6">
        <f>MATCH($A60,'Draft Engine'!$Q$3:$Q$232,0)</f>
        <v/>
      </c>
    </row>
    <row r="61">
      <c r="A61">
        <f>59</f>
        <v/>
      </c>
      <c r="B61">
        <f>INDEX('Draft Engine'!$A$3:$A$232,$O61)</f>
        <v/>
      </c>
      <c r="C61">
        <f>INDEX('Draft Engine'!$F$3:$F$232,$O61)</f>
        <v/>
      </c>
      <c r="D61">
        <f>INDEX('Draft Engine'!$B$3:$B$232,$O61)</f>
        <v/>
      </c>
      <c r="E61" s="4">
        <f>INDEX('Draft Engine'!$N$3:$N$232,$O61)</f>
        <v/>
      </c>
      <c r="F61" s="4">
        <f>INDEX('Draft Engine'!$E$3:$E$232,$O61)</f>
        <v/>
      </c>
      <c r="G61" s="4">
        <f>INDEX('Draft Engine'!$G$3:$G$232,$O61)</f>
        <v/>
      </c>
      <c r="H61" s="4">
        <f>INDEX('Draft Engine'!$J$3:$J$232,$O61)</f>
        <v/>
      </c>
      <c r="I61" s="4">
        <f>INDEX('Draft Engine'!$L$3:$L$232,$O61)</f>
        <v/>
      </c>
      <c r="J61" s="4">
        <f>INDEX('Draft Engine'!$R$3:$R$232,$O61)</f>
        <v/>
      </c>
      <c r="K61" s="4">
        <f>INDEX('Draft Engine'!$S$3:$S$232,$O61)</f>
        <v/>
      </c>
      <c r="L61" s="4">
        <f>INDEX('Draft Engine'!$U$3:$U$232,$O61)</f>
        <v/>
      </c>
      <c r="M61" s="4">
        <f>INDEX('Draft Engine'!$W$3:$W$232,$O61)</f>
        <v/>
      </c>
      <c r="N61">
        <f>INDEX('Draft Engine'!$T$3:$T$232,$O61)</f>
        <v/>
      </c>
      <c r="O61" s="6">
        <f>MATCH($A61,'Draft Engine'!$Q$3:$Q$232,0)</f>
        <v/>
      </c>
    </row>
    <row r="62">
      <c r="A62">
        <f>60</f>
        <v/>
      </c>
      <c r="B62">
        <f>INDEX('Draft Engine'!$A$3:$A$232,$O62)</f>
        <v/>
      </c>
      <c r="C62">
        <f>INDEX('Draft Engine'!$F$3:$F$232,$O62)</f>
        <v/>
      </c>
      <c r="D62">
        <f>INDEX('Draft Engine'!$B$3:$B$232,$O62)</f>
        <v/>
      </c>
      <c r="E62" s="4">
        <f>INDEX('Draft Engine'!$N$3:$N$232,$O62)</f>
        <v/>
      </c>
      <c r="F62" s="4">
        <f>INDEX('Draft Engine'!$E$3:$E$232,$O62)</f>
        <v/>
      </c>
      <c r="G62" s="4">
        <f>INDEX('Draft Engine'!$G$3:$G$232,$O62)</f>
        <v/>
      </c>
      <c r="H62" s="4">
        <f>INDEX('Draft Engine'!$J$3:$J$232,$O62)</f>
        <v/>
      </c>
      <c r="I62" s="4">
        <f>INDEX('Draft Engine'!$L$3:$L$232,$O62)</f>
        <v/>
      </c>
      <c r="J62" s="4">
        <f>INDEX('Draft Engine'!$R$3:$R$232,$O62)</f>
        <v/>
      </c>
      <c r="K62" s="4">
        <f>INDEX('Draft Engine'!$S$3:$S$232,$O62)</f>
        <v/>
      </c>
      <c r="L62" s="4">
        <f>INDEX('Draft Engine'!$U$3:$U$232,$O62)</f>
        <v/>
      </c>
      <c r="M62" s="4">
        <f>INDEX('Draft Engine'!$W$3:$W$232,$O62)</f>
        <v/>
      </c>
      <c r="N62">
        <f>INDEX('Draft Engine'!$T$3:$T$232,$O62)</f>
        <v/>
      </c>
      <c r="O62" s="6">
        <f>MATCH($A62,'Draft Engine'!$Q$3:$Q$232,0)</f>
        <v/>
      </c>
    </row>
    <row r="63">
      <c r="A63">
        <f>61</f>
        <v/>
      </c>
      <c r="B63">
        <f>INDEX('Draft Engine'!$A$3:$A$232,$O63)</f>
        <v/>
      </c>
      <c r="C63">
        <f>INDEX('Draft Engine'!$F$3:$F$232,$O63)</f>
        <v/>
      </c>
      <c r="D63">
        <f>INDEX('Draft Engine'!$B$3:$B$232,$O63)</f>
        <v/>
      </c>
      <c r="E63" s="4">
        <f>INDEX('Draft Engine'!$N$3:$N$232,$O63)</f>
        <v/>
      </c>
      <c r="F63" s="4">
        <f>INDEX('Draft Engine'!$E$3:$E$232,$O63)</f>
        <v/>
      </c>
      <c r="G63" s="4">
        <f>INDEX('Draft Engine'!$G$3:$G$232,$O63)</f>
        <v/>
      </c>
      <c r="H63" s="4">
        <f>INDEX('Draft Engine'!$J$3:$J$232,$O63)</f>
        <v/>
      </c>
      <c r="I63" s="4">
        <f>INDEX('Draft Engine'!$L$3:$L$232,$O63)</f>
        <v/>
      </c>
      <c r="J63" s="4">
        <f>INDEX('Draft Engine'!$R$3:$R$232,$O63)</f>
        <v/>
      </c>
      <c r="K63" s="4">
        <f>INDEX('Draft Engine'!$S$3:$S$232,$O63)</f>
        <v/>
      </c>
      <c r="L63" s="4">
        <f>INDEX('Draft Engine'!$U$3:$U$232,$O63)</f>
        <v/>
      </c>
      <c r="M63" s="4">
        <f>INDEX('Draft Engine'!$W$3:$W$232,$O63)</f>
        <v/>
      </c>
      <c r="N63">
        <f>INDEX('Draft Engine'!$T$3:$T$232,$O63)</f>
        <v/>
      </c>
      <c r="O63" s="6">
        <f>MATCH($A63,'Draft Engine'!$Q$3:$Q$232,0)</f>
        <v/>
      </c>
    </row>
    <row r="64">
      <c r="A64">
        <f>62</f>
        <v/>
      </c>
      <c r="B64">
        <f>INDEX('Draft Engine'!$A$3:$A$232,$O64)</f>
        <v/>
      </c>
      <c r="C64">
        <f>INDEX('Draft Engine'!$F$3:$F$232,$O64)</f>
        <v/>
      </c>
      <c r="D64">
        <f>INDEX('Draft Engine'!$B$3:$B$232,$O64)</f>
        <v/>
      </c>
      <c r="E64" s="4">
        <f>INDEX('Draft Engine'!$N$3:$N$232,$O64)</f>
        <v/>
      </c>
      <c r="F64" s="4">
        <f>INDEX('Draft Engine'!$E$3:$E$232,$O64)</f>
        <v/>
      </c>
      <c r="G64" s="4">
        <f>INDEX('Draft Engine'!$G$3:$G$232,$O64)</f>
        <v/>
      </c>
      <c r="H64" s="4">
        <f>INDEX('Draft Engine'!$J$3:$J$232,$O64)</f>
        <v/>
      </c>
      <c r="I64" s="4">
        <f>INDEX('Draft Engine'!$L$3:$L$232,$O64)</f>
        <v/>
      </c>
      <c r="J64" s="4">
        <f>INDEX('Draft Engine'!$R$3:$R$232,$O64)</f>
        <v/>
      </c>
      <c r="K64" s="4">
        <f>INDEX('Draft Engine'!$S$3:$S$232,$O64)</f>
        <v/>
      </c>
      <c r="L64" s="4">
        <f>INDEX('Draft Engine'!$U$3:$U$232,$O64)</f>
        <v/>
      </c>
      <c r="M64" s="4">
        <f>INDEX('Draft Engine'!$W$3:$W$232,$O64)</f>
        <v/>
      </c>
      <c r="N64">
        <f>INDEX('Draft Engine'!$T$3:$T$232,$O64)</f>
        <v/>
      </c>
      <c r="O64" s="6">
        <f>MATCH($A64,'Draft Engine'!$Q$3:$Q$232,0)</f>
        <v/>
      </c>
    </row>
    <row r="65">
      <c r="A65">
        <f>63</f>
        <v/>
      </c>
      <c r="B65">
        <f>INDEX('Draft Engine'!$A$3:$A$232,$O65)</f>
        <v/>
      </c>
      <c r="C65">
        <f>INDEX('Draft Engine'!$F$3:$F$232,$O65)</f>
        <v/>
      </c>
      <c r="D65">
        <f>INDEX('Draft Engine'!$B$3:$B$232,$O65)</f>
        <v/>
      </c>
      <c r="E65" s="4">
        <f>INDEX('Draft Engine'!$N$3:$N$232,$O65)</f>
        <v/>
      </c>
      <c r="F65" s="4">
        <f>INDEX('Draft Engine'!$E$3:$E$232,$O65)</f>
        <v/>
      </c>
      <c r="G65" s="4">
        <f>INDEX('Draft Engine'!$G$3:$G$232,$O65)</f>
        <v/>
      </c>
      <c r="H65" s="4">
        <f>INDEX('Draft Engine'!$J$3:$J$232,$O65)</f>
        <v/>
      </c>
      <c r="I65" s="4">
        <f>INDEX('Draft Engine'!$L$3:$L$232,$O65)</f>
        <v/>
      </c>
      <c r="J65" s="4">
        <f>INDEX('Draft Engine'!$R$3:$R$232,$O65)</f>
        <v/>
      </c>
      <c r="K65" s="4">
        <f>INDEX('Draft Engine'!$S$3:$S$232,$O65)</f>
        <v/>
      </c>
      <c r="L65" s="4">
        <f>INDEX('Draft Engine'!$U$3:$U$232,$O65)</f>
        <v/>
      </c>
      <c r="M65" s="4">
        <f>INDEX('Draft Engine'!$W$3:$W$232,$O65)</f>
        <v/>
      </c>
      <c r="N65">
        <f>INDEX('Draft Engine'!$T$3:$T$232,$O65)</f>
        <v/>
      </c>
      <c r="O65" s="6">
        <f>MATCH($A65,'Draft Engine'!$Q$3:$Q$232,0)</f>
        <v/>
      </c>
    </row>
    <row r="66">
      <c r="A66">
        <f>64</f>
        <v/>
      </c>
      <c r="B66">
        <f>INDEX('Draft Engine'!$A$3:$A$232,$O66)</f>
        <v/>
      </c>
      <c r="C66">
        <f>INDEX('Draft Engine'!$F$3:$F$232,$O66)</f>
        <v/>
      </c>
      <c r="D66">
        <f>INDEX('Draft Engine'!$B$3:$B$232,$O66)</f>
        <v/>
      </c>
      <c r="E66" s="4">
        <f>INDEX('Draft Engine'!$N$3:$N$232,$O66)</f>
        <v/>
      </c>
      <c r="F66" s="4">
        <f>INDEX('Draft Engine'!$E$3:$E$232,$O66)</f>
        <v/>
      </c>
      <c r="G66" s="4">
        <f>INDEX('Draft Engine'!$G$3:$G$232,$O66)</f>
        <v/>
      </c>
      <c r="H66" s="4">
        <f>INDEX('Draft Engine'!$J$3:$J$232,$O66)</f>
        <v/>
      </c>
      <c r="I66" s="4">
        <f>INDEX('Draft Engine'!$L$3:$L$232,$O66)</f>
        <v/>
      </c>
      <c r="J66" s="4">
        <f>INDEX('Draft Engine'!$R$3:$R$232,$O66)</f>
        <v/>
      </c>
      <c r="K66" s="4">
        <f>INDEX('Draft Engine'!$S$3:$S$232,$O66)</f>
        <v/>
      </c>
      <c r="L66" s="4">
        <f>INDEX('Draft Engine'!$U$3:$U$232,$O66)</f>
        <v/>
      </c>
      <c r="M66" s="4">
        <f>INDEX('Draft Engine'!$W$3:$W$232,$O66)</f>
        <v/>
      </c>
      <c r="N66">
        <f>INDEX('Draft Engine'!$T$3:$T$232,$O66)</f>
        <v/>
      </c>
      <c r="O66" s="6">
        <f>MATCH($A66,'Draft Engine'!$Q$3:$Q$232,0)</f>
        <v/>
      </c>
    </row>
    <row r="67">
      <c r="A67">
        <f>65</f>
        <v/>
      </c>
      <c r="B67">
        <f>INDEX('Draft Engine'!$A$3:$A$232,$O67)</f>
        <v/>
      </c>
      <c r="C67">
        <f>INDEX('Draft Engine'!$F$3:$F$232,$O67)</f>
        <v/>
      </c>
      <c r="D67">
        <f>INDEX('Draft Engine'!$B$3:$B$232,$O67)</f>
        <v/>
      </c>
      <c r="E67" s="4">
        <f>INDEX('Draft Engine'!$N$3:$N$232,$O67)</f>
        <v/>
      </c>
      <c r="F67" s="4">
        <f>INDEX('Draft Engine'!$E$3:$E$232,$O67)</f>
        <v/>
      </c>
      <c r="G67" s="4">
        <f>INDEX('Draft Engine'!$G$3:$G$232,$O67)</f>
        <v/>
      </c>
      <c r="H67" s="4">
        <f>INDEX('Draft Engine'!$J$3:$J$232,$O67)</f>
        <v/>
      </c>
      <c r="I67" s="4">
        <f>INDEX('Draft Engine'!$L$3:$L$232,$O67)</f>
        <v/>
      </c>
      <c r="J67" s="4">
        <f>INDEX('Draft Engine'!$R$3:$R$232,$O67)</f>
        <v/>
      </c>
      <c r="K67" s="4">
        <f>INDEX('Draft Engine'!$S$3:$S$232,$O67)</f>
        <v/>
      </c>
      <c r="L67" s="4">
        <f>INDEX('Draft Engine'!$U$3:$U$232,$O67)</f>
        <v/>
      </c>
      <c r="M67" s="4">
        <f>INDEX('Draft Engine'!$W$3:$W$232,$O67)</f>
        <v/>
      </c>
      <c r="N67">
        <f>INDEX('Draft Engine'!$T$3:$T$232,$O67)</f>
        <v/>
      </c>
      <c r="O67" s="6">
        <f>MATCH($A67,'Draft Engine'!$Q$3:$Q$232,0)</f>
        <v/>
      </c>
    </row>
    <row r="68">
      <c r="A68">
        <f>66</f>
        <v/>
      </c>
      <c r="B68">
        <f>INDEX('Draft Engine'!$A$3:$A$232,$O68)</f>
        <v/>
      </c>
      <c r="C68">
        <f>INDEX('Draft Engine'!$F$3:$F$232,$O68)</f>
        <v/>
      </c>
      <c r="D68">
        <f>INDEX('Draft Engine'!$B$3:$B$232,$O68)</f>
        <v/>
      </c>
      <c r="E68" s="4">
        <f>INDEX('Draft Engine'!$N$3:$N$232,$O68)</f>
        <v/>
      </c>
      <c r="F68" s="4">
        <f>INDEX('Draft Engine'!$E$3:$E$232,$O68)</f>
        <v/>
      </c>
      <c r="G68" s="4">
        <f>INDEX('Draft Engine'!$G$3:$G$232,$O68)</f>
        <v/>
      </c>
      <c r="H68" s="4">
        <f>INDEX('Draft Engine'!$J$3:$J$232,$O68)</f>
        <v/>
      </c>
      <c r="I68" s="4">
        <f>INDEX('Draft Engine'!$L$3:$L$232,$O68)</f>
        <v/>
      </c>
      <c r="J68" s="4">
        <f>INDEX('Draft Engine'!$R$3:$R$232,$O68)</f>
        <v/>
      </c>
      <c r="K68" s="4">
        <f>INDEX('Draft Engine'!$S$3:$S$232,$O68)</f>
        <v/>
      </c>
      <c r="L68" s="4">
        <f>INDEX('Draft Engine'!$U$3:$U$232,$O68)</f>
        <v/>
      </c>
      <c r="M68" s="4">
        <f>INDEX('Draft Engine'!$W$3:$W$232,$O68)</f>
        <v/>
      </c>
      <c r="N68">
        <f>INDEX('Draft Engine'!$T$3:$T$232,$O68)</f>
        <v/>
      </c>
      <c r="O68" s="6">
        <f>MATCH($A68,'Draft Engine'!$Q$3:$Q$232,0)</f>
        <v/>
      </c>
    </row>
    <row r="69">
      <c r="A69">
        <f>67</f>
        <v/>
      </c>
      <c r="B69">
        <f>INDEX('Draft Engine'!$A$3:$A$232,$O69)</f>
        <v/>
      </c>
      <c r="C69">
        <f>INDEX('Draft Engine'!$F$3:$F$232,$O69)</f>
        <v/>
      </c>
      <c r="D69">
        <f>INDEX('Draft Engine'!$B$3:$B$232,$O69)</f>
        <v/>
      </c>
      <c r="E69" s="4">
        <f>INDEX('Draft Engine'!$N$3:$N$232,$O69)</f>
        <v/>
      </c>
      <c r="F69" s="4">
        <f>INDEX('Draft Engine'!$E$3:$E$232,$O69)</f>
        <v/>
      </c>
      <c r="G69" s="4">
        <f>INDEX('Draft Engine'!$G$3:$G$232,$O69)</f>
        <v/>
      </c>
      <c r="H69" s="4">
        <f>INDEX('Draft Engine'!$J$3:$J$232,$O69)</f>
        <v/>
      </c>
      <c r="I69" s="4">
        <f>INDEX('Draft Engine'!$L$3:$L$232,$O69)</f>
        <v/>
      </c>
      <c r="J69" s="4">
        <f>INDEX('Draft Engine'!$R$3:$R$232,$O69)</f>
        <v/>
      </c>
      <c r="K69" s="4">
        <f>INDEX('Draft Engine'!$S$3:$S$232,$O69)</f>
        <v/>
      </c>
      <c r="L69" s="4">
        <f>INDEX('Draft Engine'!$U$3:$U$232,$O69)</f>
        <v/>
      </c>
      <c r="M69" s="4">
        <f>INDEX('Draft Engine'!$W$3:$W$232,$O69)</f>
        <v/>
      </c>
      <c r="N69">
        <f>INDEX('Draft Engine'!$T$3:$T$232,$O69)</f>
        <v/>
      </c>
      <c r="O69" s="6">
        <f>MATCH($A69,'Draft Engine'!$Q$3:$Q$232,0)</f>
        <v/>
      </c>
    </row>
    <row r="70">
      <c r="A70">
        <f>68</f>
        <v/>
      </c>
      <c r="B70">
        <f>INDEX('Draft Engine'!$A$3:$A$232,$O70)</f>
        <v/>
      </c>
      <c r="C70">
        <f>INDEX('Draft Engine'!$F$3:$F$232,$O70)</f>
        <v/>
      </c>
      <c r="D70">
        <f>INDEX('Draft Engine'!$B$3:$B$232,$O70)</f>
        <v/>
      </c>
      <c r="E70" s="4">
        <f>INDEX('Draft Engine'!$N$3:$N$232,$O70)</f>
        <v/>
      </c>
      <c r="F70" s="4">
        <f>INDEX('Draft Engine'!$E$3:$E$232,$O70)</f>
        <v/>
      </c>
      <c r="G70" s="4">
        <f>INDEX('Draft Engine'!$G$3:$G$232,$O70)</f>
        <v/>
      </c>
      <c r="H70" s="4">
        <f>INDEX('Draft Engine'!$J$3:$J$232,$O70)</f>
        <v/>
      </c>
      <c r="I70" s="4">
        <f>INDEX('Draft Engine'!$L$3:$L$232,$O70)</f>
        <v/>
      </c>
      <c r="J70" s="4">
        <f>INDEX('Draft Engine'!$R$3:$R$232,$O70)</f>
        <v/>
      </c>
      <c r="K70" s="4">
        <f>INDEX('Draft Engine'!$S$3:$S$232,$O70)</f>
        <v/>
      </c>
      <c r="L70" s="4">
        <f>INDEX('Draft Engine'!$U$3:$U$232,$O70)</f>
        <v/>
      </c>
      <c r="M70" s="4">
        <f>INDEX('Draft Engine'!$W$3:$W$232,$O70)</f>
        <v/>
      </c>
      <c r="N70">
        <f>INDEX('Draft Engine'!$T$3:$T$232,$O70)</f>
        <v/>
      </c>
      <c r="O70" s="6">
        <f>MATCH($A70,'Draft Engine'!$Q$3:$Q$232,0)</f>
        <v/>
      </c>
    </row>
    <row r="71">
      <c r="A71">
        <f>69</f>
        <v/>
      </c>
      <c r="B71">
        <f>INDEX('Draft Engine'!$A$3:$A$232,$O71)</f>
        <v/>
      </c>
      <c r="C71">
        <f>INDEX('Draft Engine'!$F$3:$F$232,$O71)</f>
        <v/>
      </c>
      <c r="D71">
        <f>INDEX('Draft Engine'!$B$3:$B$232,$O71)</f>
        <v/>
      </c>
      <c r="E71" s="4">
        <f>INDEX('Draft Engine'!$N$3:$N$232,$O71)</f>
        <v/>
      </c>
      <c r="F71" s="4">
        <f>INDEX('Draft Engine'!$E$3:$E$232,$O71)</f>
        <v/>
      </c>
      <c r="G71" s="4">
        <f>INDEX('Draft Engine'!$G$3:$G$232,$O71)</f>
        <v/>
      </c>
      <c r="H71" s="4">
        <f>INDEX('Draft Engine'!$J$3:$J$232,$O71)</f>
        <v/>
      </c>
      <c r="I71" s="4">
        <f>INDEX('Draft Engine'!$L$3:$L$232,$O71)</f>
        <v/>
      </c>
      <c r="J71" s="4">
        <f>INDEX('Draft Engine'!$R$3:$R$232,$O71)</f>
        <v/>
      </c>
      <c r="K71" s="4">
        <f>INDEX('Draft Engine'!$S$3:$S$232,$O71)</f>
        <v/>
      </c>
      <c r="L71" s="4">
        <f>INDEX('Draft Engine'!$U$3:$U$232,$O71)</f>
        <v/>
      </c>
      <c r="M71" s="4">
        <f>INDEX('Draft Engine'!$W$3:$W$232,$O71)</f>
        <v/>
      </c>
      <c r="N71">
        <f>INDEX('Draft Engine'!$T$3:$T$232,$O71)</f>
        <v/>
      </c>
      <c r="O71" s="6">
        <f>MATCH($A71,'Draft Engine'!$Q$3:$Q$232,0)</f>
        <v/>
      </c>
    </row>
    <row r="72">
      <c r="A72">
        <f>70</f>
        <v/>
      </c>
      <c r="B72">
        <f>INDEX('Draft Engine'!$A$3:$A$232,$O72)</f>
        <v/>
      </c>
      <c r="C72">
        <f>INDEX('Draft Engine'!$F$3:$F$232,$O72)</f>
        <v/>
      </c>
      <c r="D72">
        <f>INDEX('Draft Engine'!$B$3:$B$232,$O72)</f>
        <v/>
      </c>
      <c r="E72" s="4">
        <f>INDEX('Draft Engine'!$N$3:$N$232,$O72)</f>
        <v/>
      </c>
      <c r="F72" s="4">
        <f>INDEX('Draft Engine'!$E$3:$E$232,$O72)</f>
        <v/>
      </c>
      <c r="G72" s="4">
        <f>INDEX('Draft Engine'!$G$3:$G$232,$O72)</f>
        <v/>
      </c>
      <c r="H72" s="4">
        <f>INDEX('Draft Engine'!$J$3:$J$232,$O72)</f>
        <v/>
      </c>
      <c r="I72" s="4">
        <f>INDEX('Draft Engine'!$L$3:$L$232,$O72)</f>
        <v/>
      </c>
      <c r="J72" s="4">
        <f>INDEX('Draft Engine'!$R$3:$R$232,$O72)</f>
        <v/>
      </c>
      <c r="K72" s="4">
        <f>INDEX('Draft Engine'!$S$3:$S$232,$O72)</f>
        <v/>
      </c>
      <c r="L72" s="4">
        <f>INDEX('Draft Engine'!$U$3:$U$232,$O72)</f>
        <v/>
      </c>
      <c r="M72" s="4">
        <f>INDEX('Draft Engine'!$W$3:$W$232,$O72)</f>
        <v/>
      </c>
      <c r="N72">
        <f>INDEX('Draft Engine'!$T$3:$T$232,$O72)</f>
        <v/>
      </c>
      <c r="O72" s="6">
        <f>MATCH($A72,'Draft Engine'!$Q$3:$Q$232,0)</f>
        <v/>
      </c>
    </row>
    <row r="73">
      <c r="A73">
        <f>71</f>
        <v/>
      </c>
      <c r="B73">
        <f>INDEX('Draft Engine'!$A$3:$A$232,$O73)</f>
        <v/>
      </c>
      <c r="C73">
        <f>INDEX('Draft Engine'!$F$3:$F$232,$O73)</f>
        <v/>
      </c>
      <c r="D73">
        <f>INDEX('Draft Engine'!$B$3:$B$232,$O73)</f>
        <v/>
      </c>
      <c r="E73" s="4">
        <f>INDEX('Draft Engine'!$N$3:$N$232,$O73)</f>
        <v/>
      </c>
      <c r="F73" s="4">
        <f>INDEX('Draft Engine'!$E$3:$E$232,$O73)</f>
        <v/>
      </c>
      <c r="G73" s="4">
        <f>INDEX('Draft Engine'!$G$3:$G$232,$O73)</f>
        <v/>
      </c>
      <c r="H73" s="4">
        <f>INDEX('Draft Engine'!$J$3:$J$232,$O73)</f>
        <v/>
      </c>
      <c r="I73" s="4">
        <f>INDEX('Draft Engine'!$L$3:$L$232,$O73)</f>
        <v/>
      </c>
      <c r="J73" s="4">
        <f>INDEX('Draft Engine'!$R$3:$R$232,$O73)</f>
        <v/>
      </c>
      <c r="K73" s="4">
        <f>INDEX('Draft Engine'!$S$3:$S$232,$O73)</f>
        <v/>
      </c>
      <c r="L73" s="4">
        <f>INDEX('Draft Engine'!$U$3:$U$232,$O73)</f>
        <v/>
      </c>
      <c r="M73" s="4">
        <f>INDEX('Draft Engine'!$W$3:$W$232,$O73)</f>
        <v/>
      </c>
      <c r="N73">
        <f>INDEX('Draft Engine'!$T$3:$T$232,$O73)</f>
        <v/>
      </c>
      <c r="O73" s="6">
        <f>MATCH($A73,'Draft Engine'!$Q$3:$Q$232,0)</f>
        <v/>
      </c>
    </row>
    <row r="74">
      <c r="A74">
        <f>72</f>
        <v/>
      </c>
      <c r="B74">
        <f>INDEX('Draft Engine'!$A$3:$A$232,$O74)</f>
        <v/>
      </c>
      <c r="C74">
        <f>INDEX('Draft Engine'!$F$3:$F$232,$O74)</f>
        <v/>
      </c>
      <c r="D74">
        <f>INDEX('Draft Engine'!$B$3:$B$232,$O74)</f>
        <v/>
      </c>
      <c r="E74" s="4">
        <f>INDEX('Draft Engine'!$N$3:$N$232,$O74)</f>
        <v/>
      </c>
      <c r="F74" s="4">
        <f>INDEX('Draft Engine'!$E$3:$E$232,$O74)</f>
        <v/>
      </c>
      <c r="G74" s="4">
        <f>INDEX('Draft Engine'!$G$3:$G$232,$O74)</f>
        <v/>
      </c>
      <c r="H74" s="4">
        <f>INDEX('Draft Engine'!$J$3:$J$232,$O74)</f>
        <v/>
      </c>
      <c r="I74" s="4">
        <f>INDEX('Draft Engine'!$L$3:$L$232,$O74)</f>
        <v/>
      </c>
      <c r="J74" s="4">
        <f>INDEX('Draft Engine'!$R$3:$R$232,$O74)</f>
        <v/>
      </c>
      <c r="K74" s="4">
        <f>INDEX('Draft Engine'!$S$3:$S$232,$O74)</f>
        <v/>
      </c>
      <c r="L74" s="4">
        <f>INDEX('Draft Engine'!$U$3:$U$232,$O74)</f>
        <v/>
      </c>
      <c r="M74" s="4">
        <f>INDEX('Draft Engine'!$W$3:$W$232,$O74)</f>
        <v/>
      </c>
      <c r="N74">
        <f>INDEX('Draft Engine'!$T$3:$T$232,$O74)</f>
        <v/>
      </c>
      <c r="O74" s="6">
        <f>MATCH($A74,'Draft Engine'!$Q$3:$Q$232,0)</f>
        <v/>
      </c>
    </row>
    <row r="75">
      <c r="A75">
        <f>73</f>
        <v/>
      </c>
      <c r="B75">
        <f>INDEX('Draft Engine'!$A$3:$A$232,$O75)</f>
        <v/>
      </c>
      <c r="C75">
        <f>INDEX('Draft Engine'!$F$3:$F$232,$O75)</f>
        <v/>
      </c>
      <c r="D75">
        <f>INDEX('Draft Engine'!$B$3:$B$232,$O75)</f>
        <v/>
      </c>
      <c r="E75" s="4">
        <f>INDEX('Draft Engine'!$N$3:$N$232,$O75)</f>
        <v/>
      </c>
      <c r="F75" s="4">
        <f>INDEX('Draft Engine'!$E$3:$E$232,$O75)</f>
        <v/>
      </c>
      <c r="G75" s="4">
        <f>INDEX('Draft Engine'!$G$3:$G$232,$O75)</f>
        <v/>
      </c>
      <c r="H75" s="4">
        <f>INDEX('Draft Engine'!$J$3:$J$232,$O75)</f>
        <v/>
      </c>
      <c r="I75" s="4">
        <f>INDEX('Draft Engine'!$L$3:$L$232,$O75)</f>
        <v/>
      </c>
      <c r="J75" s="4">
        <f>INDEX('Draft Engine'!$R$3:$R$232,$O75)</f>
        <v/>
      </c>
      <c r="K75" s="4">
        <f>INDEX('Draft Engine'!$S$3:$S$232,$O75)</f>
        <v/>
      </c>
      <c r="L75" s="4">
        <f>INDEX('Draft Engine'!$U$3:$U$232,$O75)</f>
        <v/>
      </c>
      <c r="M75" s="4">
        <f>INDEX('Draft Engine'!$W$3:$W$232,$O75)</f>
        <v/>
      </c>
      <c r="N75">
        <f>INDEX('Draft Engine'!$T$3:$T$232,$O75)</f>
        <v/>
      </c>
      <c r="O75" s="6">
        <f>MATCH($A75,'Draft Engine'!$Q$3:$Q$232,0)</f>
        <v/>
      </c>
    </row>
    <row r="76">
      <c r="A76">
        <f>74</f>
        <v/>
      </c>
      <c r="B76">
        <f>INDEX('Draft Engine'!$A$3:$A$232,$O76)</f>
        <v/>
      </c>
      <c r="C76">
        <f>INDEX('Draft Engine'!$F$3:$F$232,$O76)</f>
        <v/>
      </c>
      <c r="D76">
        <f>INDEX('Draft Engine'!$B$3:$B$232,$O76)</f>
        <v/>
      </c>
      <c r="E76" s="4">
        <f>INDEX('Draft Engine'!$N$3:$N$232,$O76)</f>
        <v/>
      </c>
      <c r="F76" s="4">
        <f>INDEX('Draft Engine'!$E$3:$E$232,$O76)</f>
        <v/>
      </c>
      <c r="G76" s="4">
        <f>INDEX('Draft Engine'!$G$3:$G$232,$O76)</f>
        <v/>
      </c>
      <c r="H76" s="4">
        <f>INDEX('Draft Engine'!$J$3:$J$232,$O76)</f>
        <v/>
      </c>
      <c r="I76" s="4">
        <f>INDEX('Draft Engine'!$L$3:$L$232,$O76)</f>
        <v/>
      </c>
      <c r="J76" s="4">
        <f>INDEX('Draft Engine'!$R$3:$R$232,$O76)</f>
        <v/>
      </c>
      <c r="K76" s="4">
        <f>INDEX('Draft Engine'!$S$3:$S$232,$O76)</f>
        <v/>
      </c>
      <c r="L76" s="4">
        <f>INDEX('Draft Engine'!$U$3:$U$232,$O76)</f>
        <v/>
      </c>
      <c r="M76" s="4">
        <f>INDEX('Draft Engine'!$W$3:$W$232,$O76)</f>
        <v/>
      </c>
      <c r="N76">
        <f>INDEX('Draft Engine'!$T$3:$T$232,$O76)</f>
        <v/>
      </c>
      <c r="O76" s="6">
        <f>MATCH($A76,'Draft Engine'!$Q$3:$Q$232,0)</f>
        <v/>
      </c>
    </row>
    <row r="77">
      <c r="A77">
        <f>75</f>
        <v/>
      </c>
      <c r="B77">
        <f>INDEX('Draft Engine'!$A$3:$A$232,$O77)</f>
        <v/>
      </c>
      <c r="C77">
        <f>INDEX('Draft Engine'!$F$3:$F$232,$O77)</f>
        <v/>
      </c>
      <c r="D77">
        <f>INDEX('Draft Engine'!$B$3:$B$232,$O77)</f>
        <v/>
      </c>
      <c r="E77" s="4">
        <f>INDEX('Draft Engine'!$N$3:$N$232,$O77)</f>
        <v/>
      </c>
      <c r="F77" s="4">
        <f>INDEX('Draft Engine'!$E$3:$E$232,$O77)</f>
        <v/>
      </c>
      <c r="G77" s="4">
        <f>INDEX('Draft Engine'!$G$3:$G$232,$O77)</f>
        <v/>
      </c>
      <c r="H77" s="4">
        <f>INDEX('Draft Engine'!$J$3:$J$232,$O77)</f>
        <v/>
      </c>
      <c r="I77" s="4">
        <f>INDEX('Draft Engine'!$L$3:$L$232,$O77)</f>
        <v/>
      </c>
      <c r="J77" s="4">
        <f>INDEX('Draft Engine'!$R$3:$R$232,$O77)</f>
        <v/>
      </c>
      <c r="K77" s="4">
        <f>INDEX('Draft Engine'!$S$3:$S$232,$O77)</f>
        <v/>
      </c>
      <c r="L77" s="4">
        <f>INDEX('Draft Engine'!$U$3:$U$232,$O77)</f>
        <v/>
      </c>
      <c r="M77" s="4">
        <f>INDEX('Draft Engine'!$W$3:$W$232,$O77)</f>
        <v/>
      </c>
      <c r="N77">
        <f>INDEX('Draft Engine'!$T$3:$T$232,$O77)</f>
        <v/>
      </c>
      <c r="O77" s="6">
        <f>MATCH($A77,'Draft Engine'!$Q$3:$Q$232,0)</f>
        <v/>
      </c>
    </row>
    <row r="78">
      <c r="A78">
        <f>76</f>
        <v/>
      </c>
      <c r="B78">
        <f>INDEX('Draft Engine'!$A$3:$A$232,$O78)</f>
        <v/>
      </c>
      <c r="C78">
        <f>INDEX('Draft Engine'!$F$3:$F$232,$O78)</f>
        <v/>
      </c>
      <c r="D78">
        <f>INDEX('Draft Engine'!$B$3:$B$232,$O78)</f>
        <v/>
      </c>
      <c r="E78" s="4">
        <f>INDEX('Draft Engine'!$N$3:$N$232,$O78)</f>
        <v/>
      </c>
      <c r="F78" s="4">
        <f>INDEX('Draft Engine'!$E$3:$E$232,$O78)</f>
        <v/>
      </c>
      <c r="G78" s="4">
        <f>INDEX('Draft Engine'!$G$3:$G$232,$O78)</f>
        <v/>
      </c>
      <c r="H78" s="4">
        <f>INDEX('Draft Engine'!$J$3:$J$232,$O78)</f>
        <v/>
      </c>
      <c r="I78" s="4">
        <f>INDEX('Draft Engine'!$L$3:$L$232,$O78)</f>
        <v/>
      </c>
      <c r="J78" s="4">
        <f>INDEX('Draft Engine'!$R$3:$R$232,$O78)</f>
        <v/>
      </c>
      <c r="K78" s="4">
        <f>INDEX('Draft Engine'!$S$3:$S$232,$O78)</f>
        <v/>
      </c>
      <c r="L78" s="4">
        <f>INDEX('Draft Engine'!$U$3:$U$232,$O78)</f>
        <v/>
      </c>
      <c r="M78" s="4">
        <f>INDEX('Draft Engine'!$W$3:$W$232,$O78)</f>
        <v/>
      </c>
      <c r="N78">
        <f>INDEX('Draft Engine'!$T$3:$T$232,$O78)</f>
        <v/>
      </c>
      <c r="O78" s="6">
        <f>MATCH($A78,'Draft Engine'!$Q$3:$Q$232,0)</f>
        <v/>
      </c>
    </row>
    <row r="79">
      <c r="A79">
        <f>77</f>
        <v/>
      </c>
      <c r="B79">
        <f>INDEX('Draft Engine'!$A$3:$A$232,$O79)</f>
        <v/>
      </c>
      <c r="C79">
        <f>INDEX('Draft Engine'!$F$3:$F$232,$O79)</f>
        <v/>
      </c>
      <c r="D79">
        <f>INDEX('Draft Engine'!$B$3:$B$232,$O79)</f>
        <v/>
      </c>
      <c r="E79" s="4">
        <f>INDEX('Draft Engine'!$N$3:$N$232,$O79)</f>
        <v/>
      </c>
      <c r="F79" s="4">
        <f>INDEX('Draft Engine'!$E$3:$E$232,$O79)</f>
        <v/>
      </c>
      <c r="G79" s="4">
        <f>INDEX('Draft Engine'!$G$3:$G$232,$O79)</f>
        <v/>
      </c>
      <c r="H79" s="4">
        <f>INDEX('Draft Engine'!$J$3:$J$232,$O79)</f>
        <v/>
      </c>
      <c r="I79" s="4">
        <f>INDEX('Draft Engine'!$L$3:$L$232,$O79)</f>
        <v/>
      </c>
      <c r="J79" s="4">
        <f>INDEX('Draft Engine'!$R$3:$R$232,$O79)</f>
        <v/>
      </c>
      <c r="K79" s="4">
        <f>INDEX('Draft Engine'!$S$3:$S$232,$O79)</f>
        <v/>
      </c>
      <c r="L79" s="4">
        <f>INDEX('Draft Engine'!$U$3:$U$232,$O79)</f>
        <v/>
      </c>
      <c r="M79" s="4">
        <f>INDEX('Draft Engine'!$W$3:$W$232,$O79)</f>
        <v/>
      </c>
      <c r="N79">
        <f>INDEX('Draft Engine'!$T$3:$T$232,$O79)</f>
        <v/>
      </c>
      <c r="O79" s="6">
        <f>MATCH($A79,'Draft Engine'!$Q$3:$Q$232,0)</f>
        <v/>
      </c>
    </row>
    <row r="80">
      <c r="A80">
        <f>78</f>
        <v/>
      </c>
      <c r="B80">
        <f>INDEX('Draft Engine'!$A$3:$A$232,$O80)</f>
        <v/>
      </c>
      <c r="C80">
        <f>INDEX('Draft Engine'!$F$3:$F$232,$O80)</f>
        <v/>
      </c>
      <c r="D80">
        <f>INDEX('Draft Engine'!$B$3:$B$232,$O80)</f>
        <v/>
      </c>
      <c r="E80" s="4">
        <f>INDEX('Draft Engine'!$N$3:$N$232,$O80)</f>
        <v/>
      </c>
      <c r="F80" s="4">
        <f>INDEX('Draft Engine'!$E$3:$E$232,$O80)</f>
        <v/>
      </c>
      <c r="G80" s="4">
        <f>INDEX('Draft Engine'!$G$3:$G$232,$O80)</f>
        <v/>
      </c>
      <c r="H80" s="4">
        <f>INDEX('Draft Engine'!$J$3:$J$232,$O80)</f>
        <v/>
      </c>
      <c r="I80" s="4">
        <f>INDEX('Draft Engine'!$L$3:$L$232,$O80)</f>
        <v/>
      </c>
      <c r="J80" s="4">
        <f>INDEX('Draft Engine'!$R$3:$R$232,$O80)</f>
        <v/>
      </c>
      <c r="K80" s="4">
        <f>INDEX('Draft Engine'!$S$3:$S$232,$O80)</f>
        <v/>
      </c>
      <c r="L80" s="4">
        <f>INDEX('Draft Engine'!$U$3:$U$232,$O80)</f>
        <v/>
      </c>
      <c r="M80" s="4">
        <f>INDEX('Draft Engine'!$W$3:$W$232,$O80)</f>
        <v/>
      </c>
      <c r="N80">
        <f>INDEX('Draft Engine'!$T$3:$T$232,$O80)</f>
        <v/>
      </c>
      <c r="O80" s="6">
        <f>MATCH($A80,'Draft Engine'!$Q$3:$Q$232,0)</f>
        <v/>
      </c>
    </row>
    <row r="81">
      <c r="A81">
        <f>79</f>
        <v/>
      </c>
      <c r="B81">
        <f>INDEX('Draft Engine'!$A$3:$A$232,$O81)</f>
        <v/>
      </c>
      <c r="C81">
        <f>INDEX('Draft Engine'!$F$3:$F$232,$O81)</f>
        <v/>
      </c>
      <c r="D81">
        <f>INDEX('Draft Engine'!$B$3:$B$232,$O81)</f>
        <v/>
      </c>
      <c r="E81" s="4">
        <f>INDEX('Draft Engine'!$N$3:$N$232,$O81)</f>
        <v/>
      </c>
      <c r="F81" s="4">
        <f>INDEX('Draft Engine'!$E$3:$E$232,$O81)</f>
        <v/>
      </c>
      <c r="G81" s="4">
        <f>INDEX('Draft Engine'!$G$3:$G$232,$O81)</f>
        <v/>
      </c>
      <c r="H81" s="4">
        <f>INDEX('Draft Engine'!$J$3:$J$232,$O81)</f>
        <v/>
      </c>
      <c r="I81" s="4">
        <f>INDEX('Draft Engine'!$L$3:$L$232,$O81)</f>
        <v/>
      </c>
      <c r="J81" s="4">
        <f>INDEX('Draft Engine'!$R$3:$R$232,$O81)</f>
        <v/>
      </c>
      <c r="K81" s="4">
        <f>INDEX('Draft Engine'!$S$3:$S$232,$O81)</f>
        <v/>
      </c>
      <c r="L81" s="4">
        <f>INDEX('Draft Engine'!$U$3:$U$232,$O81)</f>
        <v/>
      </c>
      <c r="M81" s="4">
        <f>INDEX('Draft Engine'!$W$3:$W$232,$O81)</f>
        <v/>
      </c>
      <c r="N81">
        <f>INDEX('Draft Engine'!$T$3:$T$232,$O81)</f>
        <v/>
      </c>
      <c r="O81" s="6">
        <f>MATCH($A81,'Draft Engine'!$Q$3:$Q$232,0)</f>
        <v/>
      </c>
    </row>
    <row r="82">
      <c r="A82">
        <f>80</f>
        <v/>
      </c>
      <c r="B82">
        <f>INDEX('Draft Engine'!$A$3:$A$232,$O82)</f>
        <v/>
      </c>
      <c r="C82">
        <f>INDEX('Draft Engine'!$F$3:$F$232,$O82)</f>
        <v/>
      </c>
      <c r="D82">
        <f>INDEX('Draft Engine'!$B$3:$B$232,$O82)</f>
        <v/>
      </c>
      <c r="E82" s="4">
        <f>INDEX('Draft Engine'!$N$3:$N$232,$O82)</f>
        <v/>
      </c>
      <c r="F82" s="4">
        <f>INDEX('Draft Engine'!$E$3:$E$232,$O82)</f>
        <v/>
      </c>
      <c r="G82" s="4">
        <f>INDEX('Draft Engine'!$G$3:$G$232,$O82)</f>
        <v/>
      </c>
      <c r="H82" s="4">
        <f>INDEX('Draft Engine'!$J$3:$J$232,$O82)</f>
        <v/>
      </c>
      <c r="I82" s="4">
        <f>INDEX('Draft Engine'!$L$3:$L$232,$O82)</f>
        <v/>
      </c>
      <c r="J82" s="4">
        <f>INDEX('Draft Engine'!$R$3:$R$232,$O82)</f>
        <v/>
      </c>
      <c r="K82" s="4">
        <f>INDEX('Draft Engine'!$S$3:$S$232,$O82)</f>
        <v/>
      </c>
      <c r="L82" s="4">
        <f>INDEX('Draft Engine'!$U$3:$U$232,$O82)</f>
        <v/>
      </c>
      <c r="M82" s="4">
        <f>INDEX('Draft Engine'!$W$3:$W$232,$O82)</f>
        <v/>
      </c>
      <c r="N82">
        <f>INDEX('Draft Engine'!$T$3:$T$232,$O82)</f>
        <v/>
      </c>
      <c r="O82" s="6">
        <f>MATCH($A82,'Draft Engine'!$Q$3:$Q$232,0)</f>
        <v/>
      </c>
    </row>
    <row r="83">
      <c r="A83">
        <f>81</f>
        <v/>
      </c>
      <c r="B83">
        <f>INDEX('Draft Engine'!$A$3:$A$232,$O83)</f>
        <v/>
      </c>
      <c r="C83">
        <f>INDEX('Draft Engine'!$F$3:$F$232,$O83)</f>
        <v/>
      </c>
      <c r="D83">
        <f>INDEX('Draft Engine'!$B$3:$B$232,$O83)</f>
        <v/>
      </c>
      <c r="E83" s="4">
        <f>INDEX('Draft Engine'!$N$3:$N$232,$O83)</f>
        <v/>
      </c>
      <c r="F83" s="4">
        <f>INDEX('Draft Engine'!$E$3:$E$232,$O83)</f>
        <v/>
      </c>
      <c r="G83" s="4">
        <f>INDEX('Draft Engine'!$G$3:$G$232,$O83)</f>
        <v/>
      </c>
      <c r="H83" s="4">
        <f>INDEX('Draft Engine'!$J$3:$J$232,$O83)</f>
        <v/>
      </c>
      <c r="I83" s="4">
        <f>INDEX('Draft Engine'!$L$3:$L$232,$O83)</f>
        <v/>
      </c>
      <c r="J83" s="4">
        <f>INDEX('Draft Engine'!$R$3:$R$232,$O83)</f>
        <v/>
      </c>
      <c r="K83" s="4">
        <f>INDEX('Draft Engine'!$S$3:$S$232,$O83)</f>
        <v/>
      </c>
      <c r="L83" s="4">
        <f>INDEX('Draft Engine'!$U$3:$U$232,$O83)</f>
        <v/>
      </c>
      <c r="M83" s="4">
        <f>INDEX('Draft Engine'!$W$3:$W$232,$O83)</f>
        <v/>
      </c>
      <c r="N83">
        <f>INDEX('Draft Engine'!$T$3:$T$232,$O83)</f>
        <v/>
      </c>
      <c r="O83" s="6">
        <f>MATCH($A83,'Draft Engine'!$Q$3:$Q$232,0)</f>
        <v/>
      </c>
    </row>
    <row r="84">
      <c r="A84">
        <f>82</f>
        <v/>
      </c>
      <c r="B84">
        <f>INDEX('Draft Engine'!$A$3:$A$232,$O84)</f>
        <v/>
      </c>
      <c r="C84">
        <f>INDEX('Draft Engine'!$F$3:$F$232,$O84)</f>
        <v/>
      </c>
      <c r="D84">
        <f>INDEX('Draft Engine'!$B$3:$B$232,$O84)</f>
        <v/>
      </c>
      <c r="E84" s="4">
        <f>INDEX('Draft Engine'!$N$3:$N$232,$O84)</f>
        <v/>
      </c>
      <c r="F84" s="4">
        <f>INDEX('Draft Engine'!$E$3:$E$232,$O84)</f>
        <v/>
      </c>
      <c r="G84" s="4">
        <f>INDEX('Draft Engine'!$G$3:$G$232,$O84)</f>
        <v/>
      </c>
      <c r="H84" s="4">
        <f>INDEX('Draft Engine'!$J$3:$J$232,$O84)</f>
        <v/>
      </c>
      <c r="I84" s="4">
        <f>INDEX('Draft Engine'!$L$3:$L$232,$O84)</f>
        <v/>
      </c>
      <c r="J84" s="4">
        <f>INDEX('Draft Engine'!$R$3:$R$232,$O84)</f>
        <v/>
      </c>
      <c r="K84" s="4">
        <f>INDEX('Draft Engine'!$S$3:$S$232,$O84)</f>
        <v/>
      </c>
      <c r="L84" s="4">
        <f>INDEX('Draft Engine'!$U$3:$U$232,$O84)</f>
        <v/>
      </c>
      <c r="M84" s="4">
        <f>INDEX('Draft Engine'!$W$3:$W$232,$O84)</f>
        <v/>
      </c>
      <c r="N84">
        <f>INDEX('Draft Engine'!$T$3:$T$232,$O84)</f>
        <v/>
      </c>
      <c r="O84" s="6">
        <f>MATCH($A84,'Draft Engine'!$Q$3:$Q$232,0)</f>
        <v/>
      </c>
    </row>
    <row r="85">
      <c r="A85">
        <f>83</f>
        <v/>
      </c>
      <c r="B85">
        <f>INDEX('Draft Engine'!$A$3:$A$232,$O85)</f>
        <v/>
      </c>
      <c r="C85">
        <f>INDEX('Draft Engine'!$F$3:$F$232,$O85)</f>
        <v/>
      </c>
      <c r="D85">
        <f>INDEX('Draft Engine'!$B$3:$B$232,$O85)</f>
        <v/>
      </c>
      <c r="E85" s="4">
        <f>INDEX('Draft Engine'!$N$3:$N$232,$O85)</f>
        <v/>
      </c>
      <c r="F85" s="4">
        <f>INDEX('Draft Engine'!$E$3:$E$232,$O85)</f>
        <v/>
      </c>
      <c r="G85" s="4">
        <f>INDEX('Draft Engine'!$G$3:$G$232,$O85)</f>
        <v/>
      </c>
      <c r="H85" s="4">
        <f>INDEX('Draft Engine'!$J$3:$J$232,$O85)</f>
        <v/>
      </c>
      <c r="I85" s="4">
        <f>INDEX('Draft Engine'!$L$3:$L$232,$O85)</f>
        <v/>
      </c>
      <c r="J85" s="4">
        <f>INDEX('Draft Engine'!$R$3:$R$232,$O85)</f>
        <v/>
      </c>
      <c r="K85" s="4">
        <f>INDEX('Draft Engine'!$S$3:$S$232,$O85)</f>
        <v/>
      </c>
      <c r="L85" s="4">
        <f>INDEX('Draft Engine'!$U$3:$U$232,$O85)</f>
        <v/>
      </c>
      <c r="M85" s="4">
        <f>INDEX('Draft Engine'!$W$3:$W$232,$O85)</f>
        <v/>
      </c>
      <c r="N85">
        <f>INDEX('Draft Engine'!$T$3:$T$232,$O85)</f>
        <v/>
      </c>
      <c r="O85" s="6">
        <f>MATCH($A85,'Draft Engine'!$Q$3:$Q$232,0)</f>
        <v/>
      </c>
    </row>
    <row r="86">
      <c r="A86">
        <f>84</f>
        <v/>
      </c>
      <c r="B86">
        <f>INDEX('Draft Engine'!$A$3:$A$232,$O86)</f>
        <v/>
      </c>
      <c r="C86">
        <f>INDEX('Draft Engine'!$F$3:$F$232,$O86)</f>
        <v/>
      </c>
      <c r="D86">
        <f>INDEX('Draft Engine'!$B$3:$B$232,$O86)</f>
        <v/>
      </c>
      <c r="E86" s="4">
        <f>INDEX('Draft Engine'!$N$3:$N$232,$O86)</f>
        <v/>
      </c>
      <c r="F86" s="4">
        <f>INDEX('Draft Engine'!$E$3:$E$232,$O86)</f>
        <v/>
      </c>
      <c r="G86" s="4">
        <f>INDEX('Draft Engine'!$G$3:$G$232,$O86)</f>
        <v/>
      </c>
      <c r="H86" s="4">
        <f>INDEX('Draft Engine'!$J$3:$J$232,$O86)</f>
        <v/>
      </c>
      <c r="I86" s="4">
        <f>INDEX('Draft Engine'!$L$3:$L$232,$O86)</f>
        <v/>
      </c>
      <c r="J86" s="4">
        <f>INDEX('Draft Engine'!$R$3:$R$232,$O86)</f>
        <v/>
      </c>
      <c r="K86" s="4">
        <f>INDEX('Draft Engine'!$S$3:$S$232,$O86)</f>
        <v/>
      </c>
      <c r="L86" s="4">
        <f>INDEX('Draft Engine'!$U$3:$U$232,$O86)</f>
        <v/>
      </c>
      <c r="M86" s="4">
        <f>INDEX('Draft Engine'!$W$3:$W$232,$O86)</f>
        <v/>
      </c>
      <c r="N86">
        <f>INDEX('Draft Engine'!$T$3:$T$232,$O86)</f>
        <v/>
      </c>
      <c r="O86" s="6">
        <f>MATCH($A86,'Draft Engine'!$Q$3:$Q$232,0)</f>
        <v/>
      </c>
    </row>
    <row r="87">
      <c r="A87">
        <f>85</f>
        <v/>
      </c>
      <c r="B87">
        <f>INDEX('Draft Engine'!$A$3:$A$232,$O87)</f>
        <v/>
      </c>
      <c r="C87">
        <f>INDEX('Draft Engine'!$F$3:$F$232,$O87)</f>
        <v/>
      </c>
      <c r="D87">
        <f>INDEX('Draft Engine'!$B$3:$B$232,$O87)</f>
        <v/>
      </c>
      <c r="E87" s="4">
        <f>INDEX('Draft Engine'!$N$3:$N$232,$O87)</f>
        <v/>
      </c>
      <c r="F87" s="4">
        <f>INDEX('Draft Engine'!$E$3:$E$232,$O87)</f>
        <v/>
      </c>
      <c r="G87" s="4">
        <f>INDEX('Draft Engine'!$G$3:$G$232,$O87)</f>
        <v/>
      </c>
      <c r="H87" s="4">
        <f>INDEX('Draft Engine'!$J$3:$J$232,$O87)</f>
        <v/>
      </c>
      <c r="I87" s="4">
        <f>INDEX('Draft Engine'!$L$3:$L$232,$O87)</f>
        <v/>
      </c>
      <c r="J87" s="4">
        <f>INDEX('Draft Engine'!$R$3:$R$232,$O87)</f>
        <v/>
      </c>
      <c r="K87" s="4">
        <f>INDEX('Draft Engine'!$S$3:$S$232,$O87)</f>
        <v/>
      </c>
      <c r="L87" s="4">
        <f>INDEX('Draft Engine'!$U$3:$U$232,$O87)</f>
        <v/>
      </c>
      <c r="M87" s="4">
        <f>INDEX('Draft Engine'!$W$3:$W$232,$O87)</f>
        <v/>
      </c>
      <c r="N87">
        <f>INDEX('Draft Engine'!$T$3:$T$232,$O87)</f>
        <v/>
      </c>
      <c r="O87" s="6">
        <f>MATCH($A87,'Draft Engine'!$Q$3:$Q$232,0)</f>
        <v/>
      </c>
    </row>
    <row r="88">
      <c r="A88">
        <f>86</f>
        <v/>
      </c>
      <c r="B88">
        <f>INDEX('Draft Engine'!$A$3:$A$232,$O88)</f>
        <v/>
      </c>
      <c r="C88">
        <f>INDEX('Draft Engine'!$F$3:$F$232,$O88)</f>
        <v/>
      </c>
      <c r="D88">
        <f>INDEX('Draft Engine'!$B$3:$B$232,$O88)</f>
        <v/>
      </c>
      <c r="E88" s="4">
        <f>INDEX('Draft Engine'!$N$3:$N$232,$O88)</f>
        <v/>
      </c>
      <c r="F88" s="4">
        <f>INDEX('Draft Engine'!$E$3:$E$232,$O88)</f>
        <v/>
      </c>
      <c r="G88" s="4">
        <f>INDEX('Draft Engine'!$G$3:$G$232,$O88)</f>
        <v/>
      </c>
      <c r="H88" s="4">
        <f>INDEX('Draft Engine'!$J$3:$J$232,$O88)</f>
        <v/>
      </c>
      <c r="I88" s="4">
        <f>INDEX('Draft Engine'!$L$3:$L$232,$O88)</f>
        <v/>
      </c>
      <c r="J88" s="4">
        <f>INDEX('Draft Engine'!$R$3:$R$232,$O88)</f>
        <v/>
      </c>
      <c r="K88" s="4">
        <f>INDEX('Draft Engine'!$S$3:$S$232,$O88)</f>
        <v/>
      </c>
      <c r="L88" s="4">
        <f>INDEX('Draft Engine'!$U$3:$U$232,$O88)</f>
        <v/>
      </c>
      <c r="M88" s="4">
        <f>INDEX('Draft Engine'!$W$3:$W$232,$O88)</f>
        <v/>
      </c>
      <c r="N88">
        <f>INDEX('Draft Engine'!$T$3:$T$232,$O88)</f>
        <v/>
      </c>
      <c r="O88" s="6">
        <f>MATCH($A88,'Draft Engine'!$Q$3:$Q$232,0)</f>
        <v/>
      </c>
    </row>
    <row r="89">
      <c r="A89">
        <f>87</f>
        <v/>
      </c>
      <c r="B89">
        <f>INDEX('Draft Engine'!$A$3:$A$232,$O89)</f>
        <v/>
      </c>
      <c r="C89">
        <f>INDEX('Draft Engine'!$F$3:$F$232,$O89)</f>
        <v/>
      </c>
      <c r="D89">
        <f>INDEX('Draft Engine'!$B$3:$B$232,$O89)</f>
        <v/>
      </c>
      <c r="E89" s="4">
        <f>INDEX('Draft Engine'!$N$3:$N$232,$O89)</f>
        <v/>
      </c>
      <c r="F89" s="4">
        <f>INDEX('Draft Engine'!$E$3:$E$232,$O89)</f>
        <v/>
      </c>
      <c r="G89" s="4">
        <f>INDEX('Draft Engine'!$G$3:$G$232,$O89)</f>
        <v/>
      </c>
      <c r="H89" s="4">
        <f>INDEX('Draft Engine'!$J$3:$J$232,$O89)</f>
        <v/>
      </c>
      <c r="I89" s="4">
        <f>INDEX('Draft Engine'!$L$3:$L$232,$O89)</f>
        <v/>
      </c>
      <c r="J89" s="4">
        <f>INDEX('Draft Engine'!$R$3:$R$232,$O89)</f>
        <v/>
      </c>
      <c r="K89" s="4">
        <f>INDEX('Draft Engine'!$S$3:$S$232,$O89)</f>
        <v/>
      </c>
      <c r="L89" s="4">
        <f>INDEX('Draft Engine'!$U$3:$U$232,$O89)</f>
        <v/>
      </c>
      <c r="M89" s="4">
        <f>INDEX('Draft Engine'!$W$3:$W$232,$O89)</f>
        <v/>
      </c>
      <c r="N89">
        <f>INDEX('Draft Engine'!$T$3:$T$232,$O89)</f>
        <v/>
      </c>
      <c r="O89" s="6">
        <f>MATCH($A89,'Draft Engine'!$Q$3:$Q$232,0)</f>
        <v/>
      </c>
    </row>
    <row r="90">
      <c r="A90">
        <f>88</f>
        <v/>
      </c>
      <c r="B90">
        <f>INDEX('Draft Engine'!$A$3:$A$232,$O90)</f>
        <v/>
      </c>
      <c r="C90">
        <f>INDEX('Draft Engine'!$F$3:$F$232,$O90)</f>
        <v/>
      </c>
      <c r="D90">
        <f>INDEX('Draft Engine'!$B$3:$B$232,$O90)</f>
        <v/>
      </c>
      <c r="E90" s="4">
        <f>INDEX('Draft Engine'!$N$3:$N$232,$O90)</f>
        <v/>
      </c>
      <c r="F90" s="4">
        <f>INDEX('Draft Engine'!$E$3:$E$232,$O90)</f>
        <v/>
      </c>
      <c r="G90" s="4">
        <f>INDEX('Draft Engine'!$G$3:$G$232,$O90)</f>
        <v/>
      </c>
      <c r="H90" s="4">
        <f>INDEX('Draft Engine'!$J$3:$J$232,$O90)</f>
        <v/>
      </c>
      <c r="I90" s="4">
        <f>INDEX('Draft Engine'!$L$3:$L$232,$O90)</f>
        <v/>
      </c>
      <c r="J90" s="4">
        <f>INDEX('Draft Engine'!$R$3:$R$232,$O90)</f>
        <v/>
      </c>
      <c r="K90" s="4">
        <f>INDEX('Draft Engine'!$S$3:$S$232,$O90)</f>
        <v/>
      </c>
      <c r="L90" s="4">
        <f>INDEX('Draft Engine'!$U$3:$U$232,$O90)</f>
        <v/>
      </c>
      <c r="M90" s="4">
        <f>INDEX('Draft Engine'!$W$3:$W$232,$O90)</f>
        <v/>
      </c>
      <c r="N90">
        <f>INDEX('Draft Engine'!$T$3:$T$232,$O90)</f>
        <v/>
      </c>
      <c r="O90" s="6">
        <f>MATCH($A90,'Draft Engine'!$Q$3:$Q$232,0)</f>
        <v/>
      </c>
    </row>
    <row r="91">
      <c r="A91">
        <f>89</f>
        <v/>
      </c>
      <c r="B91">
        <f>INDEX('Draft Engine'!$A$3:$A$232,$O91)</f>
        <v/>
      </c>
      <c r="C91">
        <f>INDEX('Draft Engine'!$F$3:$F$232,$O91)</f>
        <v/>
      </c>
      <c r="D91">
        <f>INDEX('Draft Engine'!$B$3:$B$232,$O91)</f>
        <v/>
      </c>
      <c r="E91" s="4">
        <f>INDEX('Draft Engine'!$N$3:$N$232,$O91)</f>
        <v/>
      </c>
      <c r="F91" s="4">
        <f>INDEX('Draft Engine'!$E$3:$E$232,$O91)</f>
        <v/>
      </c>
      <c r="G91" s="4">
        <f>INDEX('Draft Engine'!$G$3:$G$232,$O91)</f>
        <v/>
      </c>
      <c r="H91" s="4">
        <f>INDEX('Draft Engine'!$J$3:$J$232,$O91)</f>
        <v/>
      </c>
      <c r="I91" s="4">
        <f>INDEX('Draft Engine'!$L$3:$L$232,$O91)</f>
        <v/>
      </c>
      <c r="J91" s="4">
        <f>INDEX('Draft Engine'!$R$3:$R$232,$O91)</f>
        <v/>
      </c>
      <c r="K91" s="4">
        <f>INDEX('Draft Engine'!$S$3:$S$232,$O91)</f>
        <v/>
      </c>
      <c r="L91" s="4">
        <f>INDEX('Draft Engine'!$U$3:$U$232,$O91)</f>
        <v/>
      </c>
      <c r="M91" s="4">
        <f>INDEX('Draft Engine'!$W$3:$W$232,$O91)</f>
        <v/>
      </c>
      <c r="N91">
        <f>INDEX('Draft Engine'!$T$3:$T$232,$O91)</f>
        <v/>
      </c>
      <c r="O91" s="6">
        <f>MATCH($A91,'Draft Engine'!$Q$3:$Q$232,0)</f>
        <v/>
      </c>
    </row>
    <row r="92">
      <c r="A92">
        <f>90</f>
        <v/>
      </c>
      <c r="B92">
        <f>INDEX('Draft Engine'!$A$3:$A$232,$O92)</f>
        <v/>
      </c>
      <c r="C92">
        <f>INDEX('Draft Engine'!$F$3:$F$232,$O92)</f>
        <v/>
      </c>
      <c r="D92">
        <f>INDEX('Draft Engine'!$B$3:$B$232,$O92)</f>
        <v/>
      </c>
      <c r="E92" s="4">
        <f>INDEX('Draft Engine'!$N$3:$N$232,$O92)</f>
        <v/>
      </c>
      <c r="F92" s="4">
        <f>INDEX('Draft Engine'!$E$3:$E$232,$O92)</f>
        <v/>
      </c>
      <c r="G92" s="4">
        <f>INDEX('Draft Engine'!$G$3:$G$232,$O92)</f>
        <v/>
      </c>
      <c r="H92" s="4">
        <f>INDEX('Draft Engine'!$J$3:$J$232,$O92)</f>
        <v/>
      </c>
      <c r="I92" s="4">
        <f>INDEX('Draft Engine'!$L$3:$L$232,$O92)</f>
        <v/>
      </c>
      <c r="J92" s="4">
        <f>INDEX('Draft Engine'!$R$3:$R$232,$O92)</f>
        <v/>
      </c>
      <c r="K92" s="4">
        <f>INDEX('Draft Engine'!$S$3:$S$232,$O92)</f>
        <v/>
      </c>
      <c r="L92" s="4">
        <f>INDEX('Draft Engine'!$U$3:$U$232,$O92)</f>
        <v/>
      </c>
      <c r="M92" s="4">
        <f>INDEX('Draft Engine'!$W$3:$W$232,$O92)</f>
        <v/>
      </c>
      <c r="N92">
        <f>INDEX('Draft Engine'!$T$3:$T$232,$O92)</f>
        <v/>
      </c>
      <c r="O92" s="6">
        <f>MATCH($A92,'Draft Engine'!$Q$3:$Q$232,0)</f>
        <v/>
      </c>
    </row>
    <row r="93">
      <c r="A93">
        <f>91</f>
        <v/>
      </c>
      <c r="B93">
        <f>INDEX('Draft Engine'!$A$3:$A$232,$O93)</f>
        <v/>
      </c>
      <c r="C93">
        <f>INDEX('Draft Engine'!$F$3:$F$232,$O93)</f>
        <v/>
      </c>
      <c r="D93">
        <f>INDEX('Draft Engine'!$B$3:$B$232,$O93)</f>
        <v/>
      </c>
      <c r="E93" s="4">
        <f>INDEX('Draft Engine'!$N$3:$N$232,$O93)</f>
        <v/>
      </c>
      <c r="F93" s="4">
        <f>INDEX('Draft Engine'!$E$3:$E$232,$O93)</f>
        <v/>
      </c>
      <c r="G93" s="4">
        <f>INDEX('Draft Engine'!$G$3:$G$232,$O93)</f>
        <v/>
      </c>
      <c r="H93" s="4">
        <f>INDEX('Draft Engine'!$J$3:$J$232,$O93)</f>
        <v/>
      </c>
      <c r="I93" s="4">
        <f>INDEX('Draft Engine'!$L$3:$L$232,$O93)</f>
        <v/>
      </c>
      <c r="J93" s="4">
        <f>INDEX('Draft Engine'!$R$3:$R$232,$O93)</f>
        <v/>
      </c>
      <c r="K93" s="4">
        <f>INDEX('Draft Engine'!$S$3:$S$232,$O93)</f>
        <v/>
      </c>
      <c r="L93" s="4">
        <f>INDEX('Draft Engine'!$U$3:$U$232,$O93)</f>
        <v/>
      </c>
      <c r="M93" s="4">
        <f>INDEX('Draft Engine'!$W$3:$W$232,$O93)</f>
        <v/>
      </c>
      <c r="N93">
        <f>INDEX('Draft Engine'!$T$3:$T$232,$O93)</f>
        <v/>
      </c>
      <c r="O93" s="6">
        <f>MATCH($A93,'Draft Engine'!$Q$3:$Q$232,0)</f>
        <v/>
      </c>
    </row>
    <row r="94">
      <c r="A94">
        <f>92</f>
        <v/>
      </c>
      <c r="B94">
        <f>INDEX('Draft Engine'!$A$3:$A$232,$O94)</f>
        <v/>
      </c>
      <c r="C94">
        <f>INDEX('Draft Engine'!$F$3:$F$232,$O94)</f>
        <v/>
      </c>
      <c r="D94">
        <f>INDEX('Draft Engine'!$B$3:$B$232,$O94)</f>
        <v/>
      </c>
      <c r="E94" s="4">
        <f>INDEX('Draft Engine'!$N$3:$N$232,$O94)</f>
        <v/>
      </c>
      <c r="F94" s="4">
        <f>INDEX('Draft Engine'!$E$3:$E$232,$O94)</f>
        <v/>
      </c>
      <c r="G94" s="4">
        <f>INDEX('Draft Engine'!$G$3:$G$232,$O94)</f>
        <v/>
      </c>
      <c r="H94" s="4">
        <f>INDEX('Draft Engine'!$J$3:$J$232,$O94)</f>
        <v/>
      </c>
      <c r="I94" s="4">
        <f>INDEX('Draft Engine'!$L$3:$L$232,$O94)</f>
        <v/>
      </c>
      <c r="J94" s="4">
        <f>INDEX('Draft Engine'!$R$3:$R$232,$O94)</f>
        <v/>
      </c>
      <c r="K94" s="4">
        <f>INDEX('Draft Engine'!$S$3:$S$232,$O94)</f>
        <v/>
      </c>
      <c r="L94" s="4">
        <f>INDEX('Draft Engine'!$U$3:$U$232,$O94)</f>
        <v/>
      </c>
      <c r="M94" s="4">
        <f>INDEX('Draft Engine'!$W$3:$W$232,$O94)</f>
        <v/>
      </c>
      <c r="N94">
        <f>INDEX('Draft Engine'!$T$3:$T$232,$O94)</f>
        <v/>
      </c>
      <c r="O94" s="6">
        <f>MATCH($A94,'Draft Engine'!$Q$3:$Q$232,0)</f>
        <v/>
      </c>
    </row>
    <row r="95">
      <c r="A95">
        <f>93</f>
        <v/>
      </c>
      <c r="B95">
        <f>INDEX('Draft Engine'!$A$3:$A$232,$O95)</f>
        <v/>
      </c>
      <c r="C95">
        <f>INDEX('Draft Engine'!$F$3:$F$232,$O95)</f>
        <v/>
      </c>
      <c r="D95">
        <f>INDEX('Draft Engine'!$B$3:$B$232,$O95)</f>
        <v/>
      </c>
      <c r="E95" s="4">
        <f>INDEX('Draft Engine'!$N$3:$N$232,$O95)</f>
        <v/>
      </c>
      <c r="F95" s="4">
        <f>INDEX('Draft Engine'!$E$3:$E$232,$O95)</f>
        <v/>
      </c>
      <c r="G95" s="4">
        <f>INDEX('Draft Engine'!$G$3:$G$232,$O95)</f>
        <v/>
      </c>
      <c r="H95" s="4">
        <f>INDEX('Draft Engine'!$J$3:$J$232,$O95)</f>
        <v/>
      </c>
      <c r="I95" s="4">
        <f>INDEX('Draft Engine'!$L$3:$L$232,$O95)</f>
        <v/>
      </c>
      <c r="J95" s="4">
        <f>INDEX('Draft Engine'!$R$3:$R$232,$O95)</f>
        <v/>
      </c>
      <c r="K95" s="4">
        <f>INDEX('Draft Engine'!$S$3:$S$232,$O95)</f>
        <v/>
      </c>
      <c r="L95" s="4">
        <f>INDEX('Draft Engine'!$U$3:$U$232,$O95)</f>
        <v/>
      </c>
      <c r="M95" s="4">
        <f>INDEX('Draft Engine'!$W$3:$W$232,$O95)</f>
        <v/>
      </c>
      <c r="N95">
        <f>INDEX('Draft Engine'!$T$3:$T$232,$O95)</f>
        <v/>
      </c>
      <c r="O95" s="6">
        <f>MATCH($A95,'Draft Engine'!$Q$3:$Q$232,0)</f>
        <v/>
      </c>
    </row>
    <row r="96">
      <c r="A96">
        <f>94</f>
        <v/>
      </c>
      <c r="B96">
        <f>INDEX('Draft Engine'!$A$3:$A$232,$O96)</f>
        <v/>
      </c>
      <c r="C96">
        <f>INDEX('Draft Engine'!$F$3:$F$232,$O96)</f>
        <v/>
      </c>
      <c r="D96">
        <f>INDEX('Draft Engine'!$B$3:$B$232,$O96)</f>
        <v/>
      </c>
      <c r="E96" s="4">
        <f>INDEX('Draft Engine'!$N$3:$N$232,$O96)</f>
        <v/>
      </c>
      <c r="F96" s="4">
        <f>INDEX('Draft Engine'!$E$3:$E$232,$O96)</f>
        <v/>
      </c>
      <c r="G96" s="4">
        <f>INDEX('Draft Engine'!$G$3:$G$232,$O96)</f>
        <v/>
      </c>
      <c r="H96" s="4">
        <f>INDEX('Draft Engine'!$J$3:$J$232,$O96)</f>
        <v/>
      </c>
      <c r="I96" s="4">
        <f>INDEX('Draft Engine'!$L$3:$L$232,$O96)</f>
        <v/>
      </c>
      <c r="J96" s="4">
        <f>INDEX('Draft Engine'!$R$3:$R$232,$O96)</f>
        <v/>
      </c>
      <c r="K96" s="4">
        <f>INDEX('Draft Engine'!$S$3:$S$232,$O96)</f>
        <v/>
      </c>
      <c r="L96" s="4">
        <f>INDEX('Draft Engine'!$U$3:$U$232,$O96)</f>
        <v/>
      </c>
      <c r="M96" s="4">
        <f>INDEX('Draft Engine'!$W$3:$W$232,$O96)</f>
        <v/>
      </c>
      <c r="N96">
        <f>INDEX('Draft Engine'!$T$3:$T$232,$O96)</f>
        <v/>
      </c>
      <c r="O96" s="6">
        <f>MATCH($A96,'Draft Engine'!$Q$3:$Q$232,0)</f>
        <v/>
      </c>
    </row>
    <row r="97">
      <c r="A97">
        <f>95</f>
        <v/>
      </c>
      <c r="B97">
        <f>INDEX('Draft Engine'!$A$3:$A$232,$O97)</f>
        <v/>
      </c>
      <c r="C97">
        <f>INDEX('Draft Engine'!$F$3:$F$232,$O97)</f>
        <v/>
      </c>
      <c r="D97">
        <f>INDEX('Draft Engine'!$B$3:$B$232,$O97)</f>
        <v/>
      </c>
      <c r="E97" s="4">
        <f>INDEX('Draft Engine'!$N$3:$N$232,$O97)</f>
        <v/>
      </c>
      <c r="F97" s="4">
        <f>INDEX('Draft Engine'!$E$3:$E$232,$O97)</f>
        <v/>
      </c>
      <c r="G97" s="4">
        <f>INDEX('Draft Engine'!$G$3:$G$232,$O97)</f>
        <v/>
      </c>
      <c r="H97" s="4">
        <f>INDEX('Draft Engine'!$J$3:$J$232,$O97)</f>
        <v/>
      </c>
      <c r="I97" s="4">
        <f>INDEX('Draft Engine'!$L$3:$L$232,$O97)</f>
        <v/>
      </c>
      <c r="J97" s="4">
        <f>INDEX('Draft Engine'!$R$3:$R$232,$O97)</f>
        <v/>
      </c>
      <c r="K97" s="4">
        <f>INDEX('Draft Engine'!$S$3:$S$232,$O97)</f>
        <v/>
      </c>
      <c r="L97" s="4">
        <f>INDEX('Draft Engine'!$U$3:$U$232,$O97)</f>
        <v/>
      </c>
      <c r="M97" s="4">
        <f>INDEX('Draft Engine'!$W$3:$W$232,$O97)</f>
        <v/>
      </c>
      <c r="N97">
        <f>INDEX('Draft Engine'!$T$3:$T$232,$O97)</f>
        <v/>
      </c>
      <c r="O97" s="6">
        <f>MATCH($A97,'Draft Engine'!$Q$3:$Q$232,0)</f>
        <v/>
      </c>
    </row>
    <row r="98">
      <c r="A98">
        <f>96</f>
        <v/>
      </c>
      <c r="B98">
        <f>INDEX('Draft Engine'!$A$3:$A$232,$O98)</f>
        <v/>
      </c>
      <c r="C98">
        <f>INDEX('Draft Engine'!$F$3:$F$232,$O98)</f>
        <v/>
      </c>
      <c r="D98">
        <f>INDEX('Draft Engine'!$B$3:$B$232,$O98)</f>
        <v/>
      </c>
      <c r="E98" s="4">
        <f>INDEX('Draft Engine'!$N$3:$N$232,$O98)</f>
        <v/>
      </c>
      <c r="F98" s="4">
        <f>INDEX('Draft Engine'!$E$3:$E$232,$O98)</f>
        <v/>
      </c>
      <c r="G98" s="4">
        <f>INDEX('Draft Engine'!$G$3:$G$232,$O98)</f>
        <v/>
      </c>
      <c r="H98" s="4">
        <f>INDEX('Draft Engine'!$J$3:$J$232,$O98)</f>
        <v/>
      </c>
      <c r="I98" s="4">
        <f>INDEX('Draft Engine'!$L$3:$L$232,$O98)</f>
        <v/>
      </c>
      <c r="J98" s="4">
        <f>INDEX('Draft Engine'!$R$3:$R$232,$O98)</f>
        <v/>
      </c>
      <c r="K98" s="4">
        <f>INDEX('Draft Engine'!$S$3:$S$232,$O98)</f>
        <v/>
      </c>
      <c r="L98" s="4">
        <f>INDEX('Draft Engine'!$U$3:$U$232,$O98)</f>
        <v/>
      </c>
      <c r="M98" s="4">
        <f>INDEX('Draft Engine'!$W$3:$W$232,$O98)</f>
        <v/>
      </c>
      <c r="N98">
        <f>INDEX('Draft Engine'!$T$3:$T$232,$O98)</f>
        <v/>
      </c>
      <c r="O98" s="6">
        <f>MATCH($A98,'Draft Engine'!$Q$3:$Q$232,0)</f>
        <v/>
      </c>
    </row>
    <row r="99">
      <c r="A99">
        <f>97</f>
        <v/>
      </c>
      <c r="B99">
        <f>INDEX('Draft Engine'!$A$3:$A$232,$O99)</f>
        <v/>
      </c>
      <c r="C99">
        <f>INDEX('Draft Engine'!$F$3:$F$232,$O99)</f>
        <v/>
      </c>
      <c r="D99">
        <f>INDEX('Draft Engine'!$B$3:$B$232,$O99)</f>
        <v/>
      </c>
      <c r="E99" s="4">
        <f>INDEX('Draft Engine'!$N$3:$N$232,$O99)</f>
        <v/>
      </c>
      <c r="F99" s="4">
        <f>INDEX('Draft Engine'!$E$3:$E$232,$O99)</f>
        <v/>
      </c>
      <c r="G99" s="4">
        <f>INDEX('Draft Engine'!$G$3:$G$232,$O99)</f>
        <v/>
      </c>
      <c r="H99" s="4">
        <f>INDEX('Draft Engine'!$J$3:$J$232,$O99)</f>
        <v/>
      </c>
      <c r="I99" s="4">
        <f>INDEX('Draft Engine'!$L$3:$L$232,$O99)</f>
        <v/>
      </c>
      <c r="J99" s="4">
        <f>INDEX('Draft Engine'!$R$3:$R$232,$O99)</f>
        <v/>
      </c>
      <c r="K99" s="4">
        <f>INDEX('Draft Engine'!$S$3:$S$232,$O99)</f>
        <v/>
      </c>
      <c r="L99" s="4">
        <f>INDEX('Draft Engine'!$U$3:$U$232,$O99)</f>
        <v/>
      </c>
      <c r="M99" s="4">
        <f>INDEX('Draft Engine'!$W$3:$W$232,$O99)</f>
        <v/>
      </c>
      <c r="N99">
        <f>INDEX('Draft Engine'!$T$3:$T$232,$O99)</f>
        <v/>
      </c>
      <c r="O99" s="6">
        <f>MATCH($A99,'Draft Engine'!$Q$3:$Q$232,0)</f>
        <v/>
      </c>
    </row>
    <row r="100">
      <c r="A100">
        <f>98</f>
        <v/>
      </c>
      <c r="B100">
        <f>INDEX('Draft Engine'!$A$3:$A$232,$O100)</f>
        <v/>
      </c>
      <c r="C100">
        <f>INDEX('Draft Engine'!$F$3:$F$232,$O100)</f>
        <v/>
      </c>
      <c r="D100">
        <f>INDEX('Draft Engine'!$B$3:$B$232,$O100)</f>
        <v/>
      </c>
      <c r="E100" s="4">
        <f>INDEX('Draft Engine'!$N$3:$N$232,$O100)</f>
        <v/>
      </c>
      <c r="F100" s="4">
        <f>INDEX('Draft Engine'!$E$3:$E$232,$O100)</f>
        <v/>
      </c>
      <c r="G100" s="4">
        <f>INDEX('Draft Engine'!$G$3:$G$232,$O100)</f>
        <v/>
      </c>
      <c r="H100" s="4">
        <f>INDEX('Draft Engine'!$J$3:$J$232,$O100)</f>
        <v/>
      </c>
      <c r="I100" s="4">
        <f>INDEX('Draft Engine'!$L$3:$L$232,$O100)</f>
        <v/>
      </c>
      <c r="J100" s="4">
        <f>INDEX('Draft Engine'!$R$3:$R$232,$O100)</f>
        <v/>
      </c>
      <c r="K100" s="4">
        <f>INDEX('Draft Engine'!$S$3:$S$232,$O100)</f>
        <v/>
      </c>
      <c r="L100" s="4">
        <f>INDEX('Draft Engine'!$U$3:$U$232,$O100)</f>
        <v/>
      </c>
      <c r="M100" s="4">
        <f>INDEX('Draft Engine'!$W$3:$W$232,$O100)</f>
        <v/>
      </c>
      <c r="N100">
        <f>INDEX('Draft Engine'!$T$3:$T$232,$O100)</f>
        <v/>
      </c>
      <c r="O100" s="6">
        <f>MATCH($A100,'Draft Engine'!$Q$3:$Q$232,0)</f>
        <v/>
      </c>
    </row>
    <row r="101">
      <c r="A101">
        <f>99</f>
        <v/>
      </c>
      <c r="B101">
        <f>INDEX('Draft Engine'!$A$3:$A$232,$O101)</f>
        <v/>
      </c>
      <c r="C101">
        <f>INDEX('Draft Engine'!$F$3:$F$232,$O101)</f>
        <v/>
      </c>
      <c r="D101">
        <f>INDEX('Draft Engine'!$B$3:$B$232,$O101)</f>
        <v/>
      </c>
      <c r="E101" s="4">
        <f>INDEX('Draft Engine'!$N$3:$N$232,$O101)</f>
        <v/>
      </c>
      <c r="F101" s="4">
        <f>INDEX('Draft Engine'!$E$3:$E$232,$O101)</f>
        <v/>
      </c>
      <c r="G101" s="4">
        <f>INDEX('Draft Engine'!$G$3:$G$232,$O101)</f>
        <v/>
      </c>
      <c r="H101" s="4">
        <f>INDEX('Draft Engine'!$J$3:$J$232,$O101)</f>
        <v/>
      </c>
      <c r="I101" s="4">
        <f>INDEX('Draft Engine'!$L$3:$L$232,$O101)</f>
        <v/>
      </c>
      <c r="J101" s="4">
        <f>INDEX('Draft Engine'!$R$3:$R$232,$O101)</f>
        <v/>
      </c>
      <c r="K101" s="4">
        <f>INDEX('Draft Engine'!$S$3:$S$232,$O101)</f>
        <v/>
      </c>
      <c r="L101" s="4">
        <f>INDEX('Draft Engine'!$U$3:$U$232,$O101)</f>
        <v/>
      </c>
      <c r="M101" s="4">
        <f>INDEX('Draft Engine'!$W$3:$W$232,$O101)</f>
        <v/>
      </c>
      <c r="N101">
        <f>INDEX('Draft Engine'!$T$3:$T$232,$O101)</f>
        <v/>
      </c>
      <c r="O101" s="6">
        <f>MATCH($A101,'Draft Engine'!$Q$3:$Q$232,0)</f>
        <v/>
      </c>
    </row>
    <row r="102">
      <c r="A102">
        <f>100</f>
        <v/>
      </c>
      <c r="B102">
        <f>INDEX('Draft Engine'!$A$3:$A$232,$O102)</f>
        <v/>
      </c>
      <c r="C102">
        <f>INDEX('Draft Engine'!$F$3:$F$232,$O102)</f>
        <v/>
      </c>
      <c r="D102">
        <f>INDEX('Draft Engine'!$B$3:$B$232,$O102)</f>
        <v/>
      </c>
      <c r="E102" s="4">
        <f>INDEX('Draft Engine'!$N$3:$N$232,$O102)</f>
        <v/>
      </c>
      <c r="F102" s="4">
        <f>INDEX('Draft Engine'!$E$3:$E$232,$O102)</f>
        <v/>
      </c>
      <c r="G102" s="4">
        <f>INDEX('Draft Engine'!$G$3:$G$232,$O102)</f>
        <v/>
      </c>
      <c r="H102" s="4">
        <f>INDEX('Draft Engine'!$J$3:$J$232,$O102)</f>
        <v/>
      </c>
      <c r="I102" s="4">
        <f>INDEX('Draft Engine'!$L$3:$L$232,$O102)</f>
        <v/>
      </c>
      <c r="J102" s="4">
        <f>INDEX('Draft Engine'!$R$3:$R$232,$O102)</f>
        <v/>
      </c>
      <c r="K102" s="4">
        <f>INDEX('Draft Engine'!$S$3:$S$232,$O102)</f>
        <v/>
      </c>
      <c r="L102" s="4">
        <f>INDEX('Draft Engine'!$U$3:$U$232,$O102)</f>
        <v/>
      </c>
      <c r="M102" s="4">
        <f>INDEX('Draft Engine'!$W$3:$W$232,$O102)</f>
        <v/>
      </c>
      <c r="N102">
        <f>INDEX('Draft Engine'!$T$3:$T$232,$O102)</f>
        <v/>
      </c>
      <c r="O102" s="6">
        <f>MATCH($A102,'Draft Engine'!$Q$3:$Q$232,0)</f>
        <v/>
      </c>
    </row>
    <row r="103">
      <c r="A103">
        <f>101</f>
        <v/>
      </c>
      <c r="B103">
        <f>INDEX('Draft Engine'!$A$3:$A$232,$O103)</f>
        <v/>
      </c>
      <c r="C103">
        <f>INDEX('Draft Engine'!$F$3:$F$232,$O103)</f>
        <v/>
      </c>
      <c r="D103">
        <f>INDEX('Draft Engine'!$B$3:$B$232,$O103)</f>
        <v/>
      </c>
      <c r="E103" s="4">
        <f>INDEX('Draft Engine'!$N$3:$N$232,$O103)</f>
        <v/>
      </c>
      <c r="F103" s="4">
        <f>INDEX('Draft Engine'!$E$3:$E$232,$O103)</f>
        <v/>
      </c>
      <c r="G103" s="4">
        <f>INDEX('Draft Engine'!$G$3:$G$232,$O103)</f>
        <v/>
      </c>
      <c r="H103" s="4">
        <f>INDEX('Draft Engine'!$J$3:$J$232,$O103)</f>
        <v/>
      </c>
      <c r="I103" s="4">
        <f>INDEX('Draft Engine'!$L$3:$L$232,$O103)</f>
        <v/>
      </c>
      <c r="J103" s="4">
        <f>INDEX('Draft Engine'!$R$3:$R$232,$O103)</f>
        <v/>
      </c>
      <c r="K103" s="4">
        <f>INDEX('Draft Engine'!$S$3:$S$232,$O103)</f>
        <v/>
      </c>
      <c r="L103" s="4">
        <f>INDEX('Draft Engine'!$U$3:$U$232,$O103)</f>
        <v/>
      </c>
      <c r="M103" s="4">
        <f>INDEX('Draft Engine'!$W$3:$W$232,$O103)</f>
        <v/>
      </c>
      <c r="N103">
        <f>INDEX('Draft Engine'!$T$3:$T$232,$O103)</f>
        <v/>
      </c>
      <c r="O103" s="6">
        <f>MATCH($A103,'Draft Engine'!$Q$3:$Q$232,0)</f>
        <v/>
      </c>
    </row>
    <row r="104">
      <c r="A104">
        <f>102</f>
        <v/>
      </c>
      <c r="B104">
        <f>INDEX('Draft Engine'!$A$3:$A$232,$O104)</f>
        <v/>
      </c>
      <c r="C104">
        <f>INDEX('Draft Engine'!$F$3:$F$232,$O104)</f>
        <v/>
      </c>
      <c r="D104">
        <f>INDEX('Draft Engine'!$B$3:$B$232,$O104)</f>
        <v/>
      </c>
      <c r="E104" s="4">
        <f>INDEX('Draft Engine'!$N$3:$N$232,$O104)</f>
        <v/>
      </c>
      <c r="F104" s="4">
        <f>INDEX('Draft Engine'!$E$3:$E$232,$O104)</f>
        <v/>
      </c>
      <c r="G104" s="4">
        <f>INDEX('Draft Engine'!$G$3:$G$232,$O104)</f>
        <v/>
      </c>
      <c r="H104" s="4">
        <f>INDEX('Draft Engine'!$J$3:$J$232,$O104)</f>
        <v/>
      </c>
      <c r="I104" s="4">
        <f>INDEX('Draft Engine'!$L$3:$L$232,$O104)</f>
        <v/>
      </c>
      <c r="J104" s="4">
        <f>INDEX('Draft Engine'!$R$3:$R$232,$O104)</f>
        <v/>
      </c>
      <c r="K104" s="4">
        <f>INDEX('Draft Engine'!$S$3:$S$232,$O104)</f>
        <v/>
      </c>
      <c r="L104" s="4">
        <f>INDEX('Draft Engine'!$U$3:$U$232,$O104)</f>
        <v/>
      </c>
      <c r="M104" s="4">
        <f>INDEX('Draft Engine'!$W$3:$W$232,$O104)</f>
        <v/>
      </c>
      <c r="N104">
        <f>INDEX('Draft Engine'!$T$3:$T$232,$O104)</f>
        <v/>
      </c>
      <c r="O104" s="6">
        <f>MATCH($A104,'Draft Engine'!$Q$3:$Q$232,0)</f>
        <v/>
      </c>
    </row>
    <row r="105">
      <c r="A105">
        <f>103</f>
        <v/>
      </c>
      <c r="B105">
        <f>INDEX('Draft Engine'!$A$3:$A$232,$O105)</f>
        <v/>
      </c>
      <c r="C105">
        <f>INDEX('Draft Engine'!$F$3:$F$232,$O105)</f>
        <v/>
      </c>
      <c r="D105">
        <f>INDEX('Draft Engine'!$B$3:$B$232,$O105)</f>
        <v/>
      </c>
      <c r="E105" s="4">
        <f>INDEX('Draft Engine'!$N$3:$N$232,$O105)</f>
        <v/>
      </c>
      <c r="F105" s="4">
        <f>INDEX('Draft Engine'!$E$3:$E$232,$O105)</f>
        <v/>
      </c>
      <c r="G105" s="4">
        <f>INDEX('Draft Engine'!$G$3:$G$232,$O105)</f>
        <v/>
      </c>
      <c r="H105" s="4">
        <f>INDEX('Draft Engine'!$J$3:$J$232,$O105)</f>
        <v/>
      </c>
      <c r="I105" s="4">
        <f>INDEX('Draft Engine'!$L$3:$L$232,$O105)</f>
        <v/>
      </c>
      <c r="J105" s="4">
        <f>INDEX('Draft Engine'!$R$3:$R$232,$O105)</f>
        <v/>
      </c>
      <c r="K105" s="4">
        <f>INDEX('Draft Engine'!$S$3:$S$232,$O105)</f>
        <v/>
      </c>
      <c r="L105" s="4">
        <f>INDEX('Draft Engine'!$U$3:$U$232,$O105)</f>
        <v/>
      </c>
      <c r="M105" s="4">
        <f>INDEX('Draft Engine'!$W$3:$W$232,$O105)</f>
        <v/>
      </c>
      <c r="N105">
        <f>INDEX('Draft Engine'!$T$3:$T$232,$O105)</f>
        <v/>
      </c>
      <c r="O105" s="6">
        <f>MATCH($A105,'Draft Engine'!$Q$3:$Q$232,0)</f>
        <v/>
      </c>
    </row>
    <row r="106">
      <c r="A106">
        <f>104</f>
        <v/>
      </c>
      <c r="B106">
        <f>INDEX('Draft Engine'!$A$3:$A$232,$O106)</f>
        <v/>
      </c>
      <c r="C106">
        <f>INDEX('Draft Engine'!$F$3:$F$232,$O106)</f>
        <v/>
      </c>
      <c r="D106">
        <f>INDEX('Draft Engine'!$B$3:$B$232,$O106)</f>
        <v/>
      </c>
      <c r="E106" s="4">
        <f>INDEX('Draft Engine'!$N$3:$N$232,$O106)</f>
        <v/>
      </c>
      <c r="F106" s="4">
        <f>INDEX('Draft Engine'!$E$3:$E$232,$O106)</f>
        <v/>
      </c>
      <c r="G106" s="4">
        <f>INDEX('Draft Engine'!$G$3:$G$232,$O106)</f>
        <v/>
      </c>
      <c r="H106" s="4">
        <f>INDEX('Draft Engine'!$J$3:$J$232,$O106)</f>
        <v/>
      </c>
      <c r="I106" s="4">
        <f>INDEX('Draft Engine'!$L$3:$L$232,$O106)</f>
        <v/>
      </c>
      <c r="J106" s="4">
        <f>INDEX('Draft Engine'!$R$3:$R$232,$O106)</f>
        <v/>
      </c>
      <c r="K106" s="4">
        <f>INDEX('Draft Engine'!$S$3:$S$232,$O106)</f>
        <v/>
      </c>
      <c r="L106" s="4">
        <f>INDEX('Draft Engine'!$U$3:$U$232,$O106)</f>
        <v/>
      </c>
      <c r="M106" s="4">
        <f>INDEX('Draft Engine'!$W$3:$W$232,$O106)</f>
        <v/>
      </c>
      <c r="N106">
        <f>INDEX('Draft Engine'!$T$3:$T$232,$O106)</f>
        <v/>
      </c>
      <c r="O106" s="6">
        <f>MATCH($A106,'Draft Engine'!$Q$3:$Q$232,0)</f>
        <v/>
      </c>
    </row>
    <row r="107">
      <c r="A107">
        <f>105</f>
        <v/>
      </c>
      <c r="B107">
        <f>INDEX('Draft Engine'!$A$3:$A$232,$O107)</f>
        <v/>
      </c>
      <c r="C107">
        <f>INDEX('Draft Engine'!$F$3:$F$232,$O107)</f>
        <v/>
      </c>
      <c r="D107">
        <f>INDEX('Draft Engine'!$B$3:$B$232,$O107)</f>
        <v/>
      </c>
      <c r="E107" s="4">
        <f>INDEX('Draft Engine'!$N$3:$N$232,$O107)</f>
        <v/>
      </c>
      <c r="F107" s="4">
        <f>INDEX('Draft Engine'!$E$3:$E$232,$O107)</f>
        <v/>
      </c>
      <c r="G107" s="4">
        <f>INDEX('Draft Engine'!$G$3:$G$232,$O107)</f>
        <v/>
      </c>
      <c r="H107" s="4">
        <f>INDEX('Draft Engine'!$J$3:$J$232,$O107)</f>
        <v/>
      </c>
      <c r="I107" s="4">
        <f>INDEX('Draft Engine'!$L$3:$L$232,$O107)</f>
        <v/>
      </c>
      <c r="J107" s="4">
        <f>INDEX('Draft Engine'!$R$3:$R$232,$O107)</f>
        <v/>
      </c>
      <c r="K107" s="4">
        <f>INDEX('Draft Engine'!$S$3:$S$232,$O107)</f>
        <v/>
      </c>
      <c r="L107" s="4">
        <f>INDEX('Draft Engine'!$U$3:$U$232,$O107)</f>
        <v/>
      </c>
      <c r="M107" s="4">
        <f>INDEX('Draft Engine'!$W$3:$W$232,$O107)</f>
        <v/>
      </c>
      <c r="N107">
        <f>INDEX('Draft Engine'!$T$3:$T$232,$O107)</f>
        <v/>
      </c>
      <c r="O107" s="6">
        <f>MATCH($A107,'Draft Engine'!$Q$3:$Q$232,0)</f>
        <v/>
      </c>
    </row>
    <row r="108">
      <c r="A108">
        <f>106</f>
        <v/>
      </c>
      <c r="B108">
        <f>INDEX('Draft Engine'!$A$3:$A$232,$O108)</f>
        <v/>
      </c>
      <c r="C108">
        <f>INDEX('Draft Engine'!$F$3:$F$232,$O108)</f>
        <v/>
      </c>
      <c r="D108">
        <f>INDEX('Draft Engine'!$B$3:$B$232,$O108)</f>
        <v/>
      </c>
      <c r="E108" s="4">
        <f>INDEX('Draft Engine'!$N$3:$N$232,$O108)</f>
        <v/>
      </c>
      <c r="F108" s="4">
        <f>INDEX('Draft Engine'!$E$3:$E$232,$O108)</f>
        <v/>
      </c>
      <c r="G108" s="4">
        <f>INDEX('Draft Engine'!$G$3:$G$232,$O108)</f>
        <v/>
      </c>
      <c r="H108" s="4">
        <f>INDEX('Draft Engine'!$J$3:$J$232,$O108)</f>
        <v/>
      </c>
      <c r="I108" s="4">
        <f>INDEX('Draft Engine'!$L$3:$L$232,$O108)</f>
        <v/>
      </c>
      <c r="J108" s="4">
        <f>INDEX('Draft Engine'!$R$3:$R$232,$O108)</f>
        <v/>
      </c>
      <c r="K108" s="4">
        <f>INDEX('Draft Engine'!$S$3:$S$232,$O108)</f>
        <v/>
      </c>
      <c r="L108" s="4">
        <f>INDEX('Draft Engine'!$U$3:$U$232,$O108)</f>
        <v/>
      </c>
      <c r="M108" s="4">
        <f>INDEX('Draft Engine'!$W$3:$W$232,$O108)</f>
        <v/>
      </c>
      <c r="N108">
        <f>INDEX('Draft Engine'!$T$3:$T$232,$O108)</f>
        <v/>
      </c>
      <c r="O108" s="6">
        <f>MATCH($A108,'Draft Engine'!$Q$3:$Q$232,0)</f>
        <v/>
      </c>
    </row>
    <row r="109">
      <c r="A109">
        <f>107</f>
        <v/>
      </c>
      <c r="B109">
        <f>INDEX('Draft Engine'!$A$3:$A$232,$O109)</f>
        <v/>
      </c>
      <c r="C109">
        <f>INDEX('Draft Engine'!$F$3:$F$232,$O109)</f>
        <v/>
      </c>
      <c r="D109">
        <f>INDEX('Draft Engine'!$B$3:$B$232,$O109)</f>
        <v/>
      </c>
      <c r="E109" s="4">
        <f>INDEX('Draft Engine'!$N$3:$N$232,$O109)</f>
        <v/>
      </c>
      <c r="F109" s="4">
        <f>INDEX('Draft Engine'!$E$3:$E$232,$O109)</f>
        <v/>
      </c>
      <c r="G109" s="4">
        <f>INDEX('Draft Engine'!$G$3:$G$232,$O109)</f>
        <v/>
      </c>
      <c r="H109" s="4">
        <f>INDEX('Draft Engine'!$J$3:$J$232,$O109)</f>
        <v/>
      </c>
      <c r="I109" s="4">
        <f>INDEX('Draft Engine'!$L$3:$L$232,$O109)</f>
        <v/>
      </c>
      <c r="J109" s="4">
        <f>INDEX('Draft Engine'!$R$3:$R$232,$O109)</f>
        <v/>
      </c>
      <c r="K109" s="4">
        <f>INDEX('Draft Engine'!$S$3:$S$232,$O109)</f>
        <v/>
      </c>
      <c r="L109" s="4">
        <f>INDEX('Draft Engine'!$U$3:$U$232,$O109)</f>
        <v/>
      </c>
      <c r="M109" s="4">
        <f>INDEX('Draft Engine'!$W$3:$W$232,$O109)</f>
        <v/>
      </c>
      <c r="N109">
        <f>INDEX('Draft Engine'!$T$3:$T$232,$O109)</f>
        <v/>
      </c>
      <c r="O109" s="6">
        <f>MATCH($A109,'Draft Engine'!$Q$3:$Q$232,0)</f>
        <v/>
      </c>
    </row>
    <row r="110">
      <c r="A110">
        <f>108</f>
        <v/>
      </c>
      <c r="B110">
        <f>INDEX('Draft Engine'!$A$3:$A$232,$O110)</f>
        <v/>
      </c>
      <c r="C110">
        <f>INDEX('Draft Engine'!$F$3:$F$232,$O110)</f>
        <v/>
      </c>
      <c r="D110">
        <f>INDEX('Draft Engine'!$B$3:$B$232,$O110)</f>
        <v/>
      </c>
      <c r="E110" s="4">
        <f>INDEX('Draft Engine'!$N$3:$N$232,$O110)</f>
        <v/>
      </c>
      <c r="F110" s="4">
        <f>INDEX('Draft Engine'!$E$3:$E$232,$O110)</f>
        <v/>
      </c>
      <c r="G110" s="4">
        <f>INDEX('Draft Engine'!$G$3:$G$232,$O110)</f>
        <v/>
      </c>
      <c r="H110" s="4">
        <f>INDEX('Draft Engine'!$J$3:$J$232,$O110)</f>
        <v/>
      </c>
      <c r="I110" s="4">
        <f>INDEX('Draft Engine'!$L$3:$L$232,$O110)</f>
        <v/>
      </c>
      <c r="J110" s="4">
        <f>INDEX('Draft Engine'!$R$3:$R$232,$O110)</f>
        <v/>
      </c>
      <c r="K110" s="4">
        <f>INDEX('Draft Engine'!$S$3:$S$232,$O110)</f>
        <v/>
      </c>
      <c r="L110" s="4">
        <f>INDEX('Draft Engine'!$U$3:$U$232,$O110)</f>
        <v/>
      </c>
      <c r="M110" s="4">
        <f>INDEX('Draft Engine'!$W$3:$W$232,$O110)</f>
        <v/>
      </c>
      <c r="N110">
        <f>INDEX('Draft Engine'!$T$3:$T$232,$O110)</f>
        <v/>
      </c>
      <c r="O110" s="6">
        <f>MATCH($A110,'Draft Engine'!$Q$3:$Q$232,0)</f>
        <v/>
      </c>
    </row>
    <row r="111">
      <c r="A111">
        <f>109</f>
        <v/>
      </c>
      <c r="B111">
        <f>INDEX('Draft Engine'!$A$3:$A$232,$O111)</f>
        <v/>
      </c>
      <c r="C111">
        <f>INDEX('Draft Engine'!$F$3:$F$232,$O111)</f>
        <v/>
      </c>
      <c r="D111">
        <f>INDEX('Draft Engine'!$B$3:$B$232,$O111)</f>
        <v/>
      </c>
      <c r="E111" s="4">
        <f>INDEX('Draft Engine'!$N$3:$N$232,$O111)</f>
        <v/>
      </c>
      <c r="F111" s="4">
        <f>INDEX('Draft Engine'!$E$3:$E$232,$O111)</f>
        <v/>
      </c>
      <c r="G111" s="4">
        <f>INDEX('Draft Engine'!$G$3:$G$232,$O111)</f>
        <v/>
      </c>
      <c r="H111" s="4">
        <f>INDEX('Draft Engine'!$J$3:$J$232,$O111)</f>
        <v/>
      </c>
      <c r="I111" s="4">
        <f>INDEX('Draft Engine'!$L$3:$L$232,$O111)</f>
        <v/>
      </c>
      <c r="J111" s="4">
        <f>INDEX('Draft Engine'!$R$3:$R$232,$O111)</f>
        <v/>
      </c>
      <c r="K111" s="4">
        <f>INDEX('Draft Engine'!$S$3:$S$232,$O111)</f>
        <v/>
      </c>
      <c r="L111" s="4">
        <f>INDEX('Draft Engine'!$U$3:$U$232,$O111)</f>
        <v/>
      </c>
      <c r="M111" s="4">
        <f>INDEX('Draft Engine'!$W$3:$W$232,$O111)</f>
        <v/>
      </c>
      <c r="N111">
        <f>INDEX('Draft Engine'!$T$3:$T$232,$O111)</f>
        <v/>
      </c>
      <c r="O111" s="6">
        <f>MATCH($A111,'Draft Engine'!$Q$3:$Q$232,0)</f>
        <v/>
      </c>
    </row>
    <row r="112">
      <c r="A112">
        <f>110</f>
        <v/>
      </c>
      <c r="B112">
        <f>INDEX('Draft Engine'!$A$3:$A$232,$O112)</f>
        <v/>
      </c>
      <c r="C112">
        <f>INDEX('Draft Engine'!$F$3:$F$232,$O112)</f>
        <v/>
      </c>
      <c r="D112">
        <f>INDEX('Draft Engine'!$B$3:$B$232,$O112)</f>
        <v/>
      </c>
      <c r="E112" s="4">
        <f>INDEX('Draft Engine'!$N$3:$N$232,$O112)</f>
        <v/>
      </c>
      <c r="F112" s="4">
        <f>INDEX('Draft Engine'!$E$3:$E$232,$O112)</f>
        <v/>
      </c>
      <c r="G112" s="4">
        <f>INDEX('Draft Engine'!$G$3:$G$232,$O112)</f>
        <v/>
      </c>
      <c r="H112" s="4">
        <f>INDEX('Draft Engine'!$J$3:$J$232,$O112)</f>
        <v/>
      </c>
      <c r="I112" s="4">
        <f>INDEX('Draft Engine'!$L$3:$L$232,$O112)</f>
        <v/>
      </c>
      <c r="J112" s="4">
        <f>INDEX('Draft Engine'!$R$3:$R$232,$O112)</f>
        <v/>
      </c>
      <c r="K112" s="4">
        <f>INDEX('Draft Engine'!$S$3:$S$232,$O112)</f>
        <v/>
      </c>
      <c r="L112" s="4">
        <f>INDEX('Draft Engine'!$U$3:$U$232,$O112)</f>
        <v/>
      </c>
      <c r="M112" s="4">
        <f>INDEX('Draft Engine'!$W$3:$W$232,$O112)</f>
        <v/>
      </c>
      <c r="N112">
        <f>INDEX('Draft Engine'!$T$3:$T$232,$O112)</f>
        <v/>
      </c>
      <c r="O112" s="6">
        <f>MATCH($A112,'Draft Engine'!$Q$3:$Q$232,0)</f>
        <v/>
      </c>
    </row>
    <row r="113">
      <c r="A113">
        <f>111</f>
        <v/>
      </c>
      <c r="B113">
        <f>INDEX('Draft Engine'!$A$3:$A$232,$O113)</f>
        <v/>
      </c>
      <c r="C113">
        <f>INDEX('Draft Engine'!$F$3:$F$232,$O113)</f>
        <v/>
      </c>
      <c r="D113">
        <f>INDEX('Draft Engine'!$B$3:$B$232,$O113)</f>
        <v/>
      </c>
      <c r="E113" s="4">
        <f>INDEX('Draft Engine'!$N$3:$N$232,$O113)</f>
        <v/>
      </c>
      <c r="F113" s="4">
        <f>INDEX('Draft Engine'!$E$3:$E$232,$O113)</f>
        <v/>
      </c>
      <c r="G113" s="4">
        <f>INDEX('Draft Engine'!$G$3:$G$232,$O113)</f>
        <v/>
      </c>
      <c r="H113" s="4">
        <f>INDEX('Draft Engine'!$J$3:$J$232,$O113)</f>
        <v/>
      </c>
      <c r="I113" s="4">
        <f>INDEX('Draft Engine'!$L$3:$L$232,$O113)</f>
        <v/>
      </c>
      <c r="J113" s="4">
        <f>INDEX('Draft Engine'!$R$3:$R$232,$O113)</f>
        <v/>
      </c>
      <c r="K113" s="4">
        <f>INDEX('Draft Engine'!$S$3:$S$232,$O113)</f>
        <v/>
      </c>
      <c r="L113" s="4">
        <f>INDEX('Draft Engine'!$U$3:$U$232,$O113)</f>
        <v/>
      </c>
      <c r="M113" s="4">
        <f>INDEX('Draft Engine'!$W$3:$W$232,$O113)</f>
        <v/>
      </c>
      <c r="N113">
        <f>INDEX('Draft Engine'!$T$3:$T$232,$O113)</f>
        <v/>
      </c>
      <c r="O113" s="6">
        <f>MATCH($A113,'Draft Engine'!$Q$3:$Q$232,0)</f>
        <v/>
      </c>
    </row>
    <row r="114">
      <c r="A114">
        <f>112</f>
        <v/>
      </c>
      <c r="B114">
        <f>INDEX('Draft Engine'!$A$3:$A$232,$O114)</f>
        <v/>
      </c>
      <c r="C114">
        <f>INDEX('Draft Engine'!$F$3:$F$232,$O114)</f>
        <v/>
      </c>
      <c r="D114">
        <f>INDEX('Draft Engine'!$B$3:$B$232,$O114)</f>
        <v/>
      </c>
      <c r="E114" s="4">
        <f>INDEX('Draft Engine'!$N$3:$N$232,$O114)</f>
        <v/>
      </c>
      <c r="F114" s="4">
        <f>INDEX('Draft Engine'!$E$3:$E$232,$O114)</f>
        <v/>
      </c>
      <c r="G114" s="4">
        <f>INDEX('Draft Engine'!$G$3:$G$232,$O114)</f>
        <v/>
      </c>
      <c r="H114" s="4">
        <f>INDEX('Draft Engine'!$J$3:$J$232,$O114)</f>
        <v/>
      </c>
      <c r="I114" s="4">
        <f>INDEX('Draft Engine'!$L$3:$L$232,$O114)</f>
        <v/>
      </c>
      <c r="J114" s="4">
        <f>INDEX('Draft Engine'!$R$3:$R$232,$O114)</f>
        <v/>
      </c>
      <c r="K114" s="4">
        <f>INDEX('Draft Engine'!$S$3:$S$232,$O114)</f>
        <v/>
      </c>
      <c r="L114" s="4">
        <f>INDEX('Draft Engine'!$U$3:$U$232,$O114)</f>
        <v/>
      </c>
      <c r="M114" s="4">
        <f>INDEX('Draft Engine'!$W$3:$W$232,$O114)</f>
        <v/>
      </c>
      <c r="N114">
        <f>INDEX('Draft Engine'!$T$3:$T$232,$O114)</f>
        <v/>
      </c>
      <c r="O114" s="6">
        <f>MATCH($A114,'Draft Engine'!$Q$3:$Q$232,0)</f>
        <v/>
      </c>
    </row>
    <row r="115">
      <c r="A115">
        <f>113</f>
        <v/>
      </c>
      <c r="B115">
        <f>INDEX('Draft Engine'!$A$3:$A$232,$O115)</f>
        <v/>
      </c>
      <c r="C115">
        <f>INDEX('Draft Engine'!$F$3:$F$232,$O115)</f>
        <v/>
      </c>
      <c r="D115">
        <f>INDEX('Draft Engine'!$B$3:$B$232,$O115)</f>
        <v/>
      </c>
      <c r="E115" s="4">
        <f>INDEX('Draft Engine'!$N$3:$N$232,$O115)</f>
        <v/>
      </c>
      <c r="F115" s="4">
        <f>INDEX('Draft Engine'!$E$3:$E$232,$O115)</f>
        <v/>
      </c>
      <c r="G115" s="4">
        <f>INDEX('Draft Engine'!$G$3:$G$232,$O115)</f>
        <v/>
      </c>
      <c r="H115" s="4">
        <f>INDEX('Draft Engine'!$J$3:$J$232,$O115)</f>
        <v/>
      </c>
      <c r="I115" s="4">
        <f>INDEX('Draft Engine'!$L$3:$L$232,$O115)</f>
        <v/>
      </c>
      <c r="J115" s="4">
        <f>INDEX('Draft Engine'!$R$3:$R$232,$O115)</f>
        <v/>
      </c>
      <c r="K115" s="4">
        <f>INDEX('Draft Engine'!$S$3:$S$232,$O115)</f>
        <v/>
      </c>
      <c r="L115" s="4">
        <f>INDEX('Draft Engine'!$U$3:$U$232,$O115)</f>
        <v/>
      </c>
      <c r="M115" s="4">
        <f>INDEX('Draft Engine'!$W$3:$W$232,$O115)</f>
        <v/>
      </c>
      <c r="N115">
        <f>INDEX('Draft Engine'!$T$3:$T$232,$O115)</f>
        <v/>
      </c>
      <c r="O115" s="6">
        <f>MATCH($A115,'Draft Engine'!$Q$3:$Q$232,0)</f>
        <v/>
      </c>
    </row>
    <row r="116">
      <c r="A116">
        <f>114</f>
        <v/>
      </c>
      <c r="B116">
        <f>INDEX('Draft Engine'!$A$3:$A$232,$O116)</f>
        <v/>
      </c>
      <c r="C116">
        <f>INDEX('Draft Engine'!$F$3:$F$232,$O116)</f>
        <v/>
      </c>
      <c r="D116">
        <f>INDEX('Draft Engine'!$B$3:$B$232,$O116)</f>
        <v/>
      </c>
      <c r="E116" s="4">
        <f>INDEX('Draft Engine'!$N$3:$N$232,$O116)</f>
        <v/>
      </c>
      <c r="F116" s="4">
        <f>INDEX('Draft Engine'!$E$3:$E$232,$O116)</f>
        <v/>
      </c>
      <c r="G116" s="4">
        <f>INDEX('Draft Engine'!$G$3:$G$232,$O116)</f>
        <v/>
      </c>
      <c r="H116" s="4">
        <f>INDEX('Draft Engine'!$J$3:$J$232,$O116)</f>
        <v/>
      </c>
      <c r="I116" s="4">
        <f>INDEX('Draft Engine'!$L$3:$L$232,$O116)</f>
        <v/>
      </c>
      <c r="J116" s="4">
        <f>INDEX('Draft Engine'!$R$3:$R$232,$O116)</f>
        <v/>
      </c>
      <c r="K116" s="4">
        <f>INDEX('Draft Engine'!$S$3:$S$232,$O116)</f>
        <v/>
      </c>
      <c r="L116" s="4">
        <f>INDEX('Draft Engine'!$U$3:$U$232,$O116)</f>
        <v/>
      </c>
      <c r="M116" s="4">
        <f>INDEX('Draft Engine'!$W$3:$W$232,$O116)</f>
        <v/>
      </c>
      <c r="N116">
        <f>INDEX('Draft Engine'!$T$3:$T$232,$O116)</f>
        <v/>
      </c>
      <c r="O116" s="6">
        <f>MATCH($A116,'Draft Engine'!$Q$3:$Q$232,0)</f>
        <v/>
      </c>
    </row>
    <row r="117">
      <c r="A117">
        <f>115</f>
        <v/>
      </c>
      <c r="B117">
        <f>INDEX('Draft Engine'!$A$3:$A$232,$O117)</f>
        <v/>
      </c>
      <c r="C117">
        <f>INDEX('Draft Engine'!$F$3:$F$232,$O117)</f>
        <v/>
      </c>
      <c r="D117">
        <f>INDEX('Draft Engine'!$B$3:$B$232,$O117)</f>
        <v/>
      </c>
      <c r="E117" s="4">
        <f>INDEX('Draft Engine'!$N$3:$N$232,$O117)</f>
        <v/>
      </c>
      <c r="F117" s="4">
        <f>INDEX('Draft Engine'!$E$3:$E$232,$O117)</f>
        <v/>
      </c>
      <c r="G117" s="4">
        <f>INDEX('Draft Engine'!$G$3:$G$232,$O117)</f>
        <v/>
      </c>
      <c r="H117" s="4">
        <f>INDEX('Draft Engine'!$J$3:$J$232,$O117)</f>
        <v/>
      </c>
      <c r="I117" s="4">
        <f>INDEX('Draft Engine'!$L$3:$L$232,$O117)</f>
        <v/>
      </c>
      <c r="J117" s="4">
        <f>INDEX('Draft Engine'!$R$3:$R$232,$O117)</f>
        <v/>
      </c>
      <c r="K117" s="4">
        <f>INDEX('Draft Engine'!$S$3:$S$232,$O117)</f>
        <v/>
      </c>
      <c r="L117" s="4">
        <f>INDEX('Draft Engine'!$U$3:$U$232,$O117)</f>
        <v/>
      </c>
      <c r="M117" s="4">
        <f>INDEX('Draft Engine'!$W$3:$W$232,$O117)</f>
        <v/>
      </c>
      <c r="N117">
        <f>INDEX('Draft Engine'!$T$3:$T$232,$O117)</f>
        <v/>
      </c>
      <c r="O117" s="6">
        <f>MATCH($A117,'Draft Engine'!$Q$3:$Q$232,0)</f>
        <v/>
      </c>
    </row>
    <row r="118">
      <c r="A118">
        <f>116</f>
        <v/>
      </c>
      <c r="B118">
        <f>INDEX('Draft Engine'!$A$3:$A$232,$O118)</f>
        <v/>
      </c>
      <c r="C118">
        <f>INDEX('Draft Engine'!$F$3:$F$232,$O118)</f>
        <v/>
      </c>
      <c r="D118">
        <f>INDEX('Draft Engine'!$B$3:$B$232,$O118)</f>
        <v/>
      </c>
      <c r="E118" s="4">
        <f>INDEX('Draft Engine'!$N$3:$N$232,$O118)</f>
        <v/>
      </c>
      <c r="F118" s="4">
        <f>INDEX('Draft Engine'!$E$3:$E$232,$O118)</f>
        <v/>
      </c>
      <c r="G118" s="4">
        <f>INDEX('Draft Engine'!$G$3:$G$232,$O118)</f>
        <v/>
      </c>
      <c r="H118" s="4">
        <f>INDEX('Draft Engine'!$J$3:$J$232,$O118)</f>
        <v/>
      </c>
      <c r="I118" s="4">
        <f>INDEX('Draft Engine'!$L$3:$L$232,$O118)</f>
        <v/>
      </c>
      <c r="J118" s="4">
        <f>INDEX('Draft Engine'!$R$3:$R$232,$O118)</f>
        <v/>
      </c>
      <c r="K118" s="4">
        <f>INDEX('Draft Engine'!$S$3:$S$232,$O118)</f>
        <v/>
      </c>
      <c r="L118" s="4">
        <f>INDEX('Draft Engine'!$U$3:$U$232,$O118)</f>
        <v/>
      </c>
      <c r="M118" s="4">
        <f>INDEX('Draft Engine'!$W$3:$W$232,$O118)</f>
        <v/>
      </c>
      <c r="N118">
        <f>INDEX('Draft Engine'!$T$3:$T$232,$O118)</f>
        <v/>
      </c>
      <c r="O118" s="6">
        <f>MATCH($A118,'Draft Engine'!$Q$3:$Q$232,0)</f>
        <v/>
      </c>
    </row>
    <row r="119">
      <c r="A119">
        <f>117</f>
        <v/>
      </c>
      <c r="B119">
        <f>INDEX('Draft Engine'!$A$3:$A$232,$O119)</f>
        <v/>
      </c>
      <c r="C119">
        <f>INDEX('Draft Engine'!$F$3:$F$232,$O119)</f>
        <v/>
      </c>
      <c r="D119">
        <f>INDEX('Draft Engine'!$B$3:$B$232,$O119)</f>
        <v/>
      </c>
      <c r="E119" s="4">
        <f>INDEX('Draft Engine'!$N$3:$N$232,$O119)</f>
        <v/>
      </c>
      <c r="F119" s="4">
        <f>INDEX('Draft Engine'!$E$3:$E$232,$O119)</f>
        <v/>
      </c>
      <c r="G119" s="4">
        <f>INDEX('Draft Engine'!$G$3:$G$232,$O119)</f>
        <v/>
      </c>
      <c r="H119" s="4">
        <f>INDEX('Draft Engine'!$J$3:$J$232,$O119)</f>
        <v/>
      </c>
      <c r="I119" s="4">
        <f>INDEX('Draft Engine'!$L$3:$L$232,$O119)</f>
        <v/>
      </c>
      <c r="J119" s="4">
        <f>INDEX('Draft Engine'!$R$3:$R$232,$O119)</f>
        <v/>
      </c>
      <c r="K119" s="4">
        <f>INDEX('Draft Engine'!$S$3:$S$232,$O119)</f>
        <v/>
      </c>
      <c r="L119" s="4">
        <f>INDEX('Draft Engine'!$U$3:$U$232,$O119)</f>
        <v/>
      </c>
      <c r="M119" s="4">
        <f>INDEX('Draft Engine'!$W$3:$W$232,$O119)</f>
        <v/>
      </c>
      <c r="N119">
        <f>INDEX('Draft Engine'!$T$3:$T$232,$O119)</f>
        <v/>
      </c>
      <c r="O119" s="6">
        <f>MATCH($A119,'Draft Engine'!$Q$3:$Q$232,0)</f>
        <v/>
      </c>
    </row>
    <row r="120">
      <c r="A120">
        <f>118</f>
        <v/>
      </c>
      <c r="B120">
        <f>INDEX('Draft Engine'!$A$3:$A$232,$O120)</f>
        <v/>
      </c>
      <c r="C120">
        <f>INDEX('Draft Engine'!$F$3:$F$232,$O120)</f>
        <v/>
      </c>
      <c r="D120">
        <f>INDEX('Draft Engine'!$B$3:$B$232,$O120)</f>
        <v/>
      </c>
      <c r="E120" s="4">
        <f>INDEX('Draft Engine'!$N$3:$N$232,$O120)</f>
        <v/>
      </c>
      <c r="F120" s="4">
        <f>INDEX('Draft Engine'!$E$3:$E$232,$O120)</f>
        <v/>
      </c>
      <c r="G120" s="4">
        <f>INDEX('Draft Engine'!$G$3:$G$232,$O120)</f>
        <v/>
      </c>
      <c r="H120" s="4">
        <f>INDEX('Draft Engine'!$J$3:$J$232,$O120)</f>
        <v/>
      </c>
      <c r="I120" s="4">
        <f>INDEX('Draft Engine'!$L$3:$L$232,$O120)</f>
        <v/>
      </c>
      <c r="J120" s="4">
        <f>INDEX('Draft Engine'!$R$3:$R$232,$O120)</f>
        <v/>
      </c>
      <c r="K120" s="4">
        <f>INDEX('Draft Engine'!$S$3:$S$232,$O120)</f>
        <v/>
      </c>
      <c r="L120" s="4">
        <f>INDEX('Draft Engine'!$U$3:$U$232,$O120)</f>
        <v/>
      </c>
      <c r="M120" s="4">
        <f>INDEX('Draft Engine'!$W$3:$W$232,$O120)</f>
        <v/>
      </c>
      <c r="N120">
        <f>INDEX('Draft Engine'!$T$3:$T$232,$O120)</f>
        <v/>
      </c>
      <c r="O120" s="6">
        <f>MATCH($A120,'Draft Engine'!$Q$3:$Q$232,0)</f>
        <v/>
      </c>
    </row>
    <row r="121">
      <c r="A121">
        <f>119</f>
        <v/>
      </c>
      <c r="B121">
        <f>INDEX('Draft Engine'!$A$3:$A$232,$O121)</f>
        <v/>
      </c>
      <c r="C121">
        <f>INDEX('Draft Engine'!$F$3:$F$232,$O121)</f>
        <v/>
      </c>
      <c r="D121">
        <f>INDEX('Draft Engine'!$B$3:$B$232,$O121)</f>
        <v/>
      </c>
      <c r="E121" s="4">
        <f>INDEX('Draft Engine'!$N$3:$N$232,$O121)</f>
        <v/>
      </c>
      <c r="F121" s="4">
        <f>INDEX('Draft Engine'!$E$3:$E$232,$O121)</f>
        <v/>
      </c>
      <c r="G121" s="4">
        <f>INDEX('Draft Engine'!$G$3:$G$232,$O121)</f>
        <v/>
      </c>
      <c r="H121" s="4">
        <f>INDEX('Draft Engine'!$J$3:$J$232,$O121)</f>
        <v/>
      </c>
      <c r="I121" s="4">
        <f>INDEX('Draft Engine'!$L$3:$L$232,$O121)</f>
        <v/>
      </c>
      <c r="J121" s="4">
        <f>INDEX('Draft Engine'!$R$3:$R$232,$O121)</f>
        <v/>
      </c>
      <c r="K121" s="4">
        <f>INDEX('Draft Engine'!$S$3:$S$232,$O121)</f>
        <v/>
      </c>
      <c r="L121" s="4">
        <f>INDEX('Draft Engine'!$U$3:$U$232,$O121)</f>
        <v/>
      </c>
      <c r="M121" s="4">
        <f>INDEX('Draft Engine'!$W$3:$W$232,$O121)</f>
        <v/>
      </c>
      <c r="N121">
        <f>INDEX('Draft Engine'!$T$3:$T$232,$O121)</f>
        <v/>
      </c>
      <c r="O121" s="6">
        <f>MATCH($A121,'Draft Engine'!$Q$3:$Q$232,0)</f>
        <v/>
      </c>
    </row>
    <row r="122">
      <c r="A122">
        <f>120</f>
        <v/>
      </c>
      <c r="B122">
        <f>INDEX('Draft Engine'!$A$3:$A$232,$O122)</f>
        <v/>
      </c>
      <c r="C122">
        <f>INDEX('Draft Engine'!$F$3:$F$232,$O122)</f>
        <v/>
      </c>
      <c r="D122">
        <f>INDEX('Draft Engine'!$B$3:$B$232,$O122)</f>
        <v/>
      </c>
      <c r="E122" s="4">
        <f>INDEX('Draft Engine'!$N$3:$N$232,$O122)</f>
        <v/>
      </c>
      <c r="F122" s="4">
        <f>INDEX('Draft Engine'!$E$3:$E$232,$O122)</f>
        <v/>
      </c>
      <c r="G122" s="4">
        <f>INDEX('Draft Engine'!$G$3:$G$232,$O122)</f>
        <v/>
      </c>
      <c r="H122" s="4">
        <f>INDEX('Draft Engine'!$J$3:$J$232,$O122)</f>
        <v/>
      </c>
      <c r="I122" s="4">
        <f>INDEX('Draft Engine'!$L$3:$L$232,$O122)</f>
        <v/>
      </c>
      <c r="J122" s="4">
        <f>INDEX('Draft Engine'!$R$3:$R$232,$O122)</f>
        <v/>
      </c>
      <c r="K122" s="4">
        <f>INDEX('Draft Engine'!$S$3:$S$232,$O122)</f>
        <v/>
      </c>
      <c r="L122" s="4">
        <f>INDEX('Draft Engine'!$U$3:$U$232,$O122)</f>
        <v/>
      </c>
      <c r="M122" s="4">
        <f>INDEX('Draft Engine'!$W$3:$W$232,$O122)</f>
        <v/>
      </c>
      <c r="N122">
        <f>INDEX('Draft Engine'!$T$3:$T$232,$O122)</f>
        <v/>
      </c>
      <c r="O122" s="6">
        <f>MATCH($A122,'Draft Engine'!$Q$3:$Q$232,0)</f>
        <v/>
      </c>
    </row>
    <row r="123">
      <c r="A123">
        <f>121</f>
        <v/>
      </c>
      <c r="B123">
        <f>INDEX('Draft Engine'!$A$3:$A$232,$O123)</f>
        <v/>
      </c>
      <c r="C123">
        <f>INDEX('Draft Engine'!$F$3:$F$232,$O123)</f>
        <v/>
      </c>
      <c r="D123">
        <f>INDEX('Draft Engine'!$B$3:$B$232,$O123)</f>
        <v/>
      </c>
      <c r="E123" s="4">
        <f>INDEX('Draft Engine'!$N$3:$N$232,$O123)</f>
        <v/>
      </c>
      <c r="F123" s="4">
        <f>INDEX('Draft Engine'!$E$3:$E$232,$O123)</f>
        <v/>
      </c>
      <c r="G123" s="4">
        <f>INDEX('Draft Engine'!$G$3:$G$232,$O123)</f>
        <v/>
      </c>
      <c r="H123" s="4">
        <f>INDEX('Draft Engine'!$J$3:$J$232,$O123)</f>
        <v/>
      </c>
      <c r="I123" s="4">
        <f>INDEX('Draft Engine'!$L$3:$L$232,$O123)</f>
        <v/>
      </c>
      <c r="J123" s="4">
        <f>INDEX('Draft Engine'!$R$3:$R$232,$O123)</f>
        <v/>
      </c>
      <c r="K123" s="4">
        <f>INDEX('Draft Engine'!$S$3:$S$232,$O123)</f>
        <v/>
      </c>
      <c r="L123" s="4">
        <f>INDEX('Draft Engine'!$U$3:$U$232,$O123)</f>
        <v/>
      </c>
      <c r="M123" s="4">
        <f>INDEX('Draft Engine'!$W$3:$W$232,$O123)</f>
        <v/>
      </c>
      <c r="N123">
        <f>INDEX('Draft Engine'!$T$3:$T$232,$O123)</f>
        <v/>
      </c>
      <c r="O123" s="6">
        <f>MATCH($A123,'Draft Engine'!$Q$3:$Q$232,0)</f>
        <v/>
      </c>
    </row>
    <row r="124">
      <c r="A124">
        <f>122</f>
        <v/>
      </c>
      <c r="B124">
        <f>INDEX('Draft Engine'!$A$3:$A$232,$O124)</f>
        <v/>
      </c>
      <c r="C124">
        <f>INDEX('Draft Engine'!$F$3:$F$232,$O124)</f>
        <v/>
      </c>
      <c r="D124">
        <f>INDEX('Draft Engine'!$B$3:$B$232,$O124)</f>
        <v/>
      </c>
      <c r="E124" s="4">
        <f>INDEX('Draft Engine'!$N$3:$N$232,$O124)</f>
        <v/>
      </c>
      <c r="F124" s="4">
        <f>INDEX('Draft Engine'!$E$3:$E$232,$O124)</f>
        <v/>
      </c>
      <c r="G124" s="4">
        <f>INDEX('Draft Engine'!$G$3:$G$232,$O124)</f>
        <v/>
      </c>
      <c r="H124" s="4">
        <f>INDEX('Draft Engine'!$J$3:$J$232,$O124)</f>
        <v/>
      </c>
      <c r="I124" s="4">
        <f>INDEX('Draft Engine'!$L$3:$L$232,$O124)</f>
        <v/>
      </c>
      <c r="J124" s="4">
        <f>INDEX('Draft Engine'!$R$3:$R$232,$O124)</f>
        <v/>
      </c>
      <c r="K124" s="4">
        <f>INDEX('Draft Engine'!$S$3:$S$232,$O124)</f>
        <v/>
      </c>
      <c r="L124" s="4">
        <f>INDEX('Draft Engine'!$U$3:$U$232,$O124)</f>
        <v/>
      </c>
      <c r="M124" s="4">
        <f>INDEX('Draft Engine'!$W$3:$W$232,$O124)</f>
        <v/>
      </c>
      <c r="N124">
        <f>INDEX('Draft Engine'!$T$3:$T$232,$O124)</f>
        <v/>
      </c>
      <c r="O124" s="6">
        <f>MATCH($A124,'Draft Engine'!$Q$3:$Q$232,0)</f>
        <v/>
      </c>
    </row>
    <row r="125">
      <c r="A125">
        <f>123</f>
        <v/>
      </c>
      <c r="B125">
        <f>INDEX('Draft Engine'!$A$3:$A$232,$O125)</f>
        <v/>
      </c>
      <c r="C125">
        <f>INDEX('Draft Engine'!$F$3:$F$232,$O125)</f>
        <v/>
      </c>
      <c r="D125">
        <f>INDEX('Draft Engine'!$B$3:$B$232,$O125)</f>
        <v/>
      </c>
      <c r="E125" s="4">
        <f>INDEX('Draft Engine'!$N$3:$N$232,$O125)</f>
        <v/>
      </c>
      <c r="F125" s="4">
        <f>INDEX('Draft Engine'!$E$3:$E$232,$O125)</f>
        <v/>
      </c>
      <c r="G125" s="4">
        <f>INDEX('Draft Engine'!$G$3:$G$232,$O125)</f>
        <v/>
      </c>
      <c r="H125" s="4">
        <f>INDEX('Draft Engine'!$J$3:$J$232,$O125)</f>
        <v/>
      </c>
      <c r="I125" s="4">
        <f>INDEX('Draft Engine'!$L$3:$L$232,$O125)</f>
        <v/>
      </c>
      <c r="J125" s="4">
        <f>INDEX('Draft Engine'!$R$3:$R$232,$O125)</f>
        <v/>
      </c>
      <c r="K125" s="4">
        <f>INDEX('Draft Engine'!$S$3:$S$232,$O125)</f>
        <v/>
      </c>
      <c r="L125" s="4">
        <f>INDEX('Draft Engine'!$U$3:$U$232,$O125)</f>
        <v/>
      </c>
      <c r="M125" s="4">
        <f>INDEX('Draft Engine'!$W$3:$W$232,$O125)</f>
        <v/>
      </c>
      <c r="N125">
        <f>INDEX('Draft Engine'!$T$3:$T$232,$O125)</f>
        <v/>
      </c>
      <c r="O125" s="6">
        <f>MATCH($A125,'Draft Engine'!$Q$3:$Q$232,0)</f>
        <v/>
      </c>
    </row>
    <row r="126">
      <c r="A126">
        <f>124</f>
        <v/>
      </c>
      <c r="B126">
        <f>INDEX('Draft Engine'!$A$3:$A$232,$O126)</f>
        <v/>
      </c>
      <c r="C126">
        <f>INDEX('Draft Engine'!$F$3:$F$232,$O126)</f>
        <v/>
      </c>
      <c r="D126">
        <f>INDEX('Draft Engine'!$B$3:$B$232,$O126)</f>
        <v/>
      </c>
      <c r="E126" s="4">
        <f>INDEX('Draft Engine'!$N$3:$N$232,$O126)</f>
        <v/>
      </c>
      <c r="F126" s="4">
        <f>INDEX('Draft Engine'!$E$3:$E$232,$O126)</f>
        <v/>
      </c>
      <c r="G126" s="4">
        <f>INDEX('Draft Engine'!$G$3:$G$232,$O126)</f>
        <v/>
      </c>
      <c r="H126" s="4">
        <f>INDEX('Draft Engine'!$J$3:$J$232,$O126)</f>
        <v/>
      </c>
      <c r="I126" s="4">
        <f>INDEX('Draft Engine'!$L$3:$L$232,$O126)</f>
        <v/>
      </c>
      <c r="J126" s="4">
        <f>INDEX('Draft Engine'!$R$3:$R$232,$O126)</f>
        <v/>
      </c>
      <c r="K126" s="4">
        <f>INDEX('Draft Engine'!$S$3:$S$232,$O126)</f>
        <v/>
      </c>
      <c r="L126" s="4">
        <f>INDEX('Draft Engine'!$U$3:$U$232,$O126)</f>
        <v/>
      </c>
      <c r="M126" s="4">
        <f>INDEX('Draft Engine'!$W$3:$W$232,$O126)</f>
        <v/>
      </c>
      <c r="N126">
        <f>INDEX('Draft Engine'!$T$3:$T$232,$O126)</f>
        <v/>
      </c>
      <c r="O126" s="6">
        <f>MATCH($A126,'Draft Engine'!$Q$3:$Q$232,0)</f>
        <v/>
      </c>
    </row>
    <row r="127">
      <c r="A127">
        <f>125</f>
        <v/>
      </c>
      <c r="B127">
        <f>INDEX('Draft Engine'!$A$3:$A$232,$O127)</f>
        <v/>
      </c>
      <c r="C127">
        <f>INDEX('Draft Engine'!$F$3:$F$232,$O127)</f>
        <v/>
      </c>
      <c r="D127">
        <f>INDEX('Draft Engine'!$B$3:$B$232,$O127)</f>
        <v/>
      </c>
      <c r="E127" s="4">
        <f>INDEX('Draft Engine'!$N$3:$N$232,$O127)</f>
        <v/>
      </c>
      <c r="F127" s="4">
        <f>INDEX('Draft Engine'!$E$3:$E$232,$O127)</f>
        <v/>
      </c>
      <c r="G127" s="4">
        <f>INDEX('Draft Engine'!$G$3:$G$232,$O127)</f>
        <v/>
      </c>
      <c r="H127" s="4">
        <f>INDEX('Draft Engine'!$J$3:$J$232,$O127)</f>
        <v/>
      </c>
      <c r="I127" s="4">
        <f>INDEX('Draft Engine'!$L$3:$L$232,$O127)</f>
        <v/>
      </c>
      <c r="J127" s="4">
        <f>INDEX('Draft Engine'!$R$3:$R$232,$O127)</f>
        <v/>
      </c>
      <c r="K127" s="4">
        <f>INDEX('Draft Engine'!$S$3:$S$232,$O127)</f>
        <v/>
      </c>
      <c r="L127" s="4">
        <f>INDEX('Draft Engine'!$U$3:$U$232,$O127)</f>
        <v/>
      </c>
      <c r="M127" s="4">
        <f>INDEX('Draft Engine'!$W$3:$W$232,$O127)</f>
        <v/>
      </c>
      <c r="N127">
        <f>INDEX('Draft Engine'!$T$3:$T$232,$O127)</f>
        <v/>
      </c>
      <c r="O127" s="6">
        <f>MATCH($A127,'Draft Engine'!$Q$3:$Q$232,0)</f>
        <v/>
      </c>
    </row>
    <row r="128">
      <c r="A128">
        <f>126</f>
        <v/>
      </c>
      <c r="B128">
        <f>INDEX('Draft Engine'!$A$3:$A$232,$O128)</f>
        <v/>
      </c>
      <c r="C128">
        <f>INDEX('Draft Engine'!$F$3:$F$232,$O128)</f>
        <v/>
      </c>
      <c r="D128">
        <f>INDEX('Draft Engine'!$B$3:$B$232,$O128)</f>
        <v/>
      </c>
      <c r="E128" s="4">
        <f>INDEX('Draft Engine'!$N$3:$N$232,$O128)</f>
        <v/>
      </c>
      <c r="F128" s="4">
        <f>INDEX('Draft Engine'!$E$3:$E$232,$O128)</f>
        <v/>
      </c>
      <c r="G128" s="4">
        <f>INDEX('Draft Engine'!$G$3:$G$232,$O128)</f>
        <v/>
      </c>
      <c r="H128" s="4">
        <f>INDEX('Draft Engine'!$J$3:$J$232,$O128)</f>
        <v/>
      </c>
      <c r="I128" s="4">
        <f>INDEX('Draft Engine'!$L$3:$L$232,$O128)</f>
        <v/>
      </c>
      <c r="J128" s="4">
        <f>INDEX('Draft Engine'!$R$3:$R$232,$O128)</f>
        <v/>
      </c>
      <c r="K128" s="4">
        <f>INDEX('Draft Engine'!$S$3:$S$232,$O128)</f>
        <v/>
      </c>
      <c r="L128" s="4">
        <f>INDEX('Draft Engine'!$U$3:$U$232,$O128)</f>
        <v/>
      </c>
      <c r="M128" s="4">
        <f>INDEX('Draft Engine'!$W$3:$W$232,$O128)</f>
        <v/>
      </c>
      <c r="N128">
        <f>INDEX('Draft Engine'!$T$3:$T$232,$O128)</f>
        <v/>
      </c>
      <c r="O128" s="6">
        <f>MATCH($A128,'Draft Engine'!$Q$3:$Q$232,0)</f>
        <v/>
      </c>
    </row>
    <row r="129">
      <c r="A129">
        <f>127</f>
        <v/>
      </c>
      <c r="B129">
        <f>INDEX('Draft Engine'!$A$3:$A$232,$O129)</f>
        <v/>
      </c>
      <c r="C129">
        <f>INDEX('Draft Engine'!$F$3:$F$232,$O129)</f>
        <v/>
      </c>
      <c r="D129">
        <f>INDEX('Draft Engine'!$B$3:$B$232,$O129)</f>
        <v/>
      </c>
      <c r="E129" s="4">
        <f>INDEX('Draft Engine'!$N$3:$N$232,$O129)</f>
        <v/>
      </c>
      <c r="F129" s="4">
        <f>INDEX('Draft Engine'!$E$3:$E$232,$O129)</f>
        <v/>
      </c>
      <c r="G129" s="4">
        <f>INDEX('Draft Engine'!$G$3:$G$232,$O129)</f>
        <v/>
      </c>
      <c r="H129" s="4">
        <f>INDEX('Draft Engine'!$J$3:$J$232,$O129)</f>
        <v/>
      </c>
      <c r="I129" s="4">
        <f>INDEX('Draft Engine'!$L$3:$L$232,$O129)</f>
        <v/>
      </c>
      <c r="J129" s="4">
        <f>INDEX('Draft Engine'!$R$3:$R$232,$O129)</f>
        <v/>
      </c>
      <c r="K129" s="4">
        <f>INDEX('Draft Engine'!$S$3:$S$232,$O129)</f>
        <v/>
      </c>
      <c r="L129" s="4">
        <f>INDEX('Draft Engine'!$U$3:$U$232,$O129)</f>
        <v/>
      </c>
      <c r="M129" s="4">
        <f>INDEX('Draft Engine'!$W$3:$W$232,$O129)</f>
        <v/>
      </c>
      <c r="N129">
        <f>INDEX('Draft Engine'!$T$3:$T$232,$O129)</f>
        <v/>
      </c>
      <c r="O129" s="6">
        <f>MATCH($A129,'Draft Engine'!$Q$3:$Q$232,0)</f>
        <v/>
      </c>
    </row>
    <row r="130">
      <c r="A130">
        <f>128</f>
        <v/>
      </c>
      <c r="B130">
        <f>INDEX('Draft Engine'!$A$3:$A$232,$O130)</f>
        <v/>
      </c>
      <c r="C130">
        <f>INDEX('Draft Engine'!$F$3:$F$232,$O130)</f>
        <v/>
      </c>
      <c r="D130">
        <f>INDEX('Draft Engine'!$B$3:$B$232,$O130)</f>
        <v/>
      </c>
      <c r="E130" s="4">
        <f>INDEX('Draft Engine'!$N$3:$N$232,$O130)</f>
        <v/>
      </c>
      <c r="F130" s="4">
        <f>INDEX('Draft Engine'!$E$3:$E$232,$O130)</f>
        <v/>
      </c>
      <c r="G130" s="4">
        <f>INDEX('Draft Engine'!$G$3:$G$232,$O130)</f>
        <v/>
      </c>
      <c r="H130" s="4">
        <f>INDEX('Draft Engine'!$J$3:$J$232,$O130)</f>
        <v/>
      </c>
      <c r="I130" s="4">
        <f>INDEX('Draft Engine'!$L$3:$L$232,$O130)</f>
        <v/>
      </c>
      <c r="J130" s="4">
        <f>INDEX('Draft Engine'!$R$3:$R$232,$O130)</f>
        <v/>
      </c>
      <c r="K130" s="4">
        <f>INDEX('Draft Engine'!$S$3:$S$232,$O130)</f>
        <v/>
      </c>
      <c r="L130" s="4">
        <f>INDEX('Draft Engine'!$U$3:$U$232,$O130)</f>
        <v/>
      </c>
      <c r="M130" s="4">
        <f>INDEX('Draft Engine'!$W$3:$W$232,$O130)</f>
        <v/>
      </c>
      <c r="N130">
        <f>INDEX('Draft Engine'!$T$3:$T$232,$O130)</f>
        <v/>
      </c>
      <c r="O130" s="6">
        <f>MATCH($A130,'Draft Engine'!$Q$3:$Q$232,0)</f>
        <v/>
      </c>
    </row>
    <row r="131">
      <c r="A131">
        <f>129</f>
        <v/>
      </c>
      <c r="B131">
        <f>INDEX('Draft Engine'!$A$3:$A$232,$O131)</f>
        <v/>
      </c>
      <c r="C131">
        <f>INDEX('Draft Engine'!$F$3:$F$232,$O131)</f>
        <v/>
      </c>
      <c r="D131">
        <f>INDEX('Draft Engine'!$B$3:$B$232,$O131)</f>
        <v/>
      </c>
      <c r="E131" s="4">
        <f>INDEX('Draft Engine'!$N$3:$N$232,$O131)</f>
        <v/>
      </c>
      <c r="F131" s="4">
        <f>INDEX('Draft Engine'!$E$3:$E$232,$O131)</f>
        <v/>
      </c>
      <c r="G131" s="4">
        <f>INDEX('Draft Engine'!$G$3:$G$232,$O131)</f>
        <v/>
      </c>
      <c r="H131" s="4">
        <f>INDEX('Draft Engine'!$J$3:$J$232,$O131)</f>
        <v/>
      </c>
      <c r="I131" s="4">
        <f>INDEX('Draft Engine'!$L$3:$L$232,$O131)</f>
        <v/>
      </c>
      <c r="J131" s="4">
        <f>INDEX('Draft Engine'!$R$3:$R$232,$O131)</f>
        <v/>
      </c>
      <c r="K131" s="4">
        <f>INDEX('Draft Engine'!$S$3:$S$232,$O131)</f>
        <v/>
      </c>
      <c r="L131" s="4">
        <f>INDEX('Draft Engine'!$U$3:$U$232,$O131)</f>
        <v/>
      </c>
      <c r="M131" s="4">
        <f>INDEX('Draft Engine'!$W$3:$W$232,$O131)</f>
        <v/>
      </c>
      <c r="N131">
        <f>INDEX('Draft Engine'!$T$3:$T$232,$O131)</f>
        <v/>
      </c>
      <c r="O131" s="6">
        <f>MATCH($A131,'Draft Engine'!$Q$3:$Q$232,0)</f>
        <v/>
      </c>
    </row>
    <row r="132">
      <c r="A132">
        <f>130</f>
        <v/>
      </c>
      <c r="B132">
        <f>INDEX('Draft Engine'!$A$3:$A$232,$O132)</f>
        <v/>
      </c>
      <c r="C132">
        <f>INDEX('Draft Engine'!$F$3:$F$232,$O132)</f>
        <v/>
      </c>
      <c r="D132">
        <f>INDEX('Draft Engine'!$B$3:$B$232,$O132)</f>
        <v/>
      </c>
      <c r="E132" s="4">
        <f>INDEX('Draft Engine'!$N$3:$N$232,$O132)</f>
        <v/>
      </c>
      <c r="F132" s="4">
        <f>INDEX('Draft Engine'!$E$3:$E$232,$O132)</f>
        <v/>
      </c>
      <c r="G132" s="4">
        <f>INDEX('Draft Engine'!$G$3:$G$232,$O132)</f>
        <v/>
      </c>
      <c r="H132" s="4">
        <f>INDEX('Draft Engine'!$J$3:$J$232,$O132)</f>
        <v/>
      </c>
      <c r="I132" s="4">
        <f>INDEX('Draft Engine'!$L$3:$L$232,$O132)</f>
        <v/>
      </c>
      <c r="J132" s="4">
        <f>INDEX('Draft Engine'!$R$3:$R$232,$O132)</f>
        <v/>
      </c>
      <c r="K132" s="4">
        <f>INDEX('Draft Engine'!$S$3:$S$232,$O132)</f>
        <v/>
      </c>
      <c r="L132" s="4">
        <f>INDEX('Draft Engine'!$U$3:$U$232,$O132)</f>
        <v/>
      </c>
      <c r="M132" s="4">
        <f>INDEX('Draft Engine'!$W$3:$W$232,$O132)</f>
        <v/>
      </c>
      <c r="N132">
        <f>INDEX('Draft Engine'!$T$3:$T$232,$O132)</f>
        <v/>
      </c>
      <c r="O132" s="6">
        <f>MATCH($A132,'Draft Engine'!$Q$3:$Q$232,0)</f>
        <v/>
      </c>
    </row>
    <row r="133">
      <c r="A133">
        <f>131</f>
        <v/>
      </c>
      <c r="B133">
        <f>INDEX('Draft Engine'!$A$3:$A$232,$O133)</f>
        <v/>
      </c>
      <c r="C133">
        <f>INDEX('Draft Engine'!$F$3:$F$232,$O133)</f>
        <v/>
      </c>
      <c r="D133">
        <f>INDEX('Draft Engine'!$B$3:$B$232,$O133)</f>
        <v/>
      </c>
      <c r="E133" s="4">
        <f>INDEX('Draft Engine'!$N$3:$N$232,$O133)</f>
        <v/>
      </c>
      <c r="F133" s="4">
        <f>INDEX('Draft Engine'!$E$3:$E$232,$O133)</f>
        <v/>
      </c>
      <c r="G133" s="4">
        <f>INDEX('Draft Engine'!$G$3:$G$232,$O133)</f>
        <v/>
      </c>
      <c r="H133" s="4">
        <f>INDEX('Draft Engine'!$J$3:$J$232,$O133)</f>
        <v/>
      </c>
      <c r="I133" s="4">
        <f>INDEX('Draft Engine'!$L$3:$L$232,$O133)</f>
        <v/>
      </c>
      <c r="J133" s="4">
        <f>INDEX('Draft Engine'!$R$3:$R$232,$O133)</f>
        <v/>
      </c>
      <c r="K133" s="4">
        <f>INDEX('Draft Engine'!$S$3:$S$232,$O133)</f>
        <v/>
      </c>
      <c r="L133" s="4">
        <f>INDEX('Draft Engine'!$U$3:$U$232,$O133)</f>
        <v/>
      </c>
      <c r="M133" s="4">
        <f>INDEX('Draft Engine'!$W$3:$W$232,$O133)</f>
        <v/>
      </c>
      <c r="N133">
        <f>INDEX('Draft Engine'!$T$3:$T$232,$O133)</f>
        <v/>
      </c>
      <c r="O133" s="6">
        <f>MATCH($A133,'Draft Engine'!$Q$3:$Q$232,0)</f>
        <v/>
      </c>
    </row>
    <row r="134">
      <c r="A134">
        <f>132</f>
        <v/>
      </c>
      <c r="B134">
        <f>INDEX('Draft Engine'!$A$3:$A$232,$O134)</f>
        <v/>
      </c>
      <c r="C134">
        <f>INDEX('Draft Engine'!$F$3:$F$232,$O134)</f>
        <v/>
      </c>
      <c r="D134">
        <f>INDEX('Draft Engine'!$B$3:$B$232,$O134)</f>
        <v/>
      </c>
      <c r="E134" s="4">
        <f>INDEX('Draft Engine'!$N$3:$N$232,$O134)</f>
        <v/>
      </c>
      <c r="F134" s="4">
        <f>INDEX('Draft Engine'!$E$3:$E$232,$O134)</f>
        <v/>
      </c>
      <c r="G134" s="4">
        <f>INDEX('Draft Engine'!$G$3:$G$232,$O134)</f>
        <v/>
      </c>
      <c r="H134" s="4">
        <f>INDEX('Draft Engine'!$J$3:$J$232,$O134)</f>
        <v/>
      </c>
      <c r="I134" s="4">
        <f>INDEX('Draft Engine'!$L$3:$L$232,$O134)</f>
        <v/>
      </c>
      <c r="J134" s="4">
        <f>INDEX('Draft Engine'!$R$3:$R$232,$O134)</f>
        <v/>
      </c>
      <c r="K134" s="4">
        <f>INDEX('Draft Engine'!$S$3:$S$232,$O134)</f>
        <v/>
      </c>
      <c r="L134" s="4">
        <f>INDEX('Draft Engine'!$U$3:$U$232,$O134)</f>
        <v/>
      </c>
      <c r="M134" s="4">
        <f>INDEX('Draft Engine'!$W$3:$W$232,$O134)</f>
        <v/>
      </c>
      <c r="N134">
        <f>INDEX('Draft Engine'!$T$3:$T$232,$O134)</f>
        <v/>
      </c>
      <c r="O134" s="6">
        <f>MATCH($A134,'Draft Engine'!$Q$3:$Q$232,0)</f>
        <v/>
      </c>
    </row>
    <row r="135">
      <c r="A135">
        <f>133</f>
        <v/>
      </c>
      <c r="B135">
        <f>INDEX('Draft Engine'!$A$3:$A$232,$O135)</f>
        <v/>
      </c>
      <c r="C135">
        <f>INDEX('Draft Engine'!$F$3:$F$232,$O135)</f>
        <v/>
      </c>
      <c r="D135">
        <f>INDEX('Draft Engine'!$B$3:$B$232,$O135)</f>
        <v/>
      </c>
      <c r="E135" s="4">
        <f>INDEX('Draft Engine'!$N$3:$N$232,$O135)</f>
        <v/>
      </c>
      <c r="F135" s="4">
        <f>INDEX('Draft Engine'!$E$3:$E$232,$O135)</f>
        <v/>
      </c>
      <c r="G135" s="4">
        <f>INDEX('Draft Engine'!$G$3:$G$232,$O135)</f>
        <v/>
      </c>
      <c r="H135" s="4">
        <f>INDEX('Draft Engine'!$J$3:$J$232,$O135)</f>
        <v/>
      </c>
      <c r="I135" s="4">
        <f>INDEX('Draft Engine'!$L$3:$L$232,$O135)</f>
        <v/>
      </c>
      <c r="J135" s="4">
        <f>INDEX('Draft Engine'!$R$3:$R$232,$O135)</f>
        <v/>
      </c>
      <c r="K135" s="4">
        <f>INDEX('Draft Engine'!$S$3:$S$232,$O135)</f>
        <v/>
      </c>
      <c r="L135" s="4">
        <f>INDEX('Draft Engine'!$U$3:$U$232,$O135)</f>
        <v/>
      </c>
      <c r="M135" s="4">
        <f>INDEX('Draft Engine'!$W$3:$W$232,$O135)</f>
        <v/>
      </c>
      <c r="N135">
        <f>INDEX('Draft Engine'!$T$3:$T$232,$O135)</f>
        <v/>
      </c>
      <c r="O135" s="6">
        <f>MATCH($A135,'Draft Engine'!$Q$3:$Q$232,0)</f>
        <v/>
      </c>
    </row>
    <row r="136">
      <c r="A136">
        <f>134</f>
        <v/>
      </c>
      <c r="B136">
        <f>INDEX('Draft Engine'!$A$3:$A$232,$O136)</f>
        <v/>
      </c>
      <c r="C136">
        <f>INDEX('Draft Engine'!$F$3:$F$232,$O136)</f>
        <v/>
      </c>
      <c r="D136">
        <f>INDEX('Draft Engine'!$B$3:$B$232,$O136)</f>
        <v/>
      </c>
      <c r="E136" s="4">
        <f>INDEX('Draft Engine'!$N$3:$N$232,$O136)</f>
        <v/>
      </c>
      <c r="F136" s="4">
        <f>INDEX('Draft Engine'!$E$3:$E$232,$O136)</f>
        <v/>
      </c>
      <c r="G136" s="4">
        <f>INDEX('Draft Engine'!$G$3:$G$232,$O136)</f>
        <v/>
      </c>
      <c r="H136" s="4">
        <f>INDEX('Draft Engine'!$J$3:$J$232,$O136)</f>
        <v/>
      </c>
      <c r="I136" s="4">
        <f>INDEX('Draft Engine'!$L$3:$L$232,$O136)</f>
        <v/>
      </c>
      <c r="J136" s="4">
        <f>INDEX('Draft Engine'!$R$3:$R$232,$O136)</f>
        <v/>
      </c>
      <c r="K136" s="4">
        <f>INDEX('Draft Engine'!$S$3:$S$232,$O136)</f>
        <v/>
      </c>
      <c r="L136" s="4">
        <f>INDEX('Draft Engine'!$U$3:$U$232,$O136)</f>
        <v/>
      </c>
      <c r="M136" s="4">
        <f>INDEX('Draft Engine'!$W$3:$W$232,$O136)</f>
        <v/>
      </c>
      <c r="N136">
        <f>INDEX('Draft Engine'!$T$3:$T$232,$O136)</f>
        <v/>
      </c>
      <c r="O136" s="6">
        <f>MATCH($A136,'Draft Engine'!$Q$3:$Q$232,0)</f>
        <v/>
      </c>
    </row>
    <row r="137">
      <c r="A137">
        <f>135</f>
        <v/>
      </c>
      <c r="B137">
        <f>INDEX('Draft Engine'!$A$3:$A$232,$O137)</f>
        <v/>
      </c>
      <c r="C137">
        <f>INDEX('Draft Engine'!$F$3:$F$232,$O137)</f>
        <v/>
      </c>
      <c r="D137">
        <f>INDEX('Draft Engine'!$B$3:$B$232,$O137)</f>
        <v/>
      </c>
      <c r="E137" s="4">
        <f>INDEX('Draft Engine'!$N$3:$N$232,$O137)</f>
        <v/>
      </c>
      <c r="F137" s="4">
        <f>INDEX('Draft Engine'!$E$3:$E$232,$O137)</f>
        <v/>
      </c>
      <c r="G137" s="4">
        <f>INDEX('Draft Engine'!$G$3:$G$232,$O137)</f>
        <v/>
      </c>
      <c r="H137" s="4">
        <f>INDEX('Draft Engine'!$J$3:$J$232,$O137)</f>
        <v/>
      </c>
      <c r="I137" s="4">
        <f>INDEX('Draft Engine'!$L$3:$L$232,$O137)</f>
        <v/>
      </c>
      <c r="J137" s="4">
        <f>INDEX('Draft Engine'!$R$3:$R$232,$O137)</f>
        <v/>
      </c>
      <c r="K137" s="4">
        <f>INDEX('Draft Engine'!$S$3:$S$232,$O137)</f>
        <v/>
      </c>
      <c r="L137" s="4">
        <f>INDEX('Draft Engine'!$U$3:$U$232,$O137)</f>
        <v/>
      </c>
      <c r="M137" s="4">
        <f>INDEX('Draft Engine'!$W$3:$W$232,$O137)</f>
        <v/>
      </c>
      <c r="N137">
        <f>INDEX('Draft Engine'!$T$3:$T$232,$O137)</f>
        <v/>
      </c>
      <c r="O137" s="6">
        <f>MATCH($A137,'Draft Engine'!$Q$3:$Q$232,0)</f>
        <v/>
      </c>
    </row>
    <row r="138">
      <c r="A138">
        <f>136</f>
        <v/>
      </c>
      <c r="B138">
        <f>INDEX('Draft Engine'!$A$3:$A$232,$O138)</f>
        <v/>
      </c>
      <c r="C138">
        <f>INDEX('Draft Engine'!$F$3:$F$232,$O138)</f>
        <v/>
      </c>
      <c r="D138">
        <f>INDEX('Draft Engine'!$B$3:$B$232,$O138)</f>
        <v/>
      </c>
      <c r="E138" s="4">
        <f>INDEX('Draft Engine'!$N$3:$N$232,$O138)</f>
        <v/>
      </c>
      <c r="F138" s="4">
        <f>INDEX('Draft Engine'!$E$3:$E$232,$O138)</f>
        <v/>
      </c>
      <c r="G138" s="4">
        <f>INDEX('Draft Engine'!$G$3:$G$232,$O138)</f>
        <v/>
      </c>
      <c r="H138" s="4">
        <f>INDEX('Draft Engine'!$J$3:$J$232,$O138)</f>
        <v/>
      </c>
      <c r="I138" s="4">
        <f>INDEX('Draft Engine'!$L$3:$L$232,$O138)</f>
        <v/>
      </c>
      <c r="J138" s="4">
        <f>INDEX('Draft Engine'!$R$3:$R$232,$O138)</f>
        <v/>
      </c>
      <c r="K138" s="4">
        <f>INDEX('Draft Engine'!$S$3:$S$232,$O138)</f>
        <v/>
      </c>
      <c r="L138" s="4">
        <f>INDEX('Draft Engine'!$U$3:$U$232,$O138)</f>
        <v/>
      </c>
      <c r="M138" s="4">
        <f>INDEX('Draft Engine'!$W$3:$W$232,$O138)</f>
        <v/>
      </c>
      <c r="N138">
        <f>INDEX('Draft Engine'!$T$3:$T$232,$O138)</f>
        <v/>
      </c>
      <c r="O138" s="6">
        <f>MATCH($A138,'Draft Engine'!$Q$3:$Q$232,0)</f>
        <v/>
      </c>
    </row>
    <row r="139">
      <c r="A139">
        <f>137</f>
        <v/>
      </c>
      <c r="B139">
        <f>INDEX('Draft Engine'!$A$3:$A$232,$O139)</f>
        <v/>
      </c>
      <c r="C139">
        <f>INDEX('Draft Engine'!$F$3:$F$232,$O139)</f>
        <v/>
      </c>
      <c r="D139">
        <f>INDEX('Draft Engine'!$B$3:$B$232,$O139)</f>
        <v/>
      </c>
      <c r="E139" s="4">
        <f>INDEX('Draft Engine'!$N$3:$N$232,$O139)</f>
        <v/>
      </c>
      <c r="F139" s="4">
        <f>INDEX('Draft Engine'!$E$3:$E$232,$O139)</f>
        <v/>
      </c>
      <c r="G139" s="4">
        <f>INDEX('Draft Engine'!$G$3:$G$232,$O139)</f>
        <v/>
      </c>
      <c r="H139" s="4">
        <f>INDEX('Draft Engine'!$J$3:$J$232,$O139)</f>
        <v/>
      </c>
      <c r="I139" s="4">
        <f>INDEX('Draft Engine'!$L$3:$L$232,$O139)</f>
        <v/>
      </c>
      <c r="J139" s="4">
        <f>INDEX('Draft Engine'!$R$3:$R$232,$O139)</f>
        <v/>
      </c>
      <c r="K139" s="4">
        <f>INDEX('Draft Engine'!$S$3:$S$232,$O139)</f>
        <v/>
      </c>
      <c r="L139" s="4">
        <f>INDEX('Draft Engine'!$U$3:$U$232,$O139)</f>
        <v/>
      </c>
      <c r="M139" s="4">
        <f>INDEX('Draft Engine'!$W$3:$W$232,$O139)</f>
        <v/>
      </c>
      <c r="N139">
        <f>INDEX('Draft Engine'!$T$3:$T$232,$O139)</f>
        <v/>
      </c>
      <c r="O139" s="6">
        <f>MATCH($A139,'Draft Engine'!$Q$3:$Q$232,0)</f>
        <v/>
      </c>
    </row>
    <row r="140">
      <c r="A140">
        <f>138</f>
        <v/>
      </c>
      <c r="B140">
        <f>INDEX('Draft Engine'!$A$3:$A$232,$O140)</f>
        <v/>
      </c>
      <c r="C140">
        <f>INDEX('Draft Engine'!$F$3:$F$232,$O140)</f>
        <v/>
      </c>
      <c r="D140">
        <f>INDEX('Draft Engine'!$B$3:$B$232,$O140)</f>
        <v/>
      </c>
      <c r="E140" s="4">
        <f>INDEX('Draft Engine'!$N$3:$N$232,$O140)</f>
        <v/>
      </c>
      <c r="F140" s="4">
        <f>INDEX('Draft Engine'!$E$3:$E$232,$O140)</f>
        <v/>
      </c>
      <c r="G140" s="4">
        <f>INDEX('Draft Engine'!$G$3:$G$232,$O140)</f>
        <v/>
      </c>
      <c r="H140" s="4">
        <f>INDEX('Draft Engine'!$J$3:$J$232,$O140)</f>
        <v/>
      </c>
      <c r="I140" s="4">
        <f>INDEX('Draft Engine'!$L$3:$L$232,$O140)</f>
        <v/>
      </c>
      <c r="J140" s="4">
        <f>INDEX('Draft Engine'!$R$3:$R$232,$O140)</f>
        <v/>
      </c>
      <c r="K140" s="4">
        <f>INDEX('Draft Engine'!$S$3:$S$232,$O140)</f>
        <v/>
      </c>
      <c r="L140" s="4">
        <f>INDEX('Draft Engine'!$U$3:$U$232,$O140)</f>
        <v/>
      </c>
      <c r="M140" s="4">
        <f>INDEX('Draft Engine'!$W$3:$W$232,$O140)</f>
        <v/>
      </c>
      <c r="N140">
        <f>INDEX('Draft Engine'!$T$3:$T$232,$O140)</f>
        <v/>
      </c>
      <c r="O140" s="6">
        <f>MATCH($A140,'Draft Engine'!$Q$3:$Q$232,0)</f>
        <v/>
      </c>
    </row>
    <row r="141">
      <c r="A141">
        <f>139</f>
        <v/>
      </c>
      <c r="B141">
        <f>INDEX('Draft Engine'!$A$3:$A$232,$O141)</f>
        <v/>
      </c>
      <c r="C141">
        <f>INDEX('Draft Engine'!$F$3:$F$232,$O141)</f>
        <v/>
      </c>
      <c r="D141">
        <f>INDEX('Draft Engine'!$B$3:$B$232,$O141)</f>
        <v/>
      </c>
      <c r="E141" s="4">
        <f>INDEX('Draft Engine'!$N$3:$N$232,$O141)</f>
        <v/>
      </c>
      <c r="F141" s="4">
        <f>INDEX('Draft Engine'!$E$3:$E$232,$O141)</f>
        <v/>
      </c>
      <c r="G141" s="4">
        <f>INDEX('Draft Engine'!$G$3:$G$232,$O141)</f>
        <v/>
      </c>
      <c r="H141" s="4">
        <f>INDEX('Draft Engine'!$J$3:$J$232,$O141)</f>
        <v/>
      </c>
      <c r="I141" s="4">
        <f>INDEX('Draft Engine'!$L$3:$L$232,$O141)</f>
        <v/>
      </c>
      <c r="J141" s="4">
        <f>INDEX('Draft Engine'!$R$3:$R$232,$O141)</f>
        <v/>
      </c>
      <c r="K141" s="4">
        <f>INDEX('Draft Engine'!$S$3:$S$232,$O141)</f>
        <v/>
      </c>
      <c r="L141" s="4">
        <f>INDEX('Draft Engine'!$U$3:$U$232,$O141)</f>
        <v/>
      </c>
      <c r="M141" s="4">
        <f>INDEX('Draft Engine'!$W$3:$W$232,$O141)</f>
        <v/>
      </c>
      <c r="N141">
        <f>INDEX('Draft Engine'!$T$3:$T$232,$O141)</f>
        <v/>
      </c>
      <c r="O141" s="6">
        <f>MATCH($A141,'Draft Engine'!$Q$3:$Q$232,0)</f>
        <v/>
      </c>
    </row>
    <row r="142">
      <c r="A142">
        <f>140</f>
        <v/>
      </c>
      <c r="B142">
        <f>INDEX('Draft Engine'!$A$3:$A$232,$O142)</f>
        <v/>
      </c>
      <c r="C142">
        <f>INDEX('Draft Engine'!$F$3:$F$232,$O142)</f>
        <v/>
      </c>
      <c r="D142">
        <f>INDEX('Draft Engine'!$B$3:$B$232,$O142)</f>
        <v/>
      </c>
      <c r="E142" s="4">
        <f>INDEX('Draft Engine'!$N$3:$N$232,$O142)</f>
        <v/>
      </c>
      <c r="F142" s="4">
        <f>INDEX('Draft Engine'!$E$3:$E$232,$O142)</f>
        <v/>
      </c>
      <c r="G142" s="4">
        <f>INDEX('Draft Engine'!$G$3:$G$232,$O142)</f>
        <v/>
      </c>
      <c r="H142" s="4">
        <f>INDEX('Draft Engine'!$J$3:$J$232,$O142)</f>
        <v/>
      </c>
      <c r="I142" s="4">
        <f>INDEX('Draft Engine'!$L$3:$L$232,$O142)</f>
        <v/>
      </c>
      <c r="J142" s="4">
        <f>INDEX('Draft Engine'!$R$3:$R$232,$O142)</f>
        <v/>
      </c>
      <c r="K142" s="4">
        <f>INDEX('Draft Engine'!$S$3:$S$232,$O142)</f>
        <v/>
      </c>
      <c r="L142" s="4">
        <f>INDEX('Draft Engine'!$U$3:$U$232,$O142)</f>
        <v/>
      </c>
      <c r="M142" s="4">
        <f>INDEX('Draft Engine'!$W$3:$W$232,$O142)</f>
        <v/>
      </c>
      <c r="N142">
        <f>INDEX('Draft Engine'!$T$3:$T$232,$O142)</f>
        <v/>
      </c>
      <c r="O142" s="6">
        <f>MATCH($A142,'Draft Engine'!$Q$3:$Q$232,0)</f>
        <v/>
      </c>
    </row>
    <row r="143">
      <c r="A143">
        <f>141</f>
        <v/>
      </c>
      <c r="B143">
        <f>INDEX('Draft Engine'!$A$3:$A$232,$O143)</f>
        <v/>
      </c>
      <c r="C143">
        <f>INDEX('Draft Engine'!$F$3:$F$232,$O143)</f>
        <v/>
      </c>
      <c r="D143">
        <f>INDEX('Draft Engine'!$B$3:$B$232,$O143)</f>
        <v/>
      </c>
      <c r="E143" s="4">
        <f>INDEX('Draft Engine'!$N$3:$N$232,$O143)</f>
        <v/>
      </c>
      <c r="F143" s="4">
        <f>INDEX('Draft Engine'!$E$3:$E$232,$O143)</f>
        <v/>
      </c>
      <c r="G143" s="4">
        <f>INDEX('Draft Engine'!$G$3:$G$232,$O143)</f>
        <v/>
      </c>
      <c r="H143" s="4">
        <f>INDEX('Draft Engine'!$J$3:$J$232,$O143)</f>
        <v/>
      </c>
      <c r="I143" s="4">
        <f>INDEX('Draft Engine'!$L$3:$L$232,$O143)</f>
        <v/>
      </c>
      <c r="J143" s="4">
        <f>INDEX('Draft Engine'!$R$3:$R$232,$O143)</f>
        <v/>
      </c>
      <c r="K143" s="4">
        <f>INDEX('Draft Engine'!$S$3:$S$232,$O143)</f>
        <v/>
      </c>
      <c r="L143" s="4">
        <f>INDEX('Draft Engine'!$U$3:$U$232,$O143)</f>
        <v/>
      </c>
      <c r="M143" s="4">
        <f>INDEX('Draft Engine'!$W$3:$W$232,$O143)</f>
        <v/>
      </c>
      <c r="N143">
        <f>INDEX('Draft Engine'!$T$3:$T$232,$O143)</f>
        <v/>
      </c>
      <c r="O143" s="6">
        <f>MATCH($A143,'Draft Engine'!$Q$3:$Q$232,0)</f>
        <v/>
      </c>
    </row>
    <row r="144">
      <c r="A144">
        <f>142</f>
        <v/>
      </c>
      <c r="B144">
        <f>INDEX('Draft Engine'!$A$3:$A$232,$O144)</f>
        <v/>
      </c>
      <c r="C144">
        <f>INDEX('Draft Engine'!$F$3:$F$232,$O144)</f>
        <v/>
      </c>
      <c r="D144">
        <f>INDEX('Draft Engine'!$B$3:$B$232,$O144)</f>
        <v/>
      </c>
      <c r="E144" s="4">
        <f>INDEX('Draft Engine'!$N$3:$N$232,$O144)</f>
        <v/>
      </c>
      <c r="F144" s="4">
        <f>INDEX('Draft Engine'!$E$3:$E$232,$O144)</f>
        <v/>
      </c>
      <c r="G144" s="4">
        <f>INDEX('Draft Engine'!$G$3:$G$232,$O144)</f>
        <v/>
      </c>
      <c r="H144" s="4">
        <f>INDEX('Draft Engine'!$J$3:$J$232,$O144)</f>
        <v/>
      </c>
      <c r="I144" s="4">
        <f>INDEX('Draft Engine'!$L$3:$L$232,$O144)</f>
        <v/>
      </c>
      <c r="J144" s="4">
        <f>INDEX('Draft Engine'!$R$3:$R$232,$O144)</f>
        <v/>
      </c>
      <c r="K144" s="4">
        <f>INDEX('Draft Engine'!$S$3:$S$232,$O144)</f>
        <v/>
      </c>
      <c r="L144" s="4">
        <f>INDEX('Draft Engine'!$U$3:$U$232,$O144)</f>
        <v/>
      </c>
      <c r="M144" s="4">
        <f>INDEX('Draft Engine'!$W$3:$W$232,$O144)</f>
        <v/>
      </c>
      <c r="N144">
        <f>INDEX('Draft Engine'!$T$3:$T$232,$O144)</f>
        <v/>
      </c>
      <c r="O144" s="6">
        <f>MATCH($A144,'Draft Engine'!$Q$3:$Q$232,0)</f>
        <v/>
      </c>
    </row>
    <row r="145">
      <c r="A145">
        <f>143</f>
        <v/>
      </c>
      <c r="B145">
        <f>INDEX('Draft Engine'!$A$3:$A$232,$O145)</f>
        <v/>
      </c>
      <c r="C145">
        <f>INDEX('Draft Engine'!$F$3:$F$232,$O145)</f>
        <v/>
      </c>
      <c r="D145">
        <f>INDEX('Draft Engine'!$B$3:$B$232,$O145)</f>
        <v/>
      </c>
      <c r="E145" s="4">
        <f>INDEX('Draft Engine'!$N$3:$N$232,$O145)</f>
        <v/>
      </c>
      <c r="F145" s="4">
        <f>INDEX('Draft Engine'!$E$3:$E$232,$O145)</f>
        <v/>
      </c>
      <c r="G145" s="4">
        <f>INDEX('Draft Engine'!$G$3:$G$232,$O145)</f>
        <v/>
      </c>
      <c r="H145" s="4">
        <f>INDEX('Draft Engine'!$J$3:$J$232,$O145)</f>
        <v/>
      </c>
      <c r="I145" s="4">
        <f>INDEX('Draft Engine'!$L$3:$L$232,$O145)</f>
        <v/>
      </c>
      <c r="J145" s="4">
        <f>INDEX('Draft Engine'!$R$3:$R$232,$O145)</f>
        <v/>
      </c>
      <c r="K145" s="4">
        <f>INDEX('Draft Engine'!$S$3:$S$232,$O145)</f>
        <v/>
      </c>
      <c r="L145" s="4">
        <f>INDEX('Draft Engine'!$U$3:$U$232,$O145)</f>
        <v/>
      </c>
      <c r="M145" s="4">
        <f>INDEX('Draft Engine'!$W$3:$W$232,$O145)</f>
        <v/>
      </c>
      <c r="N145">
        <f>INDEX('Draft Engine'!$T$3:$T$232,$O145)</f>
        <v/>
      </c>
      <c r="O145" s="6">
        <f>MATCH($A145,'Draft Engine'!$Q$3:$Q$232,0)</f>
        <v/>
      </c>
    </row>
    <row r="146">
      <c r="A146">
        <f>144</f>
        <v/>
      </c>
      <c r="B146">
        <f>INDEX('Draft Engine'!$A$3:$A$232,$O146)</f>
        <v/>
      </c>
      <c r="C146">
        <f>INDEX('Draft Engine'!$F$3:$F$232,$O146)</f>
        <v/>
      </c>
      <c r="D146">
        <f>INDEX('Draft Engine'!$B$3:$B$232,$O146)</f>
        <v/>
      </c>
      <c r="E146" s="4">
        <f>INDEX('Draft Engine'!$N$3:$N$232,$O146)</f>
        <v/>
      </c>
      <c r="F146" s="4">
        <f>INDEX('Draft Engine'!$E$3:$E$232,$O146)</f>
        <v/>
      </c>
      <c r="G146" s="4">
        <f>INDEX('Draft Engine'!$G$3:$G$232,$O146)</f>
        <v/>
      </c>
      <c r="H146" s="4">
        <f>INDEX('Draft Engine'!$J$3:$J$232,$O146)</f>
        <v/>
      </c>
      <c r="I146" s="4">
        <f>INDEX('Draft Engine'!$L$3:$L$232,$O146)</f>
        <v/>
      </c>
      <c r="J146" s="4">
        <f>INDEX('Draft Engine'!$R$3:$R$232,$O146)</f>
        <v/>
      </c>
      <c r="K146" s="4">
        <f>INDEX('Draft Engine'!$S$3:$S$232,$O146)</f>
        <v/>
      </c>
      <c r="L146" s="4">
        <f>INDEX('Draft Engine'!$U$3:$U$232,$O146)</f>
        <v/>
      </c>
      <c r="M146" s="4">
        <f>INDEX('Draft Engine'!$W$3:$W$232,$O146)</f>
        <v/>
      </c>
      <c r="N146">
        <f>INDEX('Draft Engine'!$T$3:$T$232,$O146)</f>
        <v/>
      </c>
      <c r="O146" s="6">
        <f>MATCH($A146,'Draft Engine'!$Q$3:$Q$232,0)</f>
        <v/>
      </c>
    </row>
    <row r="147">
      <c r="A147">
        <f>145</f>
        <v/>
      </c>
      <c r="B147">
        <f>INDEX('Draft Engine'!$A$3:$A$232,$O147)</f>
        <v/>
      </c>
      <c r="C147">
        <f>INDEX('Draft Engine'!$F$3:$F$232,$O147)</f>
        <v/>
      </c>
      <c r="D147">
        <f>INDEX('Draft Engine'!$B$3:$B$232,$O147)</f>
        <v/>
      </c>
      <c r="E147" s="4">
        <f>INDEX('Draft Engine'!$N$3:$N$232,$O147)</f>
        <v/>
      </c>
      <c r="F147" s="4">
        <f>INDEX('Draft Engine'!$E$3:$E$232,$O147)</f>
        <v/>
      </c>
      <c r="G147" s="4">
        <f>INDEX('Draft Engine'!$G$3:$G$232,$O147)</f>
        <v/>
      </c>
      <c r="H147" s="4">
        <f>INDEX('Draft Engine'!$J$3:$J$232,$O147)</f>
        <v/>
      </c>
      <c r="I147" s="4">
        <f>INDEX('Draft Engine'!$L$3:$L$232,$O147)</f>
        <v/>
      </c>
      <c r="J147" s="4">
        <f>INDEX('Draft Engine'!$R$3:$R$232,$O147)</f>
        <v/>
      </c>
      <c r="K147" s="4">
        <f>INDEX('Draft Engine'!$S$3:$S$232,$O147)</f>
        <v/>
      </c>
      <c r="L147" s="4">
        <f>INDEX('Draft Engine'!$U$3:$U$232,$O147)</f>
        <v/>
      </c>
      <c r="M147" s="4">
        <f>INDEX('Draft Engine'!$W$3:$W$232,$O147)</f>
        <v/>
      </c>
      <c r="N147">
        <f>INDEX('Draft Engine'!$T$3:$T$232,$O147)</f>
        <v/>
      </c>
      <c r="O147" s="6">
        <f>MATCH($A147,'Draft Engine'!$Q$3:$Q$232,0)</f>
        <v/>
      </c>
    </row>
    <row r="148">
      <c r="A148">
        <f>146</f>
        <v/>
      </c>
      <c r="B148">
        <f>INDEX('Draft Engine'!$A$3:$A$232,$O148)</f>
        <v/>
      </c>
      <c r="C148">
        <f>INDEX('Draft Engine'!$F$3:$F$232,$O148)</f>
        <v/>
      </c>
      <c r="D148">
        <f>INDEX('Draft Engine'!$B$3:$B$232,$O148)</f>
        <v/>
      </c>
      <c r="E148" s="4">
        <f>INDEX('Draft Engine'!$N$3:$N$232,$O148)</f>
        <v/>
      </c>
      <c r="F148" s="4">
        <f>INDEX('Draft Engine'!$E$3:$E$232,$O148)</f>
        <v/>
      </c>
      <c r="G148" s="4">
        <f>INDEX('Draft Engine'!$G$3:$G$232,$O148)</f>
        <v/>
      </c>
      <c r="H148" s="4">
        <f>INDEX('Draft Engine'!$J$3:$J$232,$O148)</f>
        <v/>
      </c>
      <c r="I148" s="4">
        <f>INDEX('Draft Engine'!$L$3:$L$232,$O148)</f>
        <v/>
      </c>
      <c r="J148" s="4">
        <f>INDEX('Draft Engine'!$R$3:$R$232,$O148)</f>
        <v/>
      </c>
      <c r="K148" s="4">
        <f>INDEX('Draft Engine'!$S$3:$S$232,$O148)</f>
        <v/>
      </c>
      <c r="L148" s="4">
        <f>INDEX('Draft Engine'!$U$3:$U$232,$O148)</f>
        <v/>
      </c>
      <c r="M148" s="4">
        <f>INDEX('Draft Engine'!$W$3:$W$232,$O148)</f>
        <v/>
      </c>
      <c r="N148">
        <f>INDEX('Draft Engine'!$T$3:$T$232,$O148)</f>
        <v/>
      </c>
      <c r="O148" s="6">
        <f>MATCH($A148,'Draft Engine'!$Q$3:$Q$232,0)</f>
        <v/>
      </c>
    </row>
    <row r="149">
      <c r="A149">
        <f>147</f>
        <v/>
      </c>
      <c r="B149">
        <f>INDEX('Draft Engine'!$A$3:$A$232,$O149)</f>
        <v/>
      </c>
      <c r="C149">
        <f>INDEX('Draft Engine'!$F$3:$F$232,$O149)</f>
        <v/>
      </c>
      <c r="D149">
        <f>INDEX('Draft Engine'!$B$3:$B$232,$O149)</f>
        <v/>
      </c>
      <c r="E149" s="4">
        <f>INDEX('Draft Engine'!$N$3:$N$232,$O149)</f>
        <v/>
      </c>
      <c r="F149" s="4">
        <f>INDEX('Draft Engine'!$E$3:$E$232,$O149)</f>
        <v/>
      </c>
      <c r="G149" s="4">
        <f>INDEX('Draft Engine'!$G$3:$G$232,$O149)</f>
        <v/>
      </c>
      <c r="H149" s="4">
        <f>INDEX('Draft Engine'!$J$3:$J$232,$O149)</f>
        <v/>
      </c>
      <c r="I149" s="4">
        <f>INDEX('Draft Engine'!$L$3:$L$232,$O149)</f>
        <v/>
      </c>
      <c r="J149" s="4">
        <f>INDEX('Draft Engine'!$R$3:$R$232,$O149)</f>
        <v/>
      </c>
      <c r="K149" s="4">
        <f>INDEX('Draft Engine'!$S$3:$S$232,$O149)</f>
        <v/>
      </c>
      <c r="L149" s="4">
        <f>INDEX('Draft Engine'!$U$3:$U$232,$O149)</f>
        <v/>
      </c>
      <c r="M149" s="4">
        <f>INDEX('Draft Engine'!$W$3:$W$232,$O149)</f>
        <v/>
      </c>
      <c r="N149">
        <f>INDEX('Draft Engine'!$T$3:$T$232,$O149)</f>
        <v/>
      </c>
      <c r="O149" s="6">
        <f>MATCH($A149,'Draft Engine'!$Q$3:$Q$232,0)</f>
        <v/>
      </c>
    </row>
    <row r="150">
      <c r="A150">
        <f>148</f>
        <v/>
      </c>
      <c r="B150">
        <f>INDEX('Draft Engine'!$A$3:$A$232,$O150)</f>
        <v/>
      </c>
      <c r="C150">
        <f>INDEX('Draft Engine'!$F$3:$F$232,$O150)</f>
        <v/>
      </c>
      <c r="D150">
        <f>INDEX('Draft Engine'!$B$3:$B$232,$O150)</f>
        <v/>
      </c>
      <c r="E150" s="4">
        <f>INDEX('Draft Engine'!$N$3:$N$232,$O150)</f>
        <v/>
      </c>
      <c r="F150" s="4">
        <f>INDEX('Draft Engine'!$E$3:$E$232,$O150)</f>
        <v/>
      </c>
      <c r="G150" s="4">
        <f>INDEX('Draft Engine'!$G$3:$G$232,$O150)</f>
        <v/>
      </c>
      <c r="H150" s="4">
        <f>INDEX('Draft Engine'!$J$3:$J$232,$O150)</f>
        <v/>
      </c>
      <c r="I150" s="4">
        <f>INDEX('Draft Engine'!$L$3:$L$232,$O150)</f>
        <v/>
      </c>
      <c r="J150" s="4">
        <f>INDEX('Draft Engine'!$R$3:$R$232,$O150)</f>
        <v/>
      </c>
      <c r="K150" s="4">
        <f>INDEX('Draft Engine'!$S$3:$S$232,$O150)</f>
        <v/>
      </c>
      <c r="L150" s="4">
        <f>INDEX('Draft Engine'!$U$3:$U$232,$O150)</f>
        <v/>
      </c>
      <c r="M150" s="4">
        <f>INDEX('Draft Engine'!$W$3:$W$232,$O150)</f>
        <v/>
      </c>
      <c r="N150">
        <f>INDEX('Draft Engine'!$T$3:$T$232,$O150)</f>
        <v/>
      </c>
      <c r="O150" s="6">
        <f>MATCH($A150,'Draft Engine'!$Q$3:$Q$232,0)</f>
        <v/>
      </c>
    </row>
    <row r="151">
      <c r="A151">
        <f>149</f>
        <v/>
      </c>
      <c r="B151">
        <f>INDEX('Draft Engine'!$A$3:$A$232,$O151)</f>
        <v/>
      </c>
      <c r="C151">
        <f>INDEX('Draft Engine'!$F$3:$F$232,$O151)</f>
        <v/>
      </c>
      <c r="D151">
        <f>INDEX('Draft Engine'!$B$3:$B$232,$O151)</f>
        <v/>
      </c>
      <c r="E151" s="4">
        <f>INDEX('Draft Engine'!$N$3:$N$232,$O151)</f>
        <v/>
      </c>
      <c r="F151" s="4">
        <f>INDEX('Draft Engine'!$E$3:$E$232,$O151)</f>
        <v/>
      </c>
      <c r="G151" s="4">
        <f>INDEX('Draft Engine'!$G$3:$G$232,$O151)</f>
        <v/>
      </c>
      <c r="H151" s="4">
        <f>INDEX('Draft Engine'!$J$3:$J$232,$O151)</f>
        <v/>
      </c>
      <c r="I151" s="4">
        <f>INDEX('Draft Engine'!$L$3:$L$232,$O151)</f>
        <v/>
      </c>
      <c r="J151" s="4">
        <f>INDEX('Draft Engine'!$R$3:$R$232,$O151)</f>
        <v/>
      </c>
      <c r="K151" s="4">
        <f>INDEX('Draft Engine'!$S$3:$S$232,$O151)</f>
        <v/>
      </c>
      <c r="L151" s="4">
        <f>INDEX('Draft Engine'!$U$3:$U$232,$O151)</f>
        <v/>
      </c>
      <c r="M151" s="4">
        <f>INDEX('Draft Engine'!$W$3:$W$232,$O151)</f>
        <v/>
      </c>
      <c r="N151">
        <f>INDEX('Draft Engine'!$T$3:$T$232,$O151)</f>
        <v/>
      </c>
      <c r="O151" s="6">
        <f>MATCH($A151,'Draft Engine'!$Q$3:$Q$232,0)</f>
        <v/>
      </c>
    </row>
    <row r="152">
      <c r="A152">
        <f>150</f>
        <v/>
      </c>
      <c r="B152">
        <f>INDEX('Draft Engine'!$A$3:$A$232,$O152)</f>
        <v/>
      </c>
      <c r="C152">
        <f>INDEX('Draft Engine'!$F$3:$F$232,$O152)</f>
        <v/>
      </c>
      <c r="D152">
        <f>INDEX('Draft Engine'!$B$3:$B$232,$O152)</f>
        <v/>
      </c>
      <c r="E152" s="4">
        <f>INDEX('Draft Engine'!$N$3:$N$232,$O152)</f>
        <v/>
      </c>
      <c r="F152" s="4">
        <f>INDEX('Draft Engine'!$E$3:$E$232,$O152)</f>
        <v/>
      </c>
      <c r="G152" s="4">
        <f>INDEX('Draft Engine'!$G$3:$G$232,$O152)</f>
        <v/>
      </c>
      <c r="H152" s="4">
        <f>INDEX('Draft Engine'!$J$3:$J$232,$O152)</f>
        <v/>
      </c>
      <c r="I152" s="4">
        <f>INDEX('Draft Engine'!$L$3:$L$232,$O152)</f>
        <v/>
      </c>
      <c r="J152" s="4">
        <f>INDEX('Draft Engine'!$R$3:$R$232,$O152)</f>
        <v/>
      </c>
      <c r="K152" s="4">
        <f>INDEX('Draft Engine'!$S$3:$S$232,$O152)</f>
        <v/>
      </c>
      <c r="L152" s="4">
        <f>INDEX('Draft Engine'!$U$3:$U$232,$O152)</f>
        <v/>
      </c>
      <c r="M152" s="4">
        <f>INDEX('Draft Engine'!$W$3:$W$232,$O152)</f>
        <v/>
      </c>
      <c r="N152">
        <f>INDEX('Draft Engine'!$T$3:$T$232,$O152)</f>
        <v/>
      </c>
      <c r="O152" s="6">
        <f>MATCH($A152,'Draft Engine'!$Q$3:$Q$232,0)</f>
        <v/>
      </c>
    </row>
    <row r="153">
      <c r="A153">
        <f>151</f>
        <v/>
      </c>
      <c r="B153">
        <f>INDEX('Draft Engine'!$A$3:$A$232,$O153)</f>
        <v/>
      </c>
      <c r="C153">
        <f>INDEX('Draft Engine'!$F$3:$F$232,$O153)</f>
        <v/>
      </c>
      <c r="D153">
        <f>INDEX('Draft Engine'!$B$3:$B$232,$O153)</f>
        <v/>
      </c>
      <c r="E153" s="4">
        <f>INDEX('Draft Engine'!$N$3:$N$232,$O153)</f>
        <v/>
      </c>
      <c r="F153" s="4">
        <f>INDEX('Draft Engine'!$E$3:$E$232,$O153)</f>
        <v/>
      </c>
      <c r="G153" s="4">
        <f>INDEX('Draft Engine'!$G$3:$G$232,$O153)</f>
        <v/>
      </c>
      <c r="H153" s="4">
        <f>INDEX('Draft Engine'!$J$3:$J$232,$O153)</f>
        <v/>
      </c>
      <c r="I153" s="4">
        <f>INDEX('Draft Engine'!$L$3:$L$232,$O153)</f>
        <v/>
      </c>
      <c r="J153" s="4">
        <f>INDEX('Draft Engine'!$R$3:$R$232,$O153)</f>
        <v/>
      </c>
      <c r="K153" s="4">
        <f>INDEX('Draft Engine'!$S$3:$S$232,$O153)</f>
        <v/>
      </c>
      <c r="L153" s="4">
        <f>INDEX('Draft Engine'!$U$3:$U$232,$O153)</f>
        <v/>
      </c>
      <c r="M153" s="4">
        <f>INDEX('Draft Engine'!$W$3:$W$232,$O153)</f>
        <v/>
      </c>
      <c r="N153">
        <f>INDEX('Draft Engine'!$T$3:$T$232,$O153)</f>
        <v/>
      </c>
      <c r="O153" s="6">
        <f>MATCH($A153,'Draft Engine'!$Q$3:$Q$232,0)</f>
        <v/>
      </c>
    </row>
    <row r="154">
      <c r="A154">
        <f>152</f>
        <v/>
      </c>
      <c r="B154">
        <f>INDEX('Draft Engine'!$A$3:$A$232,$O154)</f>
        <v/>
      </c>
      <c r="C154">
        <f>INDEX('Draft Engine'!$F$3:$F$232,$O154)</f>
        <v/>
      </c>
      <c r="D154">
        <f>INDEX('Draft Engine'!$B$3:$B$232,$O154)</f>
        <v/>
      </c>
      <c r="E154" s="4">
        <f>INDEX('Draft Engine'!$N$3:$N$232,$O154)</f>
        <v/>
      </c>
      <c r="F154" s="4">
        <f>INDEX('Draft Engine'!$E$3:$E$232,$O154)</f>
        <v/>
      </c>
      <c r="G154" s="4">
        <f>INDEX('Draft Engine'!$G$3:$G$232,$O154)</f>
        <v/>
      </c>
      <c r="H154" s="4">
        <f>INDEX('Draft Engine'!$J$3:$J$232,$O154)</f>
        <v/>
      </c>
      <c r="I154" s="4">
        <f>INDEX('Draft Engine'!$L$3:$L$232,$O154)</f>
        <v/>
      </c>
      <c r="J154" s="4">
        <f>INDEX('Draft Engine'!$R$3:$R$232,$O154)</f>
        <v/>
      </c>
      <c r="K154" s="4">
        <f>INDEX('Draft Engine'!$S$3:$S$232,$O154)</f>
        <v/>
      </c>
      <c r="L154" s="4">
        <f>INDEX('Draft Engine'!$U$3:$U$232,$O154)</f>
        <v/>
      </c>
      <c r="M154" s="4">
        <f>INDEX('Draft Engine'!$W$3:$W$232,$O154)</f>
        <v/>
      </c>
      <c r="N154">
        <f>INDEX('Draft Engine'!$T$3:$T$232,$O154)</f>
        <v/>
      </c>
      <c r="O154" s="6">
        <f>MATCH($A154,'Draft Engine'!$Q$3:$Q$232,0)</f>
        <v/>
      </c>
    </row>
    <row r="155">
      <c r="A155">
        <f>153</f>
        <v/>
      </c>
      <c r="B155">
        <f>INDEX('Draft Engine'!$A$3:$A$232,$O155)</f>
        <v/>
      </c>
      <c r="C155">
        <f>INDEX('Draft Engine'!$F$3:$F$232,$O155)</f>
        <v/>
      </c>
      <c r="D155">
        <f>INDEX('Draft Engine'!$B$3:$B$232,$O155)</f>
        <v/>
      </c>
      <c r="E155" s="4">
        <f>INDEX('Draft Engine'!$N$3:$N$232,$O155)</f>
        <v/>
      </c>
      <c r="F155" s="4">
        <f>INDEX('Draft Engine'!$E$3:$E$232,$O155)</f>
        <v/>
      </c>
      <c r="G155" s="4">
        <f>INDEX('Draft Engine'!$G$3:$G$232,$O155)</f>
        <v/>
      </c>
      <c r="H155" s="4">
        <f>INDEX('Draft Engine'!$J$3:$J$232,$O155)</f>
        <v/>
      </c>
      <c r="I155" s="4">
        <f>INDEX('Draft Engine'!$L$3:$L$232,$O155)</f>
        <v/>
      </c>
      <c r="J155" s="4">
        <f>INDEX('Draft Engine'!$R$3:$R$232,$O155)</f>
        <v/>
      </c>
      <c r="K155" s="4">
        <f>INDEX('Draft Engine'!$S$3:$S$232,$O155)</f>
        <v/>
      </c>
      <c r="L155" s="4">
        <f>INDEX('Draft Engine'!$U$3:$U$232,$O155)</f>
        <v/>
      </c>
      <c r="M155" s="4">
        <f>INDEX('Draft Engine'!$W$3:$W$232,$O155)</f>
        <v/>
      </c>
      <c r="N155">
        <f>INDEX('Draft Engine'!$T$3:$T$232,$O155)</f>
        <v/>
      </c>
      <c r="O155" s="6">
        <f>MATCH($A155,'Draft Engine'!$Q$3:$Q$232,0)</f>
        <v/>
      </c>
    </row>
    <row r="156">
      <c r="A156">
        <f>154</f>
        <v/>
      </c>
      <c r="B156">
        <f>INDEX('Draft Engine'!$A$3:$A$232,$O156)</f>
        <v/>
      </c>
      <c r="C156">
        <f>INDEX('Draft Engine'!$F$3:$F$232,$O156)</f>
        <v/>
      </c>
      <c r="D156">
        <f>INDEX('Draft Engine'!$B$3:$B$232,$O156)</f>
        <v/>
      </c>
      <c r="E156" s="4">
        <f>INDEX('Draft Engine'!$N$3:$N$232,$O156)</f>
        <v/>
      </c>
      <c r="F156" s="4">
        <f>INDEX('Draft Engine'!$E$3:$E$232,$O156)</f>
        <v/>
      </c>
      <c r="G156" s="4">
        <f>INDEX('Draft Engine'!$G$3:$G$232,$O156)</f>
        <v/>
      </c>
      <c r="H156" s="4">
        <f>INDEX('Draft Engine'!$J$3:$J$232,$O156)</f>
        <v/>
      </c>
      <c r="I156" s="4">
        <f>INDEX('Draft Engine'!$L$3:$L$232,$O156)</f>
        <v/>
      </c>
      <c r="J156" s="4">
        <f>INDEX('Draft Engine'!$R$3:$R$232,$O156)</f>
        <v/>
      </c>
      <c r="K156" s="4">
        <f>INDEX('Draft Engine'!$S$3:$S$232,$O156)</f>
        <v/>
      </c>
      <c r="L156" s="4">
        <f>INDEX('Draft Engine'!$U$3:$U$232,$O156)</f>
        <v/>
      </c>
      <c r="M156" s="4">
        <f>INDEX('Draft Engine'!$W$3:$W$232,$O156)</f>
        <v/>
      </c>
      <c r="N156">
        <f>INDEX('Draft Engine'!$T$3:$T$232,$O156)</f>
        <v/>
      </c>
      <c r="O156" s="6">
        <f>MATCH($A156,'Draft Engine'!$Q$3:$Q$232,0)</f>
        <v/>
      </c>
    </row>
    <row r="157">
      <c r="A157">
        <f>155</f>
        <v/>
      </c>
      <c r="B157">
        <f>INDEX('Draft Engine'!$A$3:$A$232,$O157)</f>
        <v/>
      </c>
      <c r="C157">
        <f>INDEX('Draft Engine'!$F$3:$F$232,$O157)</f>
        <v/>
      </c>
      <c r="D157">
        <f>INDEX('Draft Engine'!$B$3:$B$232,$O157)</f>
        <v/>
      </c>
      <c r="E157" s="4">
        <f>INDEX('Draft Engine'!$N$3:$N$232,$O157)</f>
        <v/>
      </c>
      <c r="F157" s="4">
        <f>INDEX('Draft Engine'!$E$3:$E$232,$O157)</f>
        <v/>
      </c>
      <c r="G157" s="4">
        <f>INDEX('Draft Engine'!$G$3:$G$232,$O157)</f>
        <v/>
      </c>
      <c r="H157" s="4">
        <f>INDEX('Draft Engine'!$J$3:$J$232,$O157)</f>
        <v/>
      </c>
      <c r="I157" s="4">
        <f>INDEX('Draft Engine'!$L$3:$L$232,$O157)</f>
        <v/>
      </c>
      <c r="J157" s="4">
        <f>INDEX('Draft Engine'!$R$3:$R$232,$O157)</f>
        <v/>
      </c>
      <c r="K157" s="4">
        <f>INDEX('Draft Engine'!$S$3:$S$232,$O157)</f>
        <v/>
      </c>
      <c r="L157" s="4">
        <f>INDEX('Draft Engine'!$U$3:$U$232,$O157)</f>
        <v/>
      </c>
      <c r="M157" s="4">
        <f>INDEX('Draft Engine'!$W$3:$W$232,$O157)</f>
        <v/>
      </c>
      <c r="N157">
        <f>INDEX('Draft Engine'!$T$3:$T$232,$O157)</f>
        <v/>
      </c>
      <c r="O157" s="6">
        <f>MATCH($A157,'Draft Engine'!$Q$3:$Q$232,0)</f>
        <v/>
      </c>
    </row>
    <row r="158">
      <c r="A158">
        <f>156</f>
        <v/>
      </c>
      <c r="B158">
        <f>INDEX('Draft Engine'!$A$3:$A$232,$O158)</f>
        <v/>
      </c>
      <c r="C158">
        <f>INDEX('Draft Engine'!$F$3:$F$232,$O158)</f>
        <v/>
      </c>
      <c r="D158">
        <f>INDEX('Draft Engine'!$B$3:$B$232,$O158)</f>
        <v/>
      </c>
      <c r="E158" s="4">
        <f>INDEX('Draft Engine'!$N$3:$N$232,$O158)</f>
        <v/>
      </c>
      <c r="F158" s="4">
        <f>INDEX('Draft Engine'!$E$3:$E$232,$O158)</f>
        <v/>
      </c>
      <c r="G158" s="4">
        <f>INDEX('Draft Engine'!$G$3:$G$232,$O158)</f>
        <v/>
      </c>
      <c r="H158" s="4">
        <f>INDEX('Draft Engine'!$J$3:$J$232,$O158)</f>
        <v/>
      </c>
      <c r="I158" s="4">
        <f>INDEX('Draft Engine'!$L$3:$L$232,$O158)</f>
        <v/>
      </c>
      <c r="J158" s="4">
        <f>INDEX('Draft Engine'!$R$3:$R$232,$O158)</f>
        <v/>
      </c>
      <c r="K158" s="4">
        <f>INDEX('Draft Engine'!$S$3:$S$232,$O158)</f>
        <v/>
      </c>
      <c r="L158" s="4">
        <f>INDEX('Draft Engine'!$U$3:$U$232,$O158)</f>
        <v/>
      </c>
      <c r="M158" s="4">
        <f>INDEX('Draft Engine'!$W$3:$W$232,$O158)</f>
        <v/>
      </c>
      <c r="N158">
        <f>INDEX('Draft Engine'!$T$3:$T$232,$O158)</f>
        <v/>
      </c>
      <c r="O158" s="6">
        <f>MATCH($A158,'Draft Engine'!$Q$3:$Q$232,0)</f>
        <v/>
      </c>
    </row>
    <row r="159">
      <c r="A159">
        <f>157</f>
        <v/>
      </c>
      <c r="B159">
        <f>INDEX('Draft Engine'!$A$3:$A$232,$O159)</f>
        <v/>
      </c>
      <c r="C159">
        <f>INDEX('Draft Engine'!$F$3:$F$232,$O159)</f>
        <v/>
      </c>
      <c r="D159">
        <f>INDEX('Draft Engine'!$B$3:$B$232,$O159)</f>
        <v/>
      </c>
      <c r="E159" s="4">
        <f>INDEX('Draft Engine'!$N$3:$N$232,$O159)</f>
        <v/>
      </c>
      <c r="F159" s="4">
        <f>INDEX('Draft Engine'!$E$3:$E$232,$O159)</f>
        <v/>
      </c>
      <c r="G159" s="4">
        <f>INDEX('Draft Engine'!$G$3:$G$232,$O159)</f>
        <v/>
      </c>
      <c r="H159" s="4">
        <f>INDEX('Draft Engine'!$J$3:$J$232,$O159)</f>
        <v/>
      </c>
      <c r="I159" s="4">
        <f>INDEX('Draft Engine'!$L$3:$L$232,$O159)</f>
        <v/>
      </c>
      <c r="J159" s="4">
        <f>INDEX('Draft Engine'!$R$3:$R$232,$O159)</f>
        <v/>
      </c>
      <c r="K159" s="4">
        <f>INDEX('Draft Engine'!$S$3:$S$232,$O159)</f>
        <v/>
      </c>
      <c r="L159" s="4">
        <f>INDEX('Draft Engine'!$U$3:$U$232,$O159)</f>
        <v/>
      </c>
      <c r="M159" s="4">
        <f>INDEX('Draft Engine'!$W$3:$W$232,$O159)</f>
        <v/>
      </c>
      <c r="N159">
        <f>INDEX('Draft Engine'!$T$3:$T$232,$O159)</f>
        <v/>
      </c>
      <c r="O159" s="6">
        <f>MATCH($A159,'Draft Engine'!$Q$3:$Q$232,0)</f>
        <v/>
      </c>
    </row>
    <row r="160">
      <c r="A160">
        <f>158</f>
        <v/>
      </c>
      <c r="B160">
        <f>INDEX('Draft Engine'!$A$3:$A$232,$O160)</f>
        <v/>
      </c>
      <c r="C160">
        <f>INDEX('Draft Engine'!$F$3:$F$232,$O160)</f>
        <v/>
      </c>
      <c r="D160">
        <f>INDEX('Draft Engine'!$B$3:$B$232,$O160)</f>
        <v/>
      </c>
      <c r="E160" s="4">
        <f>INDEX('Draft Engine'!$N$3:$N$232,$O160)</f>
        <v/>
      </c>
      <c r="F160" s="4">
        <f>INDEX('Draft Engine'!$E$3:$E$232,$O160)</f>
        <v/>
      </c>
      <c r="G160" s="4">
        <f>INDEX('Draft Engine'!$G$3:$G$232,$O160)</f>
        <v/>
      </c>
      <c r="H160" s="4">
        <f>INDEX('Draft Engine'!$J$3:$J$232,$O160)</f>
        <v/>
      </c>
      <c r="I160" s="4">
        <f>INDEX('Draft Engine'!$L$3:$L$232,$O160)</f>
        <v/>
      </c>
      <c r="J160" s="4">
        <f>INDEX('Draft Engine'!$R$3:$R$232,$O160)</f>
        <v/>
      </c>
      <c r="K160" s="4">
        <f>INDEX('Draft Engine'!$S$3:$S$232,$O160)</f>
        <v/>
      </c>
      <c r="L160" s="4">
        <f>INDEX('Draft Engine'!$U$3:$U$232,$O160)</f>
        <v/>
      </c>
      <c r="M160" s="4">
        <f>INDEX('Draft Engine'!$W$3:$W$232,$O160)</f>
        <v/>
      </c>
      <c r="N160">
        <f>INDEX('Draft Engine'!$T$3:$T$232,$O160)</f>
        <v/>
      </c>
      <c r="O160" s="6">
        <f>MATCH($A160,'Draft Engine'!$Q$3:$Q$232,0)</f>
        <v/>
      </c>
    </row>
    <row r="161">
      <c r="A161">
        <f>159</f>
        <v/>
      </c>
      <c r="B161">
        <f>INDEX('Draft Engine'!$A$3:$A$232,$O161)</f>
        <v/>
      </c>
      <c r="C161">
        <f>INDEX('Draft Engine'!$F$3:$F$232,$O161)</f>
        <v/>
      </c>
      <c r="D161">
        <f>INDEX('Draft Engine'!$B$3:$B$232,$O161)</f>
        <v/>
      </c>
      <c r="E161" s="4">
        <f>INDEX('Draft Engine'!$N$3:$N$232,$O161)</f>
        <v/>
      </c>
      <c r="F161" s="4">
        <f>INDEX('Draft Engine'!$E$3:$E$232,$O161)</f>
        <v/>
      </c>
      <c r="G161" s="4">
        <f>INDEX('Draft Engine'!$G$3:$G$232,$O161)</f>
        <v/>
      </c>
      <c r="H161" s="4">
        <f>INDEX('Draft Engine'!$J$3:$J$232,$O161)</f>
        <v/>
      </c>
      <c r="I161" s="4">
        <f>INDEX('Draft Engine'!$L$3:$L$232,$O161)</f>
        <v/>
      </c>
      <c r="J161" s="4">
        <f>INDEX('Draft Engine'!$R$3:$R$232,$O161)</f>
        <v/>
      </c>
      <c r="K161" s="4">
        <f>INDEX('Draft Engine'!$S$3:$S$232,$O161)</f>
        <v/>
      </c>
      <c r="L161" s="4">
        <f>INDEX('Draft Engine'!$U$3:$U$232,$O161)</f>
        <v/>
      </c>
      <c r="M161" s="4">
        <f>INDEX('Draft Engine'!$W$3:$W$232,$O161)</f>
        <v/>
      </c>
      <c r="N161">
        <f>INDEX('Draft Engine'!$T$3:$T$232,$O161)</f>
        <v/>
      </c>
      <c r="O161" s="6">
        <f>MATCH($A161,'Draft Engine'!$Q$3:$Q$232,0)</f>
        <v/>
      </c>
    </row>
    <row r="162">
      <c r="A162">
        <f>160</f>
        <v/>
      </c>
      <c r="B162">
        <f>INDEX('Draft Engine'!$A$3:$A$232,$O162)</f>
        <v/>
      </c>
      <c r="C162">
        <f>INDEX('Draft Engine'!$F$3:$F$232,$O162)</f>
        <v/>
      </c>
      <c r="D162">
        <f>INDEX('Draft Engine'!$B$3:$B$232,$O162)</f>
        <v/>
      </c>
      <c r="E162" s="4">
        <f>INDEX('Draft Engine'!$N$3:$N$232,$O162)</f>
        <v/>
      </c>
      <c r="F162" s="4">
        <f>INDEX('Draft Engine'!$E$3:$E$232,$O162)</f>
        <v/>
      </c>
      <c r="G162" s="4">
        <f>INDEX('Draft Engine'!$G$3:$G$232,$O162)</f>
        <v/>
      </c>
      <c r="H162" s="4">
        <f>INDEX('Draft Engine'!$J$3:$J$232,$O162)</f>
        <v/>
      </c>
      <c r="I162" s="4">
        <f>INDEX('Draft Engine'!$L$3:$L$232,$O162)</f>
        <v/>
      </c>
      <c r="J162" s="4">
        <f>INDEX('Draft Engine'!$R$3:$R$232,$O162)</f>
        <v/>
      </c>
      <c r="K162" s="4">
        <f>INDEX('Draft Engine'!$S$3:$S$232,$O162)</f>
        <v/>
      </c>
      <c r="L162" s="4">
        <f>INDEX('Draft Engine'!$U$3:$U$232,$O162)</f>
        <v/>
      </c>
      <c r="M162" s="4">
        <f>INDEX('Draft Engine'!$W$3:$W$232,$O162)</f>
        <v/>
      </c>
      <c r="N162">
        <f>INDEX('Draft Engine'!$T$3:$T$232,$O162)</f>
        <v/>
      </c>
      <c r="O162" s="6">
        <f>MATCH($A162,'Draft Engine'!$Q$3:$Q$232,0)</f>
        <v/>
      </c>
    </row>
    <row r="163">
      <c r="A163">
        <f>161</f>
        <v/>
      </c>
      <c r="B163">
        <f>INDEX('Draft Engine'!$A$3:$A$232,$O163)</f>
        <v/>
      </c>
      <c r="C163">
        <f>INDEX('Draft Engine'!$F$3:$F$232,$O163)</f>
        <v/>
      </c>
      <c r="D163">
        <f>INDEX('Draft Engine'!$B$3:$B$232,$O163)</f>
        <v/>
      </c>
      <c r="E163" s="4">
        <f>INDEX('Draft Engine'!$N$3:$N$232,$O163)</f>
        <v/>
      </c>
      <c r="F163" s="4">
        <f>INDEX('Draft Engine'!$E$3:$E$232,$O163)</f>
        <v/>
      </c>
      <c r="G163" s="4">
        <f>INDEX('Draft Engine'!$G$3:$G$232,$O163)</f>
        <v/>
      </c>
      <c r="H163" s="4">
        <f>INDEX('Draft Engine'!$J$3:$J$232,$O163)</f>
        <v/>
      </c>
      <c r="I163" s="4">
        <f>INDEX('Draft Engine'!$L$3:$L$232,$O163)</f>
        <v/>
      </c>
      <c r="J163" s="4">
        <f>INDEX('Draft Engine'!$R$3:$R$232,$O163)</f>
        <v/>
      </c>
      <c r="K163" s="4">
        <f>INDEX('Draft Engine'!$S$3:$S$232,$O163)</f>
        <v/>
      </c>
      <c r="L163" s="4">
        <f>INDEX('Draft Engine'!$U$3:$U$232,$O163)</f>
        <v/>
      </c>
      <c r="M163" s="4">
        <f>INDEX('Draft Engine'!$W$3:$W$232,$O163)</f>
        <v/>
      </c>
      <c r="N163">
        <f>INDEX('Draft Engine'!$T$3:$T$232,$O163)</f>
        <v/>
      </c>
      <c r="O163" s="6">
        <f>MATCH($A163,'Draft Engine'!$Q$3:$Q$232,0)</f>
        <v/>
      </c>
    </row>
    <row r="164">
      <c r="A164">
        <f>162</f>
        <v/>
      </c>
      <c r="B164">
        <f>INDEX('Draft Engine'!$A$3:$A$232,$O164)</f>
        <v/>
      </c>
      <c r="C164">
        <f>INDEX('Draft Engine'!$F$3:$F$232,$O164)</f>
        <v/>
      </c>
      <c r="D164">
        <f>INDEX('Draft Engine'!$B$3:$B$232,$O164)</f>
        <v/>
      </c>
      <c r="E164" s="4">
        <f>INDEX('Draft Engine'!$N$3:$N$232,$O164)</f>
        <v/>
      </c>
      <c r="F164" s="4">
        <f>INDEX('Draft Engine'!$E$3:$E$232,$O164)</f>
        <v/>
      </c>
      <c r="G164" s="4">
        <f>INDEX('Draft Engine'!$G$3:$G$232,$O164)</f>
        <v/>
      </c>
      <c r="H164" s="4">
        <f>INDEX('Draft Engine'!$J$3:$J$232,$O164)</f>
        <v/>
      </c>
      <c r="I164" s="4">
        <f>INDEX('Draft Engine'!$L$3:$L$232,$O164)</f>
        <v/>
      </c>
      <c r="J164" s="4">
        <f>INDEX('Draft Engine'!$R$3:$R$232,$O164)</f>
        <v/>
      </c>
      <c r="K164" s="4">
        <f>INDEX('Draft Engine'!$S$3:$S$232,$O164)</f>
        <v/>
      </c>
      <c r="L164" s="4">
        <f>INDEX('Draft Engine'!$U$3:$U$232,$O164)</f>
        <v/>
      </c>
      <c r="M164" s="4">
        <f>INDEX('Draft Engine'!$W$3:$W$232,$O164)</f>
        <v/>
      </c>
      <c r="N164">
        <f>INDEX('Draft Engine'!$T$3:$T$232,$O164)</f>
        <v/>
      </c>
      <c r="O164" s="6">
        <f>MATCH($A164,'Draft Engine'!$Q$3:$Q$232,0)</f>
        <v/>
      </c>
    </row>
    <row r="165">
      <c r="A165">
        <f>163</f>
        <v/>
      </c>
      <c r="B165">
        <f>INDEX('Draft Engine'!$A$3:$A$232,$O165)</f>
        <v/>
      </c>
      <c r="C165">
        <f>INDEX('Draft Engine'!$F$3:$F$232,$O165)</f>
        <v/>
      </c>
      <c r="D165">
        <f>INDEX('Draft Engine'!$B$3:$B$232,$O165)</f>
        <v/>
      </c>
      <c r="E165" s="4">
        <f>INDEX('Draft Engine'!$N$3:$N$232,$O165)</f>
        <v/>
      </c>
      <c r="F165" s="4">
        <f>INDEX('Draft Engine'!$E$3:$E$232,$O165)</f>
        <v/>
      </c>
      <c r="G165" s="4">
        <f>INDEX('Draft Engine'!$G$3:$G$232,$O165)</f>
        <v/>
      </c>
      <c r="H165" s="4">
        <f>INDEX('Draft Engine'!$J$3:$J$232,$O165)</f>
        <v/>
      </c>
      <c r="I165" s="4">
        <f>INDEX('Draft Engine'!$L$3:$L$232,$O165)</f>
        <v/>
      </c>
      <c r="J165" s="4">
        <f>INDEX('Draft Engine'!$R$3:$R$232,$O165)</f>
        <v/>
      </c>
      <c r="K165" s="4">
        <f>INDEX('Draft Engine'!$S$3:$S$232,$O165)</f>
        <v/>
      </c>
      <c r="L165" s="4">
        <f>INDEX('Draft Engine'!$U$3:$U$232,$O165)</f>
        <v/>
      </c>
      <c r="M165" s="4">
        <f>INDEX('Draft Engine'!$W$3:$W$232,$O165)</f>
        <v/>
      </c>
      <c r="N165">
        <f>INDEX('Draft Engine'!$T$3:$T$232,$O165)</f>
        <v/>
      </c>
      <c r="O165" s="6">
        <f>MATCH($A165,'Draft Engine'!$Q$3:$Q$232,0)</f>
        <v/>
      </c>
    </row>
    <row r="166">
      <c r="A166">
        <f>164</f>
        <v/>
      </c>
      <c r="B166">
        <f>INDEX('Draft Engine'!$A$3:$A$232,$O166)</f>
        <v/>
      </c>
      <c r="C166">
        <f>INDEX('Draft Engine'!$F$3:$F$232,$O166)</f>
        <v/>
      </c>
      <c r="D166">
        <f>INDEX('Draft Engine'!$B$3:$B$232,$O166)</f>
        <v/>
      </c>
      <c r="E166" s="4">
        <f>INDEX('Draft Engine'!$N$3:$N$232,$O166)</f>
        <v/>
      </c>
      <c r="F166" s="4">
        <f>INDEX('Draft Engine'!$E$3:$E$232,$O166)</f>
        <v/>
      </c>
      <c r="G166" s="4">
        <f>INDEX('Draft Engine'!$G$3:$G$232,$O166)</f>
        <v/>
      </c>
      <c r="H166" s="4">
        <f>INDEX('Draft Engine'!$J$3:$J$232,$O166)</f>
        <v/>
      </c>
      <c r="I166" s="4">
        <f>INDEX('Draft Engine'!$L$3:$L$232,$O166)</f>
        <v/>
      </c>
      <c r="J166" s="4">
        <f>INDEX('Draft Engine'!$R$3:$R$232,$O166)</f>
        <v/>
      </c>
      <c r="K166" s="4">
        <f>INDEX('Draft Engine'!$S$3:$S$232,$O166)</f>
        <v/>
      </c>
      <c r="L166" s="4">
        <f>INDEX('Draft Engine'!$U$3:$U$232,$O166)</f>
        <v/>
      </c>
      <c r="M166" s="4">
        <f>INDEX('Draft Engine'!$W$3:$W$232,$O166)</f>
        <v/>
      </c>
      <c r="N166">
        <f>INDEX('Draft Engine'!$T$3:$T$232,$O166)</f>
        <v/>
      </c>
      <c r="O166" s="6">
        <f>MATCH($A166,'Draft Engine'!$Q$3:$Q$232,0)</f>
        <v/>
      </c>
    </row>
    <row r="167">
      <c r="A167">
        <f>165</f>
        <v/>
      </c>
      <c r="B167">
        <f>INDEX('Draft Engine'!$A$3:$A$232,$O167)</f>
        <v/>
      </c>
      <c r="C167">
        <f>INDEX('Draft Engine'!$F$3:$F$232,$O167)</f>
        <v/>
      </c>
      <c r="D167">
        <f>INDEX('Draft Engine'!$B$3:$B$232,$O167)</f>
        <v/>
      </c>
      <c r="E167" s="4">
        <f>INDEX('Draft Engine'!$N$3:$N$232,$O167)</f>
        <v/>
      </c>
      <c r="F167" s="4">
        <f>INDEX('Draft Engine'!$E$3:$E$232,$O167)</f>
        <v/>
      </c>
      <c r="G167" s="4">
        <f>INDEX('Draft Engine'!$G$3:$G$232,$O167)</f>
        <v/>
      </c>
      <c r="H167" s="4">
        <f>INDEX('Draft Engine'!$J$3:$J$232,$O167)</f>
        <v/>
      </c>
      <c r="I167" s="4">
        <f>INDEX('Draft Engine'!$L$3:$L$232,$O167)</f>
        <v/>
      </c>
      <c r="J167" s="4">
        <f>INDEX('Draft Engine'!$R$3:$R$232,$O167)</f>
        <v/>
      </c>
      <c r="K167" s="4">
        <f>INDEX('Draft Engine'!$S$3:$S$232,$O167)</f>
        <v/>
      </c>
      <c r="L167" s="4">
        <f>INDEX('Draft Engine'!$U$3:$U$232,$O167)</f>
        <v/>
      </c>
      <c r="M167" s="4">
        <f>INDEX('Draft Engine'!$W$3:$W$232,$O167)</f>
        <v/>
      </c>
      <c r="N167">
        <f>INDEX('Draft Engine'!$T$3:$T$232,$O167)</f>
        <v/>
      </c>
      <c r="O167" s="6">
        <f>MATCH($A167,'Draft Engine'!$Q$3:$Q$232,0)</f>
        <v/>
      </c>
    </row>
    <row r="168">
      <c r="A168">
        <f>166</f>
        <v/>
      </c>
      <c r="B168">
        <f>INDEX('Draft Engine'!$A$3:$A$232,$O168)</f>
        <v/>
      </c>
      <c r="C168">
        <f>INDEX('Draft Engine'!$F$3:$F$232,$O168)</f>
        <v/>
      </c>
      <c r="D168">
        <f>INDEX('Draft Engine'!$B$3:$B$232,$O168)</f>
        <v/>
      </c>
      <c r="E168" s="4">
        <f>INDEX('Draft Engine'!$N$3:$N$232,$O168)</f>
        <v/>
      </c>
      <c r="F168" s="4">
        <f>INDEX('Draft Engine'!$E$3:$E$232,$O168)</f>
        <v/>
      </c>
      <c r="G168" s="4">
        <f>INDEX('Draft Engine'!$G$3:$G$232,$O168)</f>
        <v/>
      </c>
      <c r="H168" s="4">
        <f>INDEX('Draft Engine'!$J$3:$J$232,$O168)</f>
        <v/>
      </c>
      <c r="I168" s="4">
        <f>INDEX('Draft Engine'!$L$3:$L$232,$O168)</f>
        <v/>
      </c>
      <c r="J168" s="4">
        <f>INDEX('Draft Engine'!$R$3:$R$232,$O168)</f>
        <v/>
      </c>
      <c r="K168" s="4">
        <f>INDEX('Draft Engine'!$S$3:$S$232,$O168)</f>
        <v/>
      </c>
      <c r="L168" s="4">
        <f>INDEX('Draft Engine'!$U$3:$U$232,$O168)</f>
        <v/>
      </c>
      <c r="M168" s="4">
        <f>INDEX('Draft Engine'!$W$3:$W$232,$O168)</f>
        <v/>
      </c>
      <c r="N168">
        <f>INDEX('Draft Engine'!$T$3:$T$232,$O168)</f>
        <v/>
      </c>
      <c r="O168" s="6">
        <f>MATCH($A168,'Draft Engine'!$Q$3:$Q$232,0)</f>
        <v/>
      </c>
    </row>
    <row r="169">
      <c r="A169">
        <f>167</f>
        <v/>
      </c>
      <c r="B169">
        <f>INDEX('Draft Engine'!$A$3:$A$232,$O169)</f>
        <v/>
      </c>
      <c r="C169">
        <f>INDEX('Draft Engine'!$F$3:$F$232,$O169)</f>
        <v/>
      </c>
      <c r="D169">
        <f>INDEX('Draft Engine'!$B$3:$B$232,$O169)</f>
        <v/>
      </c>
      <c r="E169" s="4">
        <f>INDEX('Draft Engine'!$N$3:$N$232,$O169)</f>
        <v/>
      </c>
      <c r="F169" s="4">
        <f>INDEX('Draft Engine'!$E$3:$E$232,$O169)</f>
        <v/>
      </c>
      <c r="G169" s="4">
        <f>INDEX('Draft Engine'!$G$3:$G$232,$O169)</f>
        <v/>
      </c>
      <c r="H169" s="4">
        <f>INDEX('Draft Engine'!$J$3:$J$232,$O169)</f>
        <v/>
      </c>
      <c r="I169" s="4">
        <f>INDEX('Draft Engine'!$L$3:$L$232,$O169)</f>
        <v/>
      </c>
      <c r="J169" s="4">
        <f>INDEX('Draft Engine'!$R$3:$R$232,$O169)</f>
        <v/>
      </c>
      <c r="K169" s="4">
        <f>INDEX('Draft Engine'!$S$3:$S$232,$O169)</f>
        <v/>
      </c>
      <c r="L169" s="4">
        <f>INDEX('Draft Engine'!$U$3:$U$232,$O169)</f>
        <v/>
      </c>
      <c r="M169" s="4">
        <f>INDEX('Draft Engine'!$W$3:$W$232,$O169)</f>
        <v/>
      </c>
      <c r="N169">
        <f>INDEX('Draft Engine'!$T$3:$T$232,$O169)</f>
        <v/>
      </c>
      <c r="O169" s="6">
        <f>MATCH($A169,'Draft Engine'!$Q$3:$Q$232,0)</f>
        <v/>
      </c>
    </row>
    <row r="170">
      <c r="A170">
        <f>168</f>
        <v/>
      </c>
      <c r="B170">
        <f>INDEX('Draft Engine'!$A$3:$A$232,$O170)</f>
        <v/>
      </c>
      <c r="C170">
        <f>INDEX('Draft Engine'!$F$3:$F$232,$O170)</f>
        <v/>
      </c>
      <c r="D170">
        <f>INDEX('Draft Engine'!$B$3:$B$232,$O170)</f>
        <v/>
      </c>
      <c r="E170" s="4">
        <f>INDEX('Draft Engine'!$N$3:$N$232,$O170)</f>
        <v/>
      </c>
      <c r="F170" s="4">
        <f>INDEX('Draft Engine'!$E$3:$E$232,$O170)</f>
        <v/>
      </c>
      <c r="G170" s="4">
        <f>INDEX('Draft Engine'!$G$3:$G$232,$O170)</f>
        <v/>
      </c>
      <c r="H170" s="4">
        <f>INDEX('Draft Engine'!$J$3:$J$232,$O170)</f>
        <v/>
      </c>
      <c r="I170" s="4">
        <f>INDEX('Draft Engine'!$L$3:$L$232,$O170)</f>
        <v/>
      </c>
      <c r="J170" s="4">
        <f>INDEX('Draft Engine'!$R$3:$R$232,$O170)</f>
        <v/>
      </c>
      <c r="K170" s="4">
        <f>INDEX('Draft Engine'!$S$3:$S$232,$O170)</f>
        <v/>
      </c>
      <c r="L170" s="4">
        <f>INDEX('Draft Engine'!$U$3:$U$232,$O170)</f>
        <v/>
      </c>
      <c r="M170" s="4">
        <f>INDEX('Draft Engine'!$W$3:$W$232,$O170)</f>
        <v/>
      </c>
      <c r="N170">
        <f>INDEX('Draft Engine'!$T$3:$T$232,$O170)</f>
        <v/>
      </c>
      <c r="O170" s="6">
        <f>MATCH($A170,'Draft Engine'!$Q$3:$Q$232,0)</f>
        <v/>
      </c>
    </row>
    <row r="171">
      <c r="A171">
        <f>169</f>
        <v/>
      </c>
      <c r="B171">
        <f>INDEX('Draft Engine'!$A$3:$A$232,$O171)</f>
        <v/>
      </c>
      <c r="C171">
        <f>INDEX('Draft Engine'!$F$3:$F$232,$O171)</f>
        <v/>
      </c>
      <c r="D171">
        <f>INDEX('Draft Engine'!$B$3:$B$232,$O171)</f>
        <v/>
      </c>
      <c r="E171" s="4">
        <f>INDEX('Draft Engine'!$N$3:$N$232,$O171)</f>
        <v/>
      </c>
      <c r="F171" s="4">
        <f>INDEX('Draft Engine'!$E$3:$E$232,$O171)</f>
        <v/>
      </c>
      <c r="G171" s="4">
        <f>INDEX('Draft Engine'!$G$3:$G$232,$O171)</f>
        <v/>
      </c>
      <c r="H171" s="4">
        <f>INDEX('Draft Engine'!$J$3:$J$232,$O171)</f>
        <v/>
      </c>
      <c r="I171" s="4">
        <f>INDEX('Draft Engine'!$L$3:$L$232,$O171)</f>
        <v/>
      </c>
      <c r="J171" s="4">
        <f>INDEX('Draft Engine'!$R$3:$R$232,$O171)</f>
        <v/>
      </c>
      <c r="K171" s="4">
        <f>INDEX('Draft Engine'!$S$3:$S$232,$O171)</f>
        <v/>
      </c>
      <c r="L171" s="4">
        <f>INDEX('Draft Engine'!$U$3:$U$232,$O171)</f>
        <v/>
      </c>
      <c r="M171" s="4">
        <f>INDEX('Draft Engine'!$W$3:$W$232,$O171)</f>
        <v/>
      </c>
      <c r="N171">
        <f>INDEX('Draft Engine'!$T$3:$T$232,$O171)</f>
        <v/>
      </c>
      <c r="O171" s="6">
        <f>MATCH($A171,'Draft Engine'!$Q$3:$Q$232,0)</f>
        <v/>
      </c>
    </row>
    <row r="172">
      <c r="A172">
        <f>170</f>
        <v/>
      </c>
      <c r="B172">
        <f>INDEX('Draft Engine'!$A$3:$A$232,$O172)</f>
        <v/>
      </c>
      <c r="C172">
        <f>INDEX('Draft Engine'!$F$3:$F$232,$O172)</f>
        <v/>
      </c>
      <c r="D172">
        <f>INDEX('Draft Engine'!$B$3:$B$232,$O172)</f>
        <v/>
      </c>
      <c r="E172" s="4">
        <f>INDEX('Draft Engine'!$N$3:$N$232,$O172)</f>
        <v/>
      </c>
      <c r="F172" s="4">
        <f>INDEX('Draft Engine'!$E$3:$E$232,$O172)</f>
        <v/>
      </c>
      <c r="G172" s="4">
        <f>INDEX('Draft Engine'!$G$3:$G$232,$O172)</f>
        <v/>
      </c>
      <c r="H172" s="4">
        <f>INDEX('Draft Engine'!$J$3:$J$232,$O172)</f>
        <v/>
      </c>
      <c r="I172" s="4">
        <f>INDEX('Draft Engine'!$L$3:$L$232,$O172)</f>
        <v/>
      </c>
      <c r="J172" s="4">
        <f>INDEX('Draft Engine'!$R$3:$R$232,$O172)</f>
        <v/>
      </c>
      <c r="K172" s="4">
        <f>INDEX('Draft Engine'!$S$3:$S$232,$O172)</f>
        <v/>
      </c>
      <c r="L172" s="4">
        <f>INDEX('Draft Engine'!$U$3:$U$232,$O172)</f>
        <v/>
      </c>
      <c r="M172" s="4">
        <f>INDEX('Draft Engine'!$W$3:$W$232,$O172)</f>
        <v/>
      </c>
      <c r="N172">
        <f>INDEX('Draft Engine'!$T$3:$T$232,$O172)</f>
        <v/>
      </c>
      <c r="O172" s="6">
        <f>MATCH($A172,'Draft Engine'!$Q$3:$Q$232,0)</f>
        <v/>
      </c>
    </row>
    <row r="173">
      <c r="A173">
        <f>171</f>
        <v/>
      </c>
      <c r="B173">
        <f>INDEX('Draft Engine'!$A$3:$A$232,$O173)</f>
        <v/>
      </c>
      <c r="C173">
        <f>INDEX('Draft Engine'!$F$3:$F$232,$O173)</f>
        <v/>
      </c>
      <c r="D173">
        <f>INDEX('Draft Engine'!$B$3:$B$232,$O173)</f>
        <v/>
      </c>
      <c r="E173" s="4">
        <f>INDEX('Draft Engine'!$N$3:$N$232,$O173)</f>
        <v/>
      </c>
      <c r="F173" s="4">
        <f>INDEX('Draft Engine'!$E$3:$E$232,$O173)</f>
        <v/>
      </c>
      <c r="G173" s="4">
        <f>INDEX('Draft Engine'!$G$3:$G$232,$O173)</f>
        <v/>
      </c>
      <c r="H173" s="4">
        <f>INDEX('Draft Engine'!$J$3:$J$232,$O173)</f>
        <v/>
      </c>
      <c r="I173" s="4">
        <f>INDEX('Draft Engine'!$L$3:$L$232,$O173)</f>
        <v/>
      </c>
      <c r="J173" s="4">
        <f>INDEX('Draft Engine'!$R$3:$R$232,$O173)</f>
        <v/>
      </c>
      <c r="K173" s="4">
        <f>INDEX('Draft Engine'!$S$3:$S$232,$O173)</f>
        <v/>
      </c>
      <c r="L173" s="4">
        <f>INDEX('Draft Engine'!$U$3:$U$232,$O173)</f>
        <v/>
      </c>
      <c r="M173" s="4">
        <f>INDEX('Draft Engine'!$W$3:$W$232,$O173)</f>
        <v/>
      </c>
      <c r="N173">
        <f>INDEX('Draft Engine'!$T$3:$T$232,$O173)</f>
        <v/>
      </c>
      <c r="O173" s="6">
        <f>MATCH($A173,'Draft Engine'!$Q$3:$Q$232,0)</f>
        <v/>
      </c>
    </row>
    <row r="174">
      <c r="A174">
        <f>172</f>
        <v/>
      </c>
      <c r="B174">
        <f>INDEX('Draft Engine'!$A$3:$A$232,$O174)</f>
        <v/>
      </c>
      <c r="C174">
        <f>INDEX('Draft Engine'!$F$3:$F$232,$O174)</f>
        <v/>
      </c>
      <c r="D174">
        <f>INDEX('Draft Engine'!$B$3:$B$232,$O174)</f>
        <v/>
      </c>
      <c r="E174" s="4">
        <f>INDEX('Draft Engine'!$N$3:$N$232,$O174)</f>
        <v/>
      </c>
      <c r="F174" s="4">
        <f>INDEX('Draft Engine'!$E$3:$E$232,$O174)</f>
        <v/>
      </c>
      <c r="G174" s="4">
        <f>INDEX('Draft Engine'!$G$3:$G$232,$O174)</f>
        <v/>
      </c>
      <c r="H174" s="4">
        <f>INDEX('Draft Engine'!$J$3:$J$232,$O174)</f>
        <v/>
      </c>
      <c r="I174" s="4">
        <f>INDEX('Draft Engine'!$L$3:$L$232,$O174)</f>
        <v/>
      </c>
      <c r="J174" s="4">
        <f>INDEX('Draft Engine'!$R$3:$R$232,$O174)</f>
        <v/>
      </c>
      <c r="K174" s="4">
        <f>INDEX('Draft Engine'!$S$3:$S$232,$O174)</f>
        <v/>
      </c>
      <c r="L174" s="4">
        <f>INDEX('Draft Engine'!$U$3:$U$232,$O174)</f>
        <v/>
      </c>
      <c r="M174" s="4">
        <f>INDEX('Draft Engine'!$W$3:$W$232,$O174)</f>
        <v/>
      </c>
      <c r="N174">
        <f>INDEX('Draft Engine'!$T$3:$T$232,$O174)</f>
        <v/>
      </c>
      <c r="O174" s="6">
        <f>MATCH($A174,'Draft Engine'!$Q$3:$Q$232,0)</f>
        <v/>
      </c>
    </row>
    <row r="175">
      <c r="A175">
        <f>173</f>
        <v/>
      </c>
      <c r="B175">
        <f>INDEX('Draft Engine'!$A$3:$A$232,$O175)</f>
        <v/>
      </c>
      <c r="C175">
        <f>INDEX('Draft Engine'!$F$3:$F$232,$O175)</f>
        <v/>
      </c>
      <c r="D175">
        <f>INDEX('Draft Engine'!$B$3:$B$232,$O175)</f>
        <v/>
      </c>
      <c r="E175" s="4">
        <f>INDEX('Draft Engine'!$N$3:$N$232,$O175)</f>
        <v/>
      </c>
      <c r="F175" s="4">
        <f>INDEX('Draft Engine'!$E$3:$E$232,$O175)</f>
        <v/>
      </c>
      <c r="G175" s="4">
        <f>INDEX('Draft Engine'!$G$3:$G$232,$O175)</f>
        <v/>
      </c>
      <c r="H175" s="4">
        <f>INDEX('Draft Engine'!$J$3:$J$232,$O175)</f>
        <v/>
      </c>
      <c r="I175" s="4">
        <f>INDEX('Draft Engine'!$L$3:$L$232,$O175)</f>
        <v/>
      </c>
      <c r="J175" s="4">
        <f>INDEX('Draft Engine'!$R$3:$R$232,$O175)</f>
        <v/>
      </c>
      <c r="K175" s="4">
        <f>INDEX('Draft Engine'!$S$3:$S$232,$O175)</f>
        <v/>
      </c>
      <c r="L175" s="4">
        <f>INDEX('Draft Engine'!$U$3:$U$232,$O175)</f>
        <v/>
      </c>
      <c r="M175" s="4">
        <f>INDEX('Draft Engine'!$W$3:$W$232,$O175)</f>
        <v/>
      </c>
      <c r="N175">
        <f>INDEX('Draft Engine'!$T$3:$T$232,$O175)</f>
        <v/>
      </c>
      <c r="O175" s="6">
        <f>MATCH($A175,'Draft Engine'!$Q$3:$Q$232,0)</f>
        <v/>
      </c>
    </row>
    <row r="176">
      <c r="A176">
        <f>174</f>
        <v/>
      </c>
      <c r="B176">
        <f>INDEX('Draft Engine'!$A$3:$A$232,$O176)</f>
        <v/>
      </c>
      <c r="C176">
        <f>INDEX('Draft Engine'!$F$3:$F$232,$O176)</f>
        <v/>
      </c>
      <c r="D176">
        <f>INDEX('Draft Engine'!$B$3:$B$232,$O176)</f>
        <v/>
      </c>
      <c r="E176" s="4">
        <f>INDEX('Draft Engine'!$N$3:$N$232,$O176)</f>
        <v/>
      </c>
      <c r="F176" s="4">
        <f>INDEX('Draft Engine'!$E$3:$E$232,$O176)</f>
        <v/>
      </c>
      <c r="G176" s="4">
        <f>INDEX('Draft Engine'!$G$3:$G$232,$O176)</f>
        <v/>
      </c>
      <c r="H176" s="4">
        <f>INDEX('Draft Engine'!$J$3:$J$232,$O176)</f>
        <v/>
      </c>
      <c r="I176" s="4">
        <f>INDEX('Draft Engine'!$L$3:$L$232,$O176)</f>
        <v/>
      </c>
      <c r="J176" s="4">
        <f>INDEX('Draft Engine'!$R$3:$R$232,$O176)</f>
        <v/>
      </c>
      <c r="K176" s="4">
        <f>INDEX('Draft Engine'!$S$3:$S$232,$O176)</f>
        <v/>
      </c>
      <c r="L176" s="4">
        <f>INDEX('Draft Engine'!$U$3:$U$232,$O176)</f>
        <v/>
      </c>
      <c r="M176" s="4">
        <f>INDEX('Draft Engine'!$W$3:$W$232,$O176)</f>
        <v/>
      </c>
      <c r="N176">
        <f>INDEX('Draft Engine'!$T$3:$T$232,$O176)</f>
        <v/>
      </c>
      <c r="O176" s="6">
        <f>MATCH($A176,'Draft Engine'!$Q$3:$Q$232,0)</f>
        <v/>
      </c>
    </row>
    <row r="177">
      <c r="A177">
        <f>175</f>
        <v/>
      </c>
      <c r="B177">
        <f>INDEX('Draft Engine'!$A$3:$A$232,$O177)</f>
        <v/>
      </c>
      <c r="C177">
        <f>INDEX('Draft Engine'!$F$3:$F$232,$O177)</f>
        <v/>
      </c>
      <c r="D177">
        <f>INDEX('Draft Engine'!$B$3:$B$232,$O177)</f>
        <v/>
      </c>
      <c r="E177" s="4">
        <f>INDEX('Draft Engine'!$N$3:$N$232,$O177)</f>
        <v/>
      </c>
      <c r="F177" s="4">
        <f>INDEX('Draft Engine'!$E$3:$E$232,$O177)</f>
        <v/>
      </c>
      <c r="G177" s="4">
        <f>INDEX('Draft Engine'!$G$3:$G$232,$O177)</f>
        <v/>
      </c>
      <c r="H177" s="4">
        <f>INDEX('Draft Engine'!$J$3:$J$232,$O177)</f>
        <v/>
      </c>
      <c r="I177" s="4">
        <f>INDEX('Draft Engine'!$L$3:$L$232,$O177)</f>
        <v/>
      </c>
      <c r="J177" s="4">
        <f>INDEX('Draft Engine'!$R$3:$R$232,$O177)</f>
        <v/>
      </c>
      <c r="K177" s="4">
        <f>INDEX('Draft Engine'!$S$3:$S$232,$O177)</f>
        <v/>
      </c>
      <c r="L177" s="4">
        <f>INDEX('Draft Engine'!$U$3:$U$232,$O177)</f>
        <v/>
      </c>
      <c r="M177" s="4">
        <f>INDEX('Draft Engine'!$W$3:$W$232,$O177)</f>
        <v/>
      </c>
      <c r="N177">
        <f>INDEX('Draft Engine'!$T$3:$T$232,$O177)</f>
        <v/>
      </c>
      <c r="O177" s="6">
        <f>MATCH($A177,'Draft Engine'!$Q$3:$Q$232,0)</f>
        <v/>
      </c>
    </row>
    <row r="178">
      <c r="A178">
        <f>176</f>
        <v/>
      </c>
      <c r="B178">
        <f>INDEX('Draft Engine'!$A$3:$A$232,$O178)</f>
        <v/>
      </c>
      <c r="C178">
        <f>INDEX('Draft Engine'!$F$3:$F$232,$O178)</f>
        <v/>
      </c>
      <c r="D178">
        <f>INDEX('Draft Engine'!$B$3:$B$232,$O178)</f>
        <v/>
      </c>
      <c r="E178" s="4">
        <f>INDEX('Draft Engine'!$N$3:$N$232,$O178)</f>
        <v/>
      </c>
      <c r="F178" s="4">
        <f>INDEX('Draft Engine'!$E$3:$E$232,$O178)</f>
        <v/>
      </c>
      <c r="G178" s="4">
        <f>INDEX('Draft Engine'!$G$3:$G$232,$O178)</f>
        <v/>
      </c>
      <c r="H178" s="4">
        <f>INDEX('Draft Engine'!$J$3:$J$232,$O178)</f>
        <v/>
      </c>
      <c r="I178" s="4">
        <f>INDEX('Draft Engine'!$L$3:$L$232,$O178)</f>
        <v/>
      </c>
      <c r="J178" s="4">
        <f>INDEX('Draft Engine'!$R$3:$R$232,$O178)</f>
        <v/>
      </c>
      <c r="K178" s="4">
        <f>INDEX('Draft Engine'!$S$3:$S$232,$O178)</f>
        <v/>
      </c>
      <c r="L178" s="4">
        <f>INDEX('Draft Engine'!$U$3:$U$232,$O178)</f>
        <v/>
      </c>
      <c r="M178" s="4">
        <f>INDEX('Draft Engine'!$W$3:$W$232,$O178)</f>
        <v/>
      </c>
      <c r="N178">
        <f>INDEX('Draft Engine'!$T$3:$T$232,$O178)</f>
        <v/>
      </c>
      <c r="O178" s="6">
        <f>MATCH($A178,'Draft Engine'!$Q$3:$Q$232,0)</f>
        <v/>
      </c>
    </row>
    <row r="179">
      <c r="A179">
        <f>177</f>
        <v/>
      </c>
      <c r="B179">
        <f>INDEX('Draft Engine'!$A$3:$A$232,$O179)</f>
        <v/>
      </c>
      <c r="C179">
        <f>INDEX('Draft Engine'!$F$3:$F$232,$O179)</f>
        <v/>
      </c>
      <c r="D179">
        <f>INDEX('Draft Engine'!$B$3:$B$232,$O179)</f>
        <v/>
      </c>
      <c r="E179" s="4">
        <f>INDEX('Draft Engine'!$N$3:$N$232,$O179)</f>
        <v/>
      </c>
      <c r="F179" s="4">
        <f>INDEX('Draft Engine'!$E$3:$E$232,$O179)</f>
        <v/>
      </c>
      <c r="G179" s="4">
        <f>INDEX('Draft Engine'!$G$3:$G$232,$O179)</f>
        <v/>
      </c>
      <c r="H179" s="4">
        <f>INDEX('Draft Engine'!$J$3:$J$232,$O179)</f>
        <v/>
      </c>
      <c r="I179" s="4">
        <f>INDEX('Draft Engine'!$L$3:$L$232,$O179)</f>
        <v/>
      </c>
      <c r="J179" s="4">
        <f>INDEX('Draft Engine'!$R$3:$R$232,$O179)</f>
        <v/>
      </c>
      <c r="K179" s="4">
        <f>INDEX('Draft Engine'!$S$3:$S$232,$O179)</f>
        <v/>
      </c>
      <c r="L179" s="4">
        <f>INDEX('Draft Engine'!$U$3:$U$232,$O179)</f>
        <v/>
      </c>
      <c r="M179" s="4">
        <f>INDEX('Draft Engine'!$W$3:$W$232,$O179)</f>
        <v/>
      </c>
      <c r="N179">
        <f>INDEX('Draft Engine'!$T$3:$T$232,$O179)</f>
        <v/>
      </c>
      <c r="O179" s="6">
        <f>MATCH($A179,'Draft Engine'!$Q$3:$Q$232,0)</f>
        <v/>
      </c>
    </row>
    <row r="180">
      <c r="A180">
        <f>178</f>
        <v/>
      </c>
      <c r="B180">
        <f>INDEX('Draft Engine'!$A$3:$A$232,$O180)</f>
        <v/>
      </c>
      <c r="C180">
        <f>INDEX('Draft Engine'!$F$3:$F$232,$O180)</f>
        <v/>
      </c>
      <c r="D180">
        <f>INDEX('Draft Engine'!$B$3:$B$232,$O180)</f>
        <v/>
      </c>
      <c r="E180" s="4">
        <f>INDEX('Draft Engine'!$N$3:$N$232,$O180)</f>
        <v/>
      </c>
      <c r="F180" s="4">
        <f>INDEX('Draft Engine'!$E$3:$E$232,$O180)</f>
        <v/>
      </c>
      <c r="G180" s="4">
        <f>INDEX('Draft Engine'!$G$3:$G$232,$O180)</f>
        <v/>
      </c>
      <c r="H180" s="4">
        <f>INDEX('Draft Engine'!$J$3:$J$232,$O180)</f>
        <v/>
      </c>
      <c r="I180" s="4">
        <f>INDEX('Draft Engine'!$L$3:$L$232,$O180)</f>
        <v/>
      </c>
      <c r="J180" s="4">
        <f>INDEX('Draft Engine'!$R$3:$R$232,$O180)</f>
        <v/>
      </c>
      <c r="K180" s="4">
        <f>INDEX('Draft Engine'!$S$3:$S$232,$O180)</f>
        <v/>
      </c>
      <c r="L180" s="4">
        <f>INDEX('Draft Engine'!$U$3:$U$232,$O180)</f>
        <v/>
      </c>
      <c r="M180" s="4">
        <f>INDEX('Draft Engine'!$W$3:$W$232,$O180)</f>
        <v/>
      </c>
      <c r="N180">
        <f>INDEX('Draft Engine'!$T$3:$T$232,$O180)</f>
        <v/>
      </c>
      <c r="O180" s="6">
        <f>MATCH($A180,'Draft Engine'!$Q$3:$Q$232,0)</f>
        <v/>
      </c>
    </row>
    <row r="181">
      <c r="A181">
        <f>179</f>
        <v/>
      </c>
      <c r="B181">
        <f>INDEX('Draft Engine'!$A$3:$A$232,$O181)</f>
        <v/>
      </c>
      <c r="C181">
        <f>INDEX('Draft Engine'!$F$3:$F$232,$O181)</f>
        <v/>
      </c>
      <c r="D181">
        <f>INDEX('Draft Engine'!$B$3:$B$232,$O181)</f>
        <v/>
      </c>
      <c r="E181" s="4">
        <f>INDEX('Draft Engine'!$N$3:$N$232,$O181)</f>
        <v/>
      </c>
      <c r="F181" s="4">
        <f>INDEX('Draft Engine'!$E$3:$E$232,$O181)</f>
        <v/>
      </c>
      <c r="G181" s="4">
        <f>INDEX('Draft Engine'!$G$3:$G$232,$O181)</f>
        <v/>
      </c>
      <c r="H181" s="4">
        <f>INDEX('Draft Engine'!$J$3:$J$232,$O181)</f>
        <v/>
      </c>
      <c r="I181" s="4">
        <f>INDEX('Draft Engine'!$L$3:$L$232,$O181)</f>
        <v/>
      </c>
      <c r="J181" s="4">
        <f>INDEX('Draft Engine'!$R$3:$R$232,$O181)</f>
        <v/>
      </c>
      <c r="K181" s="4">
        <f>INDEX('Draft Engine'!$S$3:$S$232,$O181)</f>
        <v/>
      </c>
      <c r="L181" s="4">
        <f>INDEX('Draft Engine'!$U$3:$U$232,$O181)</f>
        <v/>
      </c>
      <c r="M181" s="4">
        <f>INDEX('Draft Engine'!$W$3:$W$232,$O181)</f>
        <v/>
      </c>
      <c r="N181">
        <f>INDEX('Draft Engine'!$T$3:$T$232,$O181)</f>
        <v/>
      </c>
      <c r="O181" s="6">
        <f>MATCH($A181,'Draft Engine'!$Q$3:$Q$232,0)</f>
        <v/>
      </c>
    </row>
    <row r="182">
      <c r="A182">
        <f>180</f>
        <v/>
      </c>
      <c r="B182">
        <f>INDEX('Draft Engine'!$A$3:$A$232,$O182)</f>
        <v/>
      </c>
      <c r="C182">
        <f>INDEX('Draft Engine'!$F$3:$F$232,$O182)</f>
        <v/>
      </c>
      <c r="D182">
        <f>INDEX('Draft Engine'!$B$3:$B$232,$O182)</f>
        <v/>
      </c>
      <c r="E182" s="4">
        <f>INDEX('Draft Engine'!$N$3:$N$232,$O182)</f>
        <v/>
      </c>
      <c r="F182" s="4">
        <f>INDEX('Draft Engine'!$E$3:$E$232,$O182)</f>
        <v/>
      </c>
      <c r="G182" s="4">
        <f>INDEX('Draft Engine'!$G$3:$G$232,$O182)</f>
        <v/>
      </c>
      <c r="H182" s="4">
        <f>INDEX('Draft Engine'!$J$3:$J$232,$O182)</f>
        <v/>
      </c>
      <c r="I182" s="4">
        <f>INDEX('Draft Engine'!$L$3:$L$232,$O182)</f>
        <v/>
      </c>
      <c r="J182" s="4">
        <f>INDEX('Draft Engine'!$R$3:$R$232,$O182)</f>
        <v/>
      </c>
      <c r="K182" s="4">
        <f>INDEX('Draft Engine'!$S$3:$S$232,$O182)</f>
        <v/>
      </c>
      <c r="L182" s="4">
        <f>INDEX('Draft Engine'!$U$3:$U$232,$O182)</f>
        <v/>
      </c>
      <c r="M182" s="4">
        <f>INDEX('Draft Engine'!$W$3:$W$232,$O182)</f>
        <v/>
      </c>
      <c r="N182">
        <f>INDEX('Draft Engine'!$T$3:$T$232,$O182)</f>
        <v/>
      </c>
      <c r="O182" s="6">
        <f>MATCH($A182,'Draft Engine'!$Q$3:$Q$232,0)</f>
        <v/>
      </c>
    </row>
    <row r="183">
      <c r="A183">
        <f>181</f>
        <v/>
      </c>
      <c r="B183">
        <f>INDEX('Draft Engine'!$A$3:$A$232,$O183)</f>
        <v/>
      </c>
      <c r="C183">
        <f>INDEX('Draft Engine'!$F$3:$F$232,$O183)</f>
        <v/>
      </c>
      <c r="D183">
        <f>INDEX('Draft Engine'!$B$3:$B$232,$O183)</f>
        <v/>
      </c>
      <c r="E183" s="4">
        <f>INDEX('Draft Engine'!$N$3:$N$232,$O183)</f>
        <v/>
      </c>
      <c r="F183" s="4">
        <f>INDEX('Draft Engine'!$E$3:$E$232,$O183)</f>
        <v/>
      </c>
      <c r="G183" s="4">
        <f>INDEX('Draft Engine'!$G$3:$G$232,$O183)</f>
        <v/>
      </c>
      <c r="H183" s="4">
        <f>INDEX('Draft Engine'!$J$3:$J$232,$O183)</f>
        <v/>
      </c>
      <c r="I183" s="4">
        <f>INDEX('Draft Engine'!$L$3:$L$232,$O183)</f>
        <v/>
      </c>
      <c r="J183" s="4">
        <f>INDEX('Draft Engine'!$R$3:$R$232,$O183)</f>
        <v/>
      </c>
      <c r="K183" s="4">
        <f>INDEX('Draft Engine'!$S$3:$S$232,$O183)</f>
        <v/>
      </c>
      <c r="L183" s="4">
        <f>INDEX('Draft Engine'!$U$3:$U$232,$O183)</f>
        <v/>
      </c>
      <c r="M183" s="4">
        <f>INDEX('Draft Engine'!$W$3:$W$232,$O183)</f>
        <v/>
      </c>
      <c r="N183">
        <f>INDEX('Draft Engine'!$T$3:$T$232,$O183)</f>
        <v/>
      </c>
      <c r="O183" s="6">
        <f>MATCH($A183,'Draft Engine'!$Q$3:$Q$232,0)</f>
        <v/>
      </c>
    </row>
    <row r="184">
      <c r="A184">
        <f>182</f>
        <v/>
      </c>
      <c r="B184">
        <f>INDEX('Draft Engine'!$A$3:$A$232,$O184)</f>
        <v/>
      </c>
      <c r="C184">
        <f>INDEX('Draft Engine'!$F$3:$F$232,$O184)</f>
        <v/>
      </c>
      <c r="D184">
        <f>INDEX('Draft Engine'!$B$3:$B$232,$O184)</f>
        <v/>
      </c>
      <c r="E184" s="4">
        <f>INDEX('Draft Engine'!$N$3:$N$232,$O184)</f>
        <v/>
      </c>
      <c r="F184" s="4">
        <f>INDEX('Draft Engine'!$E$3:$E$232,$O184)</f>
        <v/>
      </c>
      <c r="G184" s="4">
        <f>INDEX('Draft Engine'!$G$3:$G$232,$O184)</f>
        <v/>
      </c>
      <c r="H184" s="4">
        <f>INDEX('Draft Engine'!$J$3:$J$232,$O184)</f>
        <v/>
      </c>
      <c r="I184" s="4">
        <f>INDEX('Draft Engine'!$L$3:$L$232,$O184)</f>
        <v/>
      </c>
      <c r="J184" s="4">
        <f>INDEX('Draft Engine'!$R$3:$R$232,$O184)</f>
        <v/>
      </c>
      <c r="K184" s="4">
        <f>INDEX('Draft Engine'!$S$3:$S$232,$O184)</f>
        <v/>
      </c>
      <c r="L184" s="4">
        <f>INDEX('Draft Engine'!$U$3:$U$232,$O184)</f>
        <v/>
      </c>
      <c r="M184" s="4">
        <f>INDEX('Draft Engine'!$W$3:$W$232,$O184)</f>
        <v/>
      </c>
      <c r="N184">
        <f>INDEX('Draft Engine'!$T$3:$T$232,$O184)</f>
        <v/>
      </c>
      <c r="O184" s="6">
        <f>MATCH($A184,'Draft Engine'!$Q$3:$Q$232,0)</f>
        <v/>
      </c>
    </row>
    <row r="185">
      <c r="A185">
        <f>183</f>
        <v/>
      </c>
      <c r="B185">
        <f>INDEX('Draft Engine'!$A$3:$A$232,$O185)</f>
        <v/>
      </c>
      <c r="C185">
        <f>INDEX('Draft Engine'!$F$3:$F$232,$O185)</f>
        <v/>
      </c>
      <c r="D185">
        <f>INDEX('Draft Engine'!$B$3:$B$232,$O185)</f>
        <v/>
      </c>
      <c r="E185" s="4">
        <f>INDEX('Draft Engine'!$N$3:$N$232,$O185)</f>
        <v/>
      </c>
      <c r="F185" s="4">
        <f>INDEX('Draft Engine'!$E$3:$E$232,$O185)</f>
        <v/>
      </c>
      <c r="G185" s="4">
        <f>INDEX('Draft Engine'!$G$3:$G$232,$O185)</f>
        <v/>
      </c>
      <c r="H185" s="4">
        <f>INDEX('Draft Engine'!$J$3:$J$232,$O185)</f>
        <v/>
      </c>
      <c r="I185" s="4">
        <f>INDEX('Draft Engine'!$L$3:$L$232,$O185)</f>
        <v/>
      </c>
      <c r="J185" s="4">
        <f>INDEX('Draft Engine'!$R$3:$R$232,$O185)</f>
        <v/>
      </c>
      <c r="K185" s="4">
        <f>INDEX('Draft Engine'!$S$3:$S$232,$O185)</f>
        <v/>
      </c>
      <c r="L185" s="4">
        <f>INDEX('Draft Engine'!$U$3:$U$232,$O185)</f>
        <v/>
      </c>
      <c r="M185" s="4">
        <f>INDEX('Draft Engine'!$W$3:$W$232,$O185)</f>
        <v/>
      </c>
      <c r="N185">
        <f>INDEX('Draft Engine'!$T$3:$T$232,$O185)</f>
        <v/>
      </c>
      <c r="O185" s="6">
        <f>MATCH($A185,'Draft Engine'!$Q$3:$Q$232,0)</f>
        <v/>
      </c>
    </row>
    <row r="186">
      <c r="A186">
        <f>184</f>
        <v/>
      </c>
      <c r="B186">
        <f>INDEX('Draft Engine'!$A$3:$A$232,$O186)</f>
        <v/>
      </c>
      <c r="C186">
        <f>INDEX('Draft Engine'!$F$3:$F$232,$O186)</f>
        <v/>
      </c>
      <c r="D186">
        <f>INDEX('Draft Engine'!$B$3:$B$232,$O186)</f>
        <v/>
      </c>
      <c r="E186" s="4">
        <f>INDEX('Draft Engine'!$N$3:$N$232,$O186)</f>
        <v/>
      </c>
      <c r="F186" s="4">
        <f>INDEX('Draft Engine'!$E$3:$E$232,$O186)</f>
        <v/>
      </c>
      <c r="G186" s="4">
        <f>INDEX('Draft Engine'!$G$3:$G$232,$O186)</f>
        <v/>
      </c>
      <c r="H186" s="4">
        <f>INDEX('Draft Engine'!$J$3:$J$232,$O186)</f>
        <v/>
      </c>
      <c r="I186" s="4">
        <f>INDEX('Draft Engine'!$L$3:$L$232,$O186)</f>
        <v/>
      </c>
      <c r="J186" s="4">
        <f>INDEX('Draft Engine'!$R$3:$R$232,$O186)</f>
        <v/>
      </c>
      <c r="K186" s="4">
        <f>INDEX('Draft Engine'!$S$3:$S$232,$O186)</f>
        <v/>
      </c>
      <c r="L186" s="4">
        <f>INDEX('Draft Engine'!$U$3:$U$232,$O186)</f>
        <v/>
      </c>
      <c r="M186" s="4">
        <f>INDEX('Draft Engine'!$W$3:$W$232,$O186)</f>
        <v/>
      </c>
      <c r="N186">
        <f>INDEX('Draft Engine'!$T$3:$T$232,$O186)</f>
        <v/>
      </c>
      <c r="O186" s="6">
        <f>MATCH($A186,'Draft Engine'!$Q$3:$Q$232,0)</f>
        <v/>
      </c>
    </row>
    <row r="187">
      <c r="A187">
        <f>185</f>
        <v/>
      </c>
      <c r="B187">
        <f>INDEX('Draft Engine'!$A$3:$A$232,$O187)</f>
        <v/>
      </c>
      <c r="C187">
        <f>INDEX('Draft Engine'!$F$3:$F$232,$O187)</f>
        <v/>
      </c>
      <c r="D187">
        <f>INDEX('Draft Engine'!$B$3:$B$232,$O187)</f>
        <v/>
      </c>
      <c r="E187" s="4">
        <f>INDEX('Draft Engine'!$N$3:$N$232,$O187)</f>
        <v/>
      </c>
      <c r="F187" s="4">
        <f>INDEX('Draft Engine'!$E$3:$E$232,$O187)</f>
        <v/>
      </c>
      <c r="G187" s="4">
        <f>INDEX('Draft Engine'!$G$3:$G$232,$O187)</f>
        <v/>
      </c>
      <c r="H187" s="4">
        <f>INDEX('Draft Engine'!$J$3:$J$232,$O187)</f>
        <v/>
      </c>
      <c r="I187" s="4">
        <f>INDEX('Draft Engine'!$L$3:$L$232,$O187)</f>
        <v/>
      </c>
      <c r="J187" s="4">
        <f>INDEX('Draft Engine'!$R$3:$R$232,$O187)</f>
        <v/>
      </c>
      <c r="K187" s="4">
        <f>INDEX('Draft Engine'!$S$3:$S$232,$O187)</f>
        <v/>
      </c>
      <c r="L187" s="4">
        <f>INDEX('Draft Engine'!$U$3:$U$232,$O187)</f>
        <v/>
      </c>
      <c r="M187" s="4">
        <f>INDEX('Draft Engine'!$W$3:$W$232,$O187)</f>
        <v/>
      </c>
      <c r="N187">
        <f>INDEX('Draft Engine'!$T$3:$T$232,$O187)</f>
        <v/>
      </c>
      <c r="O187" s="6">
        <f>MATCH($A187,'Draft Engine'!$Q$3:$Q$232,0)</f>
        <v/>
      </c>
    </row>
    <row r="188">
      <c r="A188">
        <f>186</f>
        <v/>
      </c>
      <c r="B188">
        <f>INDEX('Draft Engine'!$A$3:$A$232,$O188)</f>
        <v/>
      </c>
      <c r="C188">
        <f>INDEX('Draft Engine'!$F$3:$F$232,$O188)</f>
        <v/>
      </c>
      <c r="D188">
        <f>INDEX('Draft Engine'!$B$3:$B$232,$O188)</f>
        <v/>
      </c>
      <c r="E188" s="4">
        <f>INDEX('Draft Engine'!$N$3:$N$232,$O188)</f>
        <v/>
      </c>
      <c r="F188" s="4">
        <f>INDEX('Draft Engine'!$E$3:$E$232,$O188)</f>
        <v/>
      </c>
      <c r="G188" s="4">
        <f>INDEX('Draft Engine'!$G$3:$G$232,$O188)</f>
        <v/>
      </c>
      <c r="H188" s="4">
        <f>INDEX('Draft Engine'!$J$3:$J$232,$O188)</f>
        <v/>
      </c>
      <c r="I188" s="4">
        <f>INDEX('Draft Engine'!$L$3:$L$232,$O188)</f>
        <v/>
      </c>
      <c r="J188" s="4">
        <f>INDEX('Draft Engine'!$R$3:$R$232,$O188)</f>
        <v/>
      </c>
      <c r="K188" s="4">
        <f>INDEX('Draft Engine'!$S$3:$S$232,$O188)</f>
        <v/>
      </c>
      <c r="L188" s="4">
        <f>INDEX('Draft Engine'!$U$3:$U$232,$O188)</f>
        <v/>
      </c>
      <c r="M188" s="4">
        <f>INDEX('Draft Engine'!$W$3:$W$232,$O188)</f>
        <v/>
      </c>
      <c r="N188">
        <f>INDEX('Draft Engine'!$T$3:$T$232,$O188)</f>
        <v/>
      </c>
      <c r="O188" s="6">
        <f>MATCH($A188,'Draft Engine'!$Q$3:$Q$232,0)</f>
        <v/>
      </c>
    </row>
    <row r="189">
      <c r="A189">
        <f>187</f>
        <v/>
      </c>
      <c r="B189">
        <f>INDEX('Draft Engine'!$A$3:$A$232,$O189)</f>
        <v/>
      </c>
      <c r="C189">
        <f>INDEX('Draft Engine'!$F$3:$F$232,$O189)</f>
        <v/>
      </c>
      <c r="D189">
        <f>INDEX('Draft Engine'!$B$3:$B$232,$O189)</f>
        <v/>
      </c>
      <c r="E189" s="4">
        <f>INDEX('Draft Engine'!$N$3:$N$232,$O189)</f>
        <v/>
      </c>
      <c r="F189" s="4">
        <f>INDEX('Draft Engine'!$E$3:$E$232,$O189)</f>
        <v/>
      </c>
      <c r="G189" s="4">
        <f>INDEX('Draft Engine'!$G$3:$G$232,$O189)</f>
        <v/>
      </c>
      <c r="H189" s="4">
        <f>INDEX('Draft Engine'!$J$3:$J$232,$O189)</f>
        <v/>
      </c>
      <c r="I189" s="4">
        <f>INDEX('Draft Engine'!$L$3:$L$232,$O189)</f>
        <v/>
      </c>
      <c r="J189" s="4">
        <f>INDEX('Draft Engine'!$R$3:$R$232,$O189)</f>
        <v/>
      </c>
      <c r="K189" s="4">
        <f>INDEX('Draft Engine'!$S$3:$S$232,$O189)</f>
        <v/>
      </c>
      <c r="L189" s="4">
        <f>INDEX('Draft Engine'!$U$3:$U$232,$O189)</f>
        <v/>
      </c>
      <c r="M189" s="4">
        <f>INDEX('Draft Engine'!$W$3:$W$232,$O189)</f>
        <v/>
      </c>
      <c r="N189">
        <f>INDEX('Draft Engine'!$T$3:$T$232,$O189)</f>
        <v/>
      </c>
      <c r="O189" s="6">
        <f>MATCH($A189,'Draft Engine'!$Q$3:$Q$232,0)</f>
        <v/>
      </c>
    </row>
    <row r="190">
      <c r="A190">
        <f>188</f>
        <v/>
      </c>
      <c r="B190">
        <f>INDEX('Draft Engine'!$A$3:$A$232,$O190)</f>
        <v/>
      </c>
      <c r="C190">
        <f>INDEX('Draft Engine'!$F$3:$F$232,$O190)</f>
        <v/>
      </c>
      <c r="D190">
        <f>INDEX('Draft Engine'!$B$3:$B$232,$O190)</f>
        <v/>
      </c>
      <c r="E190" s="4">
        <f>INDEX('Draft Engine'!$N$3:$N$232,$O190)</f>
        <v/>
      </c>
      <c r="F190" s="4">
        <f>INDEX('Draft Engine'!$E$3:$E$232,$O190)</f>
        <v/>
      </c>
      <c r="G190" s="4">
        <f>INDEX('Draft Engine'!$G$3:$G$232,$O190)</f>
        <v/>
      </c>
      <c r="H190" s="4">
        <f>INDEX('Draft Engine'!$J$3:$J$232,$O190)</f>
        <v/>
      </c>
      <c r="I190" s="4">
        <f>INDEX('Draft Engine'!$L$3:$L$232,$O190)</f>
        <v/>
      </c>
      <c r="J190" s="4">
        <f>INDEX('Draft Engine'!$R$3:$R$232,$O190)</f>
        <v/>
      </c>
      <c r="K190" s="4">
        <f>INDEX('Draft Engine'!$S$3:$S$232,$O190)</f>
        <v/>
      </c>
      <c r="L190" s="4">
        <f>INDEX('Draft Engine'!$U$3:$U$232,$O190)</f>
        <v/>
      </c>
      <c r="M190" s="4">
        <f>INDEX('Draft Engine'!$W$3:$W$232,$O190)</f>
        <v/>
      </c>
      <c r="N190">
        <f>INDEX('Draft Engine'!$T$3:$T$232,$O190)</f>
        <v/>
      </c>
      <c r="O190" s="6">
        <f>MATCH($A190,'Draft Engine'!$Q$3:$Q$232,0)</f>
        <v/>
      </c>
    </row>
    <row r="191">
      <c r="A191">
        <f>189</f>
        <v/>
      </c>
      <c r="B191">
        <f>INDEX('Draft Engine'!$A$3:$A$232,$O191)</f>
        <v/>
      </c>
      <c r="C191">
        <f>INDEX('Draft Engine'!$F$3:$F$232,$O191)</f>
        <v/>
      </c>
      <c r="D191">
        <f>INDEX('Draft Engine'!$B$3:$B$232,$O191)</f>
        <v/>
      </c>
      <c r="E191" s="4">
        <f>INDEX('Draft Engine'!$N$3:$N$232,$O191)</f>
        <v/>
      </c>
      <c r="F191" s="4">
        <f>INDEX('Draft Engine'!$E$3:$E$232,$O191)</f>
        <v/>
      </c>
      <c r="G191" s="4">
        <f>INDEX('Draft Engine'!$G$3:$G$232,$O191)</f>
        <v/>
      </c>
      <c r="H191" s="4">
        <f>INDEX('Draft Engine'!$J$3:$J$232,$O191)</f>
        <v/>
      </c>
      <c r="I191" s="4">
        <f>INDEX('Draft Engine'!$L$3:$L$232,$O191)</f>
        <v/>
      </c>
      <c r="J191" s="4">
        <f>INDEX('Draft Engine'!$R$3:$R$232,$O191)</f>
        <v/>
      </c>
      <c r="K191" s="4">
        <f>INDEX('Draft Engine'!$S$3:$S$232,$O191)</f>
        <v/>
      </c>
      <c r="L191" s="4">
        <f>INDEX('Draft Engine'!$U$3:$U$232,$O191)</f>
        <v/>
      </c>
      <c r="M191" s="4">
        <f>INDEX('Draft Engine'!$W$3:$W$232,$O191)</f>
        <v/>
      </c>
      <c r="N191">
        <f>INDEX('Draft Engine'!$T$3:$T$232,$O191)</f>
        <v/>
      </c>
      <c r="O191" s="6">
        <f>MATCH($A191,'Draft Engine'!$Q$3:$Q$232,0)</f>
        <v/>
      </c>
    </row>
    <row r="192">
      <c r="A192">
        <f>190</f>
        <v/>
      </c>
      <c r="B192">
        <f>INDEX('Draft Engine'!$A$3:$A$232,$O192)</f>
        <v/>
      </c>
      <c r="C192">
        <f>INDEX('Draft Engine'!$F$3:$F$232,$O192)</f>
        <v/>
      </c>
      <c r="D192">
        <f>INDEX('Draft Engine'!$B$3:$B$232,$O192)</f>
        <v/>
      </c>
      <c r="E192" s="4">
        <f>INDEX('Draft Engine'!$N$3:$N$232,$O192)</f>
        <v/>
      </c>
      <c r="F192" s="4">
        <f>INDEX('Draft Engine'!$E$3:$E$232,$O192)</f>
        <v/>
      </c>
      <c r="G192" s="4">
        <f>INDEX('Draft Engine'!$G$3:$G$232,$O192)</f>
        <v/>
      </c>
      <c r="H192" s="4">
        <f>INDEX('Draft Engine'!$J$3:$J$232,$O192)</f>
        <v/>
      </c>
      <c r="I192" s="4">
        <f>INDEX('Draft Engine'!$L$3:$L$232,$O192)</f>
        <v/>
      </c>
      <c r="J192" s="4">
        <f>INDEX('Draft Engine'!$R$3:$R$232,$O192)</f>
        <v/>
      </c>
      <c r="K192" s="4">
        <f>INDEX('Draft Engine'!$S$3:$S$232,$O192)</f>
        <v/>
      </c>
      <c r="L192" s="4">
        <f>INDEX('Draft Engine'!$U$3:$U$232,$O192)</f>
        <v/>
      </c>
      <c r="M192" s="4">
        <f>INDEX('Draft Engine'!$W$3:$W$232,$O192)</f>
        <v/>
      </c>
      <c r="N192">
        <f>INDEX('Draft Engine'!$T$3:$T$232,$O192)</f>
        <v/>
      </c>
      <c r="O192" s="6">
        <f>MATCH($A192,'Draft Engine'!$Q$3:$Q$232,0)</f>
        <v/>
      </c>
    </row>
    <row r="193">
      <c r="A193">
        <f>191</f>
        <v/>
      </c>
      <c r="B193">
        <f>INDEX('Draft Engine'!$A$3:$A$232,$O193)</f>
        <v/>
      </c>
      <c r="C193">
        <f>INDEX('Draft Engine'!$F$3:$F$232,$O193)</f>
        <v/>
      </c>
      <c r="D193">
        <f>INDEX('Draft Engine'!$B$3:$B$232,$O193)</f>
        <v/>
      </c>
      <c r="E193" s="4">
        <f>INDEX('Draft Engine'!$N$3:$N$232,$O193)</f>
        <v/>
      </c>
      <c r="F193" s="4">
        <f>INDEX('Draft Engine'!$E$3:$E$232,$O193)</f>
        <v/>
      </c>
      <c r="G193" s="4">
        <f>INDEX('Draft Engine'!$G$3:$G$232,$O193)</f>
        <v/>
      </c>
      <c r="H193" s="4">
        <f>INDEX('Draft Engine'!$J$3:$J$232,$O193)</f>
        <v/>
      </c>
      <c r="I193" s="4">
        <f>INDEX('Draft Engine'!$L$3:$L$232,$O193)</f>
        <v/>
      </c>
      <c r="J193" s="4">
        <f>INDEX('Draft Engine'!$R$3:$R$232,$O193)</f>
        <v/>
      </c>
      <c r="K193" s="4">
        <f>INDEX('Draft Engine'!$S$3:$S$232,$O193)</f>
        <v/>
      </c>
      <c r="L193" s="4">
        <f>INDEX('Draft Engine'!$U$3:$U$232,$O193)</f>
        <v/>
      </c>
      <c r="M193" s="4">
        <f>INDEX('Draft Engine'!$W$3:$W$232,$O193)</f>
        <v/>
      </c>
      <c r="N193">
        <f>INDEX('Draft Engine'!$T$3:$T$232,$O193)</f>
        <v/>
      </c>
      <c r="O193" s="6">
        <f>MATCH($A193,'Draft Engine'!$Q$3:$Q$232,0)</f>
        <v/>
      </c>
    </row>
    <row r="194">
      <c r="A194">
        <f>192</f>
        <v/>
      </c>
      <c r="B194">
        <f>INDEX('Draft Engine'!$A$3:$A$232,$O194)</f>
        <v/>
      </c>
      <c r="C194">
        <f>INDEX('Draft Engine'!$F$3:$F$232,$O194)</f>
        <v/>
      </c>
      <c r="D194">
        <f>INDEX('Draft Engine'!$B$3:$B$232,$O194)</f>
        <v/>
      </c>
      <c r="E194" s="4">
        <f>INDEX('Draft Engine'!$N$3:$N$232,$O194)</f>
        <v/>
      </c>
      <c r="F194" s="4">
        <f>INDEX('Draft Engine'!$E$3:$E$232,$O194)</f>
        <v/>
      </c>
      <c r="G194" s="4">
        <f>INDEX('Draft Engine'!$G$3:$G$232,$O194)</f>
        <v/>
      </c>
      <c r="H194" s="4">
        <f>INDEX('Draft Engine'!$J$3:$J$232,$O194)</f>
        <v/>
      </c>
      <c r="I194" s="4">
        <f>INDEX('Draft Engine'!$L$3:$L$232,$O194)</f>
        <v/>
      </c>
      <c r="J194" s="4">
        <f>INDEX('Draft Engine'!$R$3:$R$232,$O194)</f>
        <v/>
      </c>
      <c r="K194" s="4">
        <f>INDEX('Draft Engine'!$S$3:$S$232,$O194)</f>
        <v/>
      </c>
      <c r="L194" s="4">
        <f>INDEX('Draft Engine'!$U$3:$U$232,$O194)</f>
        <v/>
      </c>
      <c r="M194" s="4">
        <f>INDEX('Draft Engine'!$W$3:$W$232,$O194)</f>
        <v/>
      </c>
      <c r="N194">
        <f>INDEX('Draft Engine'!$T$3:$T$232,$O194)</f>
        <v/>
      </c>
      <c r="O194" s="6">
        <f>MATCH($A194,'Draft Engine'!$Q$3:$Q$232,0)</f>
        <v/>
      </c>
    </row>
    <row r="195">
      <c r="A195">
        <f>193</f>
        <v/>
      </c>
      <c r="B195">
        <f>INDEX('Draft Engine'!$A$3:$A$232,$O195)</f>
        <v/>
      </c>
      <c r="C195">
        <f>INDEX('Draft Engine'!$F$3:$F$232,$O195)</f>
        <v/>
      </c>
      <c r="D195">
        <f>INDEX('Draft Engine'!$B$3:$B$232,$O195)</f>
        <v/>
      </c>
      <c r="E195" s="4">
        <f>INDEX('Draft Engine'!$N$3:$N$232,$O195)</f>
        <v/>
      </c>
      <c r="F195" s="4">
        <f>INDEX('Draft Engine'!$E$3:$E$232,$O195)</f>
        <v/>
      </c>
      <c r="G195" s="4">
        <f>INDEX('Draft Engine'!$G$3:$G$232,$O195)</f>
        <v/>
      </c>
      <c r="H195" s="4">
        <f>INDEX('Draft Engine'!$J$3:$J$232,$O195)</f>
        <v/>
      </c>
      <c r="I195" s="4">
        <f>INDEX('Draft Engine'!$L$3:$L$232,$O195)</f>
        <v/>
      </c>
      <c r="J195" s="4">
        <f>INDEX('Draft Engine'!$R$3:$R$232,$O195)</f>
        <v/>
      </c>
      <c r="K195" s="4">
        <f>INDEX('Draft Engine'!$S$3:$S$232,$O195)</f>
        <v/>
      </c>
      <c r="L195" s="4">
        <f>INDEX('Draft Engine'!$U$3:$U$232,$O195)</f>
        <v/>
      </c>
      <c r="M195" s="4">
        <f>INDEX('Draft Engine'!$W$3:$W$232,$O195)</f>
        <v/>
      </c>
      <c r="N195">
        <f>INDEX('Draft Engine'!$T$3:$T$232,$O195)</f>
        <v/>
      </c>
      <c r="O195" s="6">
        <f>MATCH($A195,'Draft Engine'!$Q$3:$Q$232,0)</f>
        <v/>
      </c>
    </row>
    <row r="196">
      <c r="A196">
        <f>194</f>
        <v/>
      </c>
      <c r="B196">
        <f>INDEX('Draft Engine'!$A$3:$A$232,$O196)</f>
        <v/>
      </c>
      <c r="C196">
        <f>INDEX('Draft Engine'!$F$3:$F$232,$O196)</f>
        <v/>
      </c>
      <c r="D196">
        <f>INDEX('Draft Engine'!$B$3:$B$232,$O196)</f>
        <v/>
      </c>
      <c r="E196" s="4">
        <f>INDEX('Draft Engine'!$N$3:$N$232,$O196)</f>
        <v/>
      </c>
      <c r="F196" s="4">
        <f>INDEX('Draft Engine'!$E$3:$E$232,$O196)</f>
        <v/>
      </c>
      <c r="G196" s="4">
        <f>INDEX('Draft Engine'!$G$3:$G$232,$O196)</f>
        <v/>
      </c>
      <c r="H196" s="4">
        <f>INDEX('Draft Engine'!$J$3:$J$232,$O196)</f>
        <v/>
      </c>
      <c r="I196" s="4">
        <f>INDEX('Draft Engine'!$L$3:$L$232,$O196)</f>
        <v/>
      </c>
      <c r="J196" s="4">
        <f>INDEX('Draft Engine'!$R$3:$R$232,$O196)</f>
        <v/>
      </c>
      <c r="K196" s="4">
        <f>INDEX('Draft Engine'!$S$3:$S$232,$O196)</f>
        <v/>
      </c>
      <c r="L196" s="4">
        <f>INDEX('Draft Engine'!$U$3:$U$232,$O196)</f>
        <v/>
      </c>
      <c r="M196" s="4">
        <f>INDEX('Draft Engine'!$W$3:$W$232,$O196)</f>
        <v/>
      </c>
      <c r="N196">
        <f>INDEX('Draft Engine'!$T$3:$T$232,$O196)</f>
        <v/>
      </c>
      <c r="O196" s="6">
        <f>MATCH($A196,'Draft Engine'!$Q$3:$Q$232,0)</f>
        <v/>
      </c>
    </row>
    <row r="197">
      <c r="A197">
        <f>195</f>
        <v/>
      </c>
      <c r="B197">
        <f>INDEX('Draft Engine'!$A$3:$A$232,$O197)</f>
        <v/>
      </c>
      <c r="C197">
        <f>INDEX('Draft Engine'!$F$3:$F$232,$O197)</f>
        <v/>
      </c>
      <c r="D197">
        <f>INDEX('Draft Engine'!$B$3:$B$232,$O197)</f>
        <v/>
      </c>
      <c r="E197" s="4">
        <f>INDEX('Draft Engine'!$N$3:$N$232,$O197)</f>
        <v/>
      </c>
      <c r="F197" s="4">
        <f>INDEX('Draft Engine'!$E$3:$E$232,$O197)</f>
        <v/>
      </c>
      <c r="G197" s="4">
        <f>INDEX('Draft Engine'!$G$3:$G$232,$O197)</f>
        <v/>
      </c>
      <c r="H197" s="4">
        <f>INDEX('Draft Engine'!$J$3:$J$232,$O197)</f>
        <v/>
      </c>
      <c r="I197" s="4">
        <f>INDEX('Draft Engine'!$L$3:$L$232,$O197)</f>
        <v/>
      </c>
      <c r="J197" s="4">
        <f>INDEX('Draft Engine'!$R$3:$R$232,$O197)</f>
        <v/>
      </c>
      <c r="K197" s="4">
        <f>INDEX('Draft Engine'!$S$3:$S$232,$O197)</f>
        <v/>
      </c>
      <c r="L197" s="4">
        <f>INDEX('Draft Engine'!$U$3:$U$232,$O197)</f>
        <v/>
      </c>
      <c r="M197" s="4">
        <f>INDEX('Draft Engine'!$W$3:$W$232,$O197)</f>
        <v/>
      </c>
      <c r="N197">
        <f>INDEX('Draft Engine'!$T$3:$T$232,$O197)</f>
        <v/>
      </c>
      <c r="O197" s="6">
        <f>MATCH($A197,'Draft Engine'!$Q$3:$Q$232,0)</f>
        <v/>
      </c>
    </row>
    <row r="198">
      <c r="A198">
        <f>196</f>
        <v/>
      </c>
      <c r="B198">
        <f>INDEX('Draft Engine'!$A$3:$A$232,$O198)</f>
        <v/>
      </c>
      <c r="C198">
        <f>INDEX('Draft Engine'!$F$3:$F$232,$O198)</f>
        <v/>
      </c>
      <c r="D198">
        <f>INDEX('Draft Engine'!$B$3:$B$232,$O198)</f>
        <v/>
      </c>
      <c r="E198" s="4">
        <f>INDEX('Draft Engine'!$N$3:$N$232,$O198)</f>
        <v/>
      </c>
      <c r="F198" s="4">
        <f>INDEX('Draft Engine'!$E$3:$E$232,$O198)</f>
        <v/>
      </c>
      <c r="G198" s="4">
        <f>INDEX('Draft Engine'!$G$3:$G$232,$O198)</f>
        <v/>
      </c>
      <c r="H198" s="4">
        <f>INDEX('Draft Engine'!$J$3:$J$232,$O198)</f>
        <v/>
      </c>
      <c r="I198" s="4">
        <f>INDEX('Draft Engine'!$L$3:$L$232,$O198)</f>
        <v/>
      </c>
      <c r="J198" s="4">
        <f>INDEX('Draft Engine'!$R$3:$R$232,$O198)</f>
        <v/>
      </c>
      <c r="K198" s="4">
        <f>INDEX('Draft Engine'!$S$3:$S$232,$O198)</f>
        <v/>
      </c>
      <c r="L198" s="4">
        <f>INDEX('Draft Engine'!$U$3:$U$232,$O198)</f>
        <v/>
      </c>
      <c r="M198" s="4">
        <f>INDEX('Draft Engine'!$W$3:$W$232,$O198)</f>
        <v/>
      </c>
      <c r="N198">
        <f>INDEX('Draft Engine'!$T$3:$T$232,$O198)</f>
        <v/>
      </c>
      <c r="O198" s="6">
        <f>MATCH($A198,'Draft Engine'!$Q$3:$Q$232,0)</f>
        <v/>
      </c>
    </row>
    <row r="199">
      <c r="A199">
        <f>197</f>
        <v/>
      </c>
      <c r="B199">
        <f>INDEX('Draft Engine'!$A$3:$A$232,$O199)</f>
        <v/>
      </c>
      <c r="C199">
        <f>INDEX('Draft Engine'!$F$3:$F$232,$O199)</f>
        <v/>
      </c>
      <c r="D199">
        <f>INDEX('Draft Engine'!$B$3:$B$232,$O199)</f>
        <v/>
      </c>
      <c r="E199" s="4">
        <f>INDEX('Draft Engine'!$N$3:$N$232,$O199)</f>
        <v/>
      </c>
      <c r="F199" s="4">
        <f>INDEX('Draft Engine'!$E$3:$E$232,$O199)</f>
        <v/>
      </c>
      <c r="G199" s="4">
        <f>INDEX('Draft Engine'!$G$3:$G$232,$O199)</f>
        <v/>
      </c>
      <c r="H199" s="4">
        <f>INDEX('Draft Engine'!$J$3:$J$232,$O199)</f>
        <v/>
      </c>
      <c r="I199" s="4">
        <f>INDEX('Draft Engine'!$L$3:$L$232,$O199)</f>
        <v/>
      </c>
      <c r="J199" s="4">
        <f>INDEX('Draft Engine'!$R$3:$R$232,$O199)</f>
        <v/>
      </c>
      <c r="K199" s="4">
        <f>INDEX('Draft Engine'!$S$3:$S$232,$O199)</f>
        <v/>
      </c>
      <c r="L199" s="4">
        <f>INDEX('Draft Engine'!$U$3:$U$232,$O199)</f>
        <v/>
      </c>
      <c r="M199" s="4">
        <f>INDEX('Draft Engine'!$W$3:$W$232,$O199)</f>
        <v/>
      </c>
      <c r="N199">
        <f>INDEX('Draft Engine'!$T$3:$T$232,$O199)</f>
        <v/>
      </c>
      <c r="O199" s="6">
        <f>MATCH($A199,'Draft Engine'!$Q$3:$Q$232,0)</f>
        <v/>
      </c>
    </row>
    <row r="200">
      <c r="A200">
        <f>198</f>
        <v/>
      </c>
      <c r="B200">
        <f>INDEX('Draft Engine'!$A$3:$A$232,$O200)</f>
        <v/>
      </c>
      <c r="C200">
        <f>INDEX('Draft Engine'!$F$3:$F$232,$O200)</f>
        <v/>
      </c>
      <c r="D200">
        <f>INDEX('Draft Engine'!$B$3:$B$232,$O200)</f>
        <v/>
      </c>
      <c r="E200" s="4">
        <f>INDEX('Draft Engine'!$N$3:$N$232,$O200)</f>
        <v/>
      </c>
      <c r="F200" s="4">
        <f>INDEX('Draft Engine'!$E$3:$E$232,$O200)</f>
        <v/>
      </c>
      <c r="G200" s="4">
        <f>INDEX('Draft Engine'!$G$3:$G$232,$O200)</f>
        <v/>
      </c>
      <c r="H200" s="4">
        <f>INDEX('Draft Engine'!$J$3:$J$232,$O200)</f>
        <v/>
      </c>
      <c r="I200" s="4">
        <f>INDEX('Draft Engine'!$L$3:$L$232,$O200)</f>
        <v/>
      </c>
      <c r="J200" s="4">
        <f>INDEX('Draft Engine'!$R$3:$R$232,$O200)</f>
        <v/>
      </c>
      <c r="K200" s="4">
        <f>INDEX('Draft Engine'!$S$3:$S$232,$O200)</f>
        <v/>
      </c>
      <c r="L200" s="4">
        <f>INDEX('Draft Engine'!$U$3:$U$232,$O200)</f>
        <v/>
      </c>
      <c r="M200" s="4">
        <f>INDEX('Draft Engine'!$W$3:$W$232,$O200)</f>
        <v/>
      </c>
      <c r="N200">
        <f>INDEX('Draft Engine'!$T$3:$T$232,$O200)</f>
        <v/>
      </c>
      <c r="O200" s="6">
        <f>MATCH($A200,'Draft Engine'!$Q$3:$Q$232,0)</f>
        <v/>
      </c>
    </row>
    <row r="201">
      <c r="A201">
        <f>199</f>
        <v/>
      </c>
      <c r="B201">
        <f>INDEX('Draft Engine'!$A$3:$A$232,$O201)</f>
        <v/>
      </c>
      <c r="C201">
        <f>INDEX('Draft Engine'!$F$3:$F$232,$O201)</f>
        <v/>
      </c>
      <c r="D201">
        <f>INDEX('Draft Engine'!$B$3:$B$232,$O201)</f>
        <v/>
      </c>
      <c r="E201" s="4">
        <f>INDEX('Draft Engine'!$N$3:$N$232,$O201)</f>
        <v/>
      </c>
      <c r="F201" s="4">
        <f>INDEX('Draft Engine'!$E$3:$E$232,$O201)</f>
        <v/>
      </c>
      <c r="G201" s="4">
        <f>INDEX('Draft Engine'!$G$3:$G$232,$O201)</f>
        <v/>
      </c>
      <c r="H201" s="4">
        <f>INDEX('Draft Engine'!$J$3:$J$232,$O201)</f>
        <v/>
      </c>
      <c r="I201" s="4">
        <f>INDEX('Draft Engine'!$L$3:$L$232,$O201)</f>
        <v/>
      </c>
      <c r="J201" s="4">
        <f>INDEX('Draft Engine'!$R$3:$R$232,$O201)</f>
        <v/>
      </c>
      <c r="K201" s="4">
        <f>INDEX('Draft Engine'!$S$3:$S$232,$O201)</f>
        <v/>
      </c>
      <c r="L201" s="4">
        <f>INDEX('Draft Engine'!$U$3:$U$232,$O201)</f>
        <v/>
      </c>
      <c r="M201" s="4">
        <f>INDEX('Draft Engine'!$W$3:$W$232,$O201)</f>
        <v/>
      </c>
      <c r="N201">
        <f>INDEX('Draft Engine'!$T$3:$T$232,$O201)</f>
        <v/>
      </c>
      <c r="O201" s="6">
        <f>MATCH($A201,'Draft Engine'!$Q$3:$Q$232,0)</f>
        <v/>
      </c>
    </row>
    <row r="202">
      <c r="A202">
        <f>200</f>
        <v/>
      </c>
      <c r="B202">
        <f>INDEX('Draft Engine'!$A$3:$A$232,$O202)</f>
        <v/>
      </c>
      <c r="C202">
        <f>INDEX('Draft Engine'!$F$3:$F$232,$O202)</f>
        <v/>
      </c>
      <c r="D202">
        <f>INDEX('Draft Engine'!$B$3:$B$232,$O202)</f>
        <v/>
      </c>
      <c r="E202" s="4">
        <f>INDEX('Draft Engine'!$N$3:$N$232,$O202)</f>
        <v/>
      </c>
      <c r="F202" s="4">
        <f>INDEX('Draft Engine'!$E$3:$E$232,$O202)</f>
        <v/>
      </c>
      <c r="G202" s="4">
        <f>INDEX('Draft Engine'!$G$3:$G$232,$O202)</f>
        <v/>
      </c>
      <c r="H202" s="4">
        <f>INDEX('Draft Engine'!$J$3:$J$232,$O202)</f>
        <v/>
      </c>
      <c r="I202" s="4">
        <f>INDEX('Draft Engine'!$L$3:$L$232,$O202)</f>
        <v/>
      </c>
      <c r="J202" s="4">
        <f>INDEX('Draft Engine'!$R$3:$R$232,$O202)</f>
        <v/>
      </c>
      <c r="K202" s="4">
        <f>INDEX('Draft Engine'!$S$3:$S$232,$O202)</f>
        <v/>
      </c>
      <c r="L202" s="4">
        <f>INDEX('Draft Engine'!$U$3:$U$232,$O202)</f>
        <v/>
      </c>
      <c r="M202" s="4">
        <f>INDEX('Draft Engine'!$W$3:$W$232,$O202)</f>
        <v/>
      </c>
      <c r="N202">
        <f>INDEX('Draft Engine'!$T$3:$T$232,$O202)</f>
        <v/>
      </c>
      <c r="O202" s="6">
        <f>MATCH($A202,'Draft Engine'!$Q$3:$Q$232,0)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9D18E"/>
    <outlinePr summaryBelow="1" summaryRight="1"/>
    <pageSetUpPr/>
  </sheetPr>
  <dimension ref="A1:N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QB: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Engine'!$B$3:$B$34,$N3)</f>
        <v/>
      </c>
      <c r="C3" s="4">
        <f>INDEX('Draft Engine'!$E$3:$E$34,$N3)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Engine'!$G$3:$G$34,$N3)</f>
        <v/>
      </c>
      <c r="F3">
        <f>INDEX('Draft Engine'!$J$3:$J$34,$N3)</f>
        <v/>
      </c>
      <c r="G3">
        <f>INDEX('Draft Engine'!$N$3:$N$34,$N3)</f>
        <v/>
      </c>
      <c r="H3">
        <f>INDEX('Draft Engine'!$Q$3:$Q$34,$N3)</f>
        <v/>
      </c>
      <c r="I3">
        <f>INDEX('Draft Engine'!$R$3:$R$34,$N3)</f>
        <v/>
      </c>
      <c r="J3">
        <f>INDEX('Draft Engine'!$S$3:$S$34,$N3)</f>
        <v/>
      </c>
      <c r="K3">
        <f>INDEX('Draft Engine'!$T$3:$T$34,$N3)</f>
        <v/>
      </c>
      <c r="L3">
        <f>INDEX('LIVE SOURCE'!$H$3:$H$34,$N3)</f>
        <v/>
      </c>
      <c r="M3">
        <f>INDEX('LIVE SOURCE'!$J$3:$J$34,$N3)</f>
        <v/>
      </c>
      <c r="N3" s="6">
        <f>MATCH($A3,'Draft Engine'!$F$3:$F$34,0)</f>
        <v/>
      </c>
    </row>
    <row r="4">
      <c r="A4">
        <f>2</f>
        <v/>
      </c>
      <c r="B4">
        <f>INDEX('Draft Engine'!$B$3:$B$34,$N4)</f>
        <v/>
      </c>
      <c r="C4" s="4">
        <f>INDEX('Draft Engine'!$E$3:$E$34,$N4)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Engine'!$G$3:$G$34,$N4)</f>
        <v/>
      </c>
      <c r="F4">
        <f>INDEX('Draft Engine'!$J$3:$J$34,$N4)</f>
        <v/>
      </c>
      <c r="G4">
        <f>INDEX('Draft Engine'!$N$3:$N$34,$N4)</f>
        <v/>
      </c>
      <c r="H4">
        <f>INDEX('Draft Engine'!$Q$3:$Q$34,$N4)</f>
        <v/>
      </c>
      <c r="I4">
        <f>INDEX('Draft Engine'!$R$3:$R$34,$N4)</f>
        <v/>
      </c>
      <c r="J4">
        <f>INDEX('Draft Engine'!$S$3:$S$34,$N4)</f>
        <v/>
      </c>
      <c r="K4">
        <f>INDEX('Draft Engine'!$T$3:$T$34,$N4)</f>
        <v/>
      </c>
      <c r="L4">
        <f>INDEX('LIVE SOURCE'!$H$3:$H$34,$N4)</f>
        <v/>
      </c>
      <c r="M4">
        <f>INDEX('LIVE SOURCE'!$J$3:$J$34,$N4)</f>
        <v/>
      </c>
      <c r="N4" s="6">
        <f>MATCH($A4,'Draft Engine'!$F$3:$F$34,0)</f>
        <v/>
      </c>
    </row>
    <row r="5">
      <c r="A5">
        <f>3</f>
        <v/>
      </c>
      <c r="B5">
        <f>INDEX('Draft Engine'!$B$3:$B$34,$N5)</f>
        <v/>
      </c>
      <c r="C5" s="4">
        <f>INDEX('Draft Engine'!$E$3:$E$34,$N5)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Engine'!$G$3:$G$34,$N5)</f>
        <v/>
      </c>
      <c r="F5">
        <f>INDEX('Draft Engine'!$J$3:$J$34,$N5)</f>
        <v/>
      </c>
      <c r="G5">
        <f>INDEX('Draft Engine'!$N$3:$N$34,$N5)</f>
        <v/>
      </c>
      <c r="H5">
        <f>INDEX('Draft Engine'!$Q$3:$Q$34,$N5)</f>
        <v/>
      </c>
      <c r="I5">
        <f>INDEX('Draft Engine'!$R$3:$R$34,$N5)</f>
        <v/>
      </c>
      <c r="J5">
        <f>INDEX('Draft Engine'!$S$3:$S$34,$N5)</f>
        <v/>
      </c>
      <c r="K5">
        <f>INDEX('Draft Engine'!$T$3:$T$34,$N5)</f>
        <v/>
      </c>
      <c r="L5">
        <f>INDEX('LIVE SOURCE'!$H$3:$H$34,$N5)</f>
        <v/>
      </c>
      <c r="M5">
        <f>INDEX('LIVE SOURCE'!$J$3:$J$34,$N5)</f>
        <v/>
      </c>
      <c r="N5" s="6">
        <f>MATCH($A5,'Draft Engine'!$F$3:$F$34,0)</f>
        <v/>
      </c>
    </row>
    <row r="6">
      <c r="A6">
        <f>4</f>
        <v/>
      </c>
      <c r="B6">
        <f>INDEX('Draft Engine'!$B$3:$B$34,$N6)</f>
        <v/>
      </c>
      <c r="C6" s="4">
        <f>INDEX('Draft Engine'!$E$3:$E$34,$N6)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Engine'!$G$3:$G$34,$N6)</f>
        <v/>
      </c>
      <c r="F6">
        <f>INDEX('Draft Engine'!$J$3:$J$34,$N6)</f>
        <v/>
      </c>
      <c r="G6">
        <f>INDEX('Draft Engine'!$N$3:$N$34,$N6)</f>
        <v/>
      </c>
      <c r="H6">
        <f>INDEX('Draft Engine'!$Q$3:$Q$34,$N6)</f>
        <v/>
      </c>
      <c r="I6">
        <f>INDEX('Draft Engine'!$R$3:$R$34,$N6)</f>
        <v/>
      </c>
      <c r="J6">
        <f>INDEX('Draft Engine'!$S$3:$S$34,$N6)</f>
        <v/>
      </c>
      <c r="K6">
        <f>INDEX('Draft Engine'!$T$3:$T$34,$N6)</f>
        <v/>
      </c>
      <c r="L6">
        <f>INDEX('LIVE SOURCE'!$H$3:$H$34,$N6)</f>
        <v/>
      </c>
      <c r="M6">
        <f>INDEX('LIVE SOURCE'!$J$3:$J$34,$N6)</f>
        <v/>
      </c>
      <c r="N6" s="6">
        <f>MATCH($A6,'Draft Engine'!$F$3:$F$34,0)</f>
        <v/>
      </c>
    </row>
    <row r="7">
      <c r="A7">
        <f>5</f>
        <v/>
      </c>
      <c r="B7">
        <f>INDEX('Draft Engine'!$B$3:$B$34,$N7)</f>
        <v/>
      </c>
      <c r="C7" s="4">
        <f>INDEX('Draft Engine'!$E$3:$E$34,$N7)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Engine'!$G$3:$G$34,$N7)</f>
        <v/>
      </c>
      <c r="F7">
        <f>INDEX('Draft Engine'!$J$3:$J$34,$N7)</f>
        <v/>
      </c>
      <c r="G7">
        <f>INDEX('Draft Engine'!$N$3:$N$34,$N7)</f>
        <v/>
      </c>
      <c r="H7">
        <f>INDEX('Draft Engine'!$Q$3:$Q$34,$N7)</f>
        <v/>
      </c>
      <c r="I7">
        <f>INDEX('Draft Engine'!$R$3:$R$34,$N7)</f>
        <v/>
      </c>
      <c r="J7">
        <f>INDEX('Draft Engine'!$S$3:$S$34,$N7)</f>
        <v/>
      </c>
      <c r="K7">
        <f>INDEX('Draft Engine'!$T$3:$T$34,$N7)</f>
        <v/>
      </c>
      <c r="L7">
        <f>INDEX('LIVE SOURCE'!$H$3:$H$34,$N7)</f>
        <v/>
      </c>
      <c r="M7">
        <f>INDEX('LIVE SOURCE'!$J$3:$J$34,$N7)</f>
        <v/>
      </c>
      <c r="N7" s="6">
        <f>MATCH($A7,'Draft Engine'!$F$3:$F$34,0)</f>
        <v/>
      </c>
    </row>
    <row r="8">
      <c r="A8">
        <f>6</f>
        <v/>
      </c>
      <c r="B8">
        <f>INDEX('Draft Engine'!$B$3:$B$34,$N8)</f>
        <v/>
      </c>
      <c r="C8" s="4">
        <f>INDEX('Draft Engine'!$E$3:$E$34,$N8)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Engine'!$G$3:$G$34,$N8)</f>
        <v/>
      </c>
      <c r="F8">
        <f>INDEX('Draft Engine'!$J$3:$J$34,$N8)</f>
        <v/>
      </c>
      <c r="G8">
        <f>INDEX('Draft Engine'!$N$3:$N$34,$N8)</f>
        <v/>
      </c>
      <c r="H8">
        <f>INDEX('Draft Engine'!$Q$3:$Q$34,$N8)</f>
        <v/>
      </c>
      <c r="I8">
        <f>INDEX('Draft Engine'!$R$3:$R$34,$N8)</f>
        <v/>
      </c>
      <c r="J8">
        <f>INDEX('Draft Engine'!$S$3:$S$34,$N8)</f>
        <v/>
      </c>
      <c r="K8">
        <f>INDEX('Draft Engine'!$T$3:$T$34,$N8)</f>
        <v/>
      </c>
      <c r="L8">
        <f>INDEX('LIVE SOURCE'!$H$3:$H$34,$N8)</f>
        <v/>
      </c>
      <c r="M8">
        <f>INDEX('LIVE SOURCE'!$J$3:$J$34,$N8)</f>
        <v/>
      </c>
      <c r="N8" s="6">
        <f>MATCH($A8,'Draft Engine'!$F$3:$F$34,0)</f>
        <v/>
      </c>
    </row>
    <row r="9">
      <c r="A9">
        <f>7</f>
        <v/>
      </c>
      <c r="B9">
        <f>INDEX('Draft Engine'!$B$3:$B$34,$N9)</f>
        <v/>
      </c>
      <c r="C9" s="4">
        <f>INDEX('Draft Engine'!$E$3:$E$34,$N9)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Engine'!$G$3:$G$34,$N9)</f>
        <v/>
      </c>
      <c r="F9">
        <f>INDEX('Draft Engine'!$J$3:$J$34,$N9)</f>
        <v/>
      </c>
      <c r="G9">
        <f>INDEX('Draft Engine'!$N$3:$N$34,$N9)</f>
        <v/>
      </c>
      <c r="H9">
        <f>INDEX('Draft Engine'!$Q$3:$Q$34,$N9)</f>
        <v/>
      </c>
      <c r="I9">
        <f>INDEX('Draft Engine'!$R$3:$R$34,$N9)</f>
        <v/>
      </c>
      <c r="J9">
        <f>INDEX('Draft Engine'!$S$3:$S$34,$N9)</f>
        <v/>
      </c>
      <c r="K9">
        <f>INDEX('Draft Engine'!$T$3:$T$34,$N9)</f>
        <v/>
      </c>
      <c r="L9">
        <f>INDEX('LIVE SOURCE'!$H$3:$H$34,$N9)</f>
        <v/>
      </c>
      <c r="M9">
        <f>INDEX('LIVE SOURCE'!$J$3:$J$34,$N9)</f>
        <v/>
      </c>
      <c r="N9" s="6">
        <f>MATCH($A9,'Draft Engine'!$F$3:$F$34,0)</f>
        <v/>
      </c>
    </row>
    <row r="10">
      <c r="A10">
        <f>8</f>
        <v/>
      </c>
      <c r="B10">
        <f>INDEX('Draft Engine'!$B$3:$B$34,$N10)</f>
        <v/>
      </c>
      <c r="C10" s="4">
        <f>INDEX('Draft Engine'!$E$3:$E$34,$N10)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Engine'!$G$3:$G$34,$N10)</f>
        <v/>
      </c>
      <c r="F10">
        <f>INDEX('Draft Engine'!$J$3:$J$34,$N10)</f>
        <v/>
      </c>
      <c r="G10">
        <f>INDEX('Draft Engine'!$N$3:$N$34,$N10)</f>
        <v/>
      </c>
      <c r="H10">
        <f>INDEX('Draft Engine'!$Q$3:$Q$34,$N10)</f>
        <v/>
      </c>
      <c r="I10">
        <f>INDEX('Draft Engine'!$R$3:$R$34,$N10)</f>
        <v/>
      </c>
      <c r="J10">
        <f>INDEX('Draft Engine'!$S$3:$S$34,$N10)</f>
        <v/>
      </c>
      <c r="K10">
        <f>INDEX('Draft Engine'!$T$3:$T$34,$N10)</f>
        <v/>
      </c>
      <c r="L10">
        <f>INDEX('LIVE SOURCE'!$H$3:$H$34,$N10)</f>
        <v/>
      </c>
      <c r="M10">
        <f>INDEX('LIVE SOURCE'!$J$3:$J$34,$N10)</f>
        <v/>
      </c>
      <c r="N10" s="6">
        <f>MATCH($A10,'Draft Engine'!$F$3:$F$34,0)</f>
        <v/>
      </c>
    </row>
    <row r="11">
      <c r="A11">
        <f>9</f>
        <v/>
      </c>
      <c r="B11">
        <f>INDEX('Draft Engine'!$B$3:$B$34,$N11)</f>
        <v/>
      </c>
      <c r="C11" s="4">
        <f>INDEX('Draft Engine'!$E$3:$E$34,$N11)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Engine'!$G$3:$G$34,$N11)</f>
        <v/>
      </c>
      <c r="F11">
        <f>INDEX('Draft Engine'!$J$3:$J$34,$N11)</f>
        <v/>
      </c>
      <c r="G11">
        <f>INDEX('Draft Engine'!$N$3:$N$34,$N11)</f>
        <v/>
      </c>
      <c r="H11">
        <f>INDEX('Draft Engine'!$Q$3:$Q$34,$N11)</f>
        <v/>
      </c>
      <c r="I11">
        <f>INDEX('Draft Engine'!$R$3:$R$34,$N11)</f>
        <v/>
      </c>
      <c r="J11">
        <f>INDEX('Draft Engine'!$S$3:$S$34,$N11)</f>
        <v/>
      </c>
      <c r="K11">
        <f>INDEX('Draft Engine'!$T$3:$T$34,$N11)</f>
        <v/>
      </c>
      <c r="L11">
        <f>INDEX('LIVE SOURCE'!$H$3:$H$34,$N11)</f>
        <v/>
      </c>
      <c r="M11">
        <f>INDEX('LIVE SOURCE'!$J$3:$J$34,$N11)</f>
        <v/>
      </c>
      <c r="N11" s="6">
        <f>MATCH($A11,'Draft Engine'!$F$3:$F$34,0)</f>
        <v/>
      </c>
    </row>
    <row r="12">
      <c r="A12">
        <f>10</f>
        <v/>
      </c>
      <c r="B12">
        <f>INDEX('Draft Engine'!$B$3:$B$34,$N12)</f>
        <v/>
      </c>
      <c r="C12" s="4">
        <f>INDEX('Draft Engine'!$E$3:$E$34,$N12)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Engine'!$G$3:$G$34,$N12)</f>
        <v/>
      </c>
      <c r="F12">
        <f>INDEX('Draft Engine'!$J$3:$J$34,$N12)</f>
        <v/>
      </c>
      <c r="G12">
        <f>INDEX('Draft Engine'!$N$3:$N$34,$N12)</f>
        <v/>
      </c>
      <c r="H12">
        <f>INDEX('Draft Engine'!$Q$3:$Q$34,$N12)</f>
        <v/>
      </c>
      <c r="I12">
        <f>INDEX('Draft Engine'!$R$3:$R$34,$N12)</f>
        <v/>
      </c>
      <c r="J12">
        <f>INDEX('Draft Engine'!$S$3:$S$34,$N12)</f>
        <v/>
      </c>
      <c r="K12">
        <f>INDEX('Draft Engine'!$T$3:$T$34,$N12)</f>
        <v/>
      </c>
      <c r="L12">
        <f>INDEX('LIVE SOURCE'!$H$3:$H$34,$N12)</f>
        <v/>
      </c>
      <c r="M12">
        <f>INDEX('LIVE SOURCE'!$J$3:$J$34,$N12)</f>
        <v/>
      </c>
      <c r="N12" s="6">
        <f>MATCH($A12,'Draft Engine'!$F$3:$F$34,0)</f>
        <v/>
      </c>
    </row>
    <row r="13">
      <c r="A13">
        <f>11</f>
        <v/>
      </c>
      <c r="B13">
        <f>INDEX('Draft Engine'!$B$3:$B$34,$N13)</f>
        <v/>
      </c>
      <c r="C13" s="4">
        <f>INDEX('Draft Engine'!$E$3:$E$34,$N13)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Engine'!$G$3:$G$34,$N13)</f>
        <v/>
      </c>
      <c r="F13">
        <f>INDEX('Draft Engine'!$J$3:$J$34,$N13)</f>
        <v/>
      </c>
      <c r="G13">
        <f>INDEX('Draft Engine'!$N$3:$N$34,$N13)</f>
        <v/>
      </c>
      <c r="H13">
        <f>INDEX('Draft Engine'!$Q$3:$Q$34,$N13)</f>
        <v/>
      </c>
      <c r="I13">
        <f>INDEX('Draft Engine'!$R$3:$R$34,$N13)</f>
        <v/>
      </c>
      <c r="J13">
        <f>INDEX('Draft Engine'!$S$3:$S$34,$N13)</f>
        <v/>
      </c>
      <c r="K13">
        <f>INDEX('Draft Engine'!$T$3:$T$34,$N13)</f>
        <v/>
      </c>
      <c r="L13">
        <f>INDEX('LIVE SOURCE'!$H$3:$H$34,$N13)</f>
        <v/>
      </c>
      <c r="M13">
        <f>INDEX('LIVE SOURCE'!$J$3:$J$34,$N13)</f>
        <v/>
      </c>
      <c r="N13" s="6">
        <f>MATCH($A13,'Draft Engine'!$F$3:$F$34,0)</f>
        <v/>
      </c>
    </row>
    <row r="14">
      <c r="A14">
        <f>12</f>
        <v/>
      </c>
      <c r="B14">
        <f>INDEX('Draft Engine'!$B$3:$B$34,$N14)</f>
        <v/>
      </c>
      <c r="C14" s="4">
        <f>INDEX('Draft Engine'!$E$3:$E$34,$N14)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Engine'!$G$3:$G$34,$N14)</f>
        <v/>
      </c>
      <c r="F14">
        <f>INDEX('Draft Engine'!$J$3:$J$34,$N14)</f>
        <v/>
      </c>
      <c r="G14">
        <f>INDEX('Draft Engine'!$N$3:$N$34,$N14)</f>
        <v/>
      </c>
      <c r="H14">
        <f>INDEX('Draft Engine'!$Q$3:$Q$34,$N14)</f>
        <v/>
      </c>
      <c r="I14">
        <f>INDEX('Draft Engine'!$R$3:$R$34,$N14)</f>
        <v/>
      </c>
      <c r="J14">
        <f>INDEX('Draft Engine'!$S$3:$S$34,$N14)</f>
        <v/>
      </c>
      <c r="K14">
        <f>INDEX('Draft Engine'!$T$3:$T$34,$N14)</f>
        <v/>
      </c>
      <c r="L14">
        <f>INDEX('LIVE SOURCE'!$H$3:$H$34,$N14)</f>
        <v/>
      </c>
      <c r="M14">
        <f>INDEX('LIVE SOURCE'!$J$3:$J$34,$N14)</f>
        <v/>
      </c>
      <c r="N14" s="6">
        <f>MATCH($A14,'Draft Engine'!$F$3:$F$34,0)</f>
        <v/>
      </c>
    </row>
    <row r="15">
      <c r="A15">
        <f>13</f>
        <v/>
      </c>
      <c r="B15">
        <f>INDEX('Draft Engine'!$B$3:$B$34,$N15)</f>
        <v/>
      </c>
      <c r="C15" s="4">
        <f>INDEX('Draft Engine'!$E$3:$E$34,$N15)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Engine'!$G$3:$G$34,$N15)</f>
        <v/>
      </c>
      <c r="F15">
        <f>INDEX('Draft Engine'!$J$3:$J$34,$N15)</f>
        <v/>
      </c>
      <c r="G15">
        <f>INDEX('Draft Engine'!$N$3:$N$34,$N15)</f>
        <v/>
      </c>
      <c r="H15">
        <f>INDEX('Draft Engine'!$Q$3:$Q$34,$N15)</f>
        <v/>
      </c>
      <c r="I15">
        <f>INDEX('Draft Engine'!$R$3:$R$34,$N15)</f>
        <v/>
      </c>
      <c r="J15">
        <f>INDEX('Draft Engine'!$S$3:$S$34,$N15)</f>
        <v/>
      </c>
      <c r="K15">
        <f>INDEX('Draft Engine'!$T$3:$T$34,$N15)</f>
        <v/>
      </c>
      <c r="L15">
        <f>INDEX('LIVE SOURCE'!$H$3:$H$34,$N15)</f>
        <v/>
      </c>
      <c r="M15">
        <f>INDEX('LIVE SOURCE'!$J$3:$J$34,$N15)</f>
        <v/>
      </c>
      <c r="N15" s="6">
        <f>MATCH($A15,'Draft Engine'!$F$3:$F$34,0)</f>
        <v/>
      </c>
    </row>
    <row r="16">
      <c r="A16">
        <f>14</f>
        <v/>
      </c>
      <c r="B16">
        <f>INDEX('Draft Engine'!$B$3:$B$34,$N16)</f>
        <v/>
      </c>
      <c r="C16" s="4">
        <f>INDEX('Draft Engine'!$E$3:$E$34,$N16)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Engine'!$G$3:$G$34,$N16)</f>
        <v/>
      </c>
      <c r="F16">
        <f>INDEX('Draft Engine'!$J$3:$J$34,$N16)</f>
        <v/>
      </c>
      <c r="G16">
        <f>INDEX('Draft Engine'!$N$3:$N$34,$N16)</f>
        <v/>
      </c>
      <c r="H16">
        <f>INDEX('Draft Engine'!$Q$3:$Q$34,$N16)</f>
        <v/>
      </c>
      <c r="I16">
        <f>INDEX('Draft Engine'!$R$3:$R$34,$N16)</f>
        <v/>
      </c>
      <c r="J16">
        <f>INDEX('Draft Engine'!$S$3:$S$34,$N16)</f>
        <v/>
      </c>
      <c r="K16">
        <f>INDEX('Draft Engine'!$T$3:$T$34,$N16)</f>
        <v/>
      </c>
      <c r="L16">
        <f>INDEX('LIVE SOURCE'!$H$3:$H$34,$N16)</f>
        <v/>
      </c>
      <c r="M16">
        <f>INDEX('LIVE SOURCE'!$J$3:$J$34,$N16)</f>
        <v/>
      </c>
      <c r="N16" s="6">
        <f>MATCH($A16,'Draft Engine'!$F$3:$F$34,0)</f>
        <v/>
      </c>
    </row>
    <row r="17">
      <c r="A17">
        <f>15</f>
        <v/>
      </c>
      <c r="B17">
        <f>INDEX('Draft Engine'!$B$3:$B$34,$N17)</f>
        <v/>
      </c>
      <c r="C17" s="4">
        <f>INDEX('Draft Engine'!$E$3:$E$34,$N17)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Engine'!$G$3:$G$34,$N17)</f>
        <v/>
      </c>
      <c r="F17">
        <f>INDEX('Draft Engine'!$J$3:$J$34,$N17)</f>
        <v/>
      </c>
      <c r="G17">
        <f>INDEX('Draft Engine'!$N$3:$N$34,$N17)</f>
        <v/>
      </c>
      <c r="H17">
        <f>INDEX('Draft Engine'!$Q$3:$Q$34,$N17)</f>
        <v/>
      </c>
      <c r="I17">
        <f>INDEX('Draft Engine'!$R$3:$R$34,$N17)</f>
        <v/>
      </c>
      <c r="J17">
        <f>INDEX('Draft Engine'!$S$3:$S$34,$N17)</f>
        <v/>
      </c>
      <c r="K17">
        <f>INDEX('Draft Engine'!$T$3:$T$34,$N17)</f>
        <v/>
      </c>
      <c r="L17">
        <f>INDEX('LIVE SOURCE'!$H$3:$H$34,$N17)</f>
        <v/>
      </c>
      <c r="M17">
        <f>INDEX('LIVE SOURCE'!$J$3:$J$34,$N17)</f>
        <v/>
      </c>
      <c r="N17" s="6">
        <f>MATCH($A17,'Draft Engine'!$F$3:$F$34,0)</f>
        <v/>
      </c>
    </row>
    <row r="18">
      <c r="A18">
        <f>16</f>
        <v/>
      </c>
      <c r="B18">
        <f>INDEX('Draft Engine'!$B$3:$B$34,$N18)</f>
        <v/>
      </c>
      <c r="C18" s="4">
        <f>INDEX('Draft Engine'!$E$3:$E$34,$N18)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Engine'!$G$3:$G$34,$N18)</f>
        <v/>
      </c>
      <c r="F18">
        <f>INDEX('Draft Engine'!$J$3:$J$34,$N18)</f>
        <v/>
      </c>
      <c r="G18">
        <f>INDEX('Draft Engine'!$N$3:$N$34,$N18)</f>
        <v/>
      </c>
      <c r="H18">
        <f>INDEX('Draft Engine'!$Q$3:$Q$34,$N18)</f>
        <v/>
      </c>
      <c r="I18">
        <f>INDEX('Draft Engine'!$R$3:$R$34,$N18)</f>
        <v/>
      </c>
      <c r="J18">
        <f>INDEX('Draft Engine'!$S$3:$S$34,$N18)</f>
        <v/>
      </c>
      <c r="K18">
        <f>INDEX('Draft Engine'!$T$3:$T$34,$N18)</f>
        <v/>
      </c>
      <c r="L18">
        <f>INDEX('LIVE SOURCE'!$H$3:$H$34,$N18)</f>
        <v/>
      </c>
      <c r="M18">
        <f>INDEX('LIVE SOURCE'!$J$3:$J$34,$N18)</f>
        <v/>
      </c>
      <c r="N18" s="6">
        <f>MATCH($A18,'Draft Engine'!$F$3:$F$34,0)</f>
        <v/>
      </c>
    </row>
    <row r="19">
      <c r="A19">
        <f>17</f>
        <v/>
      </c>
      <c r="B19">
        <f>INDEX('Draft Engine'!$B$3:$B$34,$N19)</f>
        <v/>
      </c>
      <c r="C19" s="4">
        <f>INDEX('Draft Engine'!$E$3:$E$34,$N19)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Engine'!$G$3:$G$34,$N19)</f>
        <v/>
      </c>
      <c r="F19">
        <f>INDEX('Draft Engine'!$J$3:$J$34,$N19)</f>
        <v/>
      </c>
      <c r="G19">
        <f>INDEX('Draft Engine'!$N$3:$N$34,$N19)</f>
        <v/>
      </c>
      <c r="H19">
        <f>INDEX('Draft Engine'!$Q$3:$Q$34,$N19)</f>
        <v/>
      </c>
      <c r="I19">
        <f>INDEX('Draft Engine'!$R$3:$R$34,$N19)</f>
        <v/>
      </c>
      <c r="J19">
        <f>INDEX('Draft Engine'!$S$3:$S$34,$N19)</f>
        <v/>
      </c>
      <c r="K19">
        <f>INDEX('Draft Engine'!$T$3:$T$34,$N19)</f>
        <v/>
      </c>
      <c r="L19">
        <f>INDEX('LIVE SOURCE'!$H$3:$H$34,$N19)</f>
        <v/>
      </c>
      <c r="M19">
        <f>INDEX('LIVE SOURCE'!$J$3:$J$34,$N19)</f>
        <v/>
      </c>
      <c r="N19" s="6">
        <f>MATCH($A19,'Draft Engine'!$F$3:$F$34,0)</f>
        <v/>
      </c>
    </row>
    <row r="20">
      <c r="A20">
        <f>18</f>
        <v/>
      </c>
      <c r="B20">
        <f>INDEX('Draft Engine'!$B$3:$B$34,$N20)</f>
        <v/>
      </c>
      <c r="C20" s="4">
        <f>INDEX('Draft Engine'!$E$3:$E$34,$N20)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Engine'!$G$3:$G$34,$N20)</f>
        <v/>
      </c>
      <c r="F20">
        <f>INDEX('Draft Engine'!$J$3:$J$34,$N20)</f>
        <v/>
      </c>
      <c r="G20">
        <f>INDEX('Draft Engine'!$N$3:$N$34,$N20)</f>
        <v/>
      </c>
      <c r="H20">
        <f>INDEX('Draft Engine'!$Q$3:$Q$34,$N20)</f>
        <v/>
      </c>
      <c r="I20">
        <f>INDEX('Draft Engine'!$R$3:$R$34,$N20)</f>
        <v/>
      </c>
      <c r="J20">
        <f>INDEX('Draft Engine'!$S$3:$S$34,$N20)</f>
        <v/>
      </c>
      <c r="K20">
        <f>INDEX('Draft Engine'!$T$3:$T$34,$N20)</f>
        <v/>
      </c>
      <c r="L20">
        <f>INDEX('LIVE SOURCE'!$H$3:$H$34,$N20)</f>
        <v/>
      </c>
      <c r="M20">
        <f>INDEX('LIVE SOURCE'!$J$3:$J$34,$N20)</f>
        <v/>
      </c>
      <c r="N20" s="6">
        <f>MATCH($A20,'Draft Engine'!$F$3:$F$34,0)</f>
        <v/>
      </c>
    </row>
    <row r="21">
      <c r="A21">
        <f>19</f>
        <v/>
      </c>
      <c r="B21">
        <f>INDEX('Draft Engine'!$B$3:$B$34,$N21)</f>
        <v/>
      </c>
      <c r="C21" s="4">
        <f>INDEX('Draft Engine'!$E$3:$E$34,$N21)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Engine'!$G$3:$G$34,$N21)</f>
        <v/>
      </c>
      <c r="F21">
        <f>INDEX('Draft Engine'!$J$3:$J$34,$N21)</f>
        <v/>
      </c>
      <c r="G21">
        <f>INDEX('Draft Engine'!$N$3:$N$34,$N21)</f>
        <v/>
      </c>
      <c r="H21">
        <f>INDEX('Draft Engine'!$Q$3:$Q$34,$N21)</f>
        <v/>
      </c>
      <c r="I21">
        <f>INDEX('Draft Engine'!$R$3:$R$34,$N21)</f>
        <v/>
      </c>
      <c r="J21">
        <f>INDEX('Draft Engine'!$S$3:$S$34,$N21)</f>
        <v/>
      </c>
      <c r="K21">
        <f>INDEX('Draft Engine'!$T$3:$T$34,$N21)</f>
        <v/>
      </c>
      <c r="L21">
        <f>INDEX('LIVE SOURCE'!$H$3:$H$34,$N21)</f>
        <v/>
      </c>
      <c r="M21">
        <f>INDEX('LIVE SOURCE'!$J$3:$J$34,$N21)</f>
        <v/>
      </c>
      <c r="N21" s="6">
        <f>MATCH($A21,'Draft Engine'!$F$3:$F$34,0)</f>
        <v/>
      </c>
    </row>
    <row r="22">
      <c r="A22">
        <f>20</f>
        <v/>
      </c>
      <c r="B22">
        <f>INDEX('Draft Engine'!$B$3:$B$34,$N22)</f>
        <v/>
      </c>
      <c r="C22" s="4">
        <f>INDEX('Draft Engine'!$E$3:$E$34,$N22)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Engine'!$G$3:$G$34,$N22)</f>
        <v/>
      </c>
      <c r="F22">
        <f>INDEX('Draft Engine'!$J$3:$J$34,$N22)</f>
        <v/>
      </c>
      <c r="G22">
        <f>INDEX('Draft Engine'!$N$3:$N$34,$N22)</f>
        <v/>
      </c>
      <c r="H22">
        <f>INDEX('Draft Engine'!$Q$3:$Q$34,$N22)</f>
        <v/>
      </c>
      <c r="I22">
        <f>INDEX('Draft Engine'!$R$3:$R$34,$N22)</f>
        <v/>
      </c>
      <c r="J22">
        <f>INDEX('Draft Engine'!$S$3:$S$34,$N22)</f>
        <v/>
      </c>
      <c r="K22">
        <f>INDEX('Draft Engine'!$T$3:$T$34,$N22)</f>
        <v/>
      </c>
      <c r="L22">
        <f>INDEX('LIVE SOURCE'!$H$3:$H$34,$N22)</f>
        <v/>
      </c>
      <c r="M22">
        <f>INDEX('LIVE SOURCE'!$J$3:$J$34,$N22)</f>
        <v/>
      </c>
      <c r="N22" s="6">
        <f>MATCH($A22,'Draft Engine'!$F$3:$F$34,0)</f>
        <v/>
      </c>
    </row>
    <row r="23">
      <c r="A23">
        <f>21</f>
        <v/>
      </c>
      <c r="B23">
        <f>INDEX('Draft Engine'!$B$3:$B$34,$N23)</f>
        <v/>
      </c>
      <c r="C23" s="4">
        <f>INDEX('Draft Engine'!$E$3:$E$34,$N23)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Engine'!$G$3:$G$34,$N23)</f>
        <v/>
      </c>
      <c r="F23">
        <f>INDEX('Draft Engine'!$J$3:$J$34,$N23)</f>
        <v/>
      </c>
      <c r="G23">
        <f>INDEX('Draft Engine'!$N$3:$N$34,$N23)</f>
        <v/>
      </c>
      <c r="H23">
        <f>INDEX('Draft Engine'!$Q$3:$Q$34,$N23)</f>
        <v/>
      </c>
      <c r="I23">
        <f>INDEX('Draft Engine'!$R$3:$R$34,$N23)</f>
        <v/>
      </c>
      <c r="J23">
        <f>INDEX('Draft Engine'!$S$3:$S$34,$N23)</f>
        <v/>
      </c>
      <c r="K23">
        <f>INDEX('Draft Engine'!$T$3:$T$34,$N23)</f>
        <v/>
      </c>
      <c r="L23">
        <f>INDEX('LIVE SOURCE'!$H$3:$H$34,$N23)</f>
        <v/>
      </c>
      <c r="M23">
        <f>INDEX('LIVE SOURCE'!$J$3:$J$34,$N23)</f>
        <v/>
      </c>
      <c r="N23" s="6">
        <f>MATCH($A23,'Draft Engine'!$F$3:$F$34,0)</f>
        <v/>
      </c>
    </row>
    <row r="24">
      <c r="A24">
        <f>22</f>
        <v/>
      </c>
      <c r="B24">
        <f>INDEX('Draft Engine'!$B$3:$B$34,$N24)</f>
        <v/>
      </c>
      <c r="C24" s="4">
        <f>INDEX('Draft Engine'!$E$3:$E$34,$N24)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Engine'!$G$3:$G$34,$N24)</f>
        <v/>
      </c>
      <c r="F24">
        <f>INDEX('Draft Engine'!$J$3:$J$34,$N24)</f>
        <v/>
      </c>
      <c r="G24">
        <f>INDEX('Draft Engine'!$N$3:$N$34,$N24)</f>
        <v/>
      </c>
      <c r="H24">
        <f>INDEX('Draft Engine'!$Q$3:$Q$34,$N24)</f>
        <v/>
      </c>
      <c r="I24">
        <f>INDEX('Draft Engine'!$R$3:$R$34,$N24)</f>
        <v/>
      </c>
      <c r="J24">
        <f>INDEX('Draft Engine'!$S$3:$S$34,$N24)</f>
        <v/>
      </c>
      <c r="K24">
        <f>INDEX('Draft Engine'!$T$3:$T$34,$N24)</f>
        <v/>
      </c>
      <c r="L24">
        <f>INDEX('LIVE SOURCE'!$H$3:$H$34,$N24)</f>
        <v/>
      </c>
      <c r="M24">
        <f>INDEX('LIVE SOURCE'!$J$3:$J$34,$N24)</f>
        <v/>
      </c>
      <c r="N24" s="6">
        <f>MATCH($A24,'Draft Engine'!$F$3:$F$34,0)</f>
        <v/>
      </c>
    </row>
    <row r="25">
      <c r="A25">
        <f>23</f>
        <v/>
      </c>
      <c r="B25">
        <f>INDEX('Draft Engine'!$B$3:$B$34,$N25)</f>
        <v/>
      </c>
      <c r="C25" s="4">
        <f>INDEX('Draft Engine'!$E$3:$E$34,$N25)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Engine'!$G$3:$G$34,$N25)</f>
        <v/>
      </c>
      <c r="F25">
        <f>INDEX('Draft Engine'!$J$3:$J$34,$N25)</f>
        <v/>
      </c>
      <c r="G25">
        <f>INDEX('Draft Engine'!$N$3:$N$34,$N25)</f>
        <v/>
      </c>
      <c r="H25">
        <f>INDEX('Draft Engine'!$Q$3:$Q$34,$N25)</f>
        <v/>
      </c>
      <c r="I25">
        <f>INDEX('Draft Engine'!$R$3:$R$34,$N25)</f>
        <v/>
      </c>
      <c r="J25">
        <f>INDEX('Draft Engine'!$S$3:$S$34,$N25)</f>
        <v/>
      </c>
      <c r="K25">
        <f>INDEX('Draft Engine'!$T$3:$T$34,$N25)</f>
        <v/>
      </c>
      <c r="L25">
        <f>INDEX('LIVE SOURCE'!$H$3:$H$34,$N25)</f>
        <v/>
      </c>
      <c r="M25">
        <f>INDEX('LIVE SOURCE'!$J$3:$J$34,$N25)</f>
        <v/>
      </c>
      <c r="N25" s="6">
        <f>MATCH($A25,'Draft Engine'!$F$3:$F$34,0)</f>
        <v/>
      </c>
    </row>
    <row r="26">
      <c r="A26">
        <f>24</f>
        <v/>
      </c>
      <c r="B26">
        <f>INDEX('Draft Engine'!$B$3:$B$34,$N26)</f>
        <v/>
      </c>
      <c r="C26" s="4">
        <f>INDEX('Draft Engine'!$E$3:$E$34,$N26)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Engine'!$G$3:$G$34,$N26)</f>
        <v/>
      </c>
      <c r="F26">
        <f>INDEX('Draft Engine'!$J$3:$J$34,$N26)</f>
        <v/>
      </c>
      <c r="G26">
        <f>INDEX('Draft Engine'!$N$3:$N$34,$N26)</f>
        <v/>
      </c>
      <c r="H26">
        <f>INDEX('Draft Engine'!$Q$3:$Q$34,$N26)</f>
        <v/>
      </c>
      <c r="I26">
        <f>INDEX('Draft Engine'!$R$3:$R$34,$N26)</f>
        <v/>
      </c>
      <c r="J26">
        <f>INDEX('Draft Engine'!$S$3:$S$34,$N26)</f>
        <v/>
      </c>
      <c r="K26">
        <f>INDEX('Draft Engine'!$T$3:$T$34,$N26)</f>
        <v/>
      </c>
      <c r="L26">
        <f>INDEX('LIVE SOURCE'!$H$3:$H$34,$N26)</f>
        <v/>
      </c>
      <c r="M26">
        <f>INDEX('LIVE SOURCE'!$J$3:$J$34,$N26)</f>
        <v/>
      </c>
      <c r="N26" s="6">
        <f>MATCH($A26,'Draft Engine'!$F$3:$F$34,0)</f>
        <v/>
      </c>
    </row>
    <row r="27">
      <c r="A27">
        <f>25</f>
        <v/>
      </c>
      <c r="B27">
        <f>INDEX('Draft Engine'!$B$3:$B$34,$N27)</f>
        <v/>
      </c>
      <c r="C27" s="4">
        <f>INDEX('Draft Engine'!$E$3:$E$34,$N27)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Engine'!$G$3:$G$34,$N27)</f>
        <v/>
      </c>
      <c r="F27">
        <f>INDEX('Draft Engine'!$J$3:$J$34,$N27)</f>
        <v/>
      </c>
      <c r="G27">
        <f>INDEX('Draft Engine'!$N$3:$N$34,$N27)</f>
        <v/>
      </c>
      <c r="H27">
        <f>INDEX('Draft Engine'!$Q$3:$Q$34,$N27)</f>
        <v/>
      </c>
      <c r="I27">
        <f>INDEX('Draft Engine'!$R$3:$R$34,$N27)</f>
        <v/>
      </c>
      <c r="J27">
        <f>INDEX('Draft Engine'!$S$3:$S$34,$N27)</f>
        <v/>
      </c>
      <c r="K27">
        <f>INDEX('Draft Engine'!$T$3:$T$34,$N27)</f>
        <v/>
      </c>
      <c r="L27">
        <f>INDEX('LIVE SOURCE'!$H$3:$H$34,$N27)</f>
        <v/>
      </c>
      <c r="M27">
        <f>INDEX('LIVE SOURCE'!$J$3:$J$34,$N27)</f>
        <v/>
      </c>
      <c r="N27" s="6">
        <f>MATCH($A27,'Draft Engine'!$F$3:$F$34,0)</f>
        <v/>
      </c>
    </row>
    <row r="28">
      <c r="A28">
        <f>26</f>
        <v/>
      </c>
      <c r="B28">
        <f>INDEX('Draft Engine'!$B$3:$B$34,$N28)</f>
        <v/>
      </c>
      <c r="C28" s="4">
        <f>INDEX('Draft Engine'!$E$3:$E$34,$N28)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Engine'!$G$3:$G$34,$N28)</f>
        <v/>
      </c>
      <c r="F28">
        <f>INDEX('Draft Engine'!$J$3:$J$34,$N28)</f>
        <v/>
      </c>
      <c r="G28">
        <f>INDEX('Draft Engine'!$N$3:$N$34,$N28)</f>
        <v/>
      </c>
      <c r="H28">
        <f>INDEX('Draft Engine'!$Q$3:$Q$34,$N28)</f>
        <v/>
      </c>
      <c r="I28">
        <f>INDEX('Draft Engine'!$R$3:$R$34,$N28)</f>
        <v/>
      </c>
      <c r="J28">
        <f>INDEX('Draft Engine'!$S$3:$S$34,$N28)</f>
        <v/>
      </c>
      <c r="K28">
        <f>INDEX('Draft Engine'!$T$3:$T$34,$N28)</f>
        <v/>
      </c>
      <c r="L28">
        <f>INDEX('LIVE SOURCE'!$H$3:$H$34,$N28)</f>
        <v/>
      </c>
      <c r="M28">
        <f>INDEX('LIVE SOURCE'!$J$3:$J$34,$N28)</f>
        <v/>
      </c>
      <c r="N28" s="6">
        <f>MATCH($A28,'Draft Engine'!$F$3:$F$34,0)</f>
        <v/>
      </c>
    </row>
    <row r="29">
      <c r="A29">
        <f>27</f>
        <v/>
      </c>
      <c r="B29">
        <f>INDEX('Draft Engine'!$B$3:$B$34,$N29)</f>
        <v/>
      </c>
      <c r="C29" s="4">
        <f>INDEX('Draft Engine'!$E$3:$E$34,$N29)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Engine'!$G$3:$G$34,$N29)</f>
        <v/>
      </c>
      <c r="F29">
        <f>INDEX('Draft Engine'!$J$3:$J$34,$N29)</f>
        <v/>
      </c>
      <c r="G29">
        <f>INDEX('Draft Engine'!$N$3:$N$34,$N29)</f>
        <v/>
      </c>
      <c r="H29">
        <f>INDEX('Draft Engine'!$Q$3:$Q$34,$N29)</f>
        <v/>
      </c>
      <c r="I29">
        <f>INDEX('Draft Engine'!$R$3:$R$34,$N29)</f>
        <v/>
      </c>
      <c r="J29">
        <f>INDEX('Draft Engine'!$S$3:$S$34,$N29)</f>
        <v/>
      </c>
      <c r="K29">
        <f>INDEX('Draft Engine'!$T$3:$T$34,$N29)</f>
        <v/>
      </c>
      <c r="L29">
        <f>INDEX('LIVE SOURCE'!$H$3:$H$34,$N29)</f>
        <v/>
      </c>
      <c r="M29">
        <f>INDEX('LIVE SOURCE'!$J$3:$J$34,$N29)</f>
        <v/>
      </c>
      <c r="N29" s="6">
        <f>MATCH($A29,'Draft Engine'!$F$3:$F$34,0)</f>
        <v/>
      </c>
    </row>
    <row r="30">
      <c r="A30">
        <f>28</f>
        <v/>
      </c>
      <c r="B30">
        <f>INDEX('Draft Engine'!$B$3:$B$34,$N30)</f>
        <v/>
      </c>
      <c r="C30" s="4">
        <f>INDEX('Draft Engine'!$E$3:$E$34,$N30)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Engine'!$G$3:$G$34,$N30)</f>
        <v/>
      </c>
      <c r="F30">
        <f>INDEX('Draft Engine'!$J$3:$J$34,$N30)</f>
        <v/>
      </c>
      <c r="G30">
        <f>INDEX('Draft Engine'!$N$3:$N$34,$N30)</f>
        <v/>
      </c>
      <c r="H30">
        <f>INDEX('Draft Engine'!$Q$3:$Q$34,$N30)</f>
        <v/>
      </c>
      <c r="I30">
        <f>INDEX('Draft Engine'!$R$3:$R$34,$N30)</f>
        <v/>
      </c>
      <c r="J30">
        <f>INDEX('Draft Engine'!$S$3:$S$34,$N30)</f>
        <v/>
      </c>
      <c r="K30">
        <f>INDEX('Draft Engine'!$T$3:$T$34,$N30)</f>
        <v/>
      </c>
      <c r="L30">
        <f>INDEX('LIVE SOURCE'!$H$3:$H$34,$N30)</f>
        <v/>
      </c>
      <c r="M30">
        <f>INDEX('LIVE SOURCE'!$J$3:$J$34,$N30)</f>
        <v/>
      </c>
      <c r="N30" s="6">
        <f>MATCH($A30,'Draft Engine'!$F$3:$F$34,0)</f>
        <v/>
      </c>
    </row>
    <row r="31">
      <c r="A31">
        <f>29</f>
        <v/>
      </c>
      <c r="B31">
        <f>INDEX('Draft Engine'!$B$3:$B$34,$N31)</f>
        <v/>
      </c>
      <c r="C31" s="4">
        <f>INDEX('Draft Engine'!$E$3:$E$34,$N31)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Engine'!$G$3:$G$34,$N31)</f>
        <v/>
      </c>
      <c r="F31">
        <f>INDEX('Draft Engine'!$J$3:$J$34,$N31)</f>
        <v/>
      </c>
      <c r="G31">
        <f>INDEX('Draft Engine'!$N$3:$N$34,$N31)</f>
        <v/>
      </c>
      <c r="H31">
        <f>INDEX('Draft Engine'!$Q$3:$Q$34,$N31)</f>
        <v/>
      </c>
      <c r="I31">
        <f>INDEX('Draft Engine'!$R$3:$R$34,$N31)</f>
        <v/>
      </c>
      <c r="J31">
        <f>INDEX('Draft Engine'!$S$3:$S$34,$N31)</f>
        <v/>
      </c>
      <c r="K31">
        <f>INDEX('Draft Engine'!$T$3:$T$34,$N31)</f>
        <v/>
      </c>
      <c r="L31">
        <f>INDEX('LIVE SOURCE'!$H$3:$H$34,$N31)</f>
        <v/>
      </c>
      <c r="M31">
        <f>INDEX('LIVE SOURCE'!$J$3:$J$34,$N31)</f>
        <v/>
      </c>
      <c r="N31" s="6">
        <f>MATCH($A31,'Draft Engine'!$F$3:$F$34,0)</f>
        <v/>
      </c>
    </row>
    <row r="32">
      <c r="A32">
        <f>30</f>
        <v/>
      </c>
      <c r="B32">
        <f>INDEX('Draft Engine'!$B$3:$B$34,$N32)</f>
        <v/>
      </c>
      <c r="C32" s="4">
        <f>INDEX('Draft Engine'!$E$3:$E$34,$N32)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Engine'!$G$3:$G$34,$N32)</f>
        <v/>
      </c>
      <c r="F32">
        <f>INDEX('Draft Engine'!$J$3:$J$34,$N32)</f>
        <v/>
      </c>
      <c r="G32">
        <f>INDEX('Draft Engine'!$N$3:$N$34,$N32)</f>
        <v/>
      </c>
      <c r="H32">
        <f>INDEX('Draft Engine'!$Q$3:$Q$34,$N32)</f>
        <v/>
      </c>
      <c r="I32">
        <f>INDEX('Draft Engine'!$R$3:$R$34,$N32)</f>
        <v/>
      </c>
      <c r="J32">
        <f>INDEX('Draft Engine'!$S$3:$S$34,$N32)</f>
        <v/>
      </c>
      <c r="K32">
        <f>INDEX('Draft Engine'!$T$3:$T$34,$N32)</f>
        <v/>
      </c>
      <c r="L32">
        <f>INDEX('LIVE SOURCE'!$H$3:$H$34,$N32)</f>
        <v/>
      </c>
      <c r="M32">
        <f>INDEX('LIVE SOURCE'!$J$3:$J$34,$N32)</f>
        <v/>
      </c>
      <c r="N32" s="6">
        <f>MATCH($A32,'Draft Engine'!$F$3:$F$34,0)</f>
        <v/>
      </c>
    </row>
    <row r="33">
      <c r="A33">
        <f>31</f>
        <v/>
      </c>
      <c r="B33">
        <f>INDEX('Draft Engine'!$B$3:$B$34,$N33)</f>
        <v/>
      </c>
      <c r="C33" s="4">
        <f>INDEX('Draft Engine'!$E$3:$E$34,$N33)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Engine'!$G$3:$G$34,$N33)</f>
        <v/>
      </c>
      <c r="F33">
        <f>INDEX('Draft Engine'!$J$3:$J$34,$N33)</f>
        <v/>
      </c>
      <c r="G33">
        <f>INDEX('Draft Engine'!$N$3:$N$34,$N33)</f>
        <v/>
      </c>
      <c r="H33">
        <f>INDEX('Draft Engine'!$Q$3:$Q$34,$N33)</f>
        <v/>
      </c>
      <c r="I33">
        <f>INDEX('Draft Engine'!$R$3:$R$34,$N33)</f>
        <v/>
      </c>
      <c r="J33">
        <f>INDEX('Draft Engine'!$S$3:$S$34,$N33)</f>
        <v/>
      </c>
      <c r="K33">
        <f>INDEX('Draft Engine'!$T$3:$T$34,$N33)</f>
        <v/>
      </c>
      <c r="L33">
        <f>INDEX('LIVE SOURCE'!$H$3:$H$34,$N33)</f>
        <v/>
      </c>
      <c r="M33">
        <f>INDEX('LIVE SOURCE'!$J$3:$J$34,$N33)</f>
        <v/>
      </c>
      <c r="N33" s="6">
        <f>MATCH($A33,'Draft Engine'!$F$3:$F$34,0)</f>
        <v/>
      </c>
    </row>
    <row r="34">
      <c r="A34">
        <f>32</f>
        <v/>
      </c>
      <c r="B34">
        <f>INDEX('Draft Engine'!$B$3:$B$34,$N34)</f>
        <v/>
      </c>
      <c r="C34" s="4">
        <f>INDEX('Draft Engine'!$E$3:$E$34,$N34)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Engine'!$G$3:$G$34,$N34)</f>
        <v/>
      </c>
      <c r="F34">
        <f>INDEX('Draft Engine'!$J$3:$J$34,$N34)</f>
        <v/>
      </c>
      <c r="G34">
        <f>INDEX('Draft Engine'!$N$3:$N$34,$N34)</f>
        <v/>
      </c>
      <c r="H34">
        <f>INDEX('Draft Engine'!$Q$3:$Q$34,$N34)</f>
        <v/>
      </c>
      <c r="I34">
        <f>INDEX('Draft Engine'!$R$3:$R$34,$N34)</f>
        <v/>
      </c>
      <c r="J34">
        <f>INDEX('Draft Engine'!$S$3:$S$34,$N34)</f>
        <v/>
      </c>
      <c r="K34">
        <f>INDEX('Draft Engine'!$T$3:$T$34,$N34)</f>
        <v/>
      </c>
      <c r="L34">
        <f>INDEX('LIVE SOURCE'!$H$3:$H$34,$N34)</f>
        <v/>
      </c>
      <c r="M34">
        <f>INDEX('LIVE SOURCE'!$J$3:$J$34,$N34)</f>
        <v/>
      </c>
      <c r="N34" s="6">
        <f>MATCH($A34,'Draft Engine'!$F$3:$F$34,0)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A9D18E"/>
    <outlinePr summaryBelow="1" summaryRight="1"/>
    <pageSetUpPr/>
  </sheetPr>
  <dimension ref="A1:N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RB: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Engine'!$B$35:$B$86,$N3)</f>
        <v/>
      </c>
      <c r="C3" s="4">
        <f>INDEX('Draft Engine'!$E$35:$E$86,$N3)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Engine'!$G$35:$G$86,$N3)</f>
        <v/>
      </c>
      <c r="F3">
        <f>INDEX('Draft Engine'!$J$35:$J$86,$N3)</f>
        <v/>
      </c>
      <c r="G3">
        <f>INDEX('Draft Engine'!$N$35:$N$86,$N3)</f>
        <v/>
      </c>
      <c r="H3">
        <f>INDEX('Draft Engine'!$Q$35:$Q$86,$N3)</f>
        <v/>
      </c>
      <c r="I3">
        <f>INDEX('Draft Engine'!$R$35:$R$86,$N3)</f>
        <v/>
      </c>
      <c r="J3">
        <f>INDEX('Draft Engine'!$S$35:$S$86,$N3)</f>
        <v/>
      </c>
      <c r="K3">
        <f>INDEX('Draft Engine'!$T$35:$T$86,$N3)</f>
        <v/>
      </c>
      <c r="L3">
        <f>INDEX('LIVE SOURCE'!$H$35:$H$86,$N3)</f>
        <v/>
      </c>
      <c r="M3">
        <f>INDEX('LIVE SOURCE'!$J$35:$J$86,$N3)</f>
        <v/>
      </c>
      <c r="N3" s="6">
        <f>MATCH($A3,'Draft Engine'!$F$35:$F$86,0)</f>
        <v/>
      </c>
    </row>
    <row r="4">
      <c r="A4">
        <f>2</f>
        <v/>
      </c>
      <c r="B4">
        <f>INDEX('Draft Engine'!$B$35:$B$86,$N4)</f>
        <v/>
      </c>
      <c r="C4" s="4">
        <f>INDEX('Draft Engine'!$E$35:$E$86,$N4)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Engine'!$G$35:$G$86,$N4)</f>
        <v/>
      </c>
      <c r="F4">
        <f>INDEX('Draft Engine'!$J$35:$J$86,$N4)</f>
        <v/>
      </c>
      <c r="G4">
        <f>INDEX('Draft Engine'!$N$35:$N$86,$N4)</f>
        <v/>
      </c>
      <c r="H4">
        <f>INDEX('Draft Engine'!$Q$35:$Q$86,$N4)</f>
        <v/>
      </c>
      <c r="I4">
        <f>INDEX('Draft Engine'!$R$35:$R$86,$N4)</f>
        <v/>
      </c>
      <c r="J4">
        <f>INDEX('Draft Engine'!$S$35:$S$86,$N4)</f>
        <v/>
      </c>
      <c r="K4">
        <f>INDEX('Draft Engine'!$T$35:$T$86,$N4)</f>
        <v/>
      </c>
      <c r="L4">
        <f>INDEX('LIVE SOURCE'!$H$35:$H$86,$N4)</f>
        <v/>
      </c>
      <c r="M4">
        <f>INDEX('LIVE SOURCE'!$J$35:$J$86,$N4)</f>
        <v/>
      </c>
      <c r="N4" s="6">
        <f>MATCH($A4,'Draft Engine'!$F$35:$F$86,0)</f>
        <v/>
      </c>
    </row>
    <row r="5">
      <c r="A5">
        <f>3</f>
        <v/>
      </c>
      <c r="B5">
        <f>INDEX('Draft Engine'!$B$35:$B$86,$N5)</f>
        <v/>
      </c>
      <c r="C5" s="4">
        <f>INDEX('Draft Engine'!$E$35:$E$86,$N5)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Engine'!$G$35:$G$86,$N5)</f>
        <v/>
      </c>
      <c r="F5">
        <f>INDEX('Draft Engine'!$J$35:$J$86,$N5)</f>
        <v/>
      </c>
      <c r="G5">
        <f>INDEX('Draft Engine'!$N$35:$N$86,$N5)</f>
        <v/>
      </c>
      <c r="H5">
        <f>INDEX('Draft Engine'!$Q$35:$Q$86,$N5)</f>
        <v/>
      </c>
      <c r="I5">
        <f>INDEX('Draft Engine'!$R$35:$R$86,$N5)</f>
        <v/>
      </c>
      <c r="J5">
        <f>INDEX('Draft Engine'!$S$35:$S$86,$N5)</f>
        <v/>
      </c>
      <c r="K5">
        <f>INDEX('Draft Engine'!$T$35:$T$86,$N5)</f>
        <v/>
      </c>
      <c r="L5">
        <f>INDEX('LIVE SOURCE'!$H$35:$H$86,$N5)</f>
        <v/>
      </c>
      <c r="M5">
        <f>INDEX('LIVE SOURCE'!$J$35:$J$86,$N5)</f>
        <v/>
      </c>
      <c r="N5" s="6">
        <f>MATCH($A5,'Draft Engine'!$F$35:$F$86,0)</f>
        <v/>
      </c>
    </row>
    <row r="6">
      <c r="A6">
        <f>4</f>
        <v/>
      </c>
      <c r="B6">
        <f>INDEX('Draft Engine'!$B$35:$B$86,$N6)</f>
        <v/>
      </c>
      <c r="C6" s="4">
        <f>INDEX('Draft Engine'!$E$35:$E$86,$N6)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Engine'!$G$35:$G$86,$N6)</f>
        <v/>
      </c>
      <c r="F6">
        <f>INDEX('Draft Engine'!$J$35:$J$86,$N6)</f>
        <v/>
      </c>
      <c r="G6">
        <f>INDEX('Draft Engine'!$N$35:$N$86,$N6)</f>
        <v/>
      </c>
      <c r="H6">
        <f>INDEX('Draft Engine'!$Q$35:$Q$86,$N6)</f>
        <v/>
      </c>
      <c r="I6">
        <f>INDEX('Draft Engine'!$R$35:$R$86,$N6)</f>
        <v/>
      </c>
      <c r="J6">
        <f>INDEX('Draft Engine'!$S$35:$S$86,$N6)</f>
        <v/>
      </c>
      <c r="K6">
        <f>INDEX('Draft Engine'!$T$35:$T$86,$N6)</f>
        <v/>
      </c>
      <c r="L6">
        <f>INDEX('LIVE SOURCE'!$H$35:$H$86,$N6)</f>
        <v/>
      </c>
      <c r="M6">
        <f>INDEX('LIVE SOURCE'!$J$35:$J$86,$N6)</f>
        <v/>
      </c>
      <c r="N6" s="6">
        <f>MATCH($A6,'Draft Engine'!$F$35:$F$86,0)</f>
        <v/>
      </c>
    </row>
    <row r="7">
      <c r="A7">
        <f>5</f>
        <v/>
      </c>
      <c r="B7">
        <f>INDEX('Draft Engine'!$B$35:$B$86,$N7)</f>
        <v/>
      </c>
      <c r="C7" s="4">
        <f>INDEX('Draft Engine'!$E$35:$E$86,$N7)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Engine'!$G$35:$G$86,$N7)</f>
        <v/>
      </c>
      <c r="F7">
        <f>INDEX('Draft Engine'!$J$35:$J$86,$N7)</f>
        <v/>
      </c>
      <c r="G7">
        <f>INDEX('Draft Engine'!$N$35:$N$86,$N7)</f>
        <v/>
      </c>
      <c r="H7">
        <f>INDEX('Draft Engine'!$Q$35:$Q$86,$N7)</f>
        <v/>
      </c>
      <c r="I7">
        <f>INDEX('Draft Engine'!$R$35:$R$86,$N7)</f>
        <v/>
      </c>
      <c r="J7">
        <f>INDEX('Draft Engine'!$S$35:$S$86,$N7)</f>
        <v/>
      </c>
      <c r="K7">
        <f>INDEX('Draft Engine'!$T$35:$T$86,$N7)</f>
        <v/>
      </c>
      <c r="L7">
        <f>INDEX('LIVE SOURCE'!$H$35:$H$86,$N7)</f>
        <v/>
      </c>
      <c r="M7">
        <f>INDEX('LIVE SOURCE'!$J$35:$J$86,$N7)</f>
        <v/>
      </c>
      <c r="N7" s="6">
        <f>MATCH($A7,'Draft Engine'!$F$35:$F$86,0)</f>
        <v/>
      </c>
    </row>
    <row r="8">
      <c r="A8">
        <f>6</f>
        <v/>
      </c>
      <c r="B8">
        <f>INDEX('Draft Engine'!$B$35:$B$86,$N8)</f>
        <v/>
      </c>
      <c r="C8" s="4">
        <f>INDEX('Draft Engine'!$E$35:$E$86,$N8)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Engine'!$G$35:$G$86,$N8)</f>
        <v/>
      </c>
      <c r="F8">
        <f>INDEX('Draft Engine'!$J$35:$J$86,$N8)</f>
        <v/>
      </c>
      <c r="G8">
        <f>INDEX('Draft Engine'!$N$35:$N$86,$N8)</f>
        <v/>
      </c>
      <c r="H8">
        <f>INDEX('Draft Engine'!$Q$35:$Q$86,$N8)</f>
        <v/>
      </c>
      <c r="I8">
        <f>INDEX('Draft Engine'!$R$35:$R$86,$N8)</f>
        <v/>
      </c>
      <c r="J8">
        <f>INDEX('Draft Engine'!$S$35:$S$86,$N8)</f>
        <v/>
      </c>
      <c r="K8">
        <f>INDEX('Draft Engine'!$T$35:$T$86,$N8)</f>
        <v/>
      </c>
      <c r="L8">
        <f>INDEX('LIVE SOURCE'!$H$35:$H$86,$N8)</f>
        <v/>
      </c>
      <c r="M8">
        <f>INDEX('LIVE SOURCE'!$J$35:$J$86,$N8)</f>
        <v/>
      </c>
      <c r="N8" s="6">
        <f>MATCH($A8,'Draft Engine'!$F$35:$F$86,0)</f>
        <v/>
      </c>
    </row>
    <row r="9">
      <c r="A9">
        <f>7</f>
        <v/>
      </c>
      <c r="B9">
        <f>INDEX('Draft Engine'!$B$35:$B$86,$N9)</f>
        <v/>
      </c>
      <c r="C9" s="4">
        <f>INDEX('Draft Engine'!$E$35:$E$86,$N9)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Engine'!$G$35:$G$86,$N9)</f>
        <v/>
      </c>
      <c r="F9">
        <f>INDEX('Draft Engine'!$J$35:$J$86,$N9)</f>
        <v/>
      </c>
      <c r="G9">
        <f>INDEX('Draft Engine'!$N$35:$N$86,$N9)</f>
        <v/>
      </c>
      <c r="H9">
        <f>INDEX('Draft Engine'!$Q$35:$Q$86,$N9)</f>
        <v/>
      </c>
      <c r="I9">
        <f>INDEX('Draft Engine'!$R$35:$R$86,$N9)</f>
        <v/>
      </c>
      <c r="J9">
        <f>INDEX('Draft Engine'!$S$35:$S$86,$N9)</f>
        <v/>
      </c>
      <c r="K9">
        <f>INDEX('Draft Engine'!$T$35:$T$86,$N9)</f>
        <v/>
      </c>
      <c r="L9">
        <f>INDEX('LIVE SOURCE'!$H$35:$H$86,$N9)</f>
        <v/>
      </c>
      <c r="M9">
        <f>INDEX('LIVE SOURCE'!$J$35:$J$86,$N9)</f>
        <v/>
      </c>
      <c r="N9" s="6">
        <f>MATCH($A9,'Draft Engine'!$F$35:$F$86,0)</f>
        <v/>
      </c>
    </row>
    <row r="10">
      <c r="A10">
        <f>8</f>
        <v/>
      </c>
      <c r="B10">
        <f>INDEX('Draft Engine'!$B$35:$B$86,$N10)</f>
        <v/>
      </c>
      <c r="C10" s="4">
        <f>INDEX('Draft Engine'!$E$35:$E$86,$N10)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Engine'!$G$35:$G$86,$N10)</f>
        <v/>
      </c>
      <c r="F10">
        <f>INDEX('Draft Engine'!$J$35:$J$86,$N10)</f>
        <v/>
      </c>
      <c r="G10">
        <f>INDEX('Draft Engine'!$N$35:$N$86,$N10)</f>
        <v/>
      </c>
      <c r="H10">
        <f>INDEX('Draft Engine'!$Q$35:$Q$86,$N10)</f>
        <v/>
      </c>
      <c r="I10">
        <f>INDEX('Draft Engine'!$R$35:$R$86,$N10)</f>
        <v/>
      </c>
      <c r="J10">
        <f>INDEX('Draft Engine'!$S$35:$S$86,$N10)</f>
        <v/>
      </c>
      <c r="K10">
        <f>INDEX('Draft Engine'!$T$35:$T$86,$N10)</f>
        <v/>
      </c>
      <c r="L10">
        <f>INDEX('LIVE SOURCE'!$H$35:$H$86,$N10)</f>
        <v/>
      </c>
      <c r="M10">
        <f>INDEX('LIVE SOURCE'!$J$35:$J$86,$N10)</f>
        <v/>
      </c>
      <c r="N10" s="6">
        <f>MATCH($A10,'Draft Engine'!$F$35:$F$86,0)</f>
        <v/>
      </c>
    </row>
    <row r="11">
      <c r="A11">
        <f>9</f>
        <v/>
      </c>
      <c r="B11">
        <f>INDEX('Draft Engine'!$B$35:$B$86,$N11)</f>
        <v/>
      </c>
      <c r="C11" s="4">
        <f>INDEX('Draft Engine'!$E$35:$E$86,$N11)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Engine'!$G$35:$G$86,$N11)</f>
        <v/>
      </c>
      <c r="F11">
        <f>INDEX('Draft Engine'!$J$35:$J$86,$N11)</f>
        <v/>
      </c>
      <c r="G11">
        <f>INDEX('Draft Engine'!$N$35:$N$86,$N11)</f>
        <v/>
      </c>
      <c r="H11">
        <f>INDEX('Draft Engine'!$Q$35:$Q$86,$N11)</f>
        <v/>
      </c>
      <c r="I11">
        <f>INDEX('Draft Engine'!$R$35:$R$86,$N11)</f>
        <v/>
      </c>
      <c r="J11">
        <f>INDEX('Draft Engine'!$S$35:$S$86,$N11)</f>
        <v/>
      </c>
      <c r="K11">
        <f>INDEX('Draft Engine'!$T$35:$T$86,$N11)</f>
        <v/>
      </c>
      <c r="L11">
        <f>INDEX('LIVE SOURCE'!$H$35:$H$86,$N11)</f>
        <v/>
      </c>
      <c r="M11">
        <f>INDEX('LIVE SOURCE'!$J$35:$J$86,$N11)</f>
        <v/>
      </c>
      <c r="N11" s="6">
        <f>MATCH($A11,'Draft Engine'!$F$35:$F$86,0)</f>
        <v/>
      </c>
    </row>
    <row r="12">
      <c r="A12">
        <f>10</f>
        <v/>
      </c>
      <c r="B12">
        <f>INDEX('Draft Engine'!$B$35:$B$86,$N12)</f>
        <v/>
      </c>
      <c r="C12" s="4">
        <f>INDEX('Draft Engine'!$E$35:$E$86,$N12)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Engine'!$G$35:$G$86,$N12)</f>
        <v/>
      </c>
      <c r="F12">
        <f>INDEX('Draft Engine'!$J$35:$J$86,$N12)</f>
        <v/>
      </c>
      <c r="G12">
        <f>INDEX('Draft Engine'!$N$35:$N$86,$N12)</f>
        <v/>
      </c>
      <c r="H12">
        <f>INDEX('Draft Engine'!$Q$35:$Q$86,$N12)</f>
        <v/>
      </c>
      <c r="I12">
        <f>INDEX('Draft Engine'!$R$35:$R$86,$N12)</f>
        <v/>
      </c>
      <c r="J12">
        <f>INDEX('Draft Engine'!$S$35:$S$86,$N12)</f>
        <v/>
      </c>
      <c r="K12">
        <f>INDEX('Draft Engine'!$T$35:$T$86,$N12)</f>
        <v/>
      </c>
      <c r="L12">
        <f>INDEX('LIVE SOURCE'!$H$35:$H$86,$N12)</f>
        <v/>
      </c>
      <c r="M12">
        <f>INDEX('LIVE SOURCE'!$J$35:$J$86,$N12)</f>
        <v/>
      </c>
      <c r="N12" s="6">
        <f>MATCH($A12,'Draft Engine'!$F$35:$F$86,0)</f>
        <v/>
      </c>
    </row>
    <row r="13">
      <c r="A13">
        <f>11</f>
        <v/>
      </c>
      <c r="B13">
        <f>INDEX('Draft Engine'!$B$35:$B$86,$N13)</f>
        <v/>
      </c>
      <c r="C13" s="4">
        <f>INDEX('Draft Engine'!$E$35:$E$86,$N13)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Engine'!$G$35:$G$86,$N13)</f>
        <v/>
      </c>
      <c r="F13">
        <f>INDEX('Draft Engine'!$J$35:$J$86,$N13)</f>
        <v/>
      </c>
      <c r="G13">
        <f>INDEX('Draft Engine'!$N$35:$N$86,$N13)</f>
        <v/>
      </c>
      <c r="H13">
        <f>INDEX('Draft Engine'!$Q$35:$Q$86,$N13)</f>
        <v/>
      </c>
      <c r="I13">
        <f>INDEX('Draft Engine'!$R$35:$R$86,$N13)</f>
        <v/>
      </c>
      <c r="J13">
        <f>INDEX('Draft Engine'!$S$35:$S$86,$N13)</f>
        <v/>
      </c>
      <c r="K13">
        <f>INDEX('Draft Engine'!$T$35:$T$86,$N13)</f>
        <v/>
      </c>
      <c r="L13">
        <f>INDEX('LIVE SOURCE'!$H$35:$H$86,$N13)</f>
        <v/>
      </c>
      <c r="M13">
        <f>INDEX('LIVE SOURCE'!$J$35:$J$86,$N13)</f>
        <v/>
      </c>
      <c r="N13" s="6">
        <f>MATCH($A13,'Draft Engine'!$F$35:$F$86,0)</f>
        <v/>
      </c>
    </row>
    <row r="14">
      <c r="A14">
        <f>12</f>
        <v/>
      </c>
      <c r="B14">
        <f>INDEX('Draft Engine'!$B$35:$B$86,$N14)</f>
        <v/>
      </c>
      <c r="C14" s="4">
        <f>INDEX('Draft Engine'!$E$35:$E$86,$N14)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Engine'!$G$35:$G$86,$N14)</f>
        <v/>
      </c>
      <c r="F14">
        <f>INDEX('Draft Engine'!$J$35:$J$86,$N14)</f>
        <v/>
      </c>
      <c r="G14">
        <f>INDEX('Draft Engine'!$N$35:$N$86,$N14)</f>
        <v/>
      </c>
      <c r="H14">
        <f>INDEX('Draft Engine'!$Q$35:$Q$86,$N14)</f>
        <v/>
      </c>
      <c r="I14">
        <f>INDEX('Draft Engine'!$R$35:$R$86,$N14)</f>
        <v/>
      </c>
      <c r="J14">
        <f>INDEX('Draft Engine'!$S$35:$S$86,$N14)</f>
        <v/>
      </c>
      <c r="K14">
        <f>INDEX('Draft Engine'!$T$35:$T$86,$N14)</f>
        <v/>
      </c>
      <c r="L14">
        <f>INDEX('LIVE SOURCE'!$H$35:$H$86,$N14)</f>
        <v/>
      </c>
      <c r="M14">
        <f>INDEX('LIVE SOURCE'!$J$35:$J$86,$N14)</f>
        <v/>
      </c>
      <c r="N14" s="6">
        <f>MATCH($A14,'Draft Engine'!$F$35:$F$86,0)</f>
        <v/>
      </c>
    </row>
    <row r="15">
      <c r="A15">
        <f>13</f>
        <v/>
      </c>
      <c r="B15">
        <f>INDEX('Draft Engine'!$B$35:$B$86,$N15)</f>
        <v/>
      </c>
      <c r="C15" s="4">
        <f>INDEX('Draft Engine'!$E$35:$E$86,$N15)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Engine'!$G$35:$G$86,$N15)</f>
        <v/>
      </c>
      <c r="F15">
        <f>INDEX('Draft Engine'!$J$35:$J$86,$N15)</f>
        <v/>
      </c>
      <c r="G15">
        <f>INDEX('Draft Engine'!$N$35:$N$86,$N15)</f>
        <v/>
      </c>
      <c r="H15">
        <f>INDEX('Draft Engine'!$Q$35:$Q$86,$N15)</f>
        <v/>
      </c>
      <c r="I15">
        <f>INDEX('Draft Engine'!$R$35:$R$86,$N15)</f>
        <v/>
      </c>
      <c r="J15">
        <f>INDEX('Draft Engine'!$S$35:$S$86,$N15)</f>
        <v/>
      </c>
      <c r="K15">
        <f>INDEX('Draft Engine'!$T$35:$T$86,$N15)</f>
        <v/>
      </c>
      <c r="L15">
        <f>INDEX('LIVE SOURCE'!$H$35:$H$86,$N15)</f>
        <v/>
      </c>
      <c r="M15">
        <f>INDEX('LIVE SOURCE'!$J$35:$J$86,$N15)</f>
        <v/>
      </c>
      <c r="N15" s="6">
        <f>MATCH($A15,'Draft Engine'!$F$35:$F$86,0)</f>
        <v/>
      </c>
    </row>
    <row r="16">
      <c r="A16">
        <f>14</f>
        <v/>
      </c>
      <c r="B16">
        <f>INDEX('Draft Engine'!$B$35:$B$86,$N16)</f>
        <v/>
      </c>
      <c r="C16" s="4">
        <f>INDEX('Draft Engine'!$E$35:$E$86,$N16)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Engine'!$G$35:$G$86,$N16)</f>
        <v/>
      </c>
      <c r="F16">
        <f>INDEX('Draft Engine'!$J$35:$J$86,$N16)</f>
        <v/>
      </c>
      <c r="G16">
        <f>INDEX('Draft Engine'!$N$35:$N$86,$N16)</f>
        <v/>
      </c>
      <c r="H16">
        <f>INDEX('Draft Engine'!$Q$35:$Q$86,$N16)</f>
        <v/>
      </c>
      <c r="I16">
        <f>INDEX('Draft Engine'!$R$35:$R$86,$N16)</f>
        <v/>
      </c>
      <c r="J16">
        <f>INDEX('Draft Engine'!$S$35:$S$86,$N16)</f>
        <v/>
      </c>
      <c r="K16">
        <f>INDEX('Draft Engine'!$T$35:$T$86,$N16)</f>
        <v/>
      </c>
      <c r="L16">
        <f>INDEX('LIVE SOURCE'!$H$35:$H$86,$N16)</f>
        <v/>
      </c>
      <c r="M16">
        <f>INDEX('LIVE SOURCE'!$J$35:$J$86,$N16)</f>
        <v/>
      </c>
      <c r="N16" s="6">
        <f>MATCH($A16,'Draft Engine'!$F$35:$F$86,0)</f>
        <v/>
      </c>
    </row>
    <row r="17">
      <c r="A17">
        <f>15</f>
        <v/>
      </c>
      <c r="B17">
        <f>INDEX('Draft Engine'!$B$35:$B$86,$N17)</f>
        <v/>
      </c>
      <c r="C17" s="4">
        <f>INDEX('Draft Engine'!$E$35:$E$86,$N17)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Engine'!$G$35:$G$86,$N17)</f>
        <v/>
      </c>
      <c r="F17">
        <f>INDEX('Draft Engine'!$J$35:$J$86,$N17)</f>
        <v/>
      </c>
      <c r="G17">
        <f>INDEX('Draft Engine'!$N$35:$N$86,$N17)</f>
        <v/>
      </c>
      <c r="H17">
        <f>INDEX('Draft Engine'!$Q$35:$Q$86,$N17)</f>
        <v/>
      </c>
      <c r="I17">
        <f>INDEX('Draft Engine'!$R$35:$R$86,$N17)</f>
        <v/>
      </c>
      <c r="J17">
        <f>INDEX('Draft Engine'!$S$35:$S$86,$N17)</f>
        <v/>
      </c>
      <c r="K17">
        <f>INDEX('Draft Engine'!$T$35:$T$86,$N17)</f>
        <v/>
      </c>
      <c r="L17">
        <f>INDEX('LIVE SOURCE'!$H$35:$H$86,$N17)</f>
        <v/>
      </c>
      <c r="M17">
        <f>INDEX('LIVE SOURCE'!$J$35:$J$86,$N17)</f>
        <v/>
      </c>
      <c r="N17" s="6">
        <f>MATCH($A17,'Draft Engine'!$F$35:$F$86,0)</f>
        <v/>
      </c>
    </row>
    <row r="18">
      <c r="A18">
        <f>16</f>
        <v/>
      </c>
      <c r="B18">
        <f>INDEX('Draft Engine'!$B$35:$B$86,$N18)</f>
        <v/>
      </c>
      <c r="C18" s="4">
        <f>INDEX('Draft Engine'!$E$35:$E$86,$N18)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Engine'!$G$35:$G$86,$N18)</f>
        <v/>
      </c>
      <c r="F18">
        <f>INDEX('Draft Engine'!$J$35:$J$86,$N18)</f>
        <v/>
      </c>
      <c r="G18">
        <f>INDEX('Draft Engine'!$N$35:$N$86,$N18)</f>
        <v/>
      </c>
      <c r="H18">
        <f>INDEX('Draft Engine'!$Q$35:$Q$86,$N18)</f>
        <v/>
      </c>
      <c r="I18">
        <f>INDEX('Draft Engine'!$R$35:$R$86,$N18)</f>
        <v/>
      </c>
      <c r="J18">
        <f>INDEX('Draft Engine'!$S$35:$S$86,$N18)</f>
        <v/>
      </c>
      <c r="K18">
        <f>INDEX('Draft Engine'!$T$35:$T$86,$N18)</f>
        <v/>
      </c>
      <c r="L18">
        <f>INDEX('LIVE SOURCE'!$H$35:$H$86,$N18)</f>
        <v/>
      </c>
      <c r="M18">
        <f>INDEX('LIVE SOURCE'!$J$35:$J$86,$N18)</f>
        <v/>
      </c>
      <c r="N18" s="6">
        <f>MATCH($A18,'Draft Engine'!$F$35:$F$86,0)</f>
        <v/>
      </c>
    </row>
    <row r="19">
      <c r="A19">
        <f>17</f>
        <v/>
      </c>
      <c r="B19">
        <f>INDEX('Draft Engine'!$B$35:$B$86,$N19)</f>
        <v/>
      </c>
      <c r="C19" s="4">
        <f>INDEX('Draft Engine'!$E$35:$E$86,$N19)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Engine'!$G$35:$G$86,$N19)</f>
        <v/>
      </c>
      <c r="F19">
        <f>INDEX('Draft Engine'!$J$35:$J$86,$N19)</f>
        <v/>
      </c>
      <c r="G19">
        <f>INDEX('Draft Engine'!$N$35:$N$86,$N19)</f>
        <v/>
      </c>
      <c r="H19">
        <f>INDEX('Draft Engine'!$Q$35:$Q$86,$N19)</f>
        <v/>
      </c>
      <c r="I19">
        <f>INDEX('Draft Engine'!$R$35:$R$86,$N19)</f>
        <v/>
      </c>
      <c r="J19">
        <f>INDEX('Draft Engine'!$S$35:$S$86,$N19)</f>
        <v/>
      </c>
      <c r="K19">
        <f>INDEX('Draft Engine'!$T$35:$T$86,$N19)</f>
        <v/>
      </c>
      <c r="L19">
        <f>INDEX('LIVE SOURCE'!$H$35:$H$86,$N19)</f>
        <v/>
      </c>
      <c r="M19">
        <f>INDEX('LIVE SOURCE'!$J$35:$J$86,$N19)</f>
        <v/>
      </c>
      <c r="N19" s="6">
        <f>MATCH($A19,'Draft Engine'!$F$35:$F$86,0)</f>
        <v/>
      </c>
    </row>
    <row r="20">
      <c r="A20">
        <f>18</f>
        <v/>
      </c>
      <c r="B20">
        <f>INDEX('Draft Engine'!$B$35:$B$86,$N20)</f>
        <v/>
      </c>
      <c r="C20" s="4">
        <f>INDEX('Draft Engine'!$E$35:$E$86,$N20)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Engine'!$G$35:$G$86,$N20)</f>
        <v/>
      </c>
      <c r="F20">
        <f>INDEX('Draft Engine'!$J$35:$J$86,$N20)</f>
        <v/>
      </c>
      <c r="G20">
        <f>INDEX('Draft Engine'!$N$35:$N$86,$N20)</f>
        <v/>
      </c>
      <c r="H20">
        <f>INDEX('Draft Engine'!$Q$35:$Q$86,$N20)</f>
        <v/>
      </c>
      <c r="I20">
        <f>INDEX('Draft Engine'!$R$35:$R$86,$N20)</f>
        <v/>
      </c>
      <c r="J20">
        <f>INDEX('Draft Engine'!$S$35:$S$86,$N20)</f>
        <v/>
      </c>
      <c r="K20">
        <f>INDEX('Draft Engine'!$T$35:$T$86,$N20)</f>
        <v/>
      </c>
      <c r="L20">
        <f>INDEX('LIVE SOURCE'!$H$35:$H$86,$N20)</f>
        <v/>
      </c>
      <c r="M20">
        <f>INDEX('LIVE SOURCE'!$J$35:$J$86,$N20)</f>
        <v/>
      </c>
      <c r="N20" s="6">
        <f>MATCH($A20,'Draft Engine'!$F$35:$F$86,0)</f>
        <v/>
      </c>
    </row>
    <row r="21">
      <c r="A21">
        <f>19</f>
        <v/>
      </c>
      <c r="B21">
        <f>INDEX('Draft Engine'!$B$35:$B$86,$N21)</f>
        <v/>
      </c>
      <c r="C21" s="4">
        <f>INDEX('Draft Engine'!$E$35:$E$86,$N21)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Engine'!$G$35:$G$86,$N21)</f>
        <v/>
      </c>
      <c r="F21">
        <f>INDEX('Draft Engine'!$J$35:$J$86,$N21)</f>
        <v/>
      </c>
      <c r="G21">
        <f>INDEX('Draft Engine'!$N$35:$N$86,$N21)</f>
        <v/>
      </c>
      <c r="H21">
        <f>INDEX('Draft Engine'!$Q$35:$Q$86,$N21)</f>
        <v/>
      </c>
      <c r="I21">
        <f>INDEX('Draft Engine'!$R$35:$R$86,$N21)</f>
        <v/>
      </c>
      <c r="J21">
        <f>INDEX('Draft Engine'!$S$35:$S$86,$N21)</f>
        <v/>
      </c>
      <c r="K21">
        <f>INDEX('Draft Engine'!$T$35:$T$86,$N21)</f>
        <v/>
      </c>
      <c r="L21">
        <f>INDEX('LIVE SOURCE'!$H$35:$H$86,$N21)</f>
        <v/>
      </c>
      <c r="M21">
        <f>INDEX('LIVE SOURCE'!$J$35:$J$86,$N21)</f>
        <v/>
      </c>
      <c r="N21" s="6">
        <f>MATCH($A21,'Draft Engine'!$F$35:$F$86,0)</f>
        <v/>
      </c>
    </row>
    <row r="22">
      <c r="A22">
        <f>20</f>
        <v/>
      </c>
      <c r="B22">
        <f>INDEX('Draft Engine'!$B$35:$B$86,$N22)</f>
        <v/>
      </c>
      <c r="C22" s="4">
        <f>INDEX('Draft Engine'!$E$35:$E$86,$N22)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Engine'!$G$35:$G$86,$N22)</f>
        <v/>
      </c>
      <c r="F22">
        <f>INDEX('Draft Engine'!$J$35:$J$86,$N22)</f>
        <v/>
      </c>
      <c r="G22">
        <f>INDEX('Draft Engine'!$N$35:$N$86,$N22)</f>
        <v/>
      </c>
      <c r="H22">
        <f>INDEX('Draft Engine'!$Q$35:$Q$86,$N22)</f>
        <v/>
      </c>
      <c r="I22">
        <f>INDEX('Draft Engine'!$R$35:$R$86,$N22)</f>
        <v/>
      </c>
      <c r="J22">
        <f>INDEX('Draft Engine'!$S$35:$S$86,$N22)</f>
        <v/>
      </c>
      <c r="K22">
        <f>INDEX('Draft Engine'!$T$35:$T$86,$N22)</f>
        <v/>
      </c>
      <c r="L22">
        <f>INDEX('LIVE SOURCE'!$H$35:$H$86,$N22)</f>
        <v/>
      </c>
      <c r="M22">
        <f>INDEX('LIVE SOURCE'!$J$35:$J$86,$N22)</f>
        <v/>
      </c>
      <c r="N22" s="6">
        <f>MATCH($A22,'Draft Engine'!$F$35:$F$86,0)</f>
        <v/>
      </c>
    </row>
    <row r="23">
      <c r="A23">
        <f>21</f>
        <v/>
      </c>
      <c r="B23">
        <f>INDEX('Draft Engine'!$B$35:$B$86,$N23)</f>
        <v/>
      </c>
      <c r="C23" s="4">
        <f>INDEX('Draft Engine'!$E$35:$E$86,$N23)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Engine'!$G$35:$G$86,$N23)</f>
        <v/>
      </c>
      <c r="F23">
        <f>INDEX('Draft Engine'!$J$35:$J$86,$N23)</f>
        <v/>
      </c>
      <c r="G23">
        <f>INDEX('Draft Engine'!$N$35:$N$86,$N23)</f>
        <v/>
      </c>
      <c r="H23">
        <f>INDEX('Draft Engine'!$Q$35:$Q$86,$N23)</f>
        <v/>
      </c>
      <c r="I23">
        <f>INDEX('Draft Engine'!$R$35:$R$86,$N23)</f>
        <v/>
      </c>
      <c r="J23">
        <f>INDEX('Draft Engine'!$S$35:$S$86,$N23)</f>
        <v/>
      </c>
      <c r="K23">
        <f>INDEX('Draft Engine'!$T$35:$T$86,$N23)</f>
        <v/>
      </c>
      <c r="L23">
        <f>INDEX('LIVE SOURCE'!$H$35:$H$86,$N23)</f>
        <v/>
      </c>
      <c r="M23">
        <f>INDEX('LIVE SOURCE'!$J$35:$J$86,$N23)</f>
        <v/>
      </c>
      <c r="N23" s="6">
        <f>MATCH($A23,'Draft Engine'!$F$35:$F$86,0)</f>
        <v/>
      </c>
    </row>
    <row r="24">
      <c r="A24">
        <f>22</f>
        <v/>
      </c>
      <c r="B24">
        <f>INDEX('Draft Engine'!$B$35:$B$86,$N24)</f>
        <v/>
      </c>
      <c r="C24" s="4">
        <f>INDEX('Draft Engine'!$E$35:$E$86,$N24)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Engine'!$G$35:$G$86,$N24)</f>
        <v/>
      </c>
      <c r="F24">
        <f>INDEX('Draft Engine'!$J$35:$J$86,$N24)</f>
        <v/>
      </c>
      <c r="G24">
        <f>INDEX('Draft Engine'!$N$35:$N$86,$N24)</f>
        <v/>
      </c>
      <c r="H24">
        <f>INDEX('Draft Engine'!$Q$35:$Q$86,$N24)</f>
        <v/>
      </c>
      <c r="I24">
        <f>INDEX('Draft Engine'!$R$35:$R$86,$N24)</f>
        <v/>
      </c>
      <c r="J24">
        <f>INDEX('Draft Engine'!$S$35:$S$86,$N24)</f>
        <v/>
      </c>
      <c r="K24">
        <f>INDEX('Draft Engine'!$T$35:$T$86,$N24)</f>
        <v/>
      </c>
      <c r="L24">
        <f>INDEX('LIVE SOURCE'!$H$35:$H$86,$N24)</f>
        <v/>
      </c>
      <c r="M24">
        <f>INDEX('LIVE SOURCE'!$J$35:$J$86,$N24)</f>
        <v/>
      </c>
      <c r="N24" s="6">
        <f>MATCH($A24,'Draft Engine'!$F$35:$F$86,0)</f>
        <v/>
      </c>
    </row>
    <row r="25">
      <c r="A25">
        <f>23</f>
        <v/>
      </c>
      <c r="B25">
        <f>INDEX('Draft Engine'!$B$35:$B$86,$N25)</f>
        <v/>
      </c>
      <c r="C25" s="4">
        <f>INDEX('Draft Engine'!$E$35:$E$86,$N25)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Engine'!$G$35:$G$86,$N25)</f>
        <v/>
      </c>
      <c r="F25">
        <f>INDEX('Draft Engine'!$J$35:$J$86,$N25)</f>
        <v/>
      </c>
      <c r="G25">
        <f>INDEX('Draft Engine'!$N$35:$N$86,$N25)</f>
        <v/>
      </c>
      <c r="H25">
        <f>INDEX('Draft Engine'!$Q$35:$Q$86,$N25)</f>
        <v/>
      </c>
      <c r="I25">
        <f>INDEX('Draft Engine'!$R$35:$R$86,$N25)</f>
        <v/>
      </c>
      <c r="J25">
        <f>INDEX('Draft Engine'!$S$35:$S$86,$N25)</f>
        <v/>
      </c>
      <c r="K25">
        <f>INDEX('Draft Engine'!$T$35:$T$86,$N25)</f>
        <v/>
      </c>
      <c r="L25">
        <f>INDEX('LIVE SOURCE'!$H$35:$H$86,$N25)</f>
        <v/>
      </c>
      <c r="M25">
        <f>INDEX('LIVE SOURCE'!$J$35:$J$86,$N25)</f>
        <v/>
      </c>
      <c r="N25" s="6">
        <f>MATCH($A25,'Draft Engine'!$F$35:$F$86,0)</f>
        <v/>
      </c>
    </row>
    <row r="26">
      <c r="A26">
        <f>24</f>
        <v/>
      </c>
      <c r="B26">
        <f>INDEX('Draft Engine'!$B$35:$B$86,$N26)</f>
        <v/>
      </c>
      <c r="C26" s="4">
        <f>INDEX('Draft Engine'!$E$35:$E$86,$N26)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Engine'!$G$35:$G$86,$N26)</f>
        <v/>
      </c>
      <c r="F26">
        <f>INDEX('Draft Engine'!$J$35:$J$86,$N26)</f>
        <v/>
      </c>
      <c r="G26">
        <f>INDEX('Draft Engine'!$N$35:$N$86,$N26)</f>
        <v/>
      </c>
      <c r="H26">
        <f>INDEX('Draft Engine'!$Q$35:$Q$86,$N26)</f>
        <v/>
      </c>
      <c r="I26">
        <f>INDEX('Draft Engine'!$R$35:$R$86,$N26)</f>
        <v/>
      </c>
      <c r="J26">
        <f>INDEX('Draft Engine'!$S$35:$S$86,$N26)</f>
        <v/>
      </c>
      <c r="K26">
        <f>INDEX('Draft Engine'!$T$35:$T$86,$N26)</f>
        <v/>
      </c>
      <c r="L26">
        <f>INDEX('LIVE SOURCE'!$H$35:$H$86,$N26)</f>
        <v/>
      </c>
      <c r="M26">
        <f>INDEX('LIVE SOURCE'!$J$35:$J$86,$N26)</f>
        <v/>
      </c>
      <c r="N26" s="6">
        <f>MATCH($A26,'Draft Engine'!$F$35:$F$86,0)</f>
        <v/>
      </c>
    </row>
    <row r="27">
      <c r="A27">
        <f>25</f>
        <v/>
      </c>
      <c r="B27">
        <f>INDEX('Draft Engine'!$B$35:$B$86,$N27)</f>
        <v/>
      </c>
      <c r="C27" s="4">
        <f>INDEX('Draft Engine'!$E$35:$E$86,$N27)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Engine'!$G$35:$G$86,$N27)</f>
        <v/>
      </c>
      <c r="F27">
        <f>INDEX('Draft Engine'!$J$35:$J$86,$N27)</f>
        <v/>
      </c>
      <c r="G27">
        <f>INDEX('Draft Engine'!$N$35:$N$86,$N27)</f>
        <v/>
      </c>
      <c r="H27">
        <f>INDEX('Draft Engine'!$Q$35:$Q$86,$N27)</f>
        <v/>
      </c>
      <c r="I27">
        <f>INDEX('Draft Engine'!$R$35:$R$86,$N27)</f>
        <v/>
      </c>
      <c r="J27">
        <f>INDEX('Draft Engine'!$S$35:$S$86,$N27)</f>
        <v/>
      </c>
      <c r="K27">
        <f>INDEX('Draft Engine'!$T$35:$T$86,$N27)</f>
        <v/>
      </c>
      <c r="L27">
        <f>INDEX('LIVE SOURCE'!$H$35:$H$86,$N27)</f>
        <v/>
      </c>
      <c r="M27">
        <f>INDEX('LIVE SOURCE'!$J$35:$J$86,$N27)</f>
        <v/>
      </c>
      <c r="N27" s="6">
        <f>MATCH($A27,'Draft Engine'!$F$35:$F$86,0)</f>
        <v/>
      </c>
    </row>
    <row r="28">
      <c r="A28">
        <f>26</f>
        <v/>
      </c>
      <c r="B28">
        <f>INDEX('Draft Engine'!$B$35:$B$86,$N28)</f>
        <v/>
      </c>
      <c r="C28" s="4">
        <f>INDEX('Draft Engine'!$E$35:$E$86,$N28)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Engine'!$G$35:$G$86,$N28)</f>
        <v/>
      </c>
      <c r="F28">
        <f>INDEX('Draft Engine'!$J$35:$J$86,$N28)</f>
        <v/>
      </c>
      <c r="G28">
        <f>INDEX('Draft Engine'!$N$35:$N$86,$N28)</f>
        <v/>
      </c>
      <c r="H28">
        <f>INDEX('Draft Engine'!$Q$35:$Q$86,$N28)</f>
        <v/>
      </c>
      <c r="I28">
        <f>INDEX('Draft Engine'!$R$35:$R$86,$N28)</f>
        <v/>
      </c>
      <c r="J28">
        <f>INDEX('Draft Engine'!$S$35:$S$86,$N28)</f>
        <v/>
      </c>
      <c r="K28">
        <f>INDEX('Draft Engine'!$T$35:$T$86,$N28)</f>
        <v/>
      </c>
      <c r="L28">
        <f>INDEX('LIVE SOURCE'!$H$35:$H$86,$N28)</f>
        <v/>
      </c>
      <c r="M28">
        <f>INDEX('LIVE SOURCE'!$J$35:$J$86,$N28)</f>
        <v/>
      </c>
      <c r="N28" s="6">
        <f>MATCH($A28,'Draft Engine'!$F$35:$F$86,0)</f>
        <v/>
      </c>
    </row>
    <row r="29">
      <c r="A29">
        <f>27</f>
        <v/>
      </c>
      <c r="B29">
        <f>INDEX('Draft Engine'!$B$35:$B$86,$N29)</f>
        <v/>
      </c>
      <c r="C29" s="4">
        <f>INDEX('Draft Engine'!$E$35:$E$86,$N29)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Engine'!$G$35:$G$86,$N29)</f>
        <v/>
      </c>
      <c r="F29">
        <f>INDEX('Draft Engine'!$J$35:$J$86,$N29)</f>
        <v/>
      </c>
      <c r="G29">
        <f>INDEX('Draft Engine'!$N$35:$N$86,$N29)</f>
        <v/>
      </c>
      <c r="H29">
        <f>INDEX('Draft Engine'!$Q$35:$Q$86,$N29)</f>
        <v/>
      </c>
      <c r="I29">
        <f>INDEX('Draft Engine'!$R$35:$R$86,$N29)</f>
        <v/>
      </c>
      <c r="J29">
        <f>INDEX('Draft Engine'!$S$35:$S$86,$N29)</f>
        <v/>
      </c>
      <c r="K29">
        <f>INDEX('Draft Engine'!$T$35:$T$86,$N29)</f>
        <v/>
      </c>
      <c r="L29">
        <f>INDEX('LIVE SOURCE'!$H$35:$H$86,$N29)</f>
        <v/>
      </c>
      <c r="M29">
        <f>INDEX('LIVE SOURCE'!$J$35:$J$86,$N29)</f>
        <v/>
      </c>
      <c r="N29" s="6">
        <f>MATCH($A29,'Draft Engine'!$F$35:$F$86,0)</f>
        <v/>
      </c>
    </row>
    <row r="30">
      <c r="A30">
        <f>28</f>
        <v/>
      </c>
      <c r="B30">
        <f>INDEX('Draft Engine'!$B$35:$B$86,$N30)</f>
        <v/>
      </c>
      <c r="C30" s="4">
        <f>INDEX('Draft Engine'!$E$35:$E$86,$N30)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Engine'!$G$35:$G$86,$N30)</f>
        <v/>
      </c>
      <c r="F30">
        <f>INDEX('Draft Engine'!$J$35:$J$86,$N30)</f>
        <v/>
      </c>
      <c r="G30">
        <f>INDEX('Draft Engine'!$N$35:$N$86,$N30)</f>
        <v/>
      </c>
      <c r="H30">
        <f>INDEX('Draft Engine'!$Q$35:$Q$86,$N30)</f>
        <v/>
      </c>
      <c r="I30">
        <f>INDEX('Draft Engine'!$R$35:$R$86,$N30)</f>
        <v/>
      </c>
      <c r="J30">
        <f>INDEX('Draft Engine'!$S$35:$S$86,$N30)</f>
        <v/>
      </c>
      <c r="K30">
        <f>INDEX('Draft Engine'!$T$35:$T$86,$N30)</f>
        <v/>
      </c>
      <c r="L30">
        <f>INDEX('LIVE SOURCE'!$H$35:$H$86,$N30)</f>
        <v/>
      </c>
      <c r="M30">
        <f>INDEX('LIVE SOURCE'!$J$35:$J$86,$N30)</f>
        <v/>
      </c>
      <c r="N30" s="6">
        <f>MATCH($A30,'Draft Engine'!$F$35:$F$86,0)</f>
        <v/>
      </c>
    </row>
    <row r="31">
      <c r="A31">
        <f>29</f>
        <v/>
      </c>
      <c r="B31">
        <f>INDEX('Draft Engine'!$B$35:$B$86,$N31)</f>
        <v/>
      </c>
      <c r="C31" s="4">
        <f>INDEX('Draft Engine'!$E$35:$E$86,$N31)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Engine'!$G$35:$G$86,$N31)</f>
        <v/>
      </c>
      <c r="F31">
        <f>INDEX('Draft Engine'!$J$35:$J$86,$N31)</f>
        <v/>
      </c>
      <c r="G31">
        <f>INDEX('Draft Engine'!$N$35:$N$86,$N31)</f>
        <v/>
      </c>
      <c r="H31">
        <f>INDEX('Draft Engine'!$Q$35:$Q$86,$N31)</f>
        <v/>
      </c>
      <c r="I31">
        <f>INDEX('Draft Engine'!$R$35:$R$86,$N31)</f>
        <v/>
      </c>
      <c r="J31">
        <f>INDEX('Draft Engine'!$S$35:$S$86,$N31)</f>
        <v/>
      </c>
      <c r="K31">
        <f>INDEX('Draft Engine'!$T$35:$T$86,$N31)</f>
        <v/>
      </c>
      <c r="L31">
        <f>INDEX('LIVE SOURCE'!$H$35:$H$86,$N31)</f>
        <v/>
      </c>
      <c r="M31">
        <f>INDEX('LIVE SOURCE'!$J$35:$J$86,$N31)</f>
        <v/>
      </c>
      <c r="N31" s="6">
        <f>MATCH($A31,'Draft Engine'!$F$35:$F$86,0)</f>
        <v/>
      </c>
    </row>
    <row r="32">
      <c r="A32">
        <f>30</f>
        <v/>
      </c>
      <c r="B32">
        <f>INDEX('Draft Engine'!$B$35:$B$86,$N32)</f>
        <v/>
      </c>
      <c r="C32" s="4">
        <f>INDEX('Draft Engine'!$E$35:$E$86,$N32)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Engine'!$G$35:$G$86,$N32)</f>
        <v/>
      </c>
      <c r="F32">
        <f>INDEX('Draft Engine'!$J$35:$J$86,$N32)</f>
        <v/>
      </c>
      <c r="G32">
        <f>INDEX('Draft Engine'!$N$35:$N$86,$N32)</f>
        <v/>
      </c>
      <c r="H32">
        <f>INDEX('Draft Engine'!$Q$35:$Q$86,$N32)</f>
        <v/>
      </c>
      <c r="I32">
        <f>INDEX('Draft Engine'!$R$35:$R$86,$N32)</f>
        <v/>
      </c>
      <c r="J32">
        <f>INDEX('Draft Engine'!$S$35:$S$86,$N32)</f>
        <v/>
      </c>
      <c r="K32">
        <f>INDEX('Draft Engine'!$T$35:$T$86,$N32)</f>
        <v/>
      </c>
      <c r="L32">
        <f>INDEX('LIVE SOURCE'!$H$35:$H$86,$N32)</f>
        <v/>
      </c>
      <c r="M32">
        <f>INDEX('LIVE SOURCE'!$J$35:$J$86,$N32)</f>
        <v/>
      </c>
      <c r="N32" s="6">
        <f>MATCH($A32,'Draft Engine'!$F$35:$F$86,0)</f>
        <v/>
      </c>
    </row>
    <row r="33">
      <c r="A33">
        <f>31</f>
        <v/>
      </c>
      <c r="B33">
        <f>INDEX('Draft Engine'!$B$35:$B$86,$N33)</f>
        <v/>
      </c>
      <c r="C33" s="4">
        <f>INDEX('Draft Engine'!$E$35:$E$86,$N33)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Engine'!$G$35:$G$86,$N33)</f>
        <v/>
      </c>
      <c r="F33">
        <f>INDEX('Draft Engine'!$J$35:$J$86,$N33)</f>
        <v/>
      </c>
      <c r="G33">
        <f>INDEX('Draft Engine'!$N$35:$N$86,$N33)</f>
        <v/>
      </c>
      <c r="H33">
        <f>INDEX('Draft Engine'!$Q$35:$Q$86,$N33)</f>
        <v/>
      </c>
      <c r="I33">
        <f>INDEX('Draft Engine'!$R$35:$R$86,$N33)</f>
        <v/>
      </c>
      <c r="J33">
        <f>INDEX('Draft Engine'!$S$35:$S$86,$N33)</f>
        <v/>
      </c>
      <c r="K33">
        <f>INDEX('Draft Engine'!$T$35:$T$86,$N33)</f>
        <v/>
      </c>
      <c r="L33">
        <f>INDEX('LIVE SOURCE'!$H$35:$H$86,$N33)</f>
        <v/>
      </c>
      <c r="M33">
        <f>INDEX('LIVE SOURCE'!$J$35:$J$86,$N33)</f>
        <v/>
      </c>
      <c r="N33" s="6">
        <f>MATCH($A33,'Draft Engine'!$F$35:$F$86,0)</f>
        <v/>
      </c>
    </row>
    <row r="34">
      <c r="A34">
        <f>32</f>
        <v/>
      </c>
      <c r="B34">
        <f>INDEX('Draft Engine'!$B$35:$B$86,$N34)</f>
        <v/>
      </c>
      <c r="C34" s="4">
        <f>INDEX('Draft Engine'!$E$35:$E$86,$N34)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Engine'!$G$35:$G$86,$N34)</f>
        <v/>
      </c>
      <c r="F34">
        <f>INDEX('Draft Engine'!$J$35:$J$86,$N34)</f>
        <v/>
      </c>
      <c r="G34">
        <f>INDEX('Draft Engine'!$N$35:$N$86,$N34)</f>
        <v/>
      </c>
      <c r="H34">
        <f>INDEX('Draft Engine'!$Q$35:$Q$86,$N34)</f>
        <v/>
      </c>
      <c r="I34">
        <f>INDEX('Draft Engine'!$R$35:$R$86,$N34)</f>
        <v/>
      </c>
      <c r="J34">
        <f>INDEX('Draft Engine'!$S$35:$S$86,$N34)</f>
        <v/>
      </c>
      <c r="K34">
        <f>INDEX('Draft Engine'!$T$35:$T$86,$N34)</f>
        <v/>
      </c>
      <c r="L34">
        <f>INDEX('LIVE SOURCE'!$H$35:$H$86,$N34)</f>
        <v/>
      </c>
      <c r="M34">
        <f>INDEX('LIVE SOURCE'!$J$35:$J$86,$N34)</f>
        <v/>
      </c>
      <c r="N34" s="6">
        <f>MATCH($A34,'Draft Engine'!$F$35:$F$86,0)</f>
        <v/>
      </c>
    </row>
    <row r="35">
      <c r="A35">
        <f>33</f>
        <v/>
      </c>
      <c r="B35">
        <f>INDEX('Draft Engine'!$B$35:$B$86,$N35)</f>
        <v/>
      </c>
      <c r="C35" s="4">
        <f>INDEX('Draft Engine'!$E$35:$E$86,$N35)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Engine'!$G$35:$G$86,$N35)</f>
        <v/>
      </c>
      <c r="F35">
        <f>INDEX('Draft Engine'!$J$35:$J$86,$N35)</f>
        <v/>
      </c>
      <c r="G35">
        <f>INDEX('Draft Engine'!$N$35:$N$86,$N35)</f>
        <v/>
      </c>
      <c r="H35">
        <f>INDEX('Draft Engine'!$Q$35:$Q$86,$N35)</f>
        <v/>
      </c>
      <c r="I35">
        <f>INDEX('Draft Engine'!$R$35:$R$86,$N35)</f>
        <v/>
      </c>
      <c r="J35">
        <f>INDEX('Draft Engine'!$S$35:$S$86,$N35)</f>
        <v/>
      </c>
      <c r="K35">
        <f>INDEX('Draft Engine'!$T$35:$T$86,$N35)</f>
        <v/>
      </c>
      <c r="L35">
        <f>INDEX('LIVE SOURCE'!$H$35:$H$86,$N35)</f>
        <v/>
      </c>
      <c r="M35">
        <f>INDEX('LIVE SOURCE'!$J$35:$J$86,$N35)</f>
        <v/>
      </c>
      <c r="N35" s="6">
        <f>MATCH($A35,'Draft Engine'!$F$35:$F$86,0)</f>
        <v/>
      </c>
    </row>
    <row r="36">
      <c r="A36">
        <f>34</f>
        <v/>
      </c>
      <c r="B36">
        <f>INDEX('Draft Engine'!$B$35:$B$86,$N36)</f>
        <v/>
      </c>
      <c r="C36" s="4">
        <f>INDEX('Draft Engine'!$E$35:$E$86,$N36)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Engine'!$G$35:$G$86,$N36)</f>
        <v/>
      </c>
      <c r="F36">
        <f>INDEX('Draft Engine'!$J$35:$J$86,$N36)</f>
        <v/>
      </c>
      <c r="G36">
        <f>INDEX('Draft Engine'!$N$35:$N$86,$N36)</f>
        <v/>
      </c>
      <c r="H36">
        <f>INDEX('Draft Engine'!$Q$35:$Q$86,$N36)</f>
        <v/>
      </c>
      <c r="I36">
        <f>INDEX('Draft Engine'!$R$35:$R$86,$N36)</f>
        <v/>
      </c>
      <c r="J36">
        <f>INDEX('Draft Engine'!$S$35:$S$86,$N36)</f>
        <v/>
      </c>
      <c r="K36">
        <f>INDEX('Draft Engine'!$T$35:$T$86,$N36)</f>
        <v/>
      </c>
      <c r="L36">
        <f>INDEX('LIVE SOURCE'!$H$35:$H$86,$N36)</f>
        <v/>
      </c>
      <c r="M36">
        <f>INDEX('LIVE SOURCE'!$J$35:$J$86,$N36)</f>
        <v/>
      </c>
      <c r="N36" s="6">
        <f>MATCH($A36,'Draft Engine'!$F$35:$F$86,0)</f>
        <v/>
      </c>
    </row>
    <row r="37">
      <c r="A37">
        <f>35</f>
        <v/>
      </c>
      <c r="B37">
        <f>INDEX('Draft Engine'!$B$35:$B$86,$N37)</f>
        <v/>
      </c>
      <c r="C37" s="4">
        <f>INDEX('Draft Engine'!$E$35:$E$86,$N37)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Engine'!$G$35:$G$86,$N37)</f>
        <v/>
      </c>
      <c r="F37">
        <f>INDEX('Draft Engine'!$J$35:$J$86,$N37)</f>
        <v/>
      </c>
      <c r="G37">
        <f>INDEX('Draft Engine'!$N$35:$N$86,$N37)</f>
        <v/>
      </c>
      <c r="H37">
        <f>INDEX('Draft Engine'!$Q$35:$Q$86,$N37)</f>
        <v/>
      </c>
      <c r="I37">
        <f>INDEX('Draft Engine'!$R$35:$R$86,$N37)</f>
        <v/>
      </c>
      <c r="J37">
        <f>INDEX('Draft Engine'!$S$35:$S$86,$N37)</f>
        <v/>
      </c>
      <c r="K37">
        <f>INDEX('Draft Engine'!$T$35:$T$86,$N37)</f>
        <v/>
      </c>
      <c r="L37">
        <f>INDEX('LIVE SOURCE'!$H$35:$H$86,$N37)</f>
        <v/>
      </c>
      <c r="M37">
        <f>INDEX('LIVE SOURCE'!$J$35:$J$86,$N37)</f>
        <v/>
      </c>
      <c r="N37" s="6">
        <f>MATCH($A37,'Draft Engine'!$F$35:$F$86,0)</f>
        <v/>
      </c>
    </row>
    <row r="38">
      <c r="A38">
        <f>36</f>
        <v/>
      </c>
      <c r="B38">
        <f>INDEX('Draft Engine'!$B$35:$B$86,$N38)</f>
        <v/>
      </c>
      <c r="C38" s="4">
        <f>INDEX('Draft Engine'!$E$35:$E$86,$N38)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Engine'!$G$35:$G$86,$N38)</f>
        <v/>
      </c>
      <c r="F38">
        <f>INDEX('Draft Engine'!$J$35:$J$86,$N38)</f>
        <v/>
      </c>
      <c r="G38">
        <f>INDEX('Draft Engine'!$N$35:$N$86,$N38)</f>
        <v/>
      </c>
      <c r="H38">
        <f>INDEX('Draft Engine'!$Q$35:$Q$86,$N38)</f>
        <v/>
      </c>
      <c r="I38">
        <f>INDEX('Draft Engine'!$R$35:$R$86,$N38)</f>
        <v/>
      </c>
      <c r="J38">
        <f>INDEX('Draft Engine'!$S$35:$S$86,$N38)</f>
        <v/>
      </c>
      <c r="K38">
        <f>INDEX('Draft Engine'!$T$35:$T$86,$N38)</f>
        <v/>
      </c>
      <c r="L38">
        <f>INDEX('LIVE SOURCE'!$H$35:$H$86,$N38)</f>
        <v/>
      </c>
      <c r="M38">
        <f>INDEX('LIVE SOURCE'!$J$35:$J$86,$N38)</f>
        <v/>
      </c>
      <c r="N38" s="6">
        <f>MATCH($A38,'Draft Engine'!$F$35:$F$86,0)</f>
        <v/>
      </c>
    </row>
    <row r="39">
      <c r="A39">
        <f>37</f>
        <v/>
      </c>
      <c r="B39">
        <f>INDEX('Draft Engine'!$B$35:$B$86,$N39)</f>
        <v/>
      </c>
      <c r="C39" s="4">
        <f>INDEX('Draft Engine'!$E$35:$E$86,$N39)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Engine'!$G$35:$G$86,$N39)</f>
        <v/>
      </c>
      <c r="F39">
        <f>INDEX('Draft Engine'!$J$35:$J$86,$N39)</f>
        <v/>
      </c>
      <c r="G39">
        <f>INDEX('Draft Engine'!$N$35:$N$86,$N39)</f>
        <v/>
      </c>
      <c r="H39">
        <f>INDEX('Draft Engine'!$Q$35:$Q$86,$N39)</f>
        <v/>
      </c>
      <c r="I39">
        <f>INDEX('Draft Engine'!$R$35:$R$86,$N39)</f>
        <v/>
      </c>
      <c r="J39">
        <f>INDEX('Draft Engine'!$S$35:$S$86,$N39)</f>
        <v/>
      </c>
      <c r="K39">
        <f>INDEX('Draft Engine'!$T$35:$T$86,$N39)</f>
        <v/>
      </c>
      <c r="L39">
        <f>INDEX('LIVE SOURCE'!$H$35:$H$86,$N39)</f>
        <v/>
      </c>
      <c r="M39">
        <f>INDEX('LIVE SOURCE'!$J$35:$J$86,$N39)</f>
        <v/>
      </c>
      <c r="N39" s="6">
        <f>MATCH($A39,'Draft Engine'!$F$35:$F$86,0)</f>
        <v/>
      </c>
    </row>
    <row r="40">
      <c r="A40">
        <f>38</f>
        <v/>
      </c>
      <c r="B40">
        <f>INDEX('Draft Engine'!$B$35:$B$86,$N40)</f>
        <v/>
      </c>
      <c r="C40" s="4">
        <f>INDEX('Draft Engine'!$E$35:$E$86,$N40)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Engine'!$G$35:$G$86,$N40)</f>
        <v/>
      </c>
      <c r="F40">
        <f>INDEX('Draft Engine'!$J$35:$J$86,$N40)</f>
        <v/>
      </c>
      <c r="G40">
        <f>INDEX('Draft Engine'!$N$35:$N$86,$N40)</f>
        <v/>
      </c>
      <c r="H40">
        <f>INDEX('Draft Engine'!$Q$35:$Q$86,$N40)</f>
        <v/>
      </c>
      <c r="I40">
        <f>INDEX('Draft Engine'!$R$35:$R$86,$N40)</f>
        <v/>
      </c>
      <c r="J40">
        <f>INDEX('Draft Engine'!$S$35:$S$86,$N40)</f>
        <v/>
      </c>
      <c r="K40">
        <f>INDEX('Draft Engine'!$T$35:$T$86,$N40)</f>
        <v/>
      </c>
      <c r="L40">
        <f>INDEX('LIVE SOURCE'!$H$35:$H$86,$N40)</f>
        <v/>
      </c>
      <c r="M40">
        <f>INDEX('LIVE SOURCE'!$J$35:$J$86,$N40)</f>
        <v/>
      </c>
      <c r="N40" s="6">
        <f>MATCH($A40,'Draft Engine'!$F$35:$F$86,0)</f>
        <v/>
      </c>
    </row>
    <row r="41">
      <c r="A41">
        <f>39</f>
        <v/>
      </c>
      <c r="B41">
        <f>INDEX('Draft Engine'!$B$35:$B$86,$N41)</f>
        <v/>
      </c>
      <c r="C41" s="4">
        <f>INDEX('Draft Engine'!$E$35:$E$86,$N41)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Engine'!$G$35:$G$86,$N41)</f>
        <v/>
      </c>
      <c r="F41">
        <f>INDEX('Draft Engine'!$J$35:$J$86,$N41)</f>
        <v/>
      </c>
      <c r="G41">
        <f>INDEX('Draft Engine'!$N$35:$N$86,$N41)</f>
        <v/>
      </c>
      <c r="H41">
        <f>INDEX('Draft Engine'!$Q$35:$Q$86,$N41)</f>
        <v/>
      </c>
      <c r="I41">
        <f>INDEX('Draft Engine'!$R$35:$R$86,$N41)</f>
        <v/>
      </c>
      <c r="J41">
        <f>INDEX('Draft Engine'!$S$35:$S$86,$N41)</f>
        <v/>
      </c>
      <c r="K41">
        <f>INDEX('Draft Engine'!$T$35:$T$86,$N41)</f>
        <v/>
      </c>
      <c r="L41">
        <f>INDEX('LIVE SOURCE'!$H$35:$H$86,$N41)</f>
        <v/>
      </c>
      <c r="M41">
        <f>INDEX('LIVE SOURCE'!$J$35:$J$86,$N41)</f>
        <v/>
      </c>
      <c r="N41" s="6">
        <f>MATCH($A41,'Draft Engine'!$F$35:$F$86,0)</f>
        <v/>
      </c>
    </row>
    <row r="42">
      <c r="A42">
        <f>40</f>
        <v/>
      </c>
      <c r="B42">
        <f>INDEX('Draft Engine'!$B$35:$B$86,$N42)</f>
        <v/>
      </c>
      <c r="C42" s="4">
        <f>INDEX('Draft Engine'!$E$35:$E$86,$N42)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Engine'!$G$35:$G$86,$N42)</f>
        <v/>
      </c>
      <c r="F42">
        <f>INDEX('Draft Engine'!$J$35:$J$86,$N42)</f>
        <v/>
      </c>
      <c r="G42">
        <f>INDEX('Draft Engine'!$N$35:$N$86,$N42)</f>
        <v/>
      </c>
      <c r="H42">
        <f>INDEX('Draft Engine'!$Q$35:$Q$86,$N42)</f>
        <v/>
      </c>
      <c r="I42">
        <f>INDEX('Draft Engine'!$R$35:$R$86,$N42)</f>
        <v/>
      </c>
      <c r="J42">
        <f>INDEX('Draft Engine'!$S$35:$S$86,$N42)</f>
        <v/>
      </c>
      <c r="K42">
        <f>INDEX('Draft Engine'!$T$35:$T$86,$N42)</f>
        <v/>
      </c>
      <c r="L42">
        <f>INDEX('LIVE SOURCE'!$H$35:$H$86,$N42)</f>
        <v/>
      </c>
      <c r="M42">
        <f>INDEX('LIVE SOURCE'!$J$35:$J$86,$N42)</f>
        <v/>
      </c>
      <c r="N42" s="6">
        <f>MATCH($A42,'Draft Engine'!$F$35:$F$86,0)</f>
        <v/>
      </c>
    </row>
    <row r="43">
      <c r="A43">
        <f>41</f>
        <v/>
      </c>
      <c r="B43">
        <f>INDEX('Draft Engine'!$B$35:$B$86,$N43)</f>
        <v/>
      </c>
      <c r="C43" s="4">
        <f>INDEX('Draft Engine'!$E$35:$E$86,$N43)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Engine'!$G$35:$G$86,$N43)</f>
        <v/>
      </c>
      <c r="F43">
        <f>INDEX('Draft Engine'!$J$35:$J$86,$N43)</f>
        <v/>
      </c>
      <c r="G43">
        <f>INDEX('Draft Engine'!$N$35:$N$86,$N43)</f>
        <v/>
      </c>
      <c r="H43">
        <f>INDEX('Draft Engine'!$Q$35:$Q$86,$N43)</f>
        <v/>
      </c>
      <c r="I43">
        <f>INDEX('Draft Engine'!$R$35:$R$86,$N43)</f>
        <v/>
      </c>
      <c r="J43">
        <f>INDEX('Draft Engine'!$S$35:$S$86,$N43)</f>
        <v/>
      </c>
      <c r="K43">
        <f>INDEX('Draft Engine'!$T$35:$T$86,$N43)</f>
        <v/>
      </c>
      <c r="L43">
        <f>INDEX('LIVE SOURCE'!$H$35:$H$86,$N43)</f>
        <v/>
      </c>
      <c r="M43">
        <f>INDEX('LIVE SOURCE'!$J$35:$J$86,$N43)</f>
        <v/>
      </c>
      <c r="N43" s="6">
        <f>MATCH($A43,'Draft Engine'!$F$35:$F$86,0)</f>
        <v/>
      </c>
    </row>
    <row r="44">
      <c r="A44">
        <f>42</f>
        <v/>
      </c>
      <c r="B44">
        <f>INDEX('Draft Engine'!$B$35:$B$86,$N44)</f>
        <v/>
      </c>
      <c r="C44" s="4">
        <f>INDEX('Draft Engine'!$E$35:$E$86,$N44)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Engine'!$G$35:$G$86,$N44)</f>
        <v/>
      </c>
      <c r="F44">
        <f>INDEX('Draft Engine'!$J$35:$J$86,$N44)</f>
        <v/>
      </c>
      <c r="G44">
        <f>INDEX('Draft Engine'!$N$35:$N$86,$N44)</f>
        <v/>
      </c>
      <c r="H44">
        <f>INDEX('Draft Engine'!$Q$35:$Q$86,$N44)</f>
        <v/>
      </c>
      <c r="I44">
        <f>INDEX('Draft Engine'!$R$35:$R$86,$N44)</f>
        <v/>
      </c>
      <c r="J44">
        <f>INDEX('Draft Engine'!$S$35:$S$86,$N44)</f>
        <v/>
      </c>
      <c r="K44">
        <f>INDEX('Draft Engine'!$T$35:$T$86,$N44)</f>
        <v/>
      </c>
      <c r="L44">
        <f>INDEX('LIVE SOURCE'!$H$35:$H$86,$N44)</f>
        <v/>
      </c>
      <c r="M44">
        <f>INDEX('LIVE SOURCE'!$J$35:$J$86,$N44)</f>
        <v/>
      </c>
      <c r="N44" s="6">
        <f>MATCH($A44,'Draft Engine'!$F$35:$F$86,0)</f>
        <v/>
      </c>
    </row>
    <row r="45">
      <c r="A45">
        <f>43</f>
        <v/>
      </c>
      <c r="B45">
        <f>INDEX('Draft Engine'!$B$35:$B$86,$N45)</f>
        <v/>
      </c>
      <c r="C45" s="4">
        <f>INDEX('Draft Engine'!$E$35:$E$86,$N45)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Engine'!$G$35:$G$86,$N45)</f>
        <v/>
      </c>
      <c r="F45">
        <f>INDEX('Draft Engine'!$J$35:$J$86,$N45)</f>
        <v/>
      </c>
      <c r="G45">
        <f>INDEX('Draft Engine'!$N$35:$N$86,$N45)</f>
        <v/>
      </c>
      <c r="H45">
        <f>INDEX('Draft Engine'!$Q$35:$Q$86,$N45)</f>
        <v/>
      </c>
      <c r="I45">
        <f>INDEX('Draft Engine'!$R$35:$R$86,$N45)</f>
        <v/>
      </c>
      <c r="J45">
        <f>INDEX('Draft Engine'!$S$35:$S$86,$N45)</f>
        <v/>
      </c>
      <c r="K45">
        <f>INDEX('Draft Engine'!$T$35:$T$86,$N45)</f>
        <v/>
      </c>
      <c r="L45">
        <f>INDEX('LIVE SOURCE'!$H$35:$H$86,$N45)</f>
        <v/>
      </c>
      <c r="M45">
        <f>INDEX('LIVE SOURCE'!$J$35:$J$86,$N45)</f>
        <v/>
      </c>
      <c r="N45" s="6">
        <f>MATCH($A45,'Draft Engine'!$F$35:$F$86,0)</f>
        <v/>
      </c>
    </row>
    <row r="46">
      <c r="A46">
        <f>44</f>
        <v/>
      </c>
      <c r="B46">
        <f>INDEX('Draft Engine'!$B$35:$B$86,$N46)</f>
        <v/>
      </c>
      <c r="C46" s="4">
        <f>INDEX('Draft Engine'!$E$35:$E$86,$N46)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Engine'!$G$35:$G$86,$N46)</f>
        <v/>
      </c>
      <c r="F46">
        <f>INDEX('Draft Engine'!$J$35:$J$86,$N46)</f>
        <v/>
      </c>
      <c r="G46">
        <f>INDEX('Draft Engine'!$N$35:$N$86,$N46)</f>
        <v/>
      </c>
      <c r="H46">
        <f>INDEX('Draft Engine'!$Q$35:$Q$86,$N46)</f>
        <v/>
      </c>
      <c r="I46">
        <f>INDEX('Draft Engine'!$R$35:$R$86,$N46)</f>
        <v/>
      </c>
      <c r="J46">
        <f>INDEX('Draft Engine'!$S$35:$S$86,$N46)</f>
        <v/>
      </c>
      <c r="K46">
        <f>INDEX('Draft Engine'!$T$35:$T$86,$N46)</f>
        <v/>
      </c>
      <c r="L46">
        <f>INDEX('LIVE SOURCE'!$H$35:$H$86,$N46)</f>
        <v/>
      </c>
      <c r="M46">
        <f>INDEX('LIVE SOURCE'!$J$35:$J$86,$N46)</f>
        <v/>
      </c>
      <c r="N46" s="6">
        <f>MATCH($A46,'Draft Engine'!$F$35:$F$86,0)</f>
        <v/>
      </c>
    </row>
    <row r="47">
      <c r="A47">
        <f>45</f>
        <v/>
      </c>
      <c r="B47">
        <f>INDEX('Draft Engine'!$B$35:$B$86,$N47)</f>
        <v/>
      </c>
      <c r="C47" s="4">
        <f>INDEX('Draft Engine'!$E$35:$E$86,$N47)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Engine'!$G$35:$G$86,$N47)</f>
        <v/>
      </c>
      <c r="F47">
        <f>INDEX('Draft Engine'!$J$35:$J$86,$N47)</f>
        <v/>
      </c>
      <c r="G47">
        <f>INDEX('Draft Engine'!$N$35:$N$86,$N47)</f>
        <v/>
      </c>
      <c r="H47">
        <f>INDEX('Draft Engine'!$Q$35:$Q$86,$N47)</f>
        <v/>
      </c>
      <c r="I47">
        <f>INDEX('Draft Engine'!$R$35:$R$86,$N47)</f>
        <v/>
      </c>
      <c r="J47">
        <f>INDEX('Draft Engine'!$S$35:$S$86,$N47)</f>
        <v/>
      </c>
      <c r="K47">
        <f>INDEX('Draft Engine'!$T$35:$T$86,$N47)</f>
        <v/>
      </c>
      <c r="L47">
        <f>INDEX('LIVE SOURCE'!$H$35:$H$86,$N47)</f>
        <v/>
      </c>
      <c r="M47">
        <f>INDEX('LIVE SOURCE'!$J$35:$J$86,$N47)</f>
        <v/>
      </c>
      <c r="N47" s="6">
        <f>MATCH($A47,'Draft Engine'!$F$35:$F$86,0)</f>
        <v/>
      </c>
    </row>
    <row r="48">
      <c r="A48">
        <f>46</f>
        <v/>
      </c>
      <c r="B48">
        <f>INDEX('Draft Engine'!$B$35:$B$86,$N48)</f>
        <v/>
      </c>
      <c r="C48" s="4">
        <f>INDEX('Draft Engine'!$E$35:$E$86,$N48)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Engine'!$G$35:$G$86,$N48)</f>
        <v/>
      </c>
      <c r="F48">
        <f>INDEX('Draft Engine'!$J$35:$J$86,$N48)</f>
        <v/>
      </c>
      <c r="G48">
        <f>INDEX('Draft Engine'!$N$35:$N$86,$N48)</f>
        <v/>
      </c>
      <c r="H48">
        <f>INDEX('Draft Engine'!$Q$35:$Q$86,$N48)</f>
        <v/>
      </c>
      <c r="I48">
        <f>INDEX('Draft Engine'!$R$35:$R$86,$N48)</f>
        <v/>
      </c>
      <c r="J48">
        <f>INDEX('Draft Engine'!$S$35:$S$86,$N48)</f>
        <v/>
      </c>
      <c r="K48">
        <f>INDEX('Draft Engine'!$T$35:$T$86,$N48)</f>
        <v/>
      </c>
      <c r="L48">
        <f>INDEX('LIVE SOURCE'!$H$35:$H$86,$N48)</f>
        <v/>
      </c>
      <c r="M48">
        <f>INDEX('LIVE SOURCE'!$J$35:$J$86,$N48)</f>
        <v/>
      </c>
      <c r="N48" s="6">
        <f>MATCH($A48,'Draft Engine'!$F$35:$F$86,0)</f>
        <v/>
      </c>
    </row>
    <row r="49">
      <c r="A49">
        <f>47</f>
        <v/>
      </c>
      <c r="B49">
        <f>INDEX('Draft Engine'!$B$35:$B$86,$N49)</f>
        <v/>
      </c>
      <c r="C49" s="4">
        <f>INDEX('Draft Engine'!$E$35:$E$86,$N49)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Engine'!$G$35:$G$86,$N49)</f>
        <v/>
      </c>
      <c r="F49">
        <f>INDEX('Draft Engine'!$J$35:$J$86,$N49)</f>
        <v/>
      </c>
      <c r="G49">
        <f>INDEX('Draft Engine'!$N$35:$N$86,$N49)</f>
        <v/>
      </c>
      <c r="H49">
        <f>INDEX('Draft Engine'!$Q$35:$Q$86,$N49)</f>
        <v/>
      </c>
      <c r="I49">
        <f>INDEX('Draft Engine'!$R$35:$R$86,$N49)</f>
        <v/>
      </c>
      <c r="J49">
        <f>INDEX('Draft Engine'!$S$35:$S$86,$N49)</f>
        <v/>
      </c>
      <c r="K49">
        <f>INDEX('Draft Engine'!$T$35:$T$86,$N49)</f>
        <v/>
      </c>
      <c r="L49">
        <f>INDEX('LIVE SOURCE'!$H$35:$H$86,$N49)</f>
        <v/>
      </c>
      <c r="M49">
        <f>INDEX('LIVE SOURCE'!$J$35:$J$86,$N49)</f>
        <v/>
      </c>
      <c r="N49" s="6">
        <f>MATCH($A49,'Draft Engine'!$F$35:$F$86,0)</f>
        <v/>
      </c>
    </row>
    <row r="50">
      <c r="A50">
        <f>48</f>
        <v/>
      </c>
      <c r="B50">
        <f>INDEX('Draft Engine'!$B$35:$B$86,$N50)</f>
        <v/>
      </c>
      <c r="C50" s="4">
        <f>INDEX('Draft Engine'!$E$35:$E$86,$N50)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Engine'!$G$35:$G$86,$N50)</f>
        <v/>
      </c>
      <c r="F50">
        <f>INDEX('Draft Engine'!$J$35:$J$86,$N50)</f>
        <v/>
      </c>
      <c r="G50">
        <f>INDEX('Draft Engine'!$N$35:$N$86,$N50)</f>
        <v/>
      </c>
      <c r="H50">
        <f>INDEX('Draft Engine'!$Q$35:$Q$86,$N50)</f>
        <v/>
      </c>
      <c r="I50">
        <f>INDEX('Draft Engine'!$R$35:$R$86,$N50)</f>
        <v/>
      </c>
      <c r="J50">
        <f>INDEX('Draft Engine'!$S$35:$S$86,$N50)</f>
        <v/>
      </c>
      <c r="K50">
        <f>INDEX('Draft Engine'!$T$35:$T$86,$N50)</f>
        <v/>
      </c>
      <c r="L50">
        <f>INDEX('LIVE SOURCE'!$H$35:$H$86,$N50)</f>
        <v/>
      </c>
      <c r="M50">
        <f>INDEX('LIVE SOURCE'!$J$35:$J$86,$N50)</f>
        <v/>
      </c>
      <c r="N50" s="6">
        <f>MATCH($A50,'Draft Engine'!$F$35:$F$86,0)</f>
        <v/>
      </c>
    </row>
    <row r="51">
      <c r="A51">
        <f>49</f>
        <v/>
      </c>
      <c r="B51">
        <f>INDEX('Draft Engine'!$B$35:$B$86,$N51)</f>
        <v/>
      </c>
      <c r="C51" s="4">
        <f>INDEX('Draft Engine'!$E$35:$E$86,$N51)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Engine'!$G$35:$G$86,$N51)</f>
        <v/>
      </c>
      <c r="F51">
        <f>INDEX('Draft Engine'!$J$35:$J$86,$N51)</f>
        <v/>
      </c>
      <c r="G51">
        <f>INDEX('Draft Engine'!$N$35:$N$86,$N51)</f>
        <v/>
      </c>
      <c r="H51">
        <f>INDEX('Draft Engine'!$Q$35:$Q$86,$N51)</f>
        <v/>
      </c>
      <c r="I51">
        <f>INDEX('Draft Engine'!$R$35:$R$86,$N51)</f>
        <v/>
      </c>
      <c r="J51">
        <f>INDEX('Draft Engine'!$S$35:$S$86,$N51)</f>
        <v/>
      </c>
      <c r="K51">
        <f>INDEX('Draft Engine'!$T$35:$T$86,$N51)</f>
        <v/>
      </c>
      <c r="L51">
        <f>INDEX('LIVE SOURCE'!$H$35:$H$86,$N51)</f>
        <v/>
      </c>
      <c r="M51">
        <f>INDEX('LIVE SOURCE'!$J$35:$J$86,$N51)</f>
        <v/>
      </c>
      <c r="N51" s="6">
        <f>MATCH($A51,'Draft Engine'!$F$35:$F$86,0)</f>
        <v/>
      </c>
    </row>
    <row r="52">
      <c r="A52">
        <f>50</f>
        <v/>
      </c>
      <c r="B52">
        <f>INDEX('Draft Engine'!$B$35:$B$86,$N52)</f>
        <v/>
      </c>
      <c r="C52" s="4">
        <f>INDEX('Draft Engine'!$E$35:$E$86,$N52)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Engine'!$G$35:$G$86,$N52)</f>
        <v/>
      </c>
      <c r="F52">
        <f>INDEX('Draft Engine'!$J$35:$J$86,$N52)</f>
        <v/>
      </c>
      <c r="G52">
        <f>INDEX('Draft Engine'!$N$35:$N$86,$N52)</f>
        <v/>
      </c>
      <c r="H52">
        <f>INDEX('Draft Engine'!$Q$35:$Q$86,$N52)</f>
        <v/>
      </c>
      <c r="I52">
        <f>INDEX('Draft Engine'!$R$35:$R$86,$N52)</f>
        <v/>
      </c>
      <c r="J52">
        <f>INDEX('Draft Engine'!$S$35:$S$86,$N52)</f>
        <v/>
      </c>
      <c r="K52">
        <f>INDEX('Draft Engine'!$T$35:$T$86,$N52)</f>
        <v/>
      </c>
      <c r="L52">
        <f>INDEX('LIVE SOURCE'!$H$35:$H$86,$N52)</f>
        <v/>
      </c>
      <c r="M52">
        <f>INDEX('LIVE SOURCE'!$J$35:$J$86,$N52)</f>
        <v/>
      </c>
      <c r="N52" s="6">
        <f>MATCH($A52,'Draft Engine'!$F$35:$F$86,0)</f>
        <v/>
      </c>
    </row>
    <row r="53">
      <c r="A53">
        <f>51</f>
        <v/>
      </c>
      <c r="B53">
        <f>INDEX('Draft Engine'!$B$35:$B$86,$N53)</f>
        <v/>
      </c>
      <c r="C53" s="4">
        <f>INDEX('Draft Engine'!$E$35:$E$86,$N53)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Engine'!$G$35:$G$86,$N53)</f>
        <v/>
      </c>
      <c r="F53">
        <f>INDEX('Draft Engine'!$J$35:$J$86,$N53)</f>
        <v/>
      </c>
      <c r="G53">
        <f>INDEX('Draft Engine'!$N$35:$N$86,$N53)</f>
        <v/>
      </c>
      <c r="H53">
        <f>INDEX('Draft Engine'!$Q$35:$Q$86,$N53)</f>
        <v/>
      </c>
      <c r="I53">
        <f>INDEX('Draft Engine'!$R$35:$R$86,$N53)</f>
        <v/>
      </c>
      <c r="J53">
        <f>INDEX('Draft Engine'!$S$35:$S$86,$N53)</f>
        <v/>
      </c>
      <c r="K53">
        <f>INDEX('Draft Engine'!$T$35:$T$86,$N53)</f>
        <v/>
      </c>
      <c r="L53">
        <f>INDEX('LIVE SOURCE'!$H$35:$H$86,$N53)</f>
        <v/>
      </c>
      <c r="M53">
        <f>INDEX('LIVE SOURCE'!$J$35:$J$86,$N53)</f>
        <v/>
      </c>
      <c r="N53" s="6">
        <f>MATCH($A53,'Draft Engine'!$F$35:$F$86,0)</f>
        <v/>
      </c>
    </row>
    <row r="54">
      <c r="A54">
        <f>52</f>
        <v/>
      </c>
      <c r="B54">
        <f>INDEX('Draft Engine'!$B$35:$B$86,$N54)</f>
        <v/>
      </c>
      <c r="C54" s="4">
        <f>INDEX('Draft Engine'!$E$35:$E$86,$N54)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Engine'!$G$35:$G$86,$N54)</f>
        <v/>
      </c>
      <c r="F54">
        <f>INDEX('Draft Engine'!$J$35:$J$86,$N54)</f>
        <v/>
      </c>
      <c r="G54">
        <f>INDEX('Draft Engine'!$N$35:$N$86,$N54)</f>
        <v/>
      </c>
      <c r="H54">
        <f>INDEX('Draft Engine'!$Q$35:$Q$86,$N54)</f>
        <v/>
      </c>
      <c r="I54">
        <f>INDEX('Draft Engine'!$R$35:$R$86,$N54)</f>
        <v/>
      </c>
      <c r="J54">
        <f>INDEX('Draft Engine'!$S$35:$S$86,$N54)</f>
        <v/>
      </c>
      <c r="K54">
        <f>INDEX('Draft Engine'!$T$35:$T$86,$N54)</f>
        <v/>
      </c>
      <c r="L54">
        <f>INDEX('LIVE SOURCE'!$H$35:$H$86,$N54)</f>
        <v/>
      </c>
      <c r="M54">
        <f>INDEX('LIVE SOURCE'!$J$35:$J$86,$N54)</f>
        <v/>
      </c>
      <c r="N54" s="6">
        <f>MATCH($A54,'Draft Engine'!$F$35:$F$86,0)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9D18E"/>
    <outlinePr summaryBelow="1" summaryRight="1"/>
    <pageSetUpPr/>
  </sheetPr>
  <dimension ref="A1:N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WR: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Engine'!$B$87:$B$160,$N3)</f>
        <v/>
      </c>
      <c r="C3" s="4">
        <f>INDEX('Draft Engine'!$E$87:$E$160,$N3)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Engine'!$G$87:$G$160,$N3)</f>
        <v/>
      </c>
      <c r="F3">
        <f>INDEX('Draft Engine'!$J$87:$J$160,$N3)</f>
        <v/>
      </c>
      <c r="G3">
        <f>INDEX('Draft Engine'!$N$87:$N$160,$N3)</f>
        <v/>
      </c>
      <c r="H3">
        <f>INDEX('Draft Engine'!$Q$87:$Q$160,$N3)</f>
        <v/>
      </c>
      <c r="I3">
        <f>INDEX('Draft Engine'!$R$87:$R$160,$N3)</f>
        <v/>
      </c>
      <c r="J3">
        <f>INDEX('Draft Engine'!$S$87:$S$160,$N3)</f>
        <v/>
      </c>
      <c r="K3">
        <f>INDEX('Draft Engine'!$T$87:$T$160,$N3)</f>
        <v/>
      </c>
      <c r="L3">
        <f>INDEX('LIVE SOURCE'!$H$87:$H$160,$N3)</f>
        <v/>
      </c>
      <c r="M3">
        <f>INDEX('LIVE SOURCE'!$J$87:$J$160,$N3)</f>
        <v/>
      </c>
      <c r="N3" s="6">
        <f>MATCH($A3,'Draft Engine'!$F$87:$F$160,0)</f>
        <v/>
      </c>
    </row>
    <row r="4">
      <c r="A4">
        <f>2</f>
        <v/>
      </c>
      <c r="B4">
        <f>INDEX('Draft Engine'!$B$87:$B$160,$N4)</f>
        <v/>
      </c>
      <c r="C4" s="4">
        <f>INDEX('Draft Engine'!$E$87:$E$160,$N4)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Engine'!$G$87:$G$160,$N4)</f>
        <v/>
      </c>
      <c r="F4">
        <f>INDEX('Draft Engine'!$J$87:$J$160,$N4)</f>
        <v/>
      </c>
      <c r="G4">
        <f>INDEX('Draft Engine'!$N$87:$N$160,$N4)</f>
        <v/>
      </c>
      <c r="H4">
        <f>INDEX('Draft Engine'!$Q$87:$Q$160,$N4)</f>
        <v/>
      </c>
      <c r="I4">
        <f>INDEX('Draft Engine'!$R$87:$R$160,$N4)</f>
        <v/>
      </c>
      <c r="J4">
        <f>INDEX('Draft Engine'!$S$87:$S$160,$N4)</f>
        <v/>
      </c>
      <c r="K4">
        <f>INDEX('Draft Engine'!$T$87:$T$160,$N4)</f>
        <v/>
      </c>
      <c r="L4">
        <f>INDEX('LIVE SOURCE'!$H$87:$H$160,$N4)</f>
        <v/>
      </c>
      <c r="M4">
        <f>INDEX('LIVE SOURCE'!$J$87:$J$160,$N4)</f>
        <v/>
      </c>
      <c r="N4" s="6">
        <f>MATCH($A4,'Draft Engine'!$F$87:$F$160,0)</f>
        <v/>
      </c>
    </row>
    <row r="5">
      <c r="A5">
        <f>3</f>
        <v/>
      </c>
      <c r="B5">
        <f>INDEX('Draft Engine'!$B$87:$B$160,$N5)</f>
        <v/>
      </c>
      <c r="C5" s="4">
        <f>INDEX('Draft Engine'!$E$87:$E$160,$N5)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Engine'!$G$87:$G$160,$N5)</f>
        <v/>
      </c>
      <c r="F5">
        <f>INDEX('Draft Engine'!$J$87:$J$160,$N5)</f>
        <v/>
      </c>
      <c r="G5">
        <f>INDEX('Draft Engine'!$N$87:$N$160,$N5)</f>
        <v/>
      </c>
      <c r="H5">
        <f>INDEX('Draft Engine'!$Q$87:$Q$160,$N5)</f>
        <v/>
      </c>
      <c r="I5">
        <f>INDEX('Draft Engine'!$R$87:$R$160,$N5)</f>
        <v/>
      </c>
      <c r="J5">
        <f>INDEX('Draft Engine'!$S$87:$S$160,$N5)</f>
        <v/>
      </c>
      <c r="K5">
        <f>INDEX('Draft Engine'!$T$87:$T$160,$N5)</f>
        <v/>
      </c>
      <c r="L5">
        <f>INDEX('LIVE SOURCE'!$H$87:$H$160,$N5)</f>
        <v/>
      </c>
      <c r="M5">
        <f>INDEX('LIVE SOURCE'!$J$87:$J$160,$N5)</f>
        <v/>
      </c>
      <c r="N5" s="6">
        <f>MATCH($A5,'Draft Engine'!$F$87:$F$160,0)</f>
        <v/>
      </c>
    </row>
    <row r="6">
      <c r="A6">
        <f>4</f>
        <v/>
      </c>
      <c r="B6">
        <f>INDEX('Draft Engine'!$B$87:$B$160,$N6)</f>
        <v/>
      </c>
      <c r="C6" s="4">
        <f>INDEX('Draft Engine'!$E$87:$E$160,$N6)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Engine'!$G$87:$G$160,$N6)</f>
        <v/>
      </c>
      <c r="F6">
        <f>INDEX('Draft Engine'!$J$87:$J$160,$N6)</f>
        <v/>
      </c>
      <c r="G6">
        <f>INDEX('Draft Engine'!$N$87:$N$160,$N6)</f>
        <v/>
      </c>
      <c r="H6">
        <f>INDEX('Draft Engine'!$Q$87:$Q$160,$N6)</f>
        <v/>
      </c>
      <c r="I6">
        <f>INDEX('Draft Engine'!$R$87:$R$160,$N6)</f>
        <v/>
      </c>
      <c r="J6">
        <f>INDEX('Draft Engine'!$S$87:$S$160,$N6)</f>
        <v/>
      </c>
      <c r="K6">
        <f>INDEX('Draft Engine'!$T$87:$T$160,$N6)</f>
        <v/>
      </c>
      <c r="L6">
        <f>INDEX('LIVE SOURCE'!$H$87:$H$160,$N6)</f>
        <v/>
      </c>
      <c r="M6">
        <f>INDEX('LIVE SOURCE'!$J$87:$J$160,$N6)</f>
        <v/>
      </c>
      <c r="N6" s="6">
        <f>MATCH($A6,'Draft Engine'!$F$87:$F$160,0)</f>
        <v/>
      </c>
    </row>
    <row r="7">
      <c r="A7">
        <f>5</f>
        <v/>
      </c>
      <c r="B7">
        <f>INDEX('Draft Engine'!$B$87:$B$160,$N7)</f>
        <v/>
      </c>
      <c r="C7" s="4">
        <f>INDEX('Draft Engine'!$E$87:$E$160,$N7)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Engine'!$G$87:$G$160,$N7)</f>
        <v/>
      </c>
      <c r="F7">
        <f>INDEX('Draft Engine'!$J$87:$J$160,$N7)</f>
        <v/>
      </c>
      <c r="G7">
        <f>INDEX('Draft Engine'!$N$87:$N$160,$N7)</f>
        <v/>
      </c>
      <c r="H7">
        <f>INDEX('Draft Engine'!$Q$87:$Q$160,$N7)</f>
        <v/>
      </c>
      <c r="I7">
        <f>INDEX('Draft Engine'!$R$87:$R$160,$N7)</f>
        <v/>
      </c>
      <c r="J7">
        <f>INDEX('Draft Engine'!$S$87:$S$160,$N7)</f>
        <v/>
      </c>
      <c r="K7">
        <f>INDEX('Draft Engine'!$T$87:$T$160,$N7)</f>
        <v/>
      </c>
      <c r="L7">
        <f>INDEX('LIVE SOURCE'!$H$87:$H$160,$N7)</f>
        <v/>
      </c>
      <c r="M7">
        <f>INDEX('LIVE SOURCE'!$J$87:$J$160,$N7)</f>
        <v/>
      </c>
      <c r="N7" s="6">
        <f>MATCH($A7,'Draft Engine'!$F$87:$F$160,0)</f>
        <v/>
      </c>
    </row>
    <row r="8">
      <c r="A8">
        <f>6</f>
        <v/>
      </c>
      <c r="B8">
        <f>INDEX('Draft Engine'!$B$87:$B$160,$N8)</f>
        <v/>
      </c>
      <c r="C8" s="4">
        <f>INDEX('Draft Engine'!$E$87:$E$160,$N8)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Engine'!$G$87:$G$160,$N8)</f>
        <v/>
      </c>
      <c r="F8">
        <f>INDEX('Draft Engine'!$J$87:$J$160,$N8)</f>
        <v/>
      </c>
      <c r="G8">
        <f>INDEX('Draft Engine'!$N$87:$N$160,$N8)</f>
        <v/>
      </c>
      <c r="H8">
        <f>INDEX('Draft Engine'!$Q$87:$Q$160,$N8)</f>
        <v/>
      </c>
      <c r="I8">
        <f>INDEX('Draft Engine'!$R$87:$R$160,$N8)</f>
        <v/>
      </c>
      <c r="J8">
        <f>INDEX('Draft Engine'!$S$87:$S$160,$N8)</f>
        <v/>
      </c>
      <c r="K8">
        <f>INDEX('Draft Engine'!$T$87:$T$160,$N8)</f>
        <v/>
      </c>
      <c r="L8">
        <f>INDEX('LIVE SOURCE'!$H$87:$H$160,$N8)</f>
        <v/>
      </c>
      <c r="M8">
        <f>INDEX('LIVE SOURCE'!$J$87:$J$160,$N8)</f>
        <v/>
      </c>
      <c r="N8" s="6">
        <f>MATCH($A8,'Draft Engine'!$F$87:$F$160,0)</f>
        <v/>
      </c>
    </row>
    <row r="9">
      <c r="A9">
        <f>7</f>
        <v/>
      </c>
      <c r="B9">
        <f>INDEX('Draft Engine'!$B$87:$B$160,$N9)</f>
        <v/>
      </c>
      <c r="C9" s="4">
        <f>INDEX('Draft Engine'!$E$87:$E$160,$N9)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Engine'!$G$87:$G$160,$N9)</f>
        <v/>
      </c>
      <c r="F9">
        <f>INDEX('Draft Engine'!$J$87:$J$160,$N9)</f>
        <v/>
      </c>
      <c r="G9">
        <f>INDEX('Draft Engine'!$N$87:$N$160,$N9)</f>
        <v/>
      </c>
      <c r="H9">
        <f>INDEX('Draft Engine'!$Q$87:$Q$160,$N9)</f>
        <v/>
      </c>
      <c r="I9">
        <f>INDEX('Draft Engine'!$R$87:$R$160,$N9)</f>
        <v/>
      </c>
      <c r="J9">
        <f>INDEX('Draft Engine'!$S$87:$S$160,$N9)</f>
        <v/>
      </c>
      <c r="K9">
        <f>INDEX('Draft Engine'!$T$87:$T$160,$N9)</f>
        <v/>
      </c>
      <c r="L9">
        <f>INDEX('LIVE SOURCE'!$H$87:$H$160,$N9)</f>
        <v/>
      </c>
      <c r="M9">
        <f>INDEX('LIVE SOURCE'!$J$87:$J$160,$N9)</f>
        <v/>
      </c>
      <c r="N9" s="6">
        <f>MATCH($A9,'Draft Engine'!$F$87:$F$160,0)</f>
        <v/>
      </c>
    </row>
    <row r="10">
      <c r="A10">
        <f>8</f>
        <v/>
      </c>
      <c r="B10">
        <f>INDEX('Draft Engine'!$B$87:$B$160,$N10)</f>
        <v/>
      </c>
      <c r="C10" s="4">
        <f>INDEX('Draft Engine'!$E$87:$E$160,$N10)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Engine'!$G$87:$G$160,$N10)</f>
        <v/>
      </c>
      <c r="F10">
        <f>INDEX('Draft Engine'!$J$87:$J$160,$N10)</f>
        <v/>
      </c>
      <c r="G10">
        <f>INDEX('Draft Engine'!$N$87:$N$160,$N10)</f>
        <v/>
      </c>
      <c r="H10">
        <f>INDEX('Draft Engine'!$Q$87:$Q$160,$N10)</f>
        <v/>
      </c>
      <c r="I10">
        <f>INDEX('Draft Engine'!$R$87:$R$160,$N10)</f>
        <v/>
      </c>
      <c r="J10">
        <f>INDEX('Draft Engine'!$S$87:$S$160,$N10)</f>
        <v/>
      </c>
      <c r="K10">
        <f>INDEX('Draft Engine'!$T$87:$T$160,$N10)</f>
        <v/>
      </c>
      <c r="L10">
        <f>INDEX('LIVE SOURCE'!$H$87:$H$160,$N10)</f>
        <v/>
      </c>
      <c r="M10">
        <f>INDEX('LIVE SOURCE'!$J$87:$J$160,$N10)</f>
        <v/>
      </c>
      <c r="N10" s="6">
        <f>MATCH($A10,'Draft Engine'!$F$87:$F$160,0)</f>
        <v/>
      </c>
    </row>
    <row r="11">
      <c r="A11">
        <f>9</f>
        <v/>
      </c>
      <c r="B11">
        <f>INDEX('Draft Engine'!$B$87:$B$160,$N11)</f>
        <v/>
      </c>
      <c r="C11" s="4">
        <f>INDEX('Draft Engine'!$E$87:$E$160,$N11)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Engine'!$G$87:$G$160,$N11)</f>
        <v/>
      </c>
      <c r="F11">
        <f>INDEX('Draft Engine'!$J$87:$J$160,$N11)</f>
        <v/>
      </c>
      <c r="G11">
        <f>INDEX('Draft Engine'!$N$87:$N$160,$N11)</f>
        <v/>
      </c>
      <c r="H11">
        <f>INDEX('Draft Engine'!$Q$87:$Q$160,$N11)</f>
        <v/>
      </c>
      <c r="I11">
        <f>INDEX('Draft Engine'!$R$87:$R$160,$N11)</f>
        <v/>
      </c>
      <c r="J11">
        <f>INDEX('Draft Engine'!$S$87:$S$160,$N11)</f>
        <v/>
      </c>
      <c r="K11">
        <f>INDEX('Draft Engine'!$T$87:$T$160,$N11)</f>
        <v/>
      </c>
      <c r="L11">
        <f>INDEX('LIVE SOURCE'!$H$87:$H$160,$N11)</f>
        <v/>
      </c>
      <c r="M11">
        <f>INDEX('LIVE SOURCE'!$J$87:$J$160,$N11)</f>
        <v/>
      </c>
      <c r="N11" s="6">
        <f>MATCH($A11,'Draft Engine'!$F$87:$F$160,0)</f>
        <v/>
      </c>
    </row>
    <row r="12">
      <c r="A12">
        <f>10</f>
        <v/>
      </c>
      <c r="B12">
        <f>INDEX('Draft Engine'!$B$87:$B$160,$N12)</f>
        <v/>
      </c>
      <c r="C12" s="4">
        <f>INDEX('Draft Engine'!$E$87:$E$160,$N12)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Engine'!$G$87:$G$160,$N12)</f>
        <v/>
      </c>
      <c r="F12">
        <f>INDEX('Draft Engine'!$J$87:$J$160,$N12)</f>
        <v/>
      </c>
      <c r="G12">
        <f>INDEX('Draft Engine'!$N$87:$N$160,$N12)</f>
        <v/>
      </c>
      <c r="H12">
        <f>INDEX('Draft Engine'!$Q$87:$Q$160,$N12)</f>
        <v/>
      </c>
      <c r="I12">
        <f>INDEX('Draft Engine'!$R$87:$R$160,$N12)</f>
        <v/>
      </c>
      <c r="J12">
        <f>INDEX('Draft Engine'!$S$87:$S$160,$N12)</f>
        <v/>
      </c>
      <c r="K12">
        <f>INDEX('Draft Engine'!$T$87:$T$160,$N12)</f>
        <v/>
      </c>
      <c r="L12">
        <f>INDEX('LIVE SOURCE'!$H$87:$H$160,$N12)</f>
        <v/>
      </c>
      <c r="M12">
        <f>INDEX('LIVE SOURCE'!$J$87:$J$160,$N12)</f>
        <v/>
      </c>
      <c r="N12" s="6">
        <f>MATCH($A12,'Draft Engine'!$F$87:$F$160,0)</f>
        <v/>
      </c>
    </row>
    <row r="13">
      <c r="A13">
        <f>11</f>
        <v/>
      </c>
      <c r="B13">
        <f>INDEX('Draft Engine'!$B$87:$B$160,$N13)</f>
        <v/>
      </c>
      <c r="C13" s="4">
        <f>INDEX('Draft Engine'!$E$87:$E$160,$N13)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Engine'!$G$87:$G$160,$N13)</f>
        <v/>
      </c>
      <c r="F13">
        <f>INDEX('Draft Engine'!$J$87:$J$160,$N13)</f>
        <v/>
      </c>
      <c r="G13">
        <f>INDEX('Draft Engine'!$N$87:$N$160,$N13)</f>
        <v/>
      </c>
      <c r="H13">
        <f>INDEX('Draft Engine'!$Q$87:$Q$160,$N13)</f>
        <v/>
      </c>
      <c r="I13">
        <f>INDEX('Draft Engine'!$R$87:$R$160,$N13)</f>
        <v/>
      </c>
      <c r="J13">
        <f>INDEX('Draft Engine'!$S$87:$S$160,$N13)</f>
        <v/>
      </c>
      <c r="K13">
        <f>INDEX('Draft Engine'!$T$87:$T$160,$N13)</f>
        <v/>
      </c>
      <c r="L13">
        <f>INDEX('LIVE SOURCE'!$H$87:$H$160,$N13)</f>
        <v/>
      </c>
      <c r="M13">
        <f>INDEX('LIVE SOURCE'!$J$87:$J$160,$N13)</f>
        <v/>
      </c>
      <c r="N13" s="6">
        <f>MATCH($A13,'Draft Engine'!$F$87:$F$160,0)</f>
        <v/>
      </c>
    </row>
    <row r="14">
      <c r="A14">
        <f>12</f>
        <v/>
      </c>
      <c r="B14">
        <f>INDEX('Draft Engine'!$B$87:$B$160,$N14)</f>
        <v/>
      </c>
      <c r="C14" s="4">
        <f>INDEX('Draft Engine'!$E$87:$E$160,$N14)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Engine'!$G$87:$G$160,$N14)</f>
        <v/>
      </c>
      <c r="F14">
        <f>INDEX('Draft Engine'!$J$87:$J$160,$N14)</f>
        <v/>
      </c>
      <c r="G14">
        <f>INDEX('Draft Engine'!$N$87:$N$160,$N14)</f>
        <v/>
      </c>
      <c r="H14">
        <f>INDEX('Draft Engine'!$Q$87:$Q$160,$N14)</f>
        <v/>
      </c>
      <c r="I14">
        <f>INDEX('Draft Engine'!$R$87:$R$160,$N14)</f>
        <v/>
      </c>
      <c r="J14">
        <f>INDEX('Draft Engine'!$S$87:$S$160,$N14)</f>
        <v/>
      </c>
      <c r="K14">
        <f>INDEX('Draft Engine'!$T$87:$T$160,$N14)</f>
        <v/>
      </c>
      <c r="L14">
        <f>INDEX('LIVE SOURCE'!$H$87:$H$160,$N14)</f>
        <v/>
      </c>
      <c r="M14">
        <f>INDEX('LIVE SOURCE'!$J$87:$J$160,$N14)</f>
        <v/>
      </c>
      <c r="N14" s="6">
        <f>MATCH($A14,'Draft Engine'!$F$87:$F$160,0)</f>
        <v/>
      </c>
    </row>
    <row r="15">
      <c r="A15">
        <f>13</f>
        <v/>
      </c>
      <c r="B15">
        <f>INDEX('Draft Engine'!$B$87:$B$160,$N15)</f>
        <v/>
      </c>
      <c r="C15" s="4">
        <f>INDEX('Draft Engine'!$E$87:$E$160,$N15)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Engine'!$G$87:$G$160,$N15)</f>
        <v/>
      </c>
      <c r="F15">
        <f>INDEX('Draft Engine'!$J$87:$J$160,$N15)</f>
        <v/>
      </c>
      <c r="G15">
        <f>INDEX('Draft Engine'!$N$87:$N$160,$N15)</f>
        <v/>
      </c>
      <c r="H15">
        <f>INDEX('Draft Engine'!$Q$87:$Q$160,$N15)</f>
        <v/>
      </c>
      <c r="I15">
        <f>INDEX('Draft Engine'!$R$87:$R$160,$N15)</f>
        <v/>
      </c>
      <c r="J15">
        <f>INDEX('Draft Engine'!$S$87:$S$160,$N15)</f>
        <v/>
      </c>
      <c r="K15">
        <f>INDEX('Draft Engine'!$T$87:$T$160,$N15)</f>
        <v/>
      </c>
      <c r="L15">
        <f>INDEX('LIVE SOURCE'!$H$87:$H$160,$N15)</f>
        <v/>
      </c>
      <c r="M15">
        <f>INDEX('LIVE SOURCE'!$J$87:$J$160,$N15)</f>
        <v/>
      </c>
      <c r="N15" s="6">
        <f>MATCH($A15,'Draft Engine'!$F$87:$F$160,0)</f>
        <v/>
      </c>
    </row>
    <row r="16">
      <c r="A16">
        <f>14</f>
        <v/>
      </c>
      <c r="B16">
        <f>INDEX('Draft Engine'!$B$87:$B$160,$N16)</f>
        <v/>
      </c>
      <c r="C16" s="4">
        <f>INDEX('Draft Engine'!$E$87:$E$160,$N16)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Engine'!$G$87:$G$160,$N16)</f>
        <v/>
      </c>
      <c r="F16">
        <f>INDEX('Draft Engine'!$J$87:$J$160,$N16)</f>
        <v/>
      </c>
      <c r="G16">
        <f>INDEX('Draft Engine'!$N$87:$N$160,$N16)</f>
        <v/>
      </c>
      <c r="H16">
        <f>INDEX('Draft Engine'!$Q$87:$Q$160,$N16)</f>
        <v/>
      </c>
      <c r="I16">
        <f>INDEX('Draft Engine'!$R$87:$R$160,$N16)</f>
        <v/>
      </c>
      <c r="J16">
        <f>INDEX('Draft Engine'!$S$87:$S$160,$N16)</f>
        <v/>
      </c>
      <c r="K16">
        <f>INDEX('Draft Engine'!$T$87:$T$160,$N16)</f>
        <v/>
      </c>
      <c r="L16">
        <f>INDEX('LIVE SOURCE'!$H$87:$H$160,$N16)</f>
        <v/>
      </c>
      <c r="M16">
        <f>INDEX('LIVE SOURCE'!$J$87:$J$160,$N16)</f>
        <v/>
      </c>
      <c r="N16" s="6">
        <f>MATCH($A16,'Draft Engine'!$F$87:$F$160,0)</f>
        <v/>
      </c>
    </row>
    <row r="17">
      <c r="A17">
        <f>15</f>
        <v/>
      </c>
      <c r="B17">
        <f>INDEX('Draft Engine'!$B$87:$B$160,$N17)</f>
        <v/>
      </c>
      <c r="C17" s="4">
        <f>INDEX('Draft Engine'!$E$87:$E$160,$N17)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Engine'!$G$87:$G$160,$N17)</f>
        <v/>
      </c>
      <c r="F17">
        <f>INDEX('Draft Engine'!$J$87:$J$160,$N17)</f>
        <v/>
      </c>
      <c r="G17">
        <f>INDEX('Draft Engine'!$N$87:$N$160,$N17)</f>
        <v/>
      </c>
      <c r="H17">
        <f>INDEX('Draft Engine'!$Q$87:$Q$160,$N17)</f>
        <v/>
      </c>
      <c r="I17">
        <f>INDEX('Draft Engine'!$R$87:$R$160,$N17)</f>
        <v/>
      </c>
      <c r="J17">
        <f>INDEX('Draft Engine'!$S$87:$S$160,$N17)</f>
        <v/>
      </c>
      <c r="K17">
        <f>INDEX('Draft Engine'!$T$87:$T$160,$N17)</f>
        <v/>
      </c>
      <c r="L17">
        <f>INDEX('LIVE SOURCE'!$H$87:$H$160,$N17)</f>
        <v/>
      </c>
      <c r="M17">
        <f>INDEX('LIVE SOURCE'!$J$87:$J$160,$N17)</f>
        <v/>
      </c>
      <c r="N17" s="6">
        <f>MATCH($A17,'Draft Engine'!$F$87:$F$160,0)</f>
        <v/>
      </c>
    </row>
    <row r="18">
      <c r="A18">
        <f>16</f>
        <v/>
      </c>
      <c r="B18">
        <f>INDEX('Draft Engine'!$B$87:$B$160,$N18)</f>
        <v/>
      </c>
      <c r="C18" s="4">
        <f>INDEX('Draft Engine'!$E$87:$E$160,$N18)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Engine'!$G$87:$G$160,$N18)</f>
        <v/>
      </c>
      <c r="F18">
        <f>INDEX('Draft Engine'!$J$87:$J$160,$N18)</f>
        <v/>
      </c>
      <c r="G18">
        <f>INDEX('Draft Engine'!$N$87:$N$160,$N18)</f>
        <v/>
      </c>
      <c r="H18">
        <f>INDEX('Draft Engine'!$Q$87:$Q$160,$N18)</f>
        <v/>
      </c>
      <c r="I18">
        <f>INDEX('Draft Engine'!$R$87:$R$160,$N18)</f>
        <v/>
      </c>
      <c r="J18">
        <f>INDEX('Draft Engine'!$S$87:$S$160,$N18)</f>
        <v/>
      </c>
      <c r="K18">
        <f>INDEX('Draft Engine'!$T$87:$T$160,$N18)</f>
        <v/>
      </c>
      <c r="L18">
        <f>INDEX('LIVE SOURCE'!$H$87:$H$160,$N18)</f>
        <v/>
      </c>
      <c r="M18">
        <f>INDEX('LIVE SOURCE'!$J$87:$J$160,$N18)</f>
        <v/>
      </c>
      <c r="N18" s="6">
        <f>MATCH($A18,'Draft Engine'!$F$87:$F$160,0)</f>
        <v/>
      </c>
    </row>
    <row r="19">
      <c r="A19">
        <f>17</f>
        <v/>
      </c>
      <c r="B19">
        <f>INDEX('Draft Engine'!$B$87:$B$160,$N19)</f>
        <v/>
      </c>
      <c r="C19" s="4">
        <f>INDEX('Draft Engine'!$E$87:$E$160,$N19)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Engine'!$G$87:$G$160,$N19)</f>
        <v/>
      </c>
      <c r="F19">
        <f>INDEX('Draft Engine'!$J$87:$J$160,$N19)</f>
        <v/>
      </c>
      <c r="G19">
        <f>INDEX('Draft Engine'!$N$87:$N$160,$N19)</f>
        <v/>
      </c>
      <c r="H19">
        <f>INDEX('Draft Engine'!$Q$87:$Q$160,$N19)</f>
        <v/>
      </c>
      <c r="I19">
        <f>INDEX('Draft Engine'!$R$87:$R$160,$N19)</f>
        <v/>
      </c>
      <c r="J19">
        <f>INDEX('Draft Engine'!$S$87:$S$160,$N19)</f>
        <v/>
      </c>
      <c r="K19">
        <f>INDEX('Draft Engine'!$T$87:$T$160,$N19)</f>
        <v/>
      </c>
      <c r="L19">
        <f>INDEX('LIVE SOURCE'!$H$87:$H$160,$N19)</f>
        <v/>
      </c>
      <c r="M19">
        <f>INDEX('LIVE SOURCE'!$J$87:$J$160,$N19)</f>
        <v/>
      </c>
      <c r="N19" s="6">
        <f>MATCH($A19,'Draft Engine'!$F$87:$F$160,0)</f>
        <v/>
      </c>
    </row>
    <row r="20">
      <c r="A20">
        <f>18</f>
        <v/>
      </c>
      <c r="B20">
        <f>INDEX('Draft Engine'!$B$87:$B$160,$N20)</f>
        <v/>
      </c>
      <c r="C20" s="4">
        <f>INDEX('Draft Engine'!$E$87:$E$160,$N20)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Engine'!$G$87:$G$160,$N20)</f>
        <v/>
      </c>
      <c r="F20">
        <f>INDEX('Draft Engine'!$J$87:$J$160,$N20)</f>
        <v/>
      </c>
      <c r="G20">
        <f>INDEX('Draft Engine'!$N$87:$N$160,$N20)</f>
        <v/>
      </c>
      <c r="H20">
        <f>INDEX('Draft Engine'!$Q$87:$Q$160,$N20)</f>
        <v/>
      </c>
      <c r="I20">
        <f>INDEX('Draft Engine'!$R$87:$R$160,$N20)</f>
        <v/>
      </c>
      <c r="J20">
        <f>INDEX('Draft Engine'!$S$87:$S$160,$N20)</f>
        <v/>
      </c>
      <c r="K20">
        <f>INDEX('Draft Engine'!$T$87:$T$160,$N20)</f>
        <v/>
      </c>
      <c r="L20">
        <f>INDEX('LIVE SOURCE'!$H$87:$H$160,$N20)</f>
        <v/>
      </c>
      <c r="M20">
        <f>INDEX('LIVE SOURCE'!$J$87:$J$160,$N20)</f>
        <v/>
      </c>
      <c r="N20" s="6">
        <f>MATCH($A20,'Draft Engine'!$F$87:$F$160,0)</f>
        <v/>
      </c>
    </row>
    <row r="21">
      <c r="A21">
        <f>19</f>
        <v/>
      </c>
      <c r="B21">
        <f>INDEX('Draft Engine'!$B$87:$B$160,$N21)</f>
        <v/>
      </c>
      <c r="C21" s="4">
        <f>INDEX('Draft Engine'!$E$87:$E$160,$N21)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Engine'!$G$87:$G$160,$N21)</f>
        <v/>
      </c>
      <c r="F21">
        <f>INDEX('Draft Engine'!$J$87:$J$160,$N21)</f>
        <v/>
      </c>
      <c r="G21">
        <f>INDEX('Draft Engine'!$N$87:$N$160,$N21)</f>
        <v/>
      </c>
      <c r="H21">
        <f>INDEX('Draft Engine'!$Q$87:$Q$160,$N21)</f>
        <v/>
      </c>
      <c r="I21">
        <f>INDEX('Draft Engine'!$R$87:$R$160,$N21)</f>
        <v/>
      </c>
      <c r="J21">
        <f>INDEX('Draft Engine'!$S$87:$S$160,$N21)</f>
        <v/>
      </c>
      <c r="K21">
        <f>INDEX('Draft Engine'!$T$87:$T$160,$N21)</f>
        <v/>
      </c>
      <c r="L21">
        <f>INDEX('LIVE SOURCE'!$H$87:$H$160,$N21)</f>
        <v/>
      </c>
      <c r="M21">
        <f>INDEX('LIVE SOURCE'!$J$87:$J$160,$N21)</f>
        <v/>
      </c>
      <c r="N21" s="6">
        <f>MATCH($A21,'Draft Engine'!$F$87:$F$160,0)</f>
        <v/>
      </c>
    </row>
    <row r="22">
      <c r="A22">
        <f>20</f>
        <v/>
      </c>
      <c r="B22">
        <f>INDEX('Draft Engine'!$B$87:$B$160,$N22)</f>
        <v/>
      </c>
      <c r="C22" s="4">
        <f>INDEX('Draft Engine'!$E$87:$E$160,$N22)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Engine'!$G$87:$G$160,$N22)</f>
        <v/>
      </c>
      <c r="F22">
        <f>INDEX('Draft Engine'!$J$87:$J$160,$N22)</f>
        <v/>
      </c>
      <c r="G22">
        <f>INDEX('Draft Engine'!$N$87:$N$160,$N22)</f>
        <v/>
      </c>
      <c r="H22">
        <f>INDEX('Draft Engine'!$Q$87:$Q$160,$N22)</f>
        <v/>
      </c>
      <c r="I22">
        <f>INDEX('Draft Engine'!$R$87:$R$160,$N22)</f>
        <v/>
      </c>
      <c r="J22">
        <f>INDEX('Draft Engine'!$S$87:$S$160,$N22)</f>
        <v/>
      </c>
      <c r="K22">
        <f>INDEX('Draft Engine'!$T$87:$T$160,$N22)</f>
        <v/>
      </c>
      <c r="L22">
        <f>INDEX('LIVE SOURCE'!$H$87:$H$160,$N22)</f>
        <v/>
      </c>
      <c r="M22">
        <f>INDEX('LIVE SOURCE'!$J$87:$J$160,$N22)</f>
        <v/>
      </c>
      <c r="N22" s="6">
        <f>MATCH($A22,'Draft Engine'!$F$87:$F$160,0)</f>
        <v/>
      </c>
    </row>
    <row r="23">
      <c r="A23">
        <f>21</f>
        <v/>
      </c>
      <c r="B23">
        <f>INDEX('Draft Engine'!$B$87:$B$160,$N23)</f>
        <v/>
      </c>
      <c r="C23" s="4">
        <f>INDEX('Draft Engine'!$E$87:$E$160,$N23)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Engine'!$G$87:$G$160,$N23)</f>
        <v/>
      </c>
      <c r="F23">
        <f>INDEX('Draft Engine'!$J$87:$J$160,$N23)</f>
        <v/>
      </c>
      <c r="G23">
        <f>INDEX('Draft Engine'!$N$87:$N$160,$N23)</f>
        <v/>
      </c>
      <c r="H23">
        <f>INDEX('Draft Engine'!$Q$87:$Q$160,$N23)</f>
        <v/>
      </c>
      <c r="I23">
        <f>INDEX('Draft Engine'!$R$87:$R$160,$N23)</f>
        <v/>
      </c>
      <c r="J23">
        <f>INDEX('Draft Engine'!$S$87:$S$160,$N23)</f>
        <v/>
      </c>
      <c r="K23">
        <f>INDEX('Draft Engine'!$T$87:$T$160,$N23)</f>
        <v/>
      </c>
      <c r="L23">
        <f>INDEX('LIVE SOURCE'!$H$87:$H$160,$N23)</f>
        <v/>
      </c>
      <c r="M23">
        <f>INDEX('LIVE SOURCE'!$J$87:$J$160,$N23)</f>
        <v/>
      </c>
      <c r="N23" s="6">
        <f>MATCH($A23,'Draft Engine'!$F$87:$F$160,0)</f>
        <v/>
      </c>
    </row>
    <row r="24">
      <c r="A24">
        <f>22</f>
        <v/>
      </c>
      <c r="B24">
        <f>INDEX('Draft Engine'!$B$87:$B$160,$N24)</f>
        <v/>
      </c>
      <c r="C24" s="4">
        <f>INDEX('Draft Engine'!$E$87:$E$160,$N24)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Engine'!$G$87:$G$160,$N24)</f>
        <v/>
      </c>
      <c r="F24">
        <f>INDEX('Draft Engine'!$J$87:$J$160,$N24)</f>
        <v/>
      </c>
      <c r="G24">
        <f>INDEX('Draft Engine'!$N$87:$N$160,$N24)</f>
        <v/>
      </c>
      <c r="H24">
        <f>INDEX('Draft Engine'!$Q$87:$Q$160,$N24)</f>
        <v/>
      </c>
      <c r="I24">
        <f>INDEX('Draft Engine'!$R$87:$R$160,$N24)</f>
        <v/>
      </c>
      <c r="J24">
        <f>INDEX('Draft Engine'!$S$87:$S$160,$N24)</f>
        <v/>
      </c>
      <c r="K24">
        <f>INDEX('Draft Engine'!$T$87:$T$160,$N24)</f>
        <v/>
      </c>
      <c r="L24">
        <f>INDEX('LIVE SOURCE'!$H$87:$H$160,$N24)</f>
        <v/>
      </c>
      <c r="M24">
        <f>INDEX('LIVE SOURCE'!$J$87:$J$160,$N24)</f>
        <v/>
      </c>
      <c r="N24" s="6">
        <f>MATCH($A24,'Draft Engine'!$F$87:$F$160,0)</f>
        <v/>
      </c>
    </row>
    <row r="25">
      <c r="A25">
        <f>23</f>
        <v/>
      </c>
      <c r="B25">
        <f>INDEX('Draft Engine'!$B$87:$B$160,$N25)</f>
        <v/>
      </c>
      <c r="C25" s="4">
        <f>INDEX('Draft Engine'!$E$87:$E$160,$N25)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Engine'!$G$87:$G$160,$N25)</f>
        <v/>
      </c>
      <c r="F25">
        <f>INDEX('Draft Engine'!$J$87:$J$160,$N25)</f>
        <v/>
      </c>
      <c r="G25">
        <f>INDEX('Draft Engine'!$N$87:$N$160,$N25)</f>
        <v/>
      </c>
      <c r="H25">
        <f>INDEX('Draft Engine'!$Q$87:$Q$160,$N25)</f>
        <v/>
      </c>
      <c r="I25">
        <f>INDEX('Draft Engine'!$R$87:$R$160,$N25)</f>
        <v/>
      </c>
      <c r="J25">
        <f>INDEX('Draft Engine'!$S$87:$S$160,$N25)</f>
        <v/>
      </c>
      <c r="K25">
        <f>INDEX('Draft Engine'!$T$87:$T$160,$N25)</f>
        <v/>
      </c>
      <c r="L25">
        <f>INDEX('LIVE SOURCE'!$H$87:$H$160,$N25)</f>
        <v/>
      </c>
      <c r="M25">
        <f>INDEX('LIVE SOURCE'!$J$87:$J$160,$N25)</f>
        <v/>
      </c>
      <c r="N25" s="6">
        <f>MATCH($A25,'Draft Engine'!$F$87:$F$160,0)</f>
        <v/>
      </c>
    </row>
    <row r="26">
      <c r="A26">
        <f>24</f>
        <v/>
      </c>
      <c r="B26">
        <f>INDEX('Draft Engine'!$B$87:$B$160,$N26)</f>
        <v/>
      </c>
      <c r="C26" s="4">
        <f>INDEX('Draft Engine'!$E$87:$E$160,$N26)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Engine'!$G$87:$G$160,$N26)</f>
        <v/>
      </c>
      <c r="F26">
        <f>INDEX('Draft Engine'!$J$87:$J$160,$N26)</f>
        <v/>
      </c>
      <c r="G26">
        <f>INDEX('Draft Engine'!$N$87:$N$160,$N26)</f>
        <v/>
      </c>
      <c r="H26">
        <f>INDEX('Draft Engine'!$Q$87:$Q$160,$N26)</f>
        <v/>
      </c>
      <c r="I26">
        <f>INDEX('Draft Engine'!$R$87:$R$160,$N26)</f>
        <v/>
      </c>
      <c r="J26">
        <f>INDEX('Draft Engine'!$S$87:$S$160,$N26)</f>
        <v/>
      </c>
      <c r="K26">
        <f>INDEX('Draft Engine'!$T$87:$T$160,$N26)</f>
        <v/>
      </c>
      <c r="L26">
        <f>INDEX('LIVE SOURCE'!$H$87:$H$160,$N26)</f>
        <v/>
      </c>
      <c r="M26">
        <f>INDEX('LIVE SOURCE'!$J$87:$J$160,$N26)</f>
        <v/>
      </c>
      <c r="N26" s="6">
        <f>MATCH($A26,'Draft Engine'!$F$87:$F$160,0)</f>
        <v/>
      </c>
    </row>
    <row r="27">
      <c r="A27">
        <f>25</f>
        <v/>
      </c>
      <c r="B27">
        <f>INDEX('Draft Engine'!$B$87:$B$160,$N27)</f>
        <v/>
      </c>
      <c r="C27" s="4">
        <f>INDEX('Draft Engine'!$E$87:$E$160,$N27)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Engine'!$G$87:$G$160,$N27)</f>
        <v/>
      </c>
      <c r="F27">
        <f>INDEX('Draft Engine'!$J$87:$J$160,$N27)</f>
        <v/>
      </c>
      <c r="G27">
        <f>INDEX('Draft Engine'!$N$87:$N$160,$N27)</f>
        <v/>
      </c>
      <c r="H27">
        <f>INDEX('Draft Engine'!$Q$87:$Q$160,$N27)</f>
        <v/>
      </c>
      <c r="I27">
        <f>INDEX('Draft Engine'!$R$87:$R$160,$N27)</f>
        <v/>
      </c>
      <c r="J27">
        <f>INDEX('Draft Engine'!$S$87:$S$160,$N27)</f>
        <v/>
      </c>
      <c r="K27">
        <f>INDEX('Draft Engine'!$T$87:$T$160,$N27)</f>
        <v/>
      </c>
      <c r="L27">
        <f>INDEX('LIVE SOURCE'!$H$87:$H$160,$N27)</f>
        <v/>
      </c>
      <c r="M27">
        <f>INDEX('LIVE SOURCE'!$J$87:$J$160,$N27)</f>
        <v/>
      </c>
      <c r="N27" s="6">
        <f>MATCH($A27,'Draft Engine'!$F$87:$F$160,0)</f>
        <v/>
      </c>
    </row>
    <row r="28">
      <c r="A28">
        <f>26</f>
        <v/>
      </c>
      <c r="B28">
        <f>INDEX('Draft Engine'!$B$87:$B$160,$N28)</f>
        <v/>
      </c>
      <c r="C28" s="4">
        <f>INDEX('Draft Engine'!$E$87:$E$160,$N28)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Engine'!$G$87:$G$160,$N28)</f>
        <v/>
      </c>
      <c r="F28">
        <f>INDEX('Draft Engine'!$J$87:$J$160,$N28)</f>
        <v/>
      </c>
      <c r="G28">
        <f>INDEX('Draft Engine'!$N$87:$N$160,$N28)</f>
        <v/>
      </c>
      <c r="H28">
        <f>INDEX('Draft Engine'!$Q$87:$Q$160,$N28)</f>
        <v/>
      </c>
      <c r="I28">
        <f>INDEX('Draft Engine'!$R$87:$R$160,$N28)</f>
        <v/>
      </c>
      <c r="J28">
        <f>INDEX('Draft Engine'!$S$87:$S$160,$N28)</f>
        <v/>
      </c>
      <c r="K28">
        <f>INDEX('Draft Engine'!$T$87:$T$160,$N28)</f>
        <v/>
      </c>
      <c r="L28">
        <f>INDEX('LIVE SOURCE'!$H$87:$H$160,$N28)</f>
        <v/>
      </c>
      <c r="M28">
        <f>INDEX('LIVE SOURCE'!$J$87:$J$160,$N28)</f>
        <v/>
      </c>
      <c r="N28" s="6">
        <f>MATCH($A28,'Draft Engine'!$F$87:$F$160,0)</f>
        <v/>
      </c>
    </row>
    <row r="29">
      <c r="A29">
        <f>27</f>
        <v/>
      </c>
      <c r="B29">
        <f>INDEX('Draft Engine'!$B$87:$B$160,$N29)</f>
        <v/>
      </c>
      <c r="C29" s="4">
        <f>INDEX('Draft Engine'!$E$87:$E$160,$N29)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Engine'!$G$87:$G$160,$N29)</f>
        <v/>
      </c>
      <c r="F29">
        <f>INDEX('Draft Engine'!$J$87:$J$160,$N29)</f>
        <v/>
      </c>
      <c r="G29">
        <f>INDEX('Draft Engine'!$N$87:$N$160,$N29)</f>
        <v/>
      </c>
      <c r="H29">
        <f>INDEX('Draft Engine'!$Q$87:$Q$160,$N29)</f>
        <v/>
      </c>
      <c r="I29">
        <f>INDEX('Draft Engine'!$R$87:$R$160,$N29)</f>
        <v/>
      </c>
      <c r="J29">
        <f>INDEX('Draft Engine'!$S$87:$S$160,$N29)</f>
        <v/>
      </c>
      <c r="K29">
        <f>INDEX('Draft Engine'!$T$87:$T$160,$N29)</f>
        <v/>
      </c>
      <c r="L29">
        <f>INDEX('LIVE SOURCE'!$H$87:$H$160,$N29)</f>
        <v/>
      </c>
      <c r="M29">
        <f>INDEX('LIVE SOURCE'!$J$87:$J$160,$N29)</f>
        <v/>
      </c>
      <c r="N29" s="6">
        <f>MATCH($A29,'Draft Engine'!$F$87:$F$160,0)</f>
        <v/>
      </c>
    </row>
    <row r="30">
      <c r="A30">
        <f>28</f>
        <v/>
      </c>
      <c r="B30">
        <f>INDEX('Draft Engine'!$B$87:$B$160,$N30)</f>
        <v/>
      </c>
      <c r="C30" s="4">
        <f>INDEX('Draft Engine'!$E$87:$E$160,$N30)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Engine'!$G$87:$G$160,$N30)</f>
        <v/>
      </c>
      <c r="F30">
        <f>INDEX('Draft Engine'!$J$87:$J$160,$N30)</f>
        <v/>
      </c>
      <c r="G30">
        <f>INDEX('Draft Engine'!$N$87:$N$160,$N30)</f>
        <v/>
      </c>
      <c r="H30">
        <f>INDEX('Draft Engine'!$Q$87:$Q$160,$N30)</f>
        <v/>
      </c>
      <c r="I30">
        <f>INDEX('Draft Engine'!$R$87:$R$160,$N30)</f>
        <v/>
      </c>
      <c r="J30">
        <f>INDEX('Draft Engine'!$S$87:$S$160,$N30)</f>
        <v/>
      </c>
      <c r="K30">
        <f>INDEX('Draft Engine'!$T$87:$T$160,$N30)</f>
        <v/>
      </c>
      <c r="L30">
        <f>INDEX('LIVE SOURCE'!$H$87:$H$160,$N30)</f>
        <v/>
      </c>
      <c r="M30">
        <f>INDEX('LIVE SOURCE'!$J$87:$J$160,$N30)</f>
        <v/>
      </c>
      <c r="N30" s="6">
        <f>MATCH($A30,'Draft Engine'!$F$87:$F$160,0)</f>
        <v/>
      </c>
    </row>
    <row r="31">
      <c r="A31">
        <f>29</f>
        <v/>
      </c>
      <c r="B31">
        <f>INDEX('Draft Engine'!$B$87:$B$160,$N31)</f>
        <v/>
      </c>
      <c r="C31" s="4">
        <f>INDEX('Draft Engine'!$E$87:$E$160,$N31)</f>
        <v/>
      </c>
      <c r="D31">
        <f>IF($C31&gt;=95,"ELITE",IF($C31&gt;=90,"TIER 1",IF($C31&gt;=85,"TIER 2",IF($C31&gt;=80,"TIER 3",IF($C31&gt;=75,"TIER 4",IF($C31&gt;=70,"TIER 5",IF($C31&gt;=65,"TIER 6","TIER 7")))))))</f>
        <v/>
      </c>
      <c r="E31">
        <f>INDEX('Draft Engine'!$G$87:$G$160,$N31)</f>
        <v/>
      </c>
      <c r="F31">
        <f>INDEX('Draft Engine'!$J$87:$J$160,$N31)</f>
        <v/>
      </c>
      <c r="G31">
        <f>INDEX('Draft Engine'!$N$87:$N$160,$N31)</f>
        <v/>
      </c>
      <c r="H31">
        <f>INDEX('Draft Engine'!$Q$87:$Q$160,$N31)</f>
        <v/>
      </c>
      <c r="I31">
        <f>INDEX('Draft Engine'!$R$87:$R$160,$N31)</f>
        <v/>
      </c>
      <c r="J31">
        <f>INDEX('Draft Engine'!$S$87:$S$160,$N31)</f>
        <v/>
      </c>
      <c r="K31">
        <f>INDEX('Draft Engine'!$T$87:$T$160,$N31)</f>
        <v/>
      </c>
      <c r="L31">
        <f>INDEX('LIVE SOURCE'!$H$87:$H$160,$N31)</f>
        <v/>
      </c>
      <c r="M31">
        <f>INDEX('LIVE SOURCE'!$J$87:$J$160,$N31)</f>
        <v/>
      </c>
      <c r="N31" s="6">
        <f>MATCH($A31,'Draft Engine'!$F$87:$F$160,0)</f>
        <v/>
      </c>
    </row>
    <row r="32">
      <c r="A32">
        <f>30</f>
        <v/>
      </c>
      <c r="B32">
        <f>INDEX('Draft Engine'!$B$87:$B$160,$N32)</f>
        <v/>
      </c>
      <c r="C32" s="4">
        <f>INDEX('Draft Engine'!$E$87:$E$160,$N32)</f>
        <v/>
      </c>
      <c r="D32">
        <f>IF($C32&gt;=95,"ELITE",IF($C32&gt;=90,"TIER 1",IF($C32&gt;=85,"TIER 2",IF($C32&gt;=80,"TIER 3",IF($C32&gt;=75,"TIER 4",IF($C32&gt;=70,"TIER 5",IF($C32&gt;=65,"TIER 6","TIER 7")))))))</f>
        <v/>
      </c>
      <c r="E32">
        <f>INDEX('Draft Engine'!$G$87:$G$160,$N32)</f>
        <v/>
      </c>
      <c r="F32">
        <f>INDEX('Draft Engine'!$J$87:$J$160,$N32)</f>
        <v/>
      </c>
      <c r="G32">
        <f>INDEX('Draft Engine'!$N$87:$N$160,$N32)</f>
        <v/>
      </c>
      <c r="H32">
        <f>INDEX('Draft Engine'!$Q$87:$Q$160,$N32)</f>
        <v/>
      </c>
      <c r="I32">
        <f>INDEX('Draft Engine'!$R$87:$R$160,$N32)</f>
        <v/>
      </c>
      <c r="J32">
        <f>INDEX('Draft Engine'!$S$87:$S$160,$N32)</f>
        <v/>
      </c>
      <c r="K32">
        <f>INDEX('Draft Engine'!$T$87:$T$160,$N32)</f>
        <v/>
      </c>
      <c r="L32">
        <f>INDEX('LIVE SOURCE'!$H$87:$H$160,$N32)</f>
        <v/>
      </c>
      <c r="M32">
        <f>INDEX('LIVE SOURCE'!$J$87:$J$160,$N32)</f>
        <v/>
      </c>
      <c r="N32" s="6">
        <f>MATCH($A32,'Draft Engine'!$F$87:$F$160,0)</f>
        <v/>
      </c>
    </row>
    <row r="33">
      <c r="A33">
        <f>31</f>
        <v/>
      </c>
      <c r="B33">
        <f>INDEX('Draft Engine'!$B$87:$B$160,$N33)</f>
        <v/>
      </c>
      <c r="C33" s="4">
        <f>INDEX('Draft Engine'!$E$87:$E$160,$N33)</f>
        <v/>
      </c>
      <c r="D33">
        <f>IF($C33&gt;=95,"ELITE",IF($C33&gt;=90,"TIER 1",IF($C33&gt;=85,"TIER 2",IF($C33&gt;=80,"TIER 3",IF($C33&gt;=75,"TIER 4",IF($C33&gt;=70,"TIER 5",IF($C33&gt;=65,"TIER 6","TIER 7")))))))</f>
        <v/>
      </c>
      <c r="E33">
        <f>INDEX('Draft Engine'!$G$87:$G$160,$N33)</f>
        <v/>
      </c>
      <c r="F33">
        <f>INDEX('Draft Engine'!$J$87:$J$160,$N33)</f>
        <v/>
      </c>
      <c r="G33">
        <f>INDEX('Draft Engine'!$N$87:$N$160,$N33)</f>
        <v/>
      </c>
      <c r="H33">
        <f>INDEX('Draft Engine'!$Q$87:$Q$160,$N33)</f>
        <v/>
      </c>
      <c r="I33">
        <f>INDEX('Draft Engine'!$R$87:$R$160,$N33)</f>
        <v/>
      </c>
      <c r="J33">
        <f>INDEX('Draft Engine'!$S$87:$S$160,$N33)</f>
        <v/>
      </c>
      <c r="K33">
        <f>INDEX('Draft Engine'!$T$87:$T$160,$N33)</f>
        <v/>
      </c>
      <c r="L33">
        <f>INDEX('LIVE SOURCE'!$H$87:$H$160,$N33)</f>
        <v/>
      </c>
      <c r="M33">
        <f>INDEX('LIVE SOURCE'!$J$87:$J$160,$N33)</f>
        <v/>
      </c>
      <c r="N33" s="6">
        <f>MATCH($A33,'Draft Engine'!$F$87:$F$160,0)</f>
        <v/>
      </c>
    </row>
    <row r="34">
      <c r="A34">
        <f>32</f>
        <v/>
      </c>
      <c r="B34">
        <f>INDEX('Draft Engine'!$B$87:$B$160,$N34)</f>
        <v/>
      </c>
      <c r="C34" s="4">
        <f>INDEX('Draft Engine'!$E$87:$E$160,$N34)</f>
        <v/>
      </c>
      <c r="D34">
        <f>IF($C34&gt;=95,"ELITE",IF($C34&gt;=90,"TIER 1",IF($C34&gt;=85,"TIER 2",IF($C34&gt;=80,"TIER 3",IF($C34&gt;=75,"TIER 4",IF($C34&gt;=70,"TIER 5",IF($C34&gt;=65,"TIER 6","TIER 7")))))))</f>
        <v/>
      </c>
      <c r="E34">
        <f>INDEX('Draft Engine'!$G$87:$G$160,$N34)</f>
        <v/>
      </c>
      <c r="F34">
        <f>INDEX('Draft Engine'!$J$87:$J$160,$N34)</f>
        <v/>
      </c>
      <c r="G34">
        <f>INDEX('Draft Engine'!$N$87:$N$160,$N34)</f>
        <v/>
      </c>
      <c r="H34">
        <f>INDEX('Draft Engine'!$Q$87:$Q$160,$N34)</f>
        <v/>
      </c>
      <c r="I34">
        <f>INDEX('Draft Engine'!$R$87:$R$160,$N34)</f>
        <v/>
      </c>
      <c r="J34">
        <f>INDEX('Draft Engine'!$S$87:$S$160,$N34)</f>
        <v/>
      </c>
      <c r="K34">
        <f>INDEX('Draft Engine'!$T$87:$T$160,$N34)</f>
        <v/>
      </c>
      <c r="L34">
        <f>INDEX('LIVE SOURCE'!$H$87:$H$160,$N34)</f>
        <v/>
      </c>
      <c r="M34">
        <f>INDEX('LIVE SOURCE'!$J$87:$J$160,$N34)</f>
        <v/>
      </c>
      <c r="N34" s="6">
        <f>MATCH($A34,'Draft Engine'!$F$87:$F$160,0)</f>
        <v/>
      </c>
    </row>
    <row r="35">
      <c r="A35">
        <f>33</f>
        <v/>
      </c>
      <c r="B35">
        <f>INDEX('Draft Engine'!$B$87:$B$160,$N35)</f>
        <v/>
      </c>
      <c r="C35" s="4">
        <f>INDEX('Draft Engine'!$E$87:$E$160,$N35)</f>
        <v/>
      </c>
      <c r="D35">
        <f>IF($C35&gt;=95,"ELITE",IF($C35&gt;=90,"TIER 1",IF($C35&gt;=85,"TIER 2",IF($C35&gt;=80,"TIER 3",IF($C35&gt;=75,"TIER 4",IF($C35&gt;=70,"TIER 5",IF($C35&gt;=65,"TIER 6","TIER 7")))))))</f>
        <v/>
      </c>
      <c r="E35">
        <f>INDEX('Draft Engine'!$G$87:$G$160,$N35)</f>
        <v/>
      </c>
      <c r="F35">
        <f>INDEX('Draft Engine'!$J$87:$J$160,$N35)</f>
        <v/>
      </c>
      <c r="G35">
        <f>INDEX('Draft Engine'!$N$87:$N$160,$N35)</f>
        <v/>
      </c>
      <c r="H35">
        <f>INDEX('Draft Engine'!$Q$87:$Q$160,$N35)</f>
        <v/>
      </c>
      <c r="I35">
        <f>INDEX('Draft Engine'!$R$87:$R$160,$N35)</f>
        <v/>
      </c>
      <c r="J35">
        <f>INDEX('Draft Engine'!$S$87:$S$160,$N35)</f>
        <v/>
      </c>
      <c r="K35">
        <f>INDEX('Draft Engine'!$T$87:$T$160,$N35)</f>
        <v/>
      </c>
      <c r="L35">
        <f>INDEX('LIVE SOURCE'!$H$87:$H$160,$N35)</f>
        <v/>
      </c>
      <c r="M35">
        <f>INDEX('LIVE SOURCE'!$J$87:$J$160,$N35)</f>
        <v/>
      </c>
      <c r="N35" s="6">
        <f>MATCH($A35,'Draft Engine'!$F$87:$F$160,0)</f>
        <v/>
      </c>
    </row>
    <row r="36">
      <c r="A36">
        <f>34</f>
        <v/>
      </c>
      <c r="B36">
        <f>INDEX('Draft Engine'!$B$87:$B$160,$N36)</f>
        <v/>
      </c>
      <c r="C36" s="4">
        <f>INDEX('Draft Engine'!$E$87:$E$160,$N36)</f>
        <v/>
      </c>
      <c r="D36">
        <f>IF($C36&gt;=95,"ELITE",IF($C36&gt;=90,"TIER 1",IF($C36&gt;=85,"TIER 2",IF($C36&gt;=80,"TIER 3",IF($C36&gt;=75,"TIER 4",IF($C36&gt;=70,"TIER 5",IF($C36&gt;=65,"TIER 6","TIER 7")))))))</f>
        <v/>
      </c>
      <c r="E36">
        <f>INDEX('Draft Engine'!$G$87:$G$160,$N36)</f>
        <v/>
      </c>
      <c r="F36">
        <f>INDEX('Draft Engine'!$J$87:$J$160,$N36)</f>
        <v/>
      </c>
      <c r="G36">
        <f>INDEX('Draft Engine'!$N$87:$N$160,$N36)</f>
        <v/>
      </c>
      <c r="H36">
        <f>INDEX('Draft Engine'!$Q$87:$Q$160,$N36)</f>
        <v/>
      </c>
      <c r="I36">
        <f>INDEX('Draft Engine'!$R$87:$R$160,$N36)</f>
        <v/>
      </c>
      <c r="J36">
        <f>INDEX('Draft Engine'!$S$87:$S$160,$N36)</f>
        <v/>
      </c>
      <c r="K36">
        <f>INDEX('Draft Engine'!$T$87:$T$160,$N36)</f>
        <v/>
      </c>
      <c r="L36">
        <f>INDEX('LIVE SOURCE'!$H$87:$H$160,$N36)</f>
        <v/>
      </c>
      <c r="M36">
        <f>INDEX('LIVE SOURCE'!$J$87:$J$160,$N36)</f>
        <v/>
      </c>
      <c r="N36" s="6">
        <f>MATCH($A36,'Draft Engine'!$F$87:$F$160,0)</f>
        <v/>
      </c>
    </row>
    <row r="37">
      <c r="A37">
        <f>35</f>
        <v/>
      </c>
      <c r="B37">
        <f>INDEX('Draft Engine'!$B$87:$B$160,$N37)</f>
        <v/>
      </c>
      <c r="C37" s="4">
        <f>INDEX('Draft Engine'!$E$87:$E$160,$N37)</f>
        <v/>
      </c>
      <c r="D37">
        <f>IF($C37&gt;=95,"ELITE",IF($C37&gt;=90,"TIER 1",IF($C37&gt;=85,"TIER 2",IF($C37&gt;=80,"TIER 3",IF($C37&gt;=75,"TIER 4",IF($C37&gt;=70,"TIER 5",IF($C37&gt;=65,"TIER 6","TIER 7")))))))</f>
        <v/>
      </c>
      <c r="E37">
        <f>INDEX('Draft Engine'!$G$87:$G$160,$N37)</f>
        <v/>
      </c>
      <c r="F37">
        <f>INDEX('Draft Engine'!$J$87:$J$160,$N37)</f>
        <v/>
      </c>
      <c r="G37">
        <f>INDEX('Draft Engine'!$N$87:$N$160,$N37)</f>
        <v/>
      </c>
      <c r="H37">
        <f>INDEX('Draft Engine'!$Q$87:$Q$160,$N37)</f>
        <v/>
      </c>
      <c r="I37">
        <f>INDEX('Draft Engine'!$R$87:$R$160,$N37)</f>
        <v/>
      </c>
      <c r="J37">
        <f>INDEX('Draft Engine'!$S$87:$S$160,$N37)</f>
        <v/>
      </c>
      <c r="K37">
        <f>INDEX('Draft Engine'!$T$87:$T$160,$N37)</f>
        <v/>
      </c>
      <c r="L37">
        <f>INDEX('LIVE SOURCE'!$H$87:$H$160,$N37)</f>
        <v/>
      </c>
      <c r="M37">
        <f>INDEX('LIVE SOURCE'!$J$87:$J$160,$N37)</f>
        <v/>
      </c>
      <c r="N37" s="6">
        <f>MATCH($A37,'Draft Engine'!$F$87:$F$160,0)</f>
        <v/>
      </c>
    </row>
    <row r="38">
      <c r="A38">
        <f>36</f>
        <v/>
      </c>
      <c r="B38">
        <f>INDEX('Draft Engine'!$B$87:$B$160,$N38)</f>
        <v/>
      </c>
      <c r="C38" s="4">
        <f>INDEX('Draft Engine'!$E$87:$E$160,$N38)</f>
        <v/>
      </c>
      <c r="D38">
        <f>IF($C38&gt;=95,"ELITE",IF($C38&gt;=90,"TIER 1",IF($C38&gt;=85,"TIER 2",IF($C38&gt;=80,"TIER 3",IF($C38&gt;=75,"TIER 4",IF($C38&gt;=70,"TIER 5",IF($C38&gt;=65,"TIER 6","TIER 7")))))))</f>
        <v/>
      </c>
      <c r="E38">
        <f>INDEX('Draft Engine'!$G$87:$G$160,$N38)</f>
        <v/>
      </c>
      <c r="F38">
        <f>INDEX('Draft Engine'!$J$87:$J$160,$N38)</f>
        <v/>
      </c>
      <c r="G38">
        <f>INDEX('Draft Engine'!$N$87:$N$160,$N38)</f>
        <v/>
      </c>
      <c r="H38">
        <f>INDEX('Draft Engine'!$Q$87:$Q$160,$N38)</f>
        <v/>
      </c>
      <c r="I38">
        <f>INDEX('Draft Engine'!$R$87:$R$160,$N38)</f>
        <v/>
      </c>
      <c r="J38">
        <f>INDEX('Draft Engine'!$S$87:$S$160,$N38)</f>
        <v/>
      </c>
      <c r="K38">
        <f>INDEX('Draft Engine'!$T$87:$T$160,$N38)</f>
        <v/>
      </c>
      <c r="L38">
        <f>INDEX('LIVE SOURCE'!$H$87:$H$160,$N38)</f>
        <v/>
      </c>
      <c r="M38">
        <f>INDEX('LIVE SOURCE'!$J$87:$J$160,$N38)</f>
        <v/>
      </c>
      <c r="N38" s="6">
        <f>MATCH($A38,'Draft Engine'!$F$87:$F$160,0)</f>
        <v/>
      </c>
    </row>
    <row r="39">
      <c r="A39">
        <f>37</f>
        <v/>
      </c>
      <c r="B39">
        <f>INDEX('Draft Engine'!$B$87:$B$160,$N39)</f>
        <v/>
      </c>
      <c r="C39" s="4">
        <f>INDEX('Draft Engine'!$E$87:$E$160,$N39)</f>
        <v/>
      </c>
      <c r="D39">
        <f>IF($C39&gt;=95,"ELITE",IF($C39&gt;=90,"TIER 1",IF($C39&gt;=85,"TIER 2",IF($C39&gt;=80,"TIER 3",IF($C39&gt;=75,"TIER 4",IF($C39&gt;=70,"TIER 5",IF($C39&gt;=65,"TIER 6","TIER 7")))))))</f>
        <v/>
      </c>
      <c r="E39">
        <f>INDEX('Draft Engine'!$G$87:$G$160,$N39)</f>
        <v/>
      </c>
      <c r="F39">
        <f>INDEX('Draft Engine'!$J$87:$J$160,$N39)</f>
        <v/>
      </c>
      <c r="G39">
        <f>INDEX('Draft Engine'!$N$87:$N$160,$N39)</f>
        <v/>
      </c>
      <c r="H39">
        <f>INDEX('Draft Engine'!$Q$87:$Q$160,$N39)</f>
        <v/>
      </c>
      <c r="I39">
        <f>INDEX('Draft Engine'!$R$87:$R$160,$N39)</f>
        <v/>
      </c>
      <c r="J39">
        <f>INDEX('Draft Engine'!$S$87:$S$160,$N39)</f>
        <v/>
      </c>
      <c r="K39">
        <f>INDEX('Draft Engine'!$T$87:$T$160,$N39)</f>
        <v/>
      </c>
      <c r="L39">
        <f>INDEX('LIVE SOURCE'!$H$87:$H$160,$N39)</f>
        <v/>
      </c>
      <c r="M39">
        <f>INDEX('LIVE SOURCE'!$J$87:$J$160,$N39)</f>
        <v/>
      </c>
      <c r="N39" s="6">
        <f>MATCH($A39,'Draft Engine'!$F$87:$F$160,0)</f>
        <v/>
      </c>
    </row>
    <row r="40">
      <c r="A40">
        <f>38</f>
        <v/>
      </c>
      <c r="B40">
        <f>INDEX('Draft Engine'!$B$87:$B$160,$N40)</f>
        <v/>
      </c>
      <c r="C40" s="4">
        <f>INDEX('Draft Engine'!$E$87:$E$160,$N40)</f>
        <v/>
      </c>
      <c r="D40">
        <f>IF($C40&gt;=95,"ELITE",IF($C40&gt;=90,"TIER 1",IF($C40&gt;=85,"TIER 2",IF($C40&gt;=80,"TIER 3",IF($C40&gt;=75,"TIER 4",IF($C40&gt;=70,"TIER 5",IF($C40&gt;=65,"TIER 6","TIER 7")))))))</f>
        <v/>
      </c>
      <c r="E40">
        <f>INDEX('Draft Engine'!$G$87:$G$160,$N40)</f>
        <v/>
      </c>
      <c r="F40">
        <f>INDEX('Draft Engine'!$J$87:$J$160,$N40)</f>
        <v/>
      </c>
      <c r="G40">
        <f>INDEX('Draft Engine'!$N$87:$N$160,$N40)</f>
        <v/>
      </c>
      <c r="H40">
        <f>INDEX('Draft Engine'!$Q$87:$Q$160,$N40)</f>
        <v/>
      </c>
      <c r="I40">
        <f>INDEX('Draft Engine'!$R$87:$R$160,$N40)</f>
        <v/>
      </c>
      <c r="J40">
        <f>INDEX('Draft Engine'!$S$87:$S$160,$N40)</f>
        <v/>
      </c>
      <c r="K40">
        <f>INDEX('Draft Engine'!$T$87:$T$160,$N40)</f>
        <v/>
      </c>
      <c r="L40">
        <f>INDEX('LIVE SOURCE'!$H$87:$H$160,$N40)</f>
        <v/>
      </c>
      <c r="M40">
        <f>INDEX('LIVE SOURCE'!$J$87:$J$160,$N40)</f>
        <v/>
      </c>
      <c r="N40" s="6">
        <f>MATCH($A40,'Draft Engine'!$F$87:$F$160,0)</f>
        <v/>
      </c>
    </row>
    <row r="41">
      <c r="A41">
        <f>39</f>
        <v/>
      </c>
      <c r="B41">
        <f>INDEX('Draft Engine'!$B$87:$B$160,$N41)</f>
        <v/>
      </c>
      <c r="C41" s="4">
        <f>INDEX('Draft Engine'!$E$87:$E$160,$N41)</f>
        <v/>
      </c>
      <c r="D41">
        <f>IF($C41&gt;=95,"ELITE",IF($C41&gt;=90,"TIER 1",IF($C41&gt;=85,"TIER 2",IF($C41&gt;=80,"TIER 3",IF($C41&gt;=75,"TIER 4",IF($C41&gt;=70,"TIER 5",IF($C41&gt;=65,"TIER 6","TIER 7")))))))</f>
        <v/>
      </c>
      <c r="E41">
        <f>INDEX('Draft Engine'!$G$87:$G$160,$N41)</f>
        <v/>
      </c>
      <c r="F41">
        <f>INDEX('Draft Engine'!$J$87:$J$160,$N41)</f>
        <v/>
      </c>
      <c r="G41">
        <f>INDEX('Draft Engine'!$N$87:$N$160,$N41)</f>
        <v/>
      </c>
      <c r="H41">
        <f>INDEX('Draft Engine'!$Q$87:$Q$160,$N41)</f>
        <v/>
      </c>
      <c r="I41">
        <f>INDEX('Draft Engine'!$R$87:$R$160,$N41)</f>
        <v/>
      </c>
      <c r="J41">
        <f>INDEX('Draft Engine'!$S$87:$S$160,$N41)</f>
        <v/>
      </c>
      <c r="K41">
        <f>INDEX('Draft Engine'!$T$87:$T$160,$N41)</f>
        <v/>
      </c>
      <c r="L41">
        <f>INDEX('LIVE SOURCE'!$H$87:$H$160,$N41)</f>
        <v/>
      </c>
      <c r="M41">
        <f>INDEX('LIVE SOURCE'!$J$87:$J$160,$N41)</f>
        <v/>
      </c>
      <c r="N41" s="6">
        <f>MATCH($A41,'Draft Engine'!$F$87:$F$160,0)</f>
        <v/>
      </c>
    </row>
    <row r="42">
      <c r="A42">
        <f>40</f>
        <v/>
      </c>
      <c r="B42">
        <f>INDEX('Draft Engine'!$B$87:$B$160,$N42)</f>
        <v/>
      </c>
      <c r="C42" s="4">
        <f>INDEX('Draft Engine'!$E$87:$E$160,$N42)</f>
        <v/>
      </c>
      <c r="D42">
        <f>IF($C42&gt;=95,"ELITE",IF($C42&gt;=90,"TIER 1",IF($C42&gt;=85,"TIER 2",IF($C42&gt;=80,"TIER 3",IF($C42&gt;=75,"TIER 4",IF($C42&gt;=70,"TIER 5",IF($C42&gt;=65,"TIER 6","TIER 7")))))))</f>
        <v/>
      </c>
      <c r="E42">
        <f>INDEX('Draft Engine'!$G$87:$G$160,$N42)</f>
        <v/>
      </c>
      <c r="F42">
        <f>INDEX('Draft Engine'!$J$87:$J$160,$N42)</f>
        <v/>
      </c>
      <c r="G42">
        <f>INDEX('Draft Engine'!$N$87:$N$160,$N42)</f>
        <v/>
      </c>
      <c r="H42">
        <f>INDEX('Draft Engine'!$Q$87:$Q$160,$N42)</f>
        <v/>
      </c>
      <c r="I42">
        <f>INDEX('Draft Engine'!$R$87:$R$160,$N42)</f>
        <v/>
      </c>
      <c r="J42">
        <f>INDEX('Draft Engine'!$S$87:$S$160,$N42)</f>
        <v/>
      </c>
      <c r="K42">
        <f>INDEX('Draft Engine'!$T$87:$T$160,$N42)</f>
        <v/>
      </c>
      <c r="L42">
        <f>INDEX('LIVE SOURCE'!$H$87:$H$160,$N42)</f>
        <v/>
      </c>
      <c r="M42">
        <f>INDEX('LIVE SOURCE'!$J$87:$J$160,$N42)</f>
        <v/>
      </c>
      <c r="N42" s="6">
        <f>MATCH($A42,'Draft Engine'!$F$87:$F$160,0)</f>
        <v/>
      </c>
    </row>
    <row r="43">
      <c r="A43">
        <f>41</f>
        <v/>
      </c>
      <c r="B43">
        <f>INDEX('Draft Engine'!$B$87:$B$160,$N43)</f>
        <v/>
      </c>
      <c r="C43" s="4">
        <f>INDEX('Draft Engine'!$E$87:$E$160,$N43)</f>
        <v/>
      </c>
      <c r="D43">
        <f>IF($C43&gt;=95,"ELITE",IF($C43&gt;=90,"TIER 1",IF($C43&gt;=85,"TIER 2",IF($C43&gt;=80,"TIER 3",IF($C43&gt;=75,"TIER 4",IF($C43&gt;=70,"TIER 5",IF($C43&gt;=65,"TIER 6","TIER 7")))))))</f>
        <v/>
      </c>
      <c r="E43">
        <f>INDEX('Draft Engine'!$G$87:$G$160,$N43)</f>
        <v/>
      </c>
      <c r="F43">
        <f>INDEX('Draft Engine'!$J$87:$J$160,$N43)</f>
        <v/>
      </c>
      <c r="G43">
        <f>INDEX('Draft Engine'!$N$87:$N$160,$N43)</f>
        <v/>
      </c>
      <c r="H43">
        <f>INDEX('Draft Engine'!$Q$87:$Q$160,$N43)</f>
        <v/>
      </c>
      <c r="I43">
        <f>INDEX('Draft Engine'!$R$87:$R$160,$N43)</f>
        <v/>
      </c>
      <c r="J43">
        <f>INDEX('Draft Engine'!$S$87:$S$160,$N43)</f>
        <v/>
      </c>
      <c r="K43">
        <f>INDEX('Draft Engine'!$T$87:$T$160,$N43)</f>
        <v/>
      </c>
      <c r="L43">
        <f>INDEX('LIVE SOURCE'!$H$87:$H$160,$N43)</f>
        <v/>
      </c>
      <c r="M43">
        <f>INDEX('LIVE SOURCE'!$J$87:$J$160,$N43)</f>
        <v/>
      </c>
      <c r="N43" s="6">
        <f>MATCH($A43,'Draft Engine'!$F$87:$F$160,0)</f>
        <v/>
      </c>
    </row>
    <row r="44">
      <c r="A44">
        <f>42</f>
        <v/>
      </c>
      <c r="B44">
        <f>INDEX('Draft Engine'!$B$87:$B$160,$N44)</f>
        <v/>
      </c>
      <c r="C44" s="4">
        <f>INDEX('Draft Engine'!$E$87:$E$160,$N44)</f>
        <v/>
      </c>
      <c r="D44">
        <f>IF($C44&gt;=95,"ELITE",IF($C44&gt;=90,"TIER 1",IF($C44&gt;=85,"TIER 2",IF($C44&gt;=80,"TIER 3",IF($C44&gt;=75,"TIER 4",IF($C44&gt;=70,"TIER 5",IF($C44&gt;=65,"TIER 6","TIER 7")))))))</f>
        <v/>
      </c>
      <c r="E44">
        <f>INDEX('Draft Engine'!$G$87:$G$160,$N44)</f>
        <v/>
      </c>
      <c r="F44">
        <f>INDEX('Draft Engine'!$J$87:$J$160,$N44)</f>
        <v/>
      </c>
      <c r="G44">
        <f>INDEX('Draft Engine'!$N$87:$N$160,$N44)</f>
        <v/>
      </c>
      <c r="H44">
        <f>INDEX('Draft Engine'!$Q$87:$Q$160,$N44)</f>
        <v/>
      </c>
      <c r="I44">
        <f>INDEX('Draft Engine'!$R$87:$R$160,$N44)</f>
        <v/>
      </c>
      <c r="J44">
        <f>INDEX('Draft Engine'!$S$87:$S$160,$N44)</f>
        <v/>
      </c>
      <c r="K44">
        <f>INDEX('Draft Engine'!$T$87:$T$160,$N44)</f>
        <v/>
      </c>
      <c r="L44">
        <f>INDEX('LIVE SOURCE'!$H$87:$H$160,$N44)</f>
        <v/>
      </c>
      <c r="M44">
        <f>INDEX('LIVE SOURCE'!$J$87:$J$160,$N44)</f>
        <v/>
      </c>
      <c r="N44" s="6">
        <f>MATCH($A44,'Draft Engine'!$F$87:$F$160,0)</f>
        <v/>
      </c>
    </row>
    <row r="45">
      <c r="A45">
        <f>43</f>
        <v/>
      </c>
      <c r="B45">
        <f>INDEX('Draft Engine'!$B$87:$B$160,$N45)</f>
        <v/>
      </c>
      <c r="C45" s="4">
        <f>INDEX('Draft Engine'!$E$87:$E$160,$N45)</f>
        <v/>
      </c>
      <c r="D45">
        <f>IF($C45&gt;=95,"ELITE",IF($C45&gt;=90,"TIER 1",IF($C45&gt;=85,"TIER 2",IF($C45&gt;=80,"TIER 3",IF($C45&gt;=75,"TIER 4",IF($C45&gt;=70,"TIER 5",IF($C45&gt;=65,"TIER 6","TIER 7")))))))</f>
        <v/>
      </c>
      <c r="E45">
        <f>INDEX('Draft Engine'!$G$87:$G$160,$N45)</f>
        <v/>
      </c>
      <c r="F45">
        <f>INDEX('Draft Engine'!$J$87:$J$160,$N45)</f>
        <v/>
      </c>
      <c r="G45">
        <f>INDEX('Draft Engine'!$N$87:$N$160,$N45)</f>
        <v/>
      </c>
      <c r="H45">
        <f>INDEX('Draft Engine'!$Q$87:$Q$160,$N45)</f>
        <v/>
      </c>
      <c r="I45">
        <f>INDEX('Draft Engine'!$R$87:$R$160,$N45)</f>
        <v/>
      </c>
      <c r="J45">
        <f>INDEX('Draft Engine'!$S$87:$S$160,$N45)</f>
        <v/>
      </c>
      <c r="K45">
        <f>INDEX('Draft Engine'!$T$87:$T$160,$N45)</f>
        <v/>
      </c>
      <c r="L45">
        <f>INDEX('LIVE SOURCE'!$H$87:$H$160,$N45)</f>
        <v/>
      </c>
      <c r="M45">
        <f>INDEX('LIVE SOURCE'!$J$87:$J$160,$N45)</f>
        <v/>
      </c>
      <c r="N45" s="6">
        <f>MATCH($A45,'Draft Engine'!$F$87:$F$160,0)</f>
        <v/>
      </c>
    </row>
    <row r="46">
      <c r="A46">
        <f>44</f>
        <v/>
      </c>
      <c r="B46">
        <f>INDEX('Draft Engine'!$B$87:$B$160,$N46)</f>
        <v/>
      </c>
      <c r="C46" s="4">
        <f>INDEX('Draft Engine'!$E$87:$E$160,$N46)</f>
        <v/>
      </c>
      <c r="D46">
        <f>IF($C46&gt;=95,"ELITE",IF($C46&gt;=90,"TIER 1",IF($C46&gt;=85,"TIER 2",IF($C46&gt;=80,"TIER 3",IF($C46&gt;=75,"TIER 4",IF($C46&gt;=70,"TIER 5",IF($C46&gt;=65,"TIER 6","TIER 7")))))))</f>
        <v/>
      </c>
      <c r="E46">
        <f>INDEX('Draft Engine'!$G$87:$G$160,$N46)</f>
        <v/>
      </c>
      <c r="F46">
        <f>INDEX('Draft Engine'!$J$87:$J$160,$N46)</f>
        <v/>
      </c>
      <c r="G46">
        <f>INDEX('Draft Engine'!$N$87:$N$160,$N46)</f>
        <v/>
      </c>
      <c r="H46">
        <f>INDEX('Draft Engine'!$Q$87:$Q$160,$N46)</f>
        <v/>
      </c>
      <c r="I46">
        <f>INDEX('Draft Engine'!$R$87:$R$160,$N46)</f>
        <v/>
      </c>
      <c r="J46">
        <f>INDEX('Draft Engine'!$S$87:$S$160,$N46)</f>
        <v/>
      </c>
      <c r="K46">
        <f>INDEX('Draft Engine'!$T$87:$T$160,$N46)</f>
        <v/>
      </c>
      <c r="L46">
        <f>INDEX('LIVE SOURCE'!$H$87:$H$160,$N46)</f>
        <v/>
      </c>
      <c r="M46">
        <f>INDEX('LIVE SOURCE'!$J$87:$J$160,$N46)</f>
        <v/>
      </c>
      <c r="N46" s="6">
        <f>MATCH($A46,'Draft Engine'!$F$87:$F$160,0)</f>
        <v/>
      </c>
    </row>
    <row r="47">
      <c r="A47">
        <f>45</f>
        <v/>
      </c>
      <c r="B47">
        <f>INDEX('Draft Engine'!$B$87:$B$160,$N47)</f>
        <v/>
      </c>
      <c r="C47" s="4">
        <f>INDEX('Draft Engine'!$E$87:$E$160,$N47)</f>
        <v/>
      </c>
      <c r="D47">
        <f>IF($C47&gt;=95,"ELITE",IF($C47&gt;=90,"TIER 1",IF($C47&gt;=85,"TIER 2",IF($C47&gt;=80,"TIER 3",IF($C47&gt;=75,"TIER 4",IF($C47&gt;=70,"TIER 5",IF($C47&gt;=65,"TIER 6","TIER 7")))))))</f>
        <v/>
      </c>
      <c r="E47">
        <f>INDEX('Draft Engine'!$G$87:$G$160,$N47)</f>
        <v/>
      </c>
      <c r="F47">
        <f>INDEX('Draft Engine'!$J$87:$J$160,$N47)</f>
        <v/>
      </c>
      <c r="G47">
        <f>INDEX('Draft Engine'!$N$87:$N$160,$N47)</f>
        <v/>
      </c>
      <c r="H47">
        <f>INDEX('Draft Engine'!$Q$87:$Q$160,$N47)</f>
        <v/>
      </c>
      <c r="I47">
        <f>INDEX('Draft Engine'!$R$87:$R$160,$N47)</f>
        <v/>
      </c>
      <c r="J47">
        <f>INDEX('Draft Engine'!$S$87:$S$160,$N47)</f>
        <v/>
      </c>
      <c r="K47">
        <f>INDEX('Draft Engine'!$T$87:$T$160,$N47)</f>
        <v/>
      </c>
      <c r="L47">
        <f>INDEX('LIVE SOURCE'!$H$87:$H$160,$N47)</f>
        <v/>
      </c>
      <c r="M47">
        <f>INDEX('LIVE SOURCE'!$J$87:$J$160,$N47)</f>
        <v/>
      </c>
      <c r="N47" s="6">
        <f>MATCH($A47,'Draft Engine'!$F$87:$F$160,0)</f>
        <v/>
      </c>
    </row>
    <row r="48">
      <c r="A48">
        <f>46</f>
        <v/>
      </c>
      <c r="B48">
        <f>INDEX('Draft Engine'!$B$87:$B$160,$N48)</f>
        <v/>
      </c>
      <c r="C48" s="4">
        <f>INDEX('Draft Engine'!$E$87:$E$160,$N48)</f>
        <v/>
      </c>
      <c r="D48">
        <f>IF($C48&gt;=95,"ELITE",IF($C48&gt;=90,"TIER 1",IF($C48&gt;=85,"TIER 2",IF($C48&gt;=80,"TIER 3",IF($C48&gt;=75,"TIER 4",IF($C48&gt;=70,"TIER 5",IF($C48&gt;=65,"TIER 6","TIER 7")))))))</f>
        <v/>
      </c>
      <c r="E48">
        <f>INDEX('Draft Engine'!$G$87:$G$160,$N48)</f>
        <v/>
      </c>
      <c r="F48">
        <f>INDEX('Draft Engine'!$J$87:$J$160,$N48)</f>
        <v/>
      </c>
      <c r="G48">
        <f>INDEX('Draft Engine'!$N$87:$N$160,$N48)</f>
        <v/>
      </c>
      <c r="H48">
        <f>INDEX('Draft Engine'!$Q$87:$Q$160,$N48)</f>
        <v/>
      </c>
      <c r="I48">
        <f>INDEX('Draft Engine'!$R$87:$R$160,$N48)</f>
        <v/>
      </c>
      <c r="J48">
        <f>INDEX('Draft Engine'!$S$87:$S$160,$N48)</f>
        <v/>
      </c>
      <c r="K48">
        <f>INDEX('Draft Engine'!$T$87:$T$160,$N48)</f>
        <v/>
      </c>
      <c r="L48">
        <f>INDEX('LIVE SOURCE'!$H$87:$H$160,$N48)</f>
        <v/>
      </c>
      <c r="M48">
        <f>INDEX('LIVE SOURCE'!$J$87:$J$160,$N48)</f>
        <v/>
      </c>
      <c r="N48" s="6">
        <f>MATCH($A48,'Draft Engine'!$F$87:$F$160,0)</f>
        <v/>
      </c>
    </row>
    <row r="49">
      <c r="A49">
        <f>47</f>
        <v/>
      </c>
      <c r="B49">
        <f>INDEX('Draft Engine'!$B$87:$B$160,$N49)</f>
        <v/>
      </c>
      <c r="C49" s="4">
        <f>INDEX('Draft Engine'!$E$87:$E$160,$N49)</f>
        <v/>
      </c>
      <c r="D49">
        <f>IF($C49&gt;=95,"ELITE",IF($C49&gt;=90,"TIER 1",IF($C49&gt;=85,"TIER 2",IF($C49&gt;=80,"TIER 3",IF($C49&gt;=75,"TIER 4",IF($C49&gt;=70,"TIER 5",IF($C49&gt;=65,"TIER 6","TIER 7")))))))</f>
        <v/>
      </c>
      <c r="E49">
        <f>INDEX('Draft Engine'!$G$87:$G$160,$N49)</f>
        <v/>
      </c>
      <c r="F49">
        <f>INDEX('Draft Engine'!$J$87:$J$160,$N49)</f>
        <v/>
      </c>
      <c r="G49">
        <f>INDEX('Draft Engine'!$N$87:$N$160,$N49)</f>
        <v/>
      </c>
      <c r="H49">
        <f>INDEX('Draft Engine'!$Q$87:$Q$160,$N49)</f>
        <v/>
      </c>
      <c r="I49">
        <f>INDEX('Draft Engine'!$R$87:$R$160,$N49)</f>
        <v/>
      </c>
      <c r="J49">
        <f>INDEX('Draft Engine'!$S$87:$S$160,$N49)</f>
        <v/>
      </c>
      <c r="K49">
        <f>INDEX('Draft Engine'!$T$87:$T$160,$N49)</f>
        <v/>
      </c>
      <c r="L49">
        <f>INDEX('LIVE SOURCE'!$H$87:$H$160,$N49)</f>
        <v/>
      </c>
      <c r="M49">
        <f>INDEX('LIVE SOURCE'!$J$87:$J$160,$N49)</f>
        <v/>
      </c>
      <c r="N49" s="6">
        <f>MATCH($A49,'Draft Engine'!$F$87:$F$160,0)</f>
        <v/>
      </c>
    </row>
    <row r="50">
      <c r="A50">
        <f>48</f>
        <v/>
      </c>
      <c r="B50">
        <f>INDEX('Draft Engine'!$B$87:$B$160,$N50)</f>
        <v/>
      </c>
      <c r="C50" s="4">
        <f>INDEX('Draft Engine'!$E$87:$E$160,$N50)</f>
        <v/>
      </c>
      <c r="D50">
        <f>IF($C50&gt;=95,"ELITE",IF($C50&gt;=90,"TIER 1",IF($C50&gt;=85,"TIER 2",IF($C50&gt;=80,"TIER 3",IF($C50&gt;=75,"TIER 4",IF($C50&gt;=70,"TIER 5",IF($C50&gt;=65,"TIER 6","TIER 7")))))))</f>
        <v/>
      </c>
      <c r="E50">
        <f>INDEX('Draft Engine'!$G$87:$G$160,$N50)</f>
        <v/>
      </c>
      <c r="F50">
        <f>INDEX('Draft Engine'!$J$87:$J$160,$N50)</f>
        <v/>
      </c>
      <c r="G50">
        <f>INDEX('Draft Engine'!$N$87:$N$160,$N50)</f>
        <v/>
      </c>
      <c r="H50">
        <f>INDEX('Draft Engine'!$Q$87:$Q$160,$N50)</f>
        <v/>
      </c>
      <c r="I50">
        <f>INDEX('Draft Engine'!$R$87:$R$160,$N50)</f>
        <v/>
      </c>
      <c r="J50">
        <f>INDEX('Draft Engine'!$S$87:$S$160,$N50)</f>
        <v/>
      </c>
      <c r="K50">
        <f>INDEX('Draft Engine'!$T$87:$T$160,$N50)</f>
        <v/>
      </c>
      <c r="L50">
        <f>INDEX('LIVE SOURCE'!$H$87:$H$160,$N50)</f>
        <v/>
      </c>
      <c r="M50">
        <f>INDEX('LIVE SOURCE'!$J$87:$J$160,$N50)</f>
        <v/>
      </c>
      <c r="N50" s="6">
        <f>MATCH($A50,'Draft Engine'!$F$87:$F$160,0)</f>
        <v/>
      </c>
    </row>
    <row r="51">
      <c r="A51">
        <f>49</f>
        <v/>
      </c>
      <c r="B51">
        <f>INDEX('Draft Engine'!$B$87:$B$160,$N51)</f>
        <v/>
      </c>
      <c r="C51" s="4">
        <f>INDEX('Draft Engine'!$E$87:$E$160,$N51)</f>
        <v/>
      </c>
      <c r="D51">
        <f>IF($C51&gt;=95,"ELITE",IF($C51&gt;=90,"TIER 1",IF($C51&gt;=85,"TIER 2",IF($C51&gt;=80,"TIER 3",IF($C51&gt;=75,"TIER 4",IF($C51&gt;=70,"TIER 5",IF($C51&gt;=65,"TIER 6","TIER 7")))))))</f>
        <v/>
      </c>
      <c r="E51">
        <f>INDEX('Draft Engine'!$G$87:$G$160,$N51)</f>
        <v/>
      </c>
      <c r="F51">
        <f>INDEX('Draft Engine'!$J$87:$J$160,$N51)</f>
        <v/>
      </c>
      <c r="G51">
        <f>INDEX('Draft Engine'!$N$87:$N$160,$N51)</f>
        <v/>
      </c>
      <c r="H51">
        <f>INDEX('Draft Engine'!$Q$87:$Q$160,$N51)</f>
        <v/>
      </c>
      <c r="I51">
        <f>INDEX('Draft Engine'!$R$87:$R$160,$N51)</f>
        <v/>
      </c>
      <c r="J51">
        <f>INDEX('Draft Engine'!$S$87:$S$160,$N51)</f>
        <v/>
      </c>
      <c r="K51">
        <f>INDEX('Draft Engine'!$T$87:$T$160,$N51)</f>
        <v/>
      </c>
      <c r="L51">
        <f>INDEX('LIVE SOURCE'!$H$87:$H$160,$N51)</f>
        <v/>
      </c>
      <c r="M51">
        <f>INDEX('LIVE SOURCE'!$J$87:$J$160,$N51)</f>
        <v/>
      </c>
      <c r="N51" s="6">
        <f>MATCH($A51,'Draft Engine'!$F$87:$F$160,0)</f>
        <v/>
      </c>
    </row>
    <row r="52">
      <c r="A52">
        <f>50</f>
        <v/>
      </c>
      <c r="B52">
        <f>INDEX('Draft Engine'!$B$87:$B$160,$N52)</f>
        <v/>
      </c>
      <c r="C52" s="4">
        <f>INDEX('Draft Engine'!$E$87:$E$160,$N52)</f>
        <v/>
      </c>
      <c r="D52">
        <f>IF($C52&gt;=95,"ELITE",IF($C52&gt;=90,"TIER 1",IF($C52&gt;=85,"TIER 2",IF($C52&gt;=80,"TIER 3",IF($C52&gt;=75,"TIER 4",IF($C52&gt;=70,"TIER 5",IF($C52&gt;=65,"TIER 6","TIER 7")))))))</f>
        <v/>
      </c>
      <c r="E52">
        <f>INDEX('Draft Engine'!$G$87:$G$160,$N52)</f>
        <v/>
      </c>
      <c r="F52">
        <f>INDEX('Draft Engine'!$J$87:$J$160,$N52)</f>
        <v/>
      </c>
      <c r="G52">
        <f>INDEX('Draft Engine'!$N$87:$N$160,$N52)</f>
        <v/>
      </c>
      <c r="H52">
        <f>INDEX('Draft Engine'!$Q$87:$Q$160,$N52)</f>
        <v/>
      </c>
      <c r="I52">
        <f>INDEX('Draft Engine'!$R$87:$R$160,$N52)</f>
        <v/>
      </c>
      <c r="J52">
        <f>INDEX('Draft Engine'!$S$87:$S$160,$N52)</f>
        <v/>
      </c>
      <c r="K52">
        <f>INDEX('Draft Engine'!$T$87:$T$160,$N52)</f>
        <v/>
      </c>
      <c r="L52">
        <f>INDEX('LIVE SOURCE'!$H$87:$H$160,$N52)</f>
        <v/>
      </c>
      <c r="M52">
        <f>INDEX('LIVE SOURCE'!$J$87:$J$160,$N52)</f>
        <v/>
      </c>
      <c r="N52" s="6">
        <f>MATCH($A52,'Draft Engine'!$F$87:$F$160,0)</f>
        <v/>
      </c>
    </row>
    <row r="53">
      <c r="A53">
        <f>51</f>
        <v/>
      </c>
      <c r="B53">
        <f>INDEX('Draft Engine'!$B$87:$B$160,$N53)</f>
        <v/>
      </c>
      <c r="C53" s="4">
        <f>INDEX('Draft Engine'!$E$87:$E$160,$N53)</f>
        <v/>
      </c>
      <c r="D53">
        <f>IF($C53&gt;=95,"ELITE",IF($C53&gt;=90,"TIER 1",IF($C53&gt;=85,"TIER 2",IF($C53&gt;=80,"TIER 3",IF($C53&gt;=75,"TIER 4",IF($C53&gt;=70,"TIER 5",IF($C53&gt;=65,"TIER 6","TIER 7")))))))</f>
        <v/>
      </c>
      <c r="E53">
        <f>INDEX('Draft Engine'!$G$87:$G$160,$N53)</f>
        <v/>
      </c>
      <c r="F53">
        <f>INDEX('Draft Engine'!$J$87:$J$160,$N53)</f>
        <v/>
      </c>
      <c r="G53">
        <f>INDEX('Draft Engine'!$N$87:$N$160,$N53)</f>
        <v/>
      </c>
      <c r="H53">
        <f>INDEX('Draft Engine'!$Q$87:$Q$160,$N53)</f>
        <v/>
      </c>
      <c r="I53">
        <f>INDEX('Draft Engine'!$R$87:$R$160,$N53)</f>
        <v/>
      </c>
      <c r="J53">
        <f>INDEX('Draft Engine'!$S$87:$S$160,$N53)</f>
        <v/>
      </c>
      <c r="K53">
        <f>INDEX('Draft Engine'!$T$87:$T$160,$N53)</f>
        <v/>
      </c>
      <c r="L53">
        <f>INDEX('LIVE SOURCE'!$H$87:$H$160,$N53)</f>
        <v/>
      </c>
      <c r="M53">
        <f>INDEX('LIVE SOURCE'!$J$87:$J$160,$N53)</f>
        <v/>
      </c>
      <c r="N53" s="6">
        <f>MATCH($A53,'Draft Engine'!$F$87:$F$160,0)</f>
        <v/>
      </c>
    </row>
    <row r="54">
      <c r="A54">
        <f>52</f>
        <v/>
      </c>
      <c r="B54">
        <f>INDEX('Draft Engine'!$B$87:$B$160,$N54)</f>
        <v/>
      </c>
      <c r="C54" s="4">
        <f>INDEX('Draft Engine'!$E$87:$E$160,$N54)</f>
        <v/>
      </c>
      <c r="D54">
        <f>IF($C54&gt;=95,"ELITE",IF($C54&gt;=90,"TIER 1",IF($C54&gt;=85,"TIER 2",IF($C54&gt;=80,"TIER 3",IF($C54&gt;=75,"TIER 4",IF($C54&gt;=70,"TIER 5",IF($C54&gt;=65,"TIER 6","TIER 7")))))))</f>
        <v/>
      </c>
      <c r="E54">
        <f>INDEX('Draft Engine'!$G$87:$G$160,$N54)</f>
        <v/>
      </c>
      <c r="F54">
        <f>INDEX('Draft Engine'!$J$87:$J$160,$N54)</f>
        <v/>
      </c>
      <c r="G54">
        <f>INDEX('Draft Engine'!$N$87:$N$160,$N54)</f>
        <v/>
      </c>
      <c r="H54">
        <f>INDEX('Draft Engine'!$Q$87:$Q$160,$N54)</f>
        <v/>
      </c>
      <c r="I54">
        <f>INDEX('Draft Engine'!$R$87:$R$160,$N54)</f>
        <v/>
      </c>
      <c r="J54">
        <f>INDEX('Draft Engine'!$S$87:$S$160,$N54)</f>
        <v/>
      </c>
      <c r="K54">
        <f>INDEX('Draft Engine'!$T$87:$T$160,$N54)</f>
        <v/>
      </c>
      <c r="L54">
        <f>INDEX('LIVE SOURCE'!$H$87:$H$160,$N54)</f>
        <v/>
      </c>
      <c r="M54">
        <f>INDEX('LIVE SOURCE'!$J$87:$J$160,$N54)</f>
        <v/>
      </c>
      <c r="N54" s="6">
        <f>MATCH($A54,'Draft Engine'!$F$87:$F$160,0)</f>
        <v/>
      </c>
    </row>
    <row r="55">
      <c r="A55">
        <f>53</f>
        <v/>
      </c>
      <c r="B55">
        <f>INDEX('Draft Engine'!$B$87:$B$160,$N55)</f>
        <v/>
      </c>
      <c r="C55" s="4">
        <f>INDEX('Draft Engine'!$E$87:$E$160,$N55)</f>
        <v/>
      </c>
      <c r="D55">
        <f>IF($C55&gt;=95,"ELITE",IF($C55&gt;=90,"TIER 1",IF($C55&gt;=85,"TIER 2",IF($C55&gt;=80,"TIER 3",IF($C55&gt;=75,"TIER 4",IF($C55&gt;=70,"TIER 5",IF($C55&gt;=65,"TIER 6","TIER 7")))))))</f>
        <v/>
      </c>
      <c r="E55">
        <f>INDEX('Draft Engine'!$G$87:$G$160,$N55)</f>
        <v/>
      </c>
      <c r="F55">
        <f>INDEX('Draft Engine'!$J$87:$J$160,$N55)</f>
        <v/>
      </c>
      <c r="G55">
        <f>INDEX('Draft Engine'!$N$87:$N$160,$N55)</f>
        <v/>
      </c>
      <c r="H55">
        <f>INDEX('Draft Engine'!$Q$87:$Q$160,$N55)</f>
        <v/>
      </c>
      <c r="I55">
        <f>INDEX('Draft Engine'!$R$87:$R$160,$N55)</f>
        <v/>
      </c>
      <c r="J55">
        <f>INDEX('Draft Engine'!$S$87:$S$160,$N55)</f>
        <v/>
      </c>
      <c r="K55">
        <f>INDEX('Draft Engine'!$T$87:$T$160,$N55)</f>
        <v/>
      </c>
      <c r="L55">
        <f>INDEX('LIVE SOURCE'!$H$87:$H$160,$N55)</f>
        <v/>
      </c>
      <c r="M55">
        <f>INDEX('LIVE SOURCE'!$J$87:$J$160,$N55)</f>
        <v/>
      </c>
      <c r="N55" s="6">
        <f>MATCH($A55,'Draft Engine'!$F$87:$F$160,0)</f>
        <v/>
      </c>
    </row>
    <row r="56">
      <c r="A56">
        <f>54</f>
        <v/>
      </c>
      <c r="B56">
        <f>INDEX('Draft Engine'!$B$87:$B$160,$N56)</f>
        <v/>
      </c>
      <c r="C56" s="4">
        <f>INDEX('Draft Engine'!$E$87:$E$160,$N56)</f>
        <v/>
      </c>
      <c r="D56">
        <f>IF($C56&gt;=95,"ELITE",IF($C56&gt;=90,"TIER 1",IF($C56&gt;=85,"TIER 2",IF($C56&gt;=80,"TIER 3",IF($C56&gt;=75,"TIER 4",IF($C56&gt;=70,"TIER 5",IF($C56&gt;=65,"TIER 6","TIER 7")))))))</f>
        <v/>
      </c>
      <c r="E56">
        <f>INDEX('Draft Engine'!$G$87:$G$160,$N56)</f>
        <v/>
      </c>
      <c r="F56">
        <f>INDEX('Draft Engine'!$J$87:$J$160,$N56)</f>
        <v/>
      </c>
      <c r="G56">
        <f>INDEX('Draft Engine'!$N$87:$N$160,$N56)</f>
        <v/>
      </c>
      <c r="H56">
        <f>INDEX('Draft Engine'!$Q$87:$Q$160,$N56)</f>
        <v/>
      </c>
      <c r="I56">
        <f>INDEX('Draft Engine'!$R$87:$R$160,$N56)</f>
        <v/>
      </c>
      <c r="J56">
        <f>INDEX('Draft Engine'!$S$87:$S$160,$N56)</f>
        <v/>
      </c>
      <c r="K56">
        <f>INDEX('Draft Engine'!$T$87:$T$160,$N56)</f>
        <v/>
      </c>
      <c r="L56">
        <f>INDEX('LIVE SOURCE'!$H$87:$H$160,$N56)</f>
        <v/>
      </c>
      <c r="M56">
        <f>INDEX('LIVE SOURCE'!$J$87:$J$160,$N56)</f>
        <v/>
      </c>
      <c r="N56" s="6">
        <f>MATCH($A56,'Draft Engine'!$F$87:$F$160,0)</f>
        <v/>
      </c>
    </row>
    <row r="57">
      <c r="A57">
        <f>55</f>
        <v/>
      </c>
      <c r="B57">
        <f>INDEX('Draft Engine'!$B$87:$B$160,$N57)</f>
        <v/>
      </c>
      <c r="C57" s="4">
        <f>INDEX('Draft Engine'!$E$87:$E$160,$N57)</f>
        <v/>
      </c>
      <c r="D57">
        <f>IF($C57&gt;=95,"ELITE",IF($C57&gt;=90,"TIER 1",IF($C57&gt;=85,"TIER 2",IF($C57&gt;=80,"TIER 3",IF($C57&gt;=75,"TIER 4",IF($C57&gt;=70,"TIER 5",IF($C57&gt;=65,"TIER 6","TIER 7")))))))</f>
        <v/>
      </c>
      <c r="E57">
        <f>INDEX('Draft Engine'!$G$87:$G$160,$N57)</f>
        <v/>
      </c>
      <c r="F57">
        <f>INDEX('Draft Engine'!$J$87:$J$160,$N57)</f>
        <v/>
      </c>
      <c r="G57">
        <f>INDEX('Draft Engine'!$N$87:$N$160,$N57)</f>
        <v/>
      </c>
      <c r="H57">
        <f>INDEX('Draft Engine'!$Q$87:$Q$160,$N57)</f>
        <v/>
      </c>
      <c r="I57">
        <f>INDEX('Draft Engine'!$R$87:$R$160,$N57)</f>
        <v/>
      </c>
      <c r="J57">
        <f>INDEX('Draft Engine'!$S$87:$S$160,$N57)</f>
        <v/>
      </c>
      <c r="K57">
        <f>INDEX('Draft Engine'!$T$87:$T$160,$N57)</f>
        <v/>
      </c>
      <c r="L57">
        <f>INDEX('LIVE SOURCE'!$H$87:$H$160,$N57)</f>
        <v/>
      </c>
      <c r="M57">
        <f>INDEX('LIVE SOURCE'!$J$87:$J$160,$N57)</f>
        <v/>
      </c>
      <c r="N57" s="6">
        <f>MATCH($A57,'Draft Engine'!$F$87:$F$160,0)</f>
        <v/>
      </c>
    </row>
    <row r="58">
      <c r="A58">
        <f>56</f>
        <v/>
      </c>
      <c r="B58">
        <f>INDEX('Draft Engine'!$B$87:$B$160,$N58)</f>
        <v/>
      </c>
      <c r="C58" s="4">
        <f>INDEX('Draft Engine'!$E$87:$E$160,$N58)</f>
        <v/>
      </c>
      <c r="D58">
        <f>IF($C58&gt;=95,"ELITE",IF($C58&gt;=90,"TIER 1",IF($C58&gt;=85,"TIER 2",IF($C58&gt;=80,"TIER 3",IF($C58&gt;=75,"TIER 4",IF($C58&gt;=70,"TIER 5",IF($C58&gt;=65,"TIER 6","TIER 7")))))))</f>
        <v/>
      </c>
      <c r="E58">
        <f>INDEX('Draft Engine'!$G$87:$G$160,$N58)</f>
        <v/>
      </c>
      <c r="F58">
        <f>INDEX('Draft Engine'!$J$87:$J$160,$N58)</f>
        <v/>
      </c>
      <c r="G58">
        <f>INDEX('Draft Engine'!$N$87:$N$160,$N58)</f>
        <v/>
      </c>
      <c r="H58">
        <f>INDEX('Draft Engine'!$Q$87:$Q$160,$N58)</f>
        <v/>
      </c>
      <c r="I58">
        <f>INDEX('Draft Engine'!$R$87:$R$160,$N58)</f>
        <v/>
      </c>
      <c r="J58">
        <f>INDEX('Draft Engine'!$S$87:$S$160,$N58)</f>
        <v/>
      </c>
      <c r="K58">
        <f>INDEX('Draft Engine'!$T$87:$T$160,$N58)</f>
        <v/>
      </c>
      <c r="L58">
        <f>INDEX('LIVE SOURCE'!$H$87:$H$160,$N58)</f>
        <v/>
      </c>
      <c r="M58">
        <f>INDEX('LIVE SOURCE'!$J$87:$J$160,$N58)</f>
        <v/>
      </c>
      <c r="N58" s="6">
        <f>MATCH($A58,'Draft Engine'!$F$87:$F$160,0)</f>
        <v/>
      </c>
    </row>
    <row r="59">
      <c r="A59">
        <f>57</f>
        <v/>
      </c>
      <c r="B59">
        <f>INDEX('Draft Engine'!$B$87:$B$160,$N59)</f>
        <v/>
      </c>
      <c r="C59" s="4">
        <f>INDEX('Draft Engine'!$E$87:$E$160,$N59)</f>
        <v/>
      </c>
      <c r="D59">
        <f>IF($C59&gt;=95,"ELITE",IF($C59&gt;=90,"TIER 1",IF($C59&gt;=85,"TIER 2",IF($C59&gt;=80,"TIER 3",IF($C59&gt;=75,"TIER 4",IF($C59&gt;=70,"TIER 5",IF($C59&gt;=65,"TIER 6","TIER 7")))))))</f>
        <v/>
      </c>
      <c r="E59">
        <f>INDEX('Draft Engine'!$G$87:$G$160,$N59)</f>
        <v/>
      </c>
      <c r="F59">
        <f>INDEX('Draft Engine'!$J$87:$J$160,$N59)</f>
        <v/>
      </c>
      <c r="G59">
        <f>INDEX('Draft Engine'!$N$87:$N$160,$N59)</f>
        <v/>
      </c>
      <c r="H59">
        <f>INDEX('Draft Engine'!$Q$87:$Q$160,$N59)</f>
        <v/>
      </c>
      <c r="I59">
        <f>INDEX('Draft Engine'!$R$87:$R$160,$N59)</f>
        <v/>
      </c>
      <c r="J59">
        <f>INDEX('Draft Engine'!$S$87:$S$160,$N59)</f>
        <v/>
      </c>
      <c r="K59">
        <f>INDEX('Draft Engine'!$T$87:$T$160,$N59)</f>
        <v/>
      </c>
      <c r="L59">
        <f>INDEX('LIVE SOURCE'!$H$87:$H$160,$N59)</f>
        <v/>
      </c>
      <c r="M59">
        <f>INDEX('LIVE SOURCE'!$J$87:$J$160,$N59)</f>
        <v/>
      </c>
      <c r="N59" s="6">
        <f>MATCH($A59,'Draft Engine'!$F$87:$F$160,0)</f>
        <v/>
      </c>
    </row>
    <row r="60">
      <c r="A60">
        <f>58</f>
        <v/>
      </c>
      <c r="B60">
        <f>INDEX('Draft Engine'!$B$87:$B$160,$N60)</f>
        <v/>
      </c>
      <c r="C60" s="4">
        <f>INDEX('Draft Engine'!$E$87:$E$160,$N60)</f>
        <v/>
      </c>
      <c r="D60">
        <f>IF($C60&gt;=95,"ELITE",IF($C60&gt;=90,"TIER 1",IF($C60&gt;=85,"TIER 2",IF($C60&gt;=80,"TIER 3",IF($C60&gt;=75,"TIER 4",IF($C60&gt;=70,"TIER 5",IF($C60&gt;=65,"TIER 6","TIER 7")))))))</f>
        <v/>
      </c>
      <c r="E60">
        <f>INDEX('Draft Engine'!$G$87:$G$160,$N60)</f>
        <v/>
      </c>
      <c r="F60">
        <f>INDEX('Draft Engine'!$J$87:$J$160,$N60)</f>
        <v/>
      </c>
      <c r="G60">
        <f>INDEX('Draft Engine'!$N$87:$N$160,$N60)</f>
        <v/>
      </c>
      <c r="H60">
        <f>INDEX('Draft Engine'!$Q$87:$Q$160,$N60)</f>
        <v/>
      </c>
      <c r="I60">
        <f>INDEX('Draft Engine'!$R$87:$R$160,$N60)</f>
        <v/>
      </c>
      <c r="J60">
        <f>INDEX('Draft Engine'!$S$87:$S$160,$N60)</f>
        <v/>
      </c>
      <c r="K60">
        <f>INDEX('Draft Engine'!$T$87:$T$160,$N60)</f>
        <v/>
      </c>
      <c r="L60">
        <f>INDEX('LIVE SOURCE'!$H$87:$H$160,$N60)</f>
        <v/>
      </c>
      <c r="M60">
        <f>INDEX('LIVE SOURCE'!$J$87:$J$160,$N60)</f>
        <v/>
      </c>
      <c r="N60" s="6">
        <f>MATCH($A60,'Draft Engine'!$F$87:$F$160,0)</f>
        <v/>
      </c>
    </row>
    <row r="61">
      <c r="A61">
        <f>59</f>
        <v/>
      </c>
      <c r="B61">
        <f>INDEX('Draft Engine'!$B$87:$B$160,$N61)</f>
        <v/>
      </c>
      <c r="C61" s="4">
        <f>INDEX('Draft Engine'!$E$87:$E$160,$N61)</f>
        <v/>
      </c>
      <c r="D61">
        <f>IF($C61&gt;=95,"ELITE",IF($C61&gt;=90,"TIER 1",IF($C61&gt;=85,"TIER 2",IF($C61&gt;=80,"TIER 3",IF($C61&gt;=75,"TIER 4",IF($C61&gt;=70,"TIER 5",IF($C61&gt;=65,"TIER 6","TIER 7")))))))</f>
        <v/>
      </c>
      <c r="E61">
        <f>INDEX('Draft Engine'!$G$87:$G$160,$N61)</f>
        <v/>
      </c>
      <c r="F61">
        <f>INDEX('Draft Engine'!$J$87:$J$160,$N61)</f>
        <v/>
      </c>
      <c r="G61">
        <f>INDEX('Draft Engine'!$N$87:$N$160,$N61)</f>
        <v/>
      </c>
      <c r="H61">
        <f>INDEX('Draft Engine'!$Q$87:$Q$160,$N61)</f>
        <v/>
      </c>
      <c r="I61">
        <f>INDEX('Draft Engine'!$R$87:$R$160,$N61)</f>
        <v/>
      </c>
      <c r="J61">
        <f>INDEX('Draft Engine'!$S$87:$S$160,$N61)</f>
        <v/>
      </c>
      <c r="K61">
        <f>INDEX('Draft Engine'!$T$87:$T$160,$N61)</f>
        <v/>
      </c>
      <c r="L61">
        <f>INDEX('LIVE SOURCE'!$H$87:$H$160,$N61)</f>
        <v/>
      </c>
      <c r="M61">
        <f>INDEX('LIVE SOURCE'!$J$87:$J$160,$N61)</f>
        <v/>
      </c>
      <c r="N61" s="6">
        <f>MATCH($A61,'Draft Engine'!$F$87:$F$160,0)</f>
        <v/>
      </c>
    </row>
    <row r="62">
      <c r="A62">
        <f>60</f>
        <v/>
      </c>
      <c r="B62">
        <f>INDEX('Draft Engine'!$B$87:$B$160,$N62)</f>
        <v/>
      </c>
      <c r="C62" s="4">
        <f>INDEX('Draft Engine'!$E$87:$E$160,$N62)</f>
        <v/>
      </c>
      <c r="D62">
        <f>IF($C62&gt;=95,"ELITE",IF($C62&gt;=90,"TIER 1",IF($C62&gt;=85,"TIER 2",IF($C62&gt;=80,"TIER 3",IF($C62&gt;=75,"TIER 4",IF($C62&gt;=70,"TIER 5",IF($C62&gt;=65,"TIER 6","TIER 7")))))))</f>
        <v/>
      </c>
      <c r="E62">
        <f>INDEX('Draft Engine'!$G$87:$G$160,$N62)</f>
        <v/>
      </c>
      <c r="F62">
        <f>INDEX('Draft Engine'!$J$87:$J$160,$N62)</f>
        <v/>
      </c>
      <c r="G62">
        <f>INDEX('Draft Engine'!$N$87:$N$160,$N62)</f>
        <v/>
      </c>
      <c r="H62">
        <f>INDEX('Draft Engine'!$Q$87:$Q$160,$N62)</f>
        <v/>
      </c>
      <c r="I62">
        <f>INDEX('Draft Engine'!$R$87:$R$160,$N62)</f>
        <v/>
      </c>
      <c r="J62">
        <f>INDEX('Draft Engine'!$S$87:$S$160,$N62)</f>
        <v/>
      </c>
      <c r="K62">
        <f>INDEX('Draft Engine'!$T$87:$T$160,$N62)</f>
        <v/>
      </c>
      <c r="L62">
        <f>INDEX('LIVE SOURCE'!$H$87:$H$160,$N62)</f>
        <v/>
      </c>
      <c r="M62">
        <f>INDEX('LIVE SOURCE'!$J$87:$J$160,$N62)</f>
        <v/>
      </c>
      <c r="N62" s="6">
        <f>MATCH($A62,'Draft Engine'!$F$87:$F$160,0)</f>
        <v/>
      </c>
    </row>
    <row r="63">
      <c r="A63">
        <f>61</f>
        <v/>
      </c>
      <c r="B63">
        <f>INDEX('Draft Engine'!$B$87:$B$160,$N63)</f>
        <v/>
      </c>
      <c r="C63" s="4">
        <f>INDEX('Draft Engine'!$E$87:$E$160,$N63)</f>
        <v/>
      </c>
      <c r="D63">
        <f>IF($C63&gt;=95,"ELITE",IF($C63&gt;=90,"TIER 1",IF($C63&gt;=85,"TIER 2",IF($C63&gt;=80,"TIER 3",IF($C63&gt;=75,"TIER 4",IF($C63&gt;=70,"TIER 5",IF($C63&gt;=65,"TIER 6","TIER 7")))))))</f>
        <v/>
      </c>
      <c r="E63">
        <f>INDEX('Draft Engine'!$G$87:$G$160,$N63)</f>
        <v/>
      </c>
      <c r="F63">
        <f>INDEX('Draft Engine'!$J$87:$J$160,$N63)</f>
        <v/>
      </c>
      <c r="G63">
        <f>INDEX('Draft Engine'!$N$87:$N$160,$N63)</f>
        <v/>
      </c>
      <c r="H63">
        <f>INDEX('Draft Engine'!$Q$87:$Q$160,$N63)</f>
        <v/>
      </c>
      <c r="I63">
        <f>INDEX('Draft Engine'!$R$87:$R$160,$N63)</f>
        <v/>
      </c>
      <c r="J63">
        <f>INDEX('Draft Engine'!$S$87:$S$160,$N63)</f>
        <v/>
      </c>
      <c r="K63">
        <f>INDEX('Draft Engine'!$T$87:$T$160,$N63)</f>
        <v/>
      </c>
      <c r="L63">
        <f>INDEX('LIVE SOURCE'!$H$87:$H$160,$N63)</f>
        <v/>
      </c>
      <c r="M63">
        <f>INDEX('LIVE SOURCE'!$J$87:$J$160,$N63)</f>
        <v/>
      </c>
      <c r="N63" s="6">
        <f>MATCH($A63,'Draft Engine'!$F$87:$F$160,0)</f>
        <v/>
      </c>
    </row>
    <row r="64">
      <c r="A64">
        <f>62</f>
        <v/>
      </c>
      <c r="B64">
        <f>INDEX('Draft Engine'!$B$87:$B$160,$N64)</f>
        <v/>
      </c>
      <c r="C64" s="4">
        <f>INDEX('Draft Engine'!$E$87:$E$160,$N64)</f>
        <v/>
      </c>
      <c r="D64">
        <f>IF($C64&gt;=95,"ELITE",IF($C64&gt;=90,"TIER 1",IF($C64&gt;=85,"TIER 2",IF($C64&gt;=80,"TIER 3",IF($C64&gt;=75,"TIER 4",IF($C64&gt;=70,"TIER 5",IF($C64&gt;=65,"TIER 6","TIER 7")))))))</f>
        <v/>
      </c>
      <c r="E64">
        <f>INDEX('Draft Engine'!$G$87:$G$160,$N64)</f>
        <v/>
      </c>
      <c r="F64">
        <f>INDEX('Draft Engine'!$J$87:$J$160,$N64)</f>
        <v/>
      </c>
      <c r="G64">
        <f>INDEX('Draft Engine'!$N$87:$N$160,$N64)</f>
        <v/>
      </c>
      <c r="H64">
        <f>INDEX('Draft Engine'!$Q$87:$Q$160,$N64)</f>
        <v/>
      </c>
      <c r="I64">
        <f>INDEX('Draft Engine'!$R$87:$R$160,$N64)</f>
        <v/>
      </c>
      <c r="J64">
        <f>INDEX('Draft Engine'!$S$87:$S$160,$N64)</f>
        <v/>
      </c>
      <c r="K64">
        <f>INDEX('Draft Engine'!$T$87:$T$160,$N64)</f>
        <v/>
      </c>
      <c r="L64">
        <f>INDEX('LIVE SOURCE'!$H$87:$H$160,$N64)</f>
        <v/>
      </c>
      <c r="M64">
        <f>INDEX('LIVE SOURCE'!$J$87:$J$160,$N64)</f>
        <v/>
      </c>
      <c r="N64" s="6">
        <f>MATCH($A64,'Draft Engine'!$F$87:$F$160,0)</f>
        <v/>
      </c>
    </row>
    <row r="65">
      <c r="A65">
        <f>63</f>
        <v/>
      </c>
      <c r="B65">
        <f>INDEX('Draft Engine'!$B$87:$B$160,$N65)</f>
        <v/>
      </c>
      <c r="C65" s="4">
        <f>INDEX('Draft Engine'!$E$87:$E$160,$N65)</f>
        <v/>
      </c>
      <c r="D65">
        <f>IF($C65&gt;=95,"ELITE",IF($C65&gt;=90,"TIER 1",IF($C65&gt;=85,"TIER 2",IF($C65&gt;=80,"TIER 3",IF($C65&gt;=75,"TIER 4",IF($C65&gt;=70,"TIER 5",IF($C65&gt;=65,"TIER 6","TIER 7")))))))</f>
        <v/>
      </c>
      <c r="E65">
        <f>INDEX('Draft Engine'!$G$87:$G$160,$N65)</f>
        <v/>
      </c>
      <c r="F65">
        <f>INDEX('Draft Engine'!$J$87:$J$160,$N65)</f>
        <v/>
      </c>
      <c r="G65">
        <f>INDEX('Draft Engine'!$N$87:$N$160,$N65)</f>
        <v/>
      </c>
      <c r="H65">
        <f>INDEX('Draft Engine'!$Q$87:$Q$160,$N65)</f>
        <v/>
      </c>
      <c r="I65">
        <f>INDEX('Draft Engine'!$R$87:$R$160,$N65)</f>
        <v/>
      </c>
      <c r="J65">
        <f>INDEX('Draft Engine'!$S$87:$S$160,$N65)</f>
        <v/>
      </c>
      <c r="K65">
        <f>INDEX('Draft Engine'!$T$87:$T$160,$N65)</f>
        <v/>
      </c>
      <c r="L65">
        <f>INDEX('LIVE SOURCE'!$H$87:$H$160,$N65)</f>
        <v/>
      </c>
      <c r="M65">
        <f>INDEX('LIVE SOURCE'!$J$87:$J$160,$N65)</f>
        <v/>
      </c>
      <c r="N65" s="6">
        <f>MATCH($A65,'Draft Engine'!$F$87:$F$160,0)</f>
        <v/>
      </c>
    </row>
    <row r="66">
      <c r="A66">
        <f>64</f>
        <v/>
      </c>
      <c r="B66">
        <f>INDEX('Draft Engine'!$B$87:$B$160,$N66)</f>
        <v/>
      </c>
      <c r="C66" s="4">
        <f>INDEX('Draft Engine'!$E$87:$E$160,$N66)</f>
        <v/>
      </c>
      <c r="D66">
        <f>IF($C66&gt;=95,"ELITE",IF($C66&gt;=90,"TIER 1",IF($C66&gt;=85,"TIER 2",IF($C66&gt;=80,"TIER 3",IF($C66&gt;=75,"TIER 4",IF($C66&gt;=70,"TIER 5",IF($C66&gt;=65,"TIER 6","TIER 7")))))))</f>
        <v/>
      </c>
      <c r="E66">
        <f>INDEX('Draft Engine'!$G$87:$G$160,$N66)</f>
        <v/>
      </c>
      <c r="F66">
        <f>INDEX('Draft Engine'!$J$87:$J$160,$N66)</f>
        <v/>
      </c>
      <c r="G66">
        <f>INDEX('Draft Engine'!$N$87:$N$160,$N66)</f>
        <v/>
      </c>
      <c r="H66">
        <f>INDEX('Draft Engine'!$Q$87:$Q$160,$N66)</f>
        <v/>
      </c>
      <c r="I66">
        <f>INDEX('Draft Engine'!$R$87:$R$160,$N66)</f>
        <v/>
      </c>
      <c r="J66">
        <f>INDEX('Draft Engine'!$S$87:$S$160,$N66)</f>
        <v/>
      </c>
      <c r="K66">
        <f>INDEX('Draft Engine'!$T$87:$T$160,$N66)</f>
        <v/>
      </c>
      <c r="L66">
        <f>INDEX('LIVE SOURCE'!$H$87:$H$160,$N66)</f>
        <v/>
      </c>
      <c r="M66">
        <f>INDEX('LIVE SOURCE'!$J$87:$J$160,$N66)</f>
        <v/>
      </c>
      <c r="N66" s="6">
        <f>MATCH($A66,'Draft Engine'!$F$87:$F$160,0)</f>
        <v/>
      </c>
    </row>
    <row r="67">
      <c r="A67">
        <f>65</f>
        <v/>
      </c>
      <c r="B67">
        <f>INDEX('Draft Engine'!$B$87:$B$160,$N67)</f>
        <v/>
      </c>
      <c r="C67" s="4">
        <f>INDEX('Draft Engine'!$E$87:$E$160,$N67)</f>
        <v/>
      </c>
      <c r="D67">
        <f>IF($C67&gt;=95,"ELITE",IF($C67&gt;=90,"TIER 1",IF($C67&gt;=85,"TIER 2",IF($C67&gt;=80,"TIER 3",IF($C67&gt;=75,"TIER 4",IF($C67&gt;=70,"TIER 5",IF($C67&gt;=65,"TIER 6","TIER 7")))))))</f>
        <v/>
      </c>
      <c r="E67">
        <f>INDEX('Draft Engine'!$G$87:$G$160,$N67)</f>
        <v/>
      </c>
      <c r="F67">
        <f>INDEX('Draft Engine'!$J$87:$J$160,$N67)</f>
        <v/>
      </c>
      <c r="G67">
        <f>INDEX('Draft Engine'!$N$87:$N$160,$N67)</f>
        <v/>
      </c>
      <c r="H67">
        <f>INDEX('Draft Engine'!$Q$87:$Q$160,$N67)</f>
        <v/>
      </c>
      <c r="I67">
        <f>INDEX('Draft Engine'!$R$87:$R$160,$N67)</f>
        <v/>
      </c>
      <c r="J67">
        <f>INDEX('Draft Engine'!$S$87:$S$160,$N67)</f>
        <v/>
      </c>
      <c r="K67">
        <f>INDEX('Draft Engine'!$T$87:$T$160,$N67)</f>
        <v/>
      </c>
      <c r="L67">
        <f>INDEX('LIVE SOURCE'!$H$87:$H$160,$N67)</f>
        <v/>
      </c>
      <c r="M67">
        <f>INDEX('LIVE SOURCE'!$J$87:$J$160,$N67)</f>
        <v/>
      </c>
      <c r="N67" s="6">
        <f>MATCH($A67,'Draft Engine'!$F$87:$F$160,0)</f>
        <v/>
      </c>
    </row>
    <row r="68">
      <c r="A68">
        <f>66</f>
        <v/>
      </c>
      <c r="B68">
        <f>INDEX('Draft Engine'!$B$87:$B$160,$N68)</f>
        <v/>
      </c>
      <c r="C68" s="4">
        <f>INDEX('Draft Engine'!$E$87:$E$160,$N68)</f>
        <v/>
      </c>
      <c r="D68">
        <f>IF($C68&gt;=95,"ELITE",IF($C68&gt;=90,"TIER 1",IF($C68&gt;=85,"TIER 2",IF($C68&gt;=80,"TIER 3",IF($C68&gt;=75,"TIER 4",IF($C68&gt;=70,"TIER 5",IF($C68&gt;=65,"TIER 6","TIER 7")))))))</f>
        <v/>
      </c>
      <c r="E68">
        <f>INDEX('Draft Engine'!$G$87:$G$160,$N68)</f>
        <v/>
      </c>
      <c r="F68">
        <f>INDEX('Draft Engine'!$J$87:$J$160,$N68)</f>
        <v/>
      </c>
      <c r="G68">
        <f>INDEX('Draft Engine'!$N$87:$N$160,$N68)</f>
        <v/>
      </c>
      <c r="H68">
        <f>INDEX('Draft Engine'!$Q$87:$Q$160,$N68)</f>
        <v/>
      </c>
      <c r="I68">
        <f>INDEX('Draft Engine'!$R$87:$R$160,$N68)</f>
        <v/>
      </c>
      <c r="J68">
        <f>INDEX('Draft Engine'!$S$87:$S$160,$N68)</f>
        <v/>
      </c>
      <c r="K68">
        <f>INDEX('Draft Engine'!$T$87:$T$160,$N68)</f>
        <v/>
      </c>
      <c r="L68">
        <f>INDEX('LIVE SOURCE'!$H$87:$H$160,$N68)</f>
        <v/>
      </c>
      <c r="M68">
        <f>INDEX('LIVE SOURCE'!$J$87:$J$160,$N68)</f>
        <v/>
      </c>
      <c r="N68" s="6">
        <f>MATCH($A68,'Draft Engine'!$F$87:$F$160,0)</f>
        <v/>
      </c>
    </row>
    <row r="69">
      <c r="A69">
        <f>67</f>
        <v/>
      </c>
      <c r="B69">
        <f>INDEX('Draft Engine'!$B$87:$B$160,$N69)</f>
        <v/>
      </c>
      <c r="C69" s="4">
        <f>INDEX('Draft Engine'!$E$87:$E$160,$N69)</f>
        <v/>
      </c>
      <c r="D69">
        <f>IF($C69&gt;=95,"ELITE",IF($C69&gt;=90,"TIER 1",IF($C69&gt;=85,"TIER 2",IF($C69&gt;=80,"TIER 3",IF($C69&gt;=75,"TIER 4",IF($C69&gt;=70,"TIER 5",IF($C69&gt;=65,"TIER 6","TIER 7")))))))</f>
        <v/>
      </c>
      <c r="E69">
        <f>INDEX('Draft Engine'!$G$87:$G$160,$N69)</f>
        <v/>
      </c>
      <c r="F69">
        <f>INDEX('Draft Engine'!$J$87:$J$160,$N69)</f>
        <v/>
      </c>
      <c r="G69">
        <f>INDEX('Draft Engine'!$N$87:$N$160,$N69)</f>
        <v/>
      </c>
      <c r="H69">
        <f>INDEX('Draft Engine'!$Q$87:$Q$160,$N69)</f>
        <v/>
      </c>
      <c r="I69">
        <f>INDEX('Draft Engine'!$R$87:$R$160,$N69)</f>
        <v/>
      </c>
      <c r="J69">
        <f>INDEX('Draft Engine'!$S$87:$S$160,$N69)</f>
        <v/>
      </c>
      <c r="K69">
        <f>INDEX('Draft Engine'!$T$87:$T$160,$N69)</f>
        <v/>
      </c>
      <c r="L69">
        <f>INDEX('LIVE SOURCE'!$H$87:$H$160,$N69)</f>
        <v/>
      </c>
      <c r="M69">
        <f>INDEX('LIVE SOURCE'!$J$87:$J$160,$N69)</f>
        <v/>
      </c>
      <c r="N69" s="6">
        <f>MATCH($A69,'Draft Engine'!$F$87:$F$160,0)</f>
        <v/>
      </c>
    </row>
    <row r="70">
      <c r="A70">
        <f>68</f>
        <v/>
      </c>
      <c r="B70">
        <f>INDEX('Draft Engine'!$B$87:$B$160,$N70)</f>
        <v/>
      </c>
      <c r="C70" s="4">
        <f>INDEX('Draft Engine'!$E$87:$E$160,$N70)</f>
        <v/>
      </c>
      <c r="D70">
        <f>IF($C70&gt;=95,"ELITE",IF($C70&gt;=90,"TIER 1",IF($C70&gt;=85,"TIER 2",IF($C70&gt;=80,"TIER 3",IF($C70&gt;=75,"TIER 4",IF($C70&gt;=70,"TIER 5",IF($C70&gt;=65,"TIER 6","TIER 7")))))))</f>
        <v/>
      </c>
      <c r="E70">
        <f>INDEX('Draft Engine'!$G$87:$G$160,$N70)</f>
        <v/>
      </c>
      <c r="F70">
        <f>INDEX('Draft Engine'!$J$87:$J$160,$N70)</f>
        <v/>
      </c>
      <c r="G70">
        <f>INDEX('Draft Engine'!$N$87:$N$160,$N70)</f>
        <v/>
      </c>
      <c r="H70">
        <f>INDEX('Draft Engine'!$Q$87:$Q$160,$N70)</f>
        <v/>
      </c>
      <c r="I70">
        <f>INDEX('Draft Engine'!$R$87:$R$160,$N70)</f>
        <v/>
      </c>
      <c r="J70">
        <f>INDEX('Draft Engine'!$S$87:$S$160,$N70)</f>
        <v/>
      </c>
      <c r="K70">
        <f>INDEX('Draft Engine'!$T$87:$T$160,$N70)</f>
        <v/>
      </c>
      <c r="L70">
        <f>INDEX('LIVE SOURCE'!$H$87:$H$160,$N70)</f>
        <v/>
      </c>
      <c r="M70">
        <f>INDEX('LIVE SOURCE'!$J$87:$J$160,$N70)</f>
        <v/>
      </c>
      <c r="N70" s="6">
        <f>MATCH($A70,'Draft Engine'!$F$87:$F$160,0)</f>
        <v/>
      </c>
    </row>
    <row r="71">
      <c r="A71">
        <f>69</f>
        <v/>
      </c>
      <c r="B71">
        <f>INDEX('Draft Engine'!$B$87:$B$160,$N71)</f>
        <v/>
      </c>
      <c r="C71" s="4">
        <f>INDEX('Draft Engine'!$E$87:$E$160,$N71)</f>
        <v/>
      </c>
      <c r="D71">
        <f>IF($C71&gt;=95,"ELITE",IF($C71&gt;=90,"TIER 1",IF($C71&gt;=85,"TIER 2",IF($C71&gt;=80,"TIER 3",IF($C71&gt;=75,"TIER 4",IF($C71&gt;=70,"TIER 5",IF($C71&gt;=65,"TIER 6","TIER 7")))))))</f>
        <v/>
      </c>
      <c r="E71">
        <f>INDEX('Draft Engine'!$G$87:$G$160,$N71)</f>
        <v/>
      </c>
      <c r="F71">
        <f>INDEX('Draft Engine'!$J$87:$J$160,$N71)</f>
        <v/>
      </c>
      <c r="G71">
        <f>INDEX('Draft Engine'!$N$87:$N$160,$N71)</f>
        <v/>
      </c>
      <c r="H71">
        <f>INDEX('Draft Engine'!$Q$87:$Q$160,$N71)</f>
        <v/>
      </c>
      <c r="I71">
        <f>INDEX('Draft Engine'!$R$87:$R$160,$N71)</f>
        <v/>
      </c>
      <c r="J71">
        <f>INDEX('Draft Engine'!$S$87:$S$160,$N71)</f>
        <v/>
      </c>
      <c r="K71">
        <f>INDEX('Draft Engine'!$T$87:$T$160,$N71)</f>
        <v/>
      </c>
      <c r="L71">
        <f>INDEX('LIVE SOURCE'!$H$87:$H$160,$N71)</f>
        <v/>
      </c>
      <c r="M71">
        <f>INDEX('LIVE SOURCE'!$J$87:$J$160,$N71)</f>
        <v/>
      </c>
      <c r="N71" s="6">
        <f>MATCH($A71,'Draft Engine'!$F$87:$F$160,0)</f>
        <v/>
      </c>
    </row>
    <row r="72">
      <c r="A72">
        <f>70</f>
        <v/>
      </c>
      <c r="B72">
        <f>INDEX('Draft Engine'!$B$87:$B$160,$N72)</f>
        <v/>
      </c>
      <c r="C72" s="4">
        <f>INDEX('Draft Engine'!$E$87:$E$160,$N72)</f>
        <v/>
      </c>
      <c r="D72">
        <f>IF($C72&gt;=95,"ELITE",IF($C72&gt;=90,"TIER 1",IF($C72&gt;=85,"TIER 2",IF($C72&gt;=80,"TIER 3",IF($C72&gt;=75,"TIER 4",IF($C72&gt;=70,"TIER 5",IF($C72&gt;=65,"TIER 6","TIER 7")))))))</f>
        <v/>
      </c>
      <c r="E72">
        <f>INDEX('Draft Engine'!$G$87:$G$160,$N72)</f>
        <v/>
      </c>
      <c r="F72">
        <f>INDEX('Draft Engine'!$J$87:$J$160,$N72)</f>
        <v/>
      </c>
      <c r="G72">
        <f>INDEX('Draft Engine'!$N$87:$N$160,$N72)</f>
        <v/>
      </c>
      <c r="H72">
        <f>INDEX('Draft Engine'!$Q$87:$Q$160,$N72)</f>
        <v/>
      </c>
      <c r="I72">
        <f>INDEX('Draft Engine'!$R$87:$R$160,$N72)</f>
        <v/>
      </c>
      <c r="J72">
        <f>INDEX('Draft Engine'!$S$87:$S$160,$N72)</f>
        <v/>
      </c>
      <c r="K72">
        <f>INDEX('Draft Engine'!$T$87:$T$160,$N72)</f>
        <v/>
      </c>
      <c r="L72">
        <f>INDEX('LIVE SOURCE'!$H$87:$H$160,$N72)</f>
        <v/>
      </c>
      <c r="M72">
        <f>INDEX('LIVE SOURCE'!$J$87:$J$160,$N72)</f>
        <v/>
      </c>
      <c r="N72" s="6">
        <f>MATCH($A72,'Draft Engine'!$F$87:$F$160,0)</f>
        <v/>
      </c>
    </row>
    <row r="73">
      <c r="A73">
        <f>71</f>
        <v/>
      </c>
      <c r="B73">
        <f>INDEX('Draft Engine'!$B$87:$B$160,$N73)</f>
        <v/>
      </c>
      <c r="C73" s="4">
        <f>INDEX('Draft Engine'!$E$87:$E$160,$N73)</f>
        <v/>
      </c>
      <c r="D73">
        <f>IF($C73&gt;=95,"ELITE",IF($C73&gt;=90,"TIER 1",IF($C73&gt;=85,"TIER 2",IF($C73&gt;=80,"TIER 3",IF($C73&gt;=75,"TIER 4",IF($C73&gt;=70,"TIER 5",IF($C73&gt;=65,"TIER 6","TIER 7")))))))</f>
        <v/>
      </c>
      <c r="E73">
        <f>INDEX('Draft Engine'!$G$87:$G$160,$N73)</f>
        <v/>
      </c>
      <c r="F73">
        <f>INDEX('Draft Engine'!$J$87:$J$160,$N73)</f>
        <v/>
      </c>
      <c r="G73">
        <f>INDEX('Draft Engine'!$N$87:$N$160,$N73)</f>
        <v/>
      </c>
      <c r="H73">
        <f>INDEX('Draft Engine'!$Q$87:$Q$160,$N73)</f>
        <v/>
      </c>
      <c r="I73">
        <f>INDEX('Draft Engine'!$R$87:$R$160,$N73)</f>
        <v/>
      </c>
      <c r="J73">
        <f>INDEX('Draft Engine'!$S$87:$S$160,$N73)</f>
        <v/>
      </c>
      <c r="K73">
        <f>INDEX('Draft Engine'!$T$87:$T$160,$N73)</f>
        <v/>
      </c>
      <c r="L73">
        <f>INDEX('LIVE SOURCE'!$H$87:$H$160,$N73)</f>
        <v/>
      </c>
      <c r="M73">
        <f>INDEX('LIVE SOURCE'!$J$87:$J$160,$N73)</f>
        <v/>
      </c>
      <c r="N73" s="6">
        <f>MATCH($A73,'Draft Engine'!$F$87:$F$160,0)</f>
        <v/>
      </c>
    </row>
    <row r="74">
      <c r="A74">
        <f>72</f>
        <v/>
      </c>
      <c r="B74">
        <f>INDEX('Draft Engine'!$B$87:$B$160,$N74)</f>
        <v/>
      </c>
      <c r="C74" s="4">
        <f>INDEX('Draft Engine'!$E$87:$E$160,$N74)</f>
        <v/>
      </c>
      <c r="D74">
        <f>IF($C74&gt;=95,"ELITE",IF($C74&gt;=90,"TIER 1",IF($C74&gt;=85,"TIER 2",IF($C74&gt;=80,"TIER 3",IF($C74&gt;=75,"TIER 4",IF($C74&gt;=70,"TIER 5",IF($C74&gt;=65,"TIER 6","TIER 7")))))))</f>
        <v/>
      </c>
      <c r="E74">
        <f>INDEX('Draft Engine'!$G$87:$G$160,$N74)</f>
        <v/>
      </c>
      <c r="F74">
        <f>INDEX('Draft Engine'!$J$87:$J$160,$N74)</f>
        <v/>
      </c>
      <c r="G74">
        <f>INDEX('Draft Engine'!$N$87:$N$160,$N74)</f>
        <v/>
      </c>
      <c r="H74">
        <f>INDEX('Draft Engine'!$Q$87:$Q$160,$N74)</f>
        <v/>
      </c>
      <c r="I74">
        <f>INDEX('Draft Engine'!$R$87:$R$160,$N74)</f>
        <v/>
      </c>
      <c r="J74">
        <f>INDEX('Draft Engine'!$S$87:$S$160,$N74)</f>
        <v/>
      </c>
      <c r="K74">
        <f>INDEX('Draft Engine'!$T$87:$T$160,$N74)</f>
        <v/>
      </c>
      <c r="L74">
        <f>INDEX('LIVE SOURCE'!$H$87:$H$160,$N74)</f>
        <v/>
      </c>
      <c r="M74">
        <f>INDEX('LIVE SOURCE'!$J$87:$J$160,$N74)</f>
        <v/>
      </c>
      <c r="N74" s="6">
        <f>MATCH($A74,'Draft Engine'!$F$87:$F$160,0)</f>
        <v/>
      </c>
    </row>
    <row r="75">
      <c r="A75">
        <f>73</f>
        <v/>
      </c>
      <c r="B75">
        <f>INDEX('Draft Engine'!$B$87:$B$160,$N75)</f>
        <v/>
      </c>
      <c r="C75" s="4">
        <f>INDEX('Draft Engine'!$E$87:$E$160,$N75)</f>
        <v/>
      </c>
      <c r="D75">
        <f>IF($C75&gt;=95,"ELITE",IF($C75&gt;=90,"TIER 1",IF($C75&gt;=85,"TIER 2",IF($C75&gt;=80,"TIER 3",IF($C75&gt;=75,"TIER 4",IF($C75&gt;=70,"TIER 5",IF($C75&gt;=65,"TIER 6","TIER 7")))))))</f>
        <v/>
      </c>
      <c r="E75">
        <f>INDEX('Draft Engine'!$G$87:$G$160,$N75)</f>
        <v/>
      </c>
      <c r="F75">
        <f>INDEX('Draft Engine'!$J$87:$J$160,$N75)</f>
        <v/>
      </c>
      <c r="G75">
        <f>INDEX('Draft Engine'!$N$87:$N$160,$N75)</f>
        <v/>
      </c>
      <c r="H75">
        <f>INDEX('Draft Engine'!$Q$87:$Q$160,$N75)</f>
        <v/>
      </c>
      <c r="I75">
        <f>INDEX('Draft Engine'!$R$87:$R$160,$N75)</f>
        <v/>
      </c>
      <c r="J75">
        <f>INDEX('Draft Engine'!$S$87:$S$160,$N75)</f>
        <v/>
      </c>
      <c r="K75">
        <f>INDEX('Draft Engine'!$T$87:$T$160,$N75)</f>
        <v/>
      </c>
      <c r="L75">
        <f>INDEX('LIVE SOURCE'!$H$87:$H$160,$N75)</f>
        <v/>
      </c>
      <c r="M75">
        <f>INDEX('LIVE SOURCE'!$J$87:$J$160,$N75)</f>
        <v/>
      </c>
      <c r="N75" s="6">
        <f>MATCH($A75,'Draft Engine'!$F$87:$F$160,0)</f>
        <v/>
      </c>
    </row>
    <row r="76">
      <c r="A76">
        <f>74</f>
        <v/>
      </c>
      <c r="B76">
        <f>INDEX('Draft Engine'!$B$87:$B$160,$N76)</f>
        <v/>
      </c>
      <c r="C76" s="4">
        <f>INDEX('Draft Engine'!$E$87:$E$160,$N76)</f>
        <v/>
      </c>
      <c r="D76">
        <f>IF($C76&gt;=95,"ELITE",IF($C76&gt;=90,"TIER 1",IF($C76&gt;=85,"TIER 2",IF($C76&gt;=80,"TIER 3",IF($C76&gt;=75,"TIER 4",IF($C76&gt;=70,"TIER 5",IF($C76&gt;=65,"TIER 6","TIER 7")))))))</f>
        <v/>
      </c>
      <c r="E76">
        <f>INDEX('Draft Engine'!$G$87:$G$160,$N76)</f>
        <v/>
      </c>
      <c r="F76">
        <f>INDEX('Draft Engine'!$J$87:$J$160,$N76)</f>
        <v/>
      </c>
      <c r="G76">
        <f>INDEX('Draft Engine'!$N$87:$N$160,$N76)</f>
        <v/>
      </c>
      <c r="H76">
        <f>INDEX('Draft Engine'!$Q$87:$Q$160,$N76)</f>
        <v/>
      </c>
      <c r="I76">
        <f>INDEX('Draft Engine'!$R$87:$R$160,$N76)</f>
        <v/>
      </c>
      <c r="J76">
        <f>INDEX('Draft Engine'!$S$87:$S$160,$N76)</f>
        <v/>
      </c>
      <c r="K76">
        <f>INDEX('Draft Engine'!$T$87:$T$160,$N76)</f>
        <v/>
      </c>
      <c r="L76">
        <f>INDEX('LIVE SOURCE'!$H$87:$H$160,$N76)</f>
        <v/>
      </c>
      <c r="M76">
        <f>INDEX('LIVE SOURCE'!$J$87:$J$160,$N76)</f>
        <v/>
      </c>
      <c r="N76" s="6">
        <f>MATCH($A76,'Draft Engine'!$F$87:$F$160,0)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9D18E"/>
    <outlinePr summaryBelow="1" summaryRight="1"/>
    <pageSetUpPr/>
  </sheetPr>
  <dimension ref="A1:N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9" customWidth="1" min="4" max="4"/>
    <col width="10" customWidth="1" min="5" max="5"/>
    <col width="8" customWidth="1" min="6" max="6"/>
    <col width="11" customWidth="1" min="7" max="7"/>
    <col width="11" customWidth="1" min="8" max="8"/>
    <col width="10" customWidth="1" min="9" max="9"/>
    <col width="9" customWidth="1" min="10" max="10"/>
    <col width="10" customWidth="1" min="11" max="11"/>
    <col width="55" customWidth="1" min="12" max="12"/>
    <col width="50" customWidth="1" min="13" max="13"/>
    <col width="6" customWidth="1" min="14" max="14"/>
  </cols>
  <sheetData>
    <row r="1">
      <c r="A1" s="1" t="inlineStr">
        <is>
          <t>2026 TE: final rankings, live.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Adj Rating</t>
        </is>
      </c>
      <c r="D2" s="3" t="inlineStr">
        <is>
          <t>Tier</t>
        </is>
      </c>
      <c r="E2" s="3" t="inlineStr">
        <is>
          <t>Proj Points</t>
        </is>
      </c>
      <c r="F2" s="3" t="inlineStr">
        <is>
          <t>VORP</t>
        </is>
      </c>
      <c r="G2" s="3" t="inlineStr">
        <is>
          <t>Draft Score</t>
        </is>
      </c>
      <c r="H2" s="3" t="inlineStr">
        <is>
          <t>Overall Rank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2026 Expectation</t>
        </is>
      </c>
      <c r="M2" s="3" t="inlineStr">
        <is>
          <t>Main Risk</t>
        </is>
      </c>
      <c r="N2" s="3" t="inlineStr">
        <is>
          <t>Src</t>
        </is>
      </c>
    </row>
    <row r="3">
      <c r="A3">
        <f>1</f>
        <v/>
      </c>
      <c r="B3">
        <f>INDEX('Draft Engine'!$B$161:$B$188,$N3)</f>
        <v/>
      </c>
      <c r="C3" s="4">
        <f>INDEX('Draft Engine'!$E$161:$E$188,$N3)</f>
        <v/>
      </c>
      <c r="D3">
        <f>IF($C3&gt;=95,"ELITE",IF($C3&gt;=90,"TIER 1",IF($C3&gt;=85,"TIER 2",IF($C3&gt;=80,"TIER 3",IF($C3&gt;=75,"TIER 4",IF($C3&gt;=70,"TIER 5",IF($C3&gt;=65,"TIER 6","TIER 7")))))))</f>
        <v/>
      </c>
      <c r="E3">
        <f>INDEX('Draft Engine'!$G$161:$G$188,$N3)</f>
        <v/>
      </c>
      <c r="F3">
        <f>INDEX('Draft Engine'!$J$161:$J$188,$N3)</f>
        <v/>
      </c>
      <c r="G3">
        <f>INDEX('Draft Engine'!$N$161:$N$188,$N3)</f>
        <v/>
      </c>
      <c r="H3">
        <f>INDEX('Draft Engine'!$Q$161:$Q$188,$N3)</f>
        <v/>
      </c>
      <c r="I3">
        <f>INDEX('Draft Engine'!$R$161:$R$188,$N3)</f>
        <v/>
      </c>
      <c r="J3">
        <f>INDEX('Draft Engine'!$S$161:$S$188,$N3)</f>
        <v/>
      </c>
      <c r="K3">
        <f>INDEX('Draft Engine'!$T$161:$T$188,$N3)</f>
        <v/>
      </c>
      <c r="L3">
        <f>INDEX('LIVE SOURCE'!$H$161:$H$188,$N3)</f>
        <v/>
      </c>
      <c r="M3">
        <f>INDEX('LIVE SOURCE'!$J$161:$J$188,$N3)</f>
        <v/>
      </c>
      <c r="N3" s="6">
        <f>MATCH($A3,'Draft Engine'!$F$161:$F$188,0)</f>
        <v/>
      </c>
    </row>
    <row r="4">
      <c r="A4">
        <f>2</f>
        <v/>
      </c>
      <c r="B4">
        <f>INDEX('Draft Engine'!$B$161:$B$188,$N4)</f>
        <v/>
      </c>
      <c r="C4" s="4">
        <f>INDEX('Draft Engine'!$E$161:$E$188,$N4)</f>
        <v/>
      </c>
      <c r="D4">
        <f>IF($C4&gt;=95,"ELITE",IF($C4&gt;=90,"TIER 1",IF($C4&gt;=85,"TIER 2",IF($C4&gt;=80,"TIER 3",IF($C4&gt;=75,"TIER 4",IF($C4&gt;=70,"TIER 5",IF($C4&gt;=65,"TIER 6","TIER 7")))))))</f>
        <v/>
      </c>
      <c r="E4">
        <f>INDEX('Draft Engine'!$G$161:$G$188,$N4)</f>
        <v/>
      </c>
      <c r="F4">
        <f>INDEX('Draft Engine'!$J$161:$J$188,$N4)</f>
        <v/>
      </c>
      <c r="G4">
        <f>INDEX('Draft Engine'!$N$161:$N$188,$N4)</f>
        <v/>
      </c>
      <c r="H4">
        <f>INDEX('Draft Engine'!$Q$161:$Q$188,$N4)</f>
        <v/>
      </c>
      <c r="I4">
        <f>INDEX('Draft Engine'!$R$161:$R$188,$N4)</f>
        <v/>
      </c>
      <c r="J4">
        <f>INDEX('Draft Engine'!$S$161:$S$188,$N4)</f>
        <v/>
      </c>
      <c r="K4">
        <f>INDEX('Draft Engine'!$T$161:$T$188,$N4)</f>
        <v/>
      </c>
      <c r="L4">
        <f>INDEX('LIVE SOURCE'!$H$161:$H$188,$N4)</f>
        <v/>
      </c>
      <c r="M4">
        <f>INDEX('LIVE SOURCE'!$J$161:$J$188,$N4)</f>
        <v/>
      </c>
      <c r="N4" s="6">
        <f>MATCH($A4,'Draft Engine'!$F$161:$F$188,0)</f>
        <v/>
      </c>
    </row>
    <row r="5">
      <c r="A5">
        <f>3</f>
        <v/>
      </c>
      <c r="B5">
        <f>INDEX('Draft Engine'!$B$161:$B$188,$N5)</f>
        <v/>
      </c>
      <c r="C5" s="4">
        <f>INDEX('Draft Engine'!$E$161:$E$188,$N5)</f>
        <v/>
      </c>
      <c r="D5">
        <f>IF($C5&gt;=95,"ELITE",IF($C5&gt;=90,"TIER 1",IF($C5&gt;=85,"TIER 2",IF($C5&gt;=80,"TIER 3",IF($C5&gt;=75,"TIER 4",IF($C5&gt;=70,"TIER 5",IF($C5&gt;=65,"TIER 6","TIER 7")))))))</f>
        <v/>
      </c>
      <c r="E5">
        <f>INDEX('Draft Engine'!$G$161:$G$188,$N5)</f>
        <v/>
      </c>
      <c r="F5">
        <f>INDEX('Draft Engine'!$J$161:$J$188,$N5)</f>
        <v/>
      </c>
      <c r="G5">
        <f>INDEX('Draft Engine'!$N$161:$N$188,$N5)</f>
        <v/>
      </c>
      <c r="H5">
        <f>INDEX('Draft Engine'!$Q$161:$Q$188,$N5)</f>
        <v/>
      </c>
      <c r="I5">
        <f>INDEX('Draft Engine'!$R$161:$R$188,$N5)</f>
        <v/>
      </c>
      <c r="J5">
        <f>INDEX('Draft Engine'!$S$161:$S$188,$N5)</f>
        <v/>
      </c>
      <c r="K5">
        <f>INDEX('Draft Engine'!$T$161:$T$188,$N5)</f>
        <v/>
      </c>
      <c r="L5">
        <f>INDEX('LIVE SOURCE'!$H$161:$H$188,$N5)</f>
        <v/>
      </c>
      <c r="M5">
        <f>INDEX('LIVE SOURCE'!$J$161:$J$188,$N5)</f>
        <v/>
      </c>
      <c r="N5" s="6">
        <f>MATCH($A5,'Draft Engine'!$F$161:$F$188,0)</f>
        <v/>
      </c>
    </row>
    <row r="6">
      <c r="A6">
        <f>4</f>
        <v/>
      </c>
      <c r="B6">
        <f>INDEX('Draft Engine'!$B$161:$B$188,$N6)</f>
        <v/>
      </c>
      <c r="C6" s="4">
        <f>INDEX('Draft Engine'!$E$161:$E$188,$N6)</f>
        <v/>
      </c>
      <c r="D6">
        <f>IF($C6&gt;=95,"ELITE",IF($C6&gt;=90,"TIER 1",IF($C6&gt;=85,"TIER 2",IF($C6&gt;=80,"TIER 3",IF($C6&gt;=75,"TIER 4",IF($C6&gt;=70,"TIER 5",IF($C6&gt;=65,"TIER 6","TIER 7")))))))</f>
        <v/>
      </c>
      <c r="E6">
        <f>INDEX('Draft Engine'!$G$161:$G$188,$N6)</f>
        <v/>
      </c>
      <c r="F6">
        <f>INDEX('Draft Engine'!$J$161:$J$188,$N6)</f>
        <v/>
      </c>
      <c r="G6">
        <f>INDEX('Draft Engine'!$N$161:$N$188,$N6)</f>
        <v/>
      </c>
      <c r="H6">
        <f>INDEX('Draft Engine'!$Q$161:$Q$188,$N6)</f>
        <v/>
      </c>
      <c r="I6">
        <f>INDEX('Draft Engine'!$R$161:$R$188,$N6)</f>
        <v/>
      </c>
      <c r="J6">
        <f>INDEX('Draft Engine'!$S$161:$S$188,$N6)</f>
        <v/>
      </c>
      <c r="K6">
        <f>INDEX('Draft Engine'!$T$161:$T$188,$N6)</f>
        <v/>
      </c>
      <c r="L6">
        <f>INDEX('LIVE SOURCE'!$H$161:$H$188,$N6)</f>
        <v/>
      </c>
      <c r="M6">
        <f>INDEX('LIVE SOURCE'!$J$161:$J$188,$N6)</f>
        <v/>
      </c>
      <c r="N6" s="6">
        <f>MATCH($A6,'Draft Engine'!$F$161:$F$188,0)</f>
        <v/>
      </c>
    </row>
    <row r="7">
      <c r="A7">
        <f>5</f>
        <v/>
      </c>
      <c r="B7">
        <f>INDEX('Draft Engine'!$B$161:$B$188,$N7)</f>
        <v/>
      </c>
      <c r="C7" s="4">
        <f>INDEX('Draft Engine'!$E$161:$E$188,$N7)</f>
        <v/>
      </c>
      <c r="D7">
        <f>IF($C7&gt;=95,"ELITE",IF($C7&gt;=90,"TIER 1",IF($C7&gt;=85,"TIER 2",IF($C7&gt;=80,"TIER 3",IF($C7&gt;=75,"TIER 4",IF($C7&gt;=70,"TIER 5",IF($C7&gt;=65,"TIER 6","TIER 7")))))))</f>
        <v/>
      </c>
      <c r="E7">
        <f>INDEX('Draft Engine'!$G$161:$G$188,$N7)</f>
        <v/>
      </c>
      <c r="F7">
        <f>INDEX('Draft Engine'!$J$161:$J$188,$N7)</f>
        <v/>
      </c>
      <c r="G7">
        <f>INDEX('Draft Engine'!$N$161:$N$188,$N7)</f>
        <v/>
      </c>
      <c r="H7">
        <f>INDEX('Draft Engine'!$Q$161:$Q$188,$N7)</f>
        <v/>
      </c>
      <c r="I7">
        <f>INDEX('Draft Engine'!$R$161:$R$188,$N7)</f>
        <v/>
      </c>
      <c r="J7">
        <f>INDEX('Draft Engine'!$S$161:$S$188,$N7)</f>
        <v/>
      </c>
      <c r="K7">
        <f>INDEX('Draft Engine'!$T$161:$T$188,$N7)</f>
        <v/>
      </c>
      <c r="L7">
        <f>INDEX('LIVE SOURCE'!$H$161:$H$188,$N7)</f>
        <v/>
      </c>
      <c r="M7">
        <f>INDEX('LIVE SOURCE'!$J$161:$J$188,$N7)</f>
        <v/>
      </c>
      <c r="N7" s="6">
        <f>MATCH($A7,'Draft Engine'!$F$161:$F$188,0)</f>
        <v/>
      </c>
    </row>
    <row r="8">
      <c r="A8">
        <f>6</f>
        <v/>
      </c>
      <c r="B8">
        <f>INDEX('Draft Engine'!$B$161:$B$188,$N8)</f>
        <v/>
      </c>
      <c r="C8" s="4">
        <f>INDEX('Draft Engine'!$E$161:$E$188,$N8)</f>
        <v/>
      </c>
      <c r="D8">
        <f>IF($C8&gt;=95,"ELITE",IF($C8&gt;=90,"TIER 1",IF($C8&gt;=85,"TIER 2",IF($C8&gt;=80,"TIER 3",IF($C8&gt;=75,"TIER 4",IF($C8&gt;=70,"TIER 5",IF($C8&gt;=65,"TIER 6","TIER 7")))))))</f>
        <v/>
      </c>
      <c r="E8">
        <f>INDEX('Draft Engine'!$G$161:$G$188,$N8)</f>
        <v/>
      </c>
      <c r="F8">
        <f>INDEX('Draft Engine'!$J$161:$J$188,$N8)</f>
        <v/>
      </c>
      <c r="G8">
        <f>INDEX('Draft Engine'!$N$161:$N$188,$N8)</f>
        <v/>
      </c>
      <c r="H8">
        <f>INDEX('Draft Engine'!$Q$161:$Q$188,$N8)</f>
        <v/>
      </c>
      <c r="I8">
        <f>INDEX('Draft Engine'!$R$161:$R$188,$N8)</f>
        <v/>
      </c>
      <c r="J8">
        <f>INDEX('Draft Engine'!$S$161:$S$188,$N8)</f>
        <v/>
      </c>
      <c r="K8">
        <f>INDEX('Draft Engine'!$T$161:$T$188,$N8)</f>
        <v/>
      </c>
      <c r="L8">
        <f>INDEX('LIVE SOURCE'!$H$161:$H$188,$N8)</f>
        <v/>
      </c>
      <c r="M8">
        <f>INDEX('LIVE SOURCE'!$J$161:$J$188,$N8)</f>
        <v/>
      </c>
      <c r="N8" s="6">
        <f>MATCH($A8,'Draft Engine'!$F$161:$F$188,0)</f>
        <v/>
      </c>
    </row>
    <row r="9">
      <c r="A9">
        <f>7</f>
        <v/>
      </c>
      <c r="B9">
        <f>INDEX('Draft Engine'!$B$161:$B$188,$N9)</f>
        <v/>
      </c>
      <c r="C9" s="4">
        <f>INDEX('Draft Engine'!$E$161:$E$188,$N9)</f>
        <v/>
      </c>
      <c r="D9">
        <f>IF($C9&gt;=95,"ELITE",IF($C9&gt;=90,"TIER 1",IF($C9&gt;=85,"TIER 2",IF($C9&gt;=80,"TIER 3",IF($C9&gt;=75,"TIER 4",IF($C9&gt;=70,"TIER 5",IF($C9&gt;=65,"TIER 6","TIER 7")))))))</f>
        <v/>
      </c>
      <c r="E9">
        <f>INDEX('Draft Engine'!$G$161:$G$188,$N9)</f>
        <v/>
      </c>
      <c r="F9">
        <f>INDEX('Draft Engine'!$J$161:$J$188,$N9)</f>
        <v/>
      </c>
      <c r="G9">
        <f>INDEX('Draft Engine'!$N$161:$N$188,$N9)</f>
        <v/>
      </c>
      <c r="H9">
        <f>INDEX('Draft Engine'!$Q$161:$Q$188,$N9)</f>
        <v/>
      </c>
      <c r="I9">
        <f>INDEX('Draft Engine'!$R$161:$R$188,$N9)</f>
        <v/>
      </c>
      <c r="J9">
        <f>INDEX('Draft Engine'!$S$161:$S$188,$N9)</f>
        <v/>
      </c>
      <c r="K9">
        <f>INDEX('Draft Engine'!$T$161:$T$188,$N9)</f>
        <v/>
      </c>
      <c r="L9">
        <f>INDEX('LIVE SOURCE'!$H$161:$H$188,$N9)</f>
        <v/>
      </c>
      <c r="M9">
        <f>INDEX('LIVE SOURCE'!$J$161:$J$188,$N9)</f>
        <v/>
      </c>
      <c r="N9" s="6">
        <f>MATCH($A9,'Draft Engine'!$F$161:$F$188,0)</f>
        <v/>
      </c>
    </row>
    <row r="10">
      <c r="A10">
        <f>8</f>
        <v/>
      </c>
      <c r="B10">
        <f>INDEX('Draft Engine'!$B$161:$B$188,$N10)</f>
        <v/>
      </c>
      <c r="C10" s="4">
        <f>INDEX('Draft Engine'!$E$161:$E$188,$N10)</f>
        <v/>
      </c>
      <c r="D10">
        <f>IF($C10&gt;=95,"ELITE",IF($C10&gt;=90,"TIER 1",IF($C10&gt;=85,"TIER 2",IF($C10&gt;=80,"TIER 3",IF($C10&gt;=75,"TIER 4",IF($C10&gt;=70,"TIER 5",IF($C10&gt;=65,"TIER 6","TIER 7")))))))</f>
        <v/>
      </c>
      <c r="E10">
        <f>INDEX('Draft Engine'!$G$161:$G$188,$N10)</f>
        <v/>
      </c>
      <c r="F10">
        <f>INDEX('Draft Engine'!$J$161:$J$188,$N10)</f>
        <v/>
      </c>
      <c r="G10">
        <f>INDEX('Draft Engine'!$N$161:$N$188,$N10)</f>
        <v/>
      </c>
      <c r="H10">
        <f>INDEX('Draft Engine'!$Q$161:$Q$188,$N10)</f>
        <v/>
      </c>
      <c r="I10">
        <f>INDEX('Draft Engine'!$R$161:$R$188,$N10)</f>
        <v/>
      </c>
      <c r="J10">
        <f>INDEX('Draft Engine'!$S$161:$S$188,$N10)</f>
        <v/>
      </c>
      <c r="K10">
        <f>INDEX('Draft Engine'!$T$161:$T$188,$N10)</f>
        <v/>
      </c>
      <c r="L10">
        <f>INDEX('LIVE SOURCE'!$H$161:$H$188,$N10)</f>
        <v/>
      </c>
      <c r="M10">
        <f>INDEX('LIVE SOURCE'!$J$161:$J$188,$N10)</f>
        <v/>
      </c>
      <c r="N10" s="6">
        <f>MATCH($A10,'Draft Engine'!$F$161:$F$188,0)</f>
        <v/>
      </c>
    </row>
    <row r="11">
      <c r="A11">
        <f>9</f>
        <v/>
      </c>
      <c r="B11">
        <f>INDEX('Draft Engine'!$B$161:$B$188,$N11)</f>
        <v/>
      </c>
      <c r="C11" s="4">
        <f>INDEX('Draft Engine'!$E$161:$E$188,$N11)</f>
        <v/>
      </c>
      <c r="D11">
        <f>IF($C11&gt;=95,"ELITE",IF($C11&gt;=90,"TIER 1",IF($C11&gt;=85,"TIER 2",IF($C11&gt;=80,"TIER 3",IF($C11&gt;=75,"TIER 4",IF($C11&gt;=70,"TIER 5",IF($C11&gt;=65,"TIER 6","TIER 7")))))))</f>
        <v/>
      </c>
      <c r="E11">
        <f>INDEX('Draft Engine'!$G$161:$G$188,$N11)</f>
        <v/>
      </c>
      <c r="F11">
        <f>INDEX('Draft Engine'!$J$161:$J$188,$N11)</f>
        <v/>
      </c>
      <c r="G11">
        <f>INDEX('Draft Engine'!$N$161:$N$188,$N11)</f>
        <v/>
      </c>
      <c r="H11">
        <f>INDEX('Draft Engine'!$Q$161:$Q$188,$N11)</f>
        <v/>
      </c>
      <c r="I11">
        <f>INDEX('Draft Engine'!$R$161:$R$188,$N11)</f>
        <v/>
      </c>
      <c r="J11">
        <f>INDEX('Draft Engine'!$S$161:$S$188,$N11)</f>
        <v/>
      </c>
      <c r="K11">
        <f>INDEX('Draft Engine'!$T$161:$T$188,$N11)</f>
        <v/>
      </c>
      <c r="L11">
        <f>INDEX('LIVE SOURCE'!$H$161:$H$188,$N11)</f>
        <v/>
      </c>
      <c r="M11">
        <f>INDEX('LIVE SOURCE'!$J$161:$J$188,$N11)</f>
        <v/>
      </c>
      <c r="N11" s="6">
        <f>MATCH($A11,'Draft Engine'!$F$161:$F$188,0)</f>
        <v/>
      </c>
    </row>
    <row r="12">
      <c r="A12">
        <f>10</f>
        <v/>
      </c>
      <c r="B12">
        <f>INDEX('Draft Engine'!$B$161:$B$188,$N12)</f>
        <v/>
      </c>
      <c r="C12" s="4">
        <f>INDEX('Draft Engine'!$E$161:$E$188,$N12)</f>
        <v/>
      </c>
      <c r="D12">
        <f>IF($C12&gt;=95,"ELITE",IF($C12&gt;=90,"TIER 1",IF($C12&gt;=85,"TIER 2",IF($C12&gt;=80,"TIER 3",IF($C12&gt;=75,"TIER 4",IF($C12&gt;=70,"TIER 5",IF($C12&gt;=65,"TIER 6","TIER 7")))))))</f>
        <v/>
      </c>
      <c r="E12">
        <f>INDEX('Draft Engine'!$G$161:$G$188,$N12)</f>
        <v/>
      </c>
      <c r="F12">
        <f>INDEX('Draft Engine'!$J$161:$J$188,$N12)</f>
        <v/>
      </c>
      <c r="G12">
        <f>INDEX('Draft Engine'!$N$161:$N$188,$N12)</f>
        <v/>
      </c>
      <c r="H12">
        <f>INDEX('Draft Engine'!$Q$161:$Q$188,$N12)</f>
        <v/>
      </c>
      <c r="I12">
        <f>INDEX('Draft Engine'!$R$161:$R$188,$N12)</f>
        <v/>
      </c>
      <c r="J12">
        <f>INDEX('Draft Engine'!$S$161:$S$188,$N12)</f>
        <v/>
      </c>
      <c r="K12">
        <f>INDEX('Draft Engine'!$T$161:$T$188,$N12)</f>
        <v/>
      </c>
      <c r="L12">
        <f>INDEX('LIVE SOURCE'!$H$161:$H$188,$N12)</f>
        <v/>
      </c>
      <c r="M12">
        <f>INDEX('LIVE SOURCE'!$J$161:$J$188,$N12)</f>
        <v/>
      </c>
      <c r="N12" s="6">
        <f>MATCH($A12,'Draft Engine'!$F$161:$F$188,0)</f>
        <v/>
      </c>
    </row>
    <row r="13">
      <c r="A13">
        <f>11</f>
        <v/>
      </c>
      <c r="B13">
        <f>INDEX('Draft Engine'!$B$161:$B$188,$N13)</f>
        <v/>
      </c>
      <c r="C13" s="4">
        <f>INDEX('Draft Engine'!$E$161:$E$188,$N13)</f>
        <v/>
      </c>
      <c r="D13">
        <f>IF($C13&gt;=95,"ELITE",IF($C13&gt;=90,"TIER 1",IF($C13&gt;=85,"TIER 2",IF($C13&gt;=80,"TIER 3",IF($C13&gt;=75,"TIER 4",IF($C13&gt;=70,"TIER 5",IF($C13&gt;=65,"TIER 6","TIER 7")))))))</f>
        <v/>
      </c>
      <c r="E13">
        <f>INDEX('Draft Engine'!$G$161:$G$188,$N13)</f>
        <v/>
      </c>
      <c r="F13">
        <f>INDEX('Draft Engine'!$J$161:$J$188,$N13)</f>
        <v/>
      </c>
      <c r="G13">
        <f>INDEX('Draft Engine'!$N$161:$N$188,$N13)</f>
        <v/>
      </c>
      <c r="H13">
        <f>INDEX('Draft Engine'!$Q$161:$Q$188,$N13)</f>
        <v/>
      </c>
      <c r="I13">
        <f>INDEX('Draft Engine'!$R$161:$R$188,$N13)</f>
        <v/>
      </c>
      <c r="J13">
        <f>INDEX('Draft Engine'!$S$161:$S$188,$N13)</f>
        <v/>
      </c>
      <c r="K13">
        <f>INDEX('Draft Engine'!$T$161:$T$188,$N13)</f>
        <v/>
      </c>
      <c r="L13">
        <f>INDEX('LIVE SOURCE'!$H$161:$H$188,$N13)</f>
        <v/>
      </c>
      <c r="M13">
        <f>INDEX('LIVE SOURCE'!$J$161:$J$188,$N13)</f>
        <v/>
      </c>
      <c r="N13" s="6">
        <f>MATCH($A13,'Draft Engine'!$F$161:$F$188,0)</f>
        <v/>
      </c>
    </row>
    <row r="14">
      <c r="A14">
        <f>12</f>
        <v/>
      </c>
      <c r="B14">
        <f>INDEX('Draft Engine'!$B$161:$B$188,$N14)</f>
        <v/>
      </c>
      <c r="C14" s="4">
        <f>INDEX('Draft Engine'!$E$161:$E$188,$N14)</f>
        <v/>
      </c>
      <c r="D14">
        <f>IF($C14&gt;=95,"ELITE",IF($C14&gt;=90,"TIER 1",IF($C14&gt;=85,"TIER 2",IF($C14&gt;=80,"TIER 3",IF($C14&gt;=75,"TIER 4",IF($C14&gt;=70,"TIER 5",IF($C14&gt;=65,"TIER 6","TIER 7")))))))</f>
        <v/>
      </c>
      <c r="E14">
        <f>INDEX('Draft Engine'!$G$161:$G$188,$N14)</f>
        <v/>
      </c>
      <c r="F14">
        <f>INDEX('Draft Engine'!$J$161:$J$188,$N14)</f>
        <v/>
      </c>
      <c r="G14">
        <f>INDEX('Draft Engine'!$N$161:$N$188,$N14)</f>
        <v/>
      </c>
      <c r="H14">
        <f>INDEX('Draft Engine'!$Q$161:$Q$188,$N14)</f>
        <v/>
      </c>
      <c r="I14">
        <f>INDEX('Draft Engine'!$R$161:$R$188,$N14)</f>
        <v/>
      </c>
      <c r="J14">
        <f>INDEX('Draft Engine'!$S$161:$S$188,$N14)</f>
        <v/>
      </c>
      <c r="K14">
        <f>INDEX('Draft Engine'!$T$161:$T$188,$N14)</f>
        <v/>
      </c>
      <c r="L14">
        <f>INDEX('LIVE SOURCE'!$H$161:$H$188,$N14)</f>
        <v/>
      </c>
      <c r="M14">
        <f>INDEX('LIVE SOURCE'!$J$161:$J$188,$N14)</f>
        <v/>
      </c>
      <c r="N14" s="6">
        <f>MATCH($A14,'Draft Engine'!$F$161:$F$188,0)</f>
        <v/>
      </c>
    </row>
    <row r="15">
      <c r="A15">
        <f>13</f>
        <v/>
      </c>
      <c r="B15">
        <f>INDEX('Draft Engine'!$B$161:$B$188,$N15)</f>
        <v/>
      </c>
      <c r="C15" s="4">
        <f>INDEX('Draft Engine'!$E$161:$E$188,$N15)</f>
        <v/>
      </c>
      <c r="D15">
        <f>IF($C15&gt;=95,"ELITE",IF($C15&gt;=90,"TIER 1",IF($C15&gt;=85,"TIER 2",IF($C15&gt;=80,"TIER 3",IF($C15&gt;=75,"TIER 4",IF($C15&gt;=70,"TIER 5",IF($C15&gt;=65,"TIER 6","TIER 7")))))))</f>
        <v/>
      </c>
      <c r="E15">
        <f>INDEX('Draft Engine'!$G$161:$G$188,$N15)</f>
        <v/>
      </c>
      <c r="F15">
        <f>INDEX('Draft Engine'!$J$161:$J$188,$N15)</f>
        <v/>
      </c>
      <c r="G15">
        <f>INDEX('Draft Engine'!$N$161:$N$188,$N15)</f>
        <v/>
      </c>
      <c r="H15">
        <f>INDEX('Draft Engine'!$Q$161:$Q$188,$N15)</f>
        <v/>
      </c>
      <c r="I15">
        <f>INDEX('Draft Engine'!$R$161:$R$188,$N15)</f>
        <v/>
      </c>
      <c r="J15">
        <f>INDEX('Draft Engine'!$S$161:$S$188,$N15)</f>
        <v/>
      </c>
      <c r="K15">
        <f>INDEX('Draft Engine'!$T$161:$T$188,$N15)</f>
        <v/>
      </c>
      <c r="L15">
        <f>INDEX('LIVE SOURCE'!$H$161:$H$188,$N15)</f>
        <v/>
      </c>
      <c r="M15">
        <f>INDEX('LIVE SOURCE'!$J$161:$J$188,$N15)</f>
        <v/>
      </c>
      <c r="N15" s="6">
        <f>MATCH($A15,'Draft Engine'!$F$161:$F$188,0)</f>
        <v/>
      </c>
    </row>
    <row r="16">
      <c r="A16">
        <f>14</f>
        <v/>
      </c>
      <c r="B16">
        <f>INDEX('Draft Engine'!$B$161:$B$188,$N16)</f>
        <v/>
      </c>
      <c r="C16" s="4">
        <f>INDEX('Draft Engine'!$E$161:$E$188,$N16)</f>
        <v/>
      </c>
      <c r="D16">
        <f>IF($C16&gt;=95,"ELITE",IF($C16&gt;=90,"TIER 1",IF($C16&gt;=85,"TIER 2",IF($C16&gt;=80,"TIER 3",IF($C16&gt;=75,"TIER 4",IF($C16&gt;=70,"TIER 5",IF($C16&gt;=65,"TIER 6","TIER 7")))))))</f>
        <v/>
      </c>
      <c r="E16">
        <f>INDEX('Draft Engine'!$G$161:$G$188,$N16)</f>
        <v/>
      </c>
      <c r="F16">
        <f>INDEX('Draft Engine'!$J$161:$J$188,$N16)</f>
        <v/>
      </c>
      <c r="G16">
        <f>INDEX('Draft Engine'!$N$161:$N$188,$N16)</f>
        <v/>
      </c>
      <c r="H16">
        <f>INDEX('Draft Engine'!$Q$161:$Q$188,$N16)</f>
        <v/>
      </c>
      <c r="I16">
        <f>INDEX('Draft Engine'!$R$161:$R$188,$N16)</f>
        <v/>
      </c>
      <c r="J16">
        <f>INDEX('Draft Engine'!$S$161:$S$188,$N16)</f>
        <v/>
      </c>
      <c r="K16">
        <f>INDEX('Draft Engine'!$T$161:$T$188,$N16)</f>
        <v/>
      </c>
      <c r="L16">
        <f>INDEX('LIVE SOURCE'!$H$161:$H$188,$N16)</f>
        <v/>
      </c>
      <c r="M16">
        <f>INDEX('LIVE SOURCE'!$J$161:$J$188,$N16)</f>
        <v/>
      </c>
      <c r="N16" s="6">
        <f>MATCH($A16,'Draft Engine'!$F$161:$F$188,0)</f>
        <v/>
      </c>
    </row>
    <row r="17">
      <c r="A17">
        <f>15</f>
        <v/>
      </c>
      <c r="B17">
        <f>INDEX('Draft Engine'!$B$161:$B$188,$N17)</f>
        <v/>
      </c>
      <c r="C17" s="4">
        <f>INDEX('Draft Engine'!$E$161:$E$188,$N17)</f>
        <v/>
      </c>
      <c r="D17">
        <f>IF($C17&gt;=95,"ELITE",IF($C17&gt;=90,"TIER 1",IF($C17&gt;=85,"TIER 2",IF($C17&gt;=80,"TIER 3",IF($C17&gt;=75,"TIER 4",IF($C17&gt;=70,"TIER 5",IF($C17&gt;=65,"TIER 6","TIER 7")))))))</f>
        <v/>
      </c>
      <c r="E17">
        <f>INDEX('Draft Engine'!$G$161:$G$188,$N17)</f>
        <v/>
      </c>
      <c r="F17">
        <f>INDEX('Draft Engine'!$J$161:$J$188,$N17)</f>
        <v/>
      </c>
      <c r="G17">
        <f>INDEX('Draft Engine'!$N$161:$N$188,$N17)</f>
        <v/>
      </c>
      <c r="H17">
        <f>INDEX('Draft Engine'!$Q$161:$Q$188,$N17)</f>
        <v/>
      </c>
      <c r="I17">
        <f>INDEX('Draft Engine'!$R$161:$R$188,$N17)</f>
        <v/>
      </c>
      <c r="J17">
        <f>INDEX('Draft Engine'!$S$161:$S$188,$N17)</f>
        <v/>
      </c>
      <c r="K17">
        <f>INDEX('Draft Engine'!$T$161:$T$188,$N17)</f>
        <v/>
      </c>
      <c r="L17">
        <f>INDEX('LIVE SOURCE'!$H$161:$H$188,$N17)</f>
        <v/>
      </c>
      <c r="M17">
        <f>INDEX('LIVE SOURCE'!$J$161:$J$188,$N17)</f>
        <v/>
      </c>
      <c r="N17" s="6">
        <f>MATCH($A17,'Draft Engine'!$F$161:$F$188,0)</f>
        <v/>
      </c>
    </row>
    <row r="18">
      <c r="A18">
        <f>16</f>
        <v/>
      </c>
      <c r="B18">
        <f>INDEX('Draft Engine'!$B$161:$B$188,$N18)</f>
        <v/>
      </c>
      <c r="C18" s="4">
        <f>INDEX('Draft Engine'!$E$161:$E$188,$N18)</f>
        <v/>
      </c>
      <c r="D18">
        <f>IF($C18&gt;=95,"ELITE",IF($C18&gt;=90,"TIER 1",IF($C18&gt;=85,"TIER 2",IF($C18&gt;=80,"TIER 3",IF($C18&gt;=75,"TIER 4",IF($C18&gt;=70,"TIER 5",IF($C18&gt;=65,"TIER 6","TIER 7")))))))</f>
        <v/>
      </c>
      <c r="E18">
        <f>INDEX('Draft Engine'!$G$161:$G$188,$N18)</f>
        <v/>
      </c>
      <c r="F18">
        <f>INDEX('Draft Engine'!$J$161:$J$188,$N18)</f>
        <v/>
      </c>
      <c r="G18">
        <f>INDEX('Draft Engine'!$N$161:$N$188,$N18)</f>
        <v/>
      </c>
      <c r="H18">
        <f>INDEX('Draft Engine'!$Q$161:$Q$188,$N18)</f>
        <v/>
      </c>
      <c r="I18">
        <f>INDEX('Draft Engine'!$R$161:$R$188,$N18)</f>
        <v/>
      </c>
      <c r="J18">
        <f>INDEX('Draft Engine'!$S$161:$S$188,$N18)</f>
        <v/>
      </c>
      <c r="K18">
        <f>INDEX('Draft Engine'!$T$161:$T$188,$N18)</f>
        <v/>
      </c>
      <c r="L18">
        <f>INDEX('LIVE SOURCE'!$H$161:$H$188,$N18)</f>
        <v/>
      </c>
      <c r="M18">
        <f>INDEX('LIVE SOURCE'!$J$161:$J$188,$N18)</f>
        <v/>
      </c>
      <c r="N18" s="6">
        <f>MATCH($A18,'Draft Engine'!$F$161:$F$188,0)</f>
        <v/>
      </c>
    </row>
    <row r="19">
      <c r="A19">
        <f>17</f>
        <v/>
      </c>
      <c r="B19">
        <f>INDEX('Draft Engine'!$B$161:$B$188,$N19)</f>
        <v/>
      </c>
      <c r="C19" s="4">
        <f>INDEX('Draft Engine'!$E$161:$E$188,$N19)</f>
        <v/>
      </c>
      <c r="D19">
        <f>IF($C19&gt;=95,"ELITE",IF($C19&gt;=90,"TIER 1",IF($C19&gt;=85,"TIER 2",IF($C19&gt;=80,"TIER 3",IF($C19&gt;=75,"TIER 4",IF($C19&gt;=70,"TIER 5",IF($C19&gt;=65,"TIER 6","TIER 7")))))))</f>
        <v/>
      </c>
      <c r="E19">
        <f>INDEX('Draft Engine'!$G$161:$G$188,$N19)</f>
        <v/>
      </c>
      <c r="F19">
        <f>INDEX('Draft Engine'!$J$161:$J$188,$N19)</f>
        <v/>
      </c>
      <c r="G19">
        <f>INDEX('Draft Engine'!$N$161:$N$188,$N19)</f>
        <v/>
      </c>
      <c r="H19">
        <f>INDEX('Draft Engine'!$Q$161:$Q$188,$N19)</f>
        <v/>
      </c>
      <c r="I19">
        <f>INDEX('Draft Engine'!$R$161:$R$188,$N19)</f>
        <v/>
      </c>
      <c r="J19">
        <f>INDEX('Draft Engine'!$S$161:$S$188,$N19)</f>
        <v/>
      </c>
      <c r="K19">
        <f>INDEX('Draft Engine'!$T$161:$T$188,$N19)</f>
        <v/>
      </c>
      <c r="L19">
        <f>INDEX('LIVE SOURCE'!$H$161:$H$188,$N19)</f>
        <v/>
      </c>
      <c r="M19">
        <f>INDEX('LIVE SOURCE'!$J$161:$J$188,$N19)</f>
        <v/>
      </c>
      <c r="N19" s="6">
        <f>MATCH($A19,'Draft Engine'!$F$161:$F$188,0)</f>
        <v/>
      </c>
    </row>
    <row r="20">
      <c r="A20">
        <f>18</f>
        <v/>
      </c>
      <c r="B20">
        <f>INDEX('Draft Engine'!$B$161:$B$188,$N20)</f>
        <v/>
      </c>
      <c r="C20" s="4">
        <f>INDEX('Draft Engine'!$E$161:$E$188,$N20)</f>
        <v/>
      </c>
      <c r="D20">
        <f>IF($C20&gt;=95,"ELITE",IF($C20&gt;=90,"TIER 1",IF($C20&gt;=85,"TIER 2",IF($C20&gt;=80,"TIER 3",IF($C20&gt;=75,"TIER 4",IF($C20&gt;=70,"TIER 5",IF($C20&gt;=65,"TIER 6","TIER 7")))))))</f>
        <v/>
      </c>
      <c r="E20">
        <f>INDEX('Draft Engine'!$G$161:$G$188,$N20)</f>
        <v/>
      </c>
      <c r="F20">
        <f>INDEX('Draft Engine'!$J$161:$J$188,$N20)</f>
        <v/>
      </c>
      <c r="G20">
        <f>INDEX('Draft Engine'!$N$161:$N$188,$N20)</f>
        <v/>
      </c>
      <c r="H20">
        <f>INDEX('Draft Engine'!$Q$161:$Q$188,$N20)</f>
        <v/>
      </c>
      <c r="I20">
        <f>INDEX('Draft Engine'!$R$161:$R$188,$N20)</f>
        <v/>
      </c>
      <c r="J20">
        <f>INDEX('Draft Engine'!$S$161:$S$188,$N20)</f>
        <v/>
      </c>
      <c r="K20">
        <f>INDEX('Draft Engine'!$T$161:$T$188,$N20)</f>
        <v/>
      </c>
      <c r="L20">
        <f>INDEX('LIVE SOURCE'!$H$161:$H$188,$N20)</f>
        <v/>
      </c>
      <c r="M20">
        <f>INDEX('LIVE SOURCE'!$J$161:$J$188,$N20)</f>
        <v/>
      </c>
      <c r="N20" s="6">
        <f>MATCH($A20,'Draft Engine'!$F$161:$F$188,0)</f>
        <v/>
      </c>
    </row>
    <row r="21">
      <c r="A21">
        <f>19</f>
        <v/>
      </c>
      <c r="B21">
        <f>INDEX('Draft Engine'!$B$161:$B$188,$N21)</f>
        <v/>
      </c>
      <c r="C21" s="4">
        <f>INDEX('Draft Engine'!$E$161:$E$188,$N21)</f>
        <v/>
      </c>
      <c r="D21">
        <f>IF($C21&gt;=95,"ELITE",IF($C21&gt;=90,"TIER 1",IF($C21&gt;=85,"TIER 2",IF($C21&gt;=80,"TIER 3",IF($C21&gt;=75,"TIER 4",IF($C21&gt;=70,"TIER 5",IF($C21&gt;=65,"TIER 6","TIER 7")))))))</f>
        <v/>
      </c>
      <c r="E21">
        <f>INDEX('Draft Engine'!$G$161:$G$188,$N21)</f>
        <v/>
      </c>
      <c r="F21">
        <f>INDEX('Draft Engine'!$J$161:$J$188,$N21)</f>
        <v/>
      </c>
      <c r="G21">
        <f>INDEX('Draft Engine'!$N$161:$N$188,$N21)</f>
        <v/>
      </c>
      <c r="H21">
        <f>INDEX('Draft Engine'!$Q$161:$Q$188,$N21)</f>
        <v/>
      </c>
      <c r="I21">
        <f>INDEX('Draft Engine'!$R$161:$R$188,$N21)</f>
        <v/>
      </c>
      <c r="J21">
        <f>INDEX('Draft Engine'!$S$161:$S$188,$N21)</f>
        <v/>
      </c>
      <c r="K21">
        <f>INDEX('Draft Engine'!$T$161:$T$188,$N21)</f>
        <v/>
      </c>
      <c r="L21">
        <f>INDEX('LIVE SOURCE'!$H$161:$H$188,$N21)</f>
        <v/>
      </c>
      <c r="M21">
        <f>INDEX('LIVE SOURCE'!$J$161:$J$188,$N21)</f>
        <v/>
      </c>
      <c r="N21" s="6">
        <f>MATCH($A21,'Draft Engine'!$F$161:$F$188,0)</f>
        <v/>
      </c>
    </row>
    <row r="22">
      <c r="A22">
        <f>20</f>
        <v/>
      </c>
      <c r="B22">
        <f>INDEX('Draft Engine'!$B$161:$B$188,$N22)</f>
        <v/>
      </c>
      <c r="C22" s="4">
        <f>INDEX('Draft Engine'!$E$161:$E$188,$N22)</f>
        <v/>
      </c>
      <c r="D22">
        <f>IF($C22&gt;=95,"ELITE",IF($C22&gt;=90,"TIER 1",IF($C22&gt;=85,"TIER 2",IF($C22&gt;=80,"TIER 3",IF($C22&gt;=75,"TIER 4",IF($C22&gt;=70,"TIER 5",IF($C22&gt;=65,"TIER 6","TIER 7")))))))</f>
        <v/>
      </c>
      <c r="E22">
        <f>INDEX('Draft Engine'!$G$161:$G$188,$N22)</f>
        <v/>
      </c>
      <c r="F22">
        <f>INDEX('Draft Engine'!$J$161:$J$188,$N22)</f>
        <v/>
      </c>
      <c r="G22">
        <f>INDEX('Draft Engine'!$N$161:$N$188,$N22)</f>
        <v/>
      </c>
      <c r="H22">
        <f>INDEX('Draft Engine'!$Q$161:$Q$188,$N22)</f>
        <v/>
      </c>
      <c r="I22">
        <f>INDEX('Draft Engine'!$R$161:$R$188,$N22)</f>
        <v/>
      </c>
      <c r="J22">
        <f>INDEX('Draft Engine'!$S$161:$S$188,$N22)</f>
        <v/>
      </c>
      <c r="K22">
        <f>INDEX('Draft Engine'!$T$161:$T$188,$N22)</f>
        <v/>
      </c>
      <c r="L22">
        <f>INDEX('LIVE SOURCE'!$H$161:$H$188,$N22)</f>
        <v/>
      </c>
      <c r="M22">
        <f>INDEX('LIVE SOURCE'!$J$161:$J$188,$N22)</f>
        <v/>
      </c>
      <c r="N22" s="6">
        <f>MATCH($A22,'Draft Engine'!$F$161:$F$188,0)</f>
        <v/>
      </c>
    </row>
    <row r="23">
      <c r="A23">
        <f>21</f>
        <v/>
      </c>
      <c r="B23">
        <f>INDEX('Draft Engine'!$B$161:$B$188,$N23)</f>
        <v/>
      </c>
      <c r="C23" s="4">
        <f>INDEX('Draft Engine'!$E$161:$E$188,$N23)</f>
        <v/>
      </c>
      <c r="D23">
        <f>IF($C23&gt;=95,"ELITE",IF($C23&gt;=90,"TIER 1",IF($C23&gt;=85,"TIER 2",IF($C23&gt;=80,"TIER 3",IF($C23&gt;=75,"TIER 4",IF($C23&gt;=70,"TIER 5",IF($C23&gt;=65,"TIER 6","TIER 7")))))))</f>
        <v/>
      </c>
      <c r="E23">
        <f>INDEX('Draft Engine'!$G$161:$G$188,$N23)</f>
        <v/>
      </c>
      <c r="F23">
        <f>INDEX('Draft Engine'!$J$161:$J$188,$N23)</f>
        <v/>
      </c>
      <c r="G23">
        <f>INDEX('Draft Engine'!$N$161:$N$188,$N23)</f>
        <v/>
      </c>
      <c r="H23">
        <f>INDEX('Draft Engine'!$Q$161:$Q$188,$N23)</f>
        <v/>
      </c>
      <c r="I23">
        <f>INDEX('Draft Engine'!$R$161:$R$188,$N23)</f>
        <v/>
      </c>
      <c r="J23">
        <f>INDEX('Draft Engine'!$S$161:$S$188,$N23)</f>
        <v/>
      </c>
      <c r="K23">
        <f>INDEX('Draft Engine'!$T$161:$T$188,$N23)</f>
        <v/>
      </c>
      <c r="L23">
        <f>INDEX('LIVE SOURCE'!$H$161:$H$188,$N23)</f>
        <v/>
      </c>
      <c r="M23">
        <f>INDEX('LIVE SOURCE'!$J$161:$J$188,$N23)</f>
        <v/>
      </c>
      <c r="N23" s="6">
        <f>MATCH($A23,'Draft Engine'!$F$161:$F$188,0)</f>
        <v/>
      </c>
    </row>
    <row r="24">
      <c r="A24">
        <f>22</f>
        <v/>
      </c>
      <c r="B24">
        <f>INDEX('Draft Engine'!$B$161:$B$188,$N24)</f>
        <v/>
      </c>
      <c r="C24" s="4">
        <f>INDEX('Draft Engine'!$E$161:$E$188,$N24)</f>
        <v/>
      </c>
      <c r="D24">
        <f>IF($C24&gt;=95,"ELITE",IF($C24&gt;=90,"TIER 1",IF($C24&gt;=85,"TIER 2",IF($C24&gt;=80,"TIER 3",IF($C24&gt;=75,"TIER 4",IF($C24&gt;=70,"TIER 5",IF($C24&gt;=65,"TIER 6","TIER 7")))))))</f>
        <v/>
      </c>
      <c r="E24">
        <f>INDEX('Draft Engine'!$G$161:$G$188,$N24)</f>
        <v/>
      </c>
      <c r="F24">
        <f>INDEX('Draft Engine'!$J$161:$J$188,$N24)</f>
        <v/>
      </c>
      <c r="G24">
        <f>INDEX('Draft Engine'!$N$161:$N$188,$N24)</f>
        <v/>
      </c>
      <c r="H24">
        <f>INDEX('Draft Engine'!$Q$161:$Q$188,$N24)</f>
        <v/>
      </c>
      <c r="I24">
        <f>INDEX('Draft Engine'!$R$161:$R$188,$N24)</f>
        <v/>
      </c>
      <c r="J24">
        <f>INDEX('Draft Engine'!$S$161:$S$188,$N24)</f>
        <v/>
      </c>
      <c r="K24">
        <f>INDEX('Draft Engine'!$T$161:$T$188,$N24)</f>
        <v/>
      </c>
      <c r="L24">
        <f>INDEX('LIVE SOURCE'!$H$161:$H$188,$N24)</f>
        <v/>
      </c>
      <c r="M24">
        <f>INDEX('LIVE SOURCE'!$J$161:$J$188,$N24)</f>
        <v/>
      </c>
      <c r="N24" s="6">
        <f>MATCH($A24,'Draft Engine'!$F$161:$F$188,0)</f>
        <v/>
      </c>
    </row>
    <row r="25">
      <c r="A25">
        <f>23</f>
        <v/>
      </c>
      <c r="B25">
        <f>INDEX('Draft Engine'!$B$161:$B$188,$N25)</f>
        <v/>
      </c>
      <c r="C25" s="4">
        <f>INDEX('Draft Engine'!$E$161:$E$188,$N25)</f>
        <v/>
      </c>
      <c r="D25">
        <f>IF($C25&gt;=95,"ELITE",IF($C25&gt;=90,"TIER 1",IF($C25&gt;=85,"TIER 2",IF($C25&gt;=80,"TIER 3",IF($C25&gt;=75,"TIER 4",IF($C25&gt;=70,"TIER 5",IF($C25&gt;=65,"TIER 6","TIER 7")))))))</f>
        <v/>
      </c>
      <c r="E25">
        <f>INDEX('Draft Engine'!$G$161:$G$188,$N25)</f>
        <v/>
      </c>
      <c r="F25">
        <f>INDEX('Draft Engine'!$J$161:$J$188,$N25)</f>
        <v/>
      </c>
      <c r="G25">
        <f>INDEX('Draft Engine'!$N$161:$N$188,$N25)</f>
        <v/>
      </c>
      <c r="H25">
        <f>INDEX('Draft Engine'!$Q$161:$Q$188,$N25)</f>
        <v/>
      </c>
      <c r="I25">
        <f>INDEX('Draft Engine'!$R$161:$R$188,$N25)</f>
        <v/>
      </c>
      <c r="J25">
        <f>INDEX('Draft Engine'!$S$161:$S$188,$N25)</f>
        <v/>
      </c>
      <c r="K25">
        <f>INDEX('Draft Engine'!$T$161:$T$188,$N25)</f>
        <v/>
      </c>
      <c r="L25">
        <f>INDEX('LIVE SOURCE'!$H$161:$H$188,$N25)</f>
        <v/>
      </c>
      <c r="M25">
        <f>INDEX('LIVE SOURCE'!$J$161:$J$188,$N25)</f>
        <v/>
      </c>
      <c r="N25" s="6">
        <f>MATCH($A25,'Draft Engine'!$F$161:$F$188,0)</f>
        <v/>
      </c>
    </row>
    <row r="26">
      <c r="A26">
        <f>24</f>
        <v/>
      </c>
      <c r="B26">
        <f>INDEX('Draft Engine'!$B$161:$B$188,$N26)</f>
        <v/>
      </c>
      <c r="C26" s="4">
        <f>INDEX('Draft Engine'!$E$161:$E$188,$N26)</f>
        <v/>
      </c>
      <c r="D26">
        <f>IF($C26&gt;=95,"ELITE",IF($C26&gt;=90,"TIER 1",IF($C26&gt;=85,"TIER 2",IF($C26&gt;=80,"TIER 3",IF($C26&gt;=75,"TIER 4",IF($C26&gt;=70,"TIER 5",IF($C26&gt;=65,"TIER 6","TIER 7")))))))</f>
        <v/>
      </c>
      <c r="E26">
        <f>INDEX('Draft Engine'!$G$161:$G$188,$N26)</f>
        <v/>
      </c>
      <c r="F26">
        <f>INDEX('Draft Engine'!$J$161:$J$188,$N26)</f>
        <v/>
      </c>
      <c r="G26">
        <f>INDEX('Draft Engine'!$N$161:$N$188,$N26)</f>
        <v/>
      </c>
      <c r="H26">
        <f>INDEX('Draft Engine'!$Q$161:$Q$188,$N26)</f>
        <v/>
      </c>
      <c r="I26">
        <f>INDEX('Draft Engine'!$R$161:$R$188,$N26)</f>
        <v/>
      </c>
      <c r="J26">
        <f>INDEX('Draft Engine'!$S$161:$S$188,$N26)</f>
        <v/>
      </c>
      <c r="K26">
        <f>INDEX('Draft Engine'!$T$161:$T$188,$N26)</f>
        <v/>
      </c>
      <c r="L26">
        <f>INDEX('LIVE SOURCE'!$H$161:$H$188,$N26)</f>
        <v/>
      </c>
      <c r="M26">
        <f>INDEX('LIVE SOURCE'!$J$161:$J$188,$N26)</f>
        <v/>
      </c>
      <c r="N26" s="6">
        <f>MATCH($A26,'Draft Engine'!$F$161:$F$188,0)</f>
        <v/>
      </c>
    </row>
    <row r="27">
      <c r="A27">
        <f>25</f>
        <v/>
      </c>
      <c r="B27">
        <f>INDEX('Draft Engine'!$B$161:$B$188,$N27)</f>
        <v/>
      </c>
      <c r="C27" s="4">
        <f>INDEX('Draft Engine'!$E$161:$E$188,$N27)</f>
        <v/>
      </c>
      <c r="D27">
        <f>IF($C27&gt;=95,"ELITE",IF($C27&gt;=90,"TIER 1",IF($C27&gt;=85,"TIER 2",IF($C27&gt;=80,"TIER 3",IF($C27&gt;=75,"TIER 4",IF($C27&gt;=70,"TIER 5",IF($C27&gt;=65,"TIER 6","TIER 7")))))))</f>
        <v/>
      </c>
      <c r="E27">
        <f>INDEX('Draft Engine'!$G$161:$G$188,$N27)</f>
        <v/>
      </c>
      <c r="F27">
        <f>INDEX('Draft Engine'!$J$161:$J$188,$N27)</f>
        <v/>
      </c>
      <c r="G27">
        <f>INDEX('Draft Engine'!$N$161:$N$188,$N27)</f>
        <v/>
      </c>
      <c r="H27">
        <f>INDEX('Draft Engine'!$Q$161:$Q$188,$N27)</f>
        <v/>
      </c>
      <c r="I27">
        <f>INDEX('Draft Engine'!$R$161:$R$188,$N27)</f>
        <v/>
      </c>
      <c r="J27">
        <f>INDEX('Draft Engine'!$S$161:$S$188,$N27)</f>
        <v/>
      </c>
      <c r="K27">
        <f>INDEX('Draft Engine'!$T$161:$T$188,$N27)</f>
        <v/>
      </c>
      <c r="L27">
        <f>INDEX('LIVE SOURCE'!$H$161:$H$188,$N27)</f>
        <v/>
      </c>
      <c r="M27">
        <f>INDEX('LIVE SOURCE'!$J$161:$J$188,$N27)</f>
        <v/>
      </c>
      <c r="N27" s="6">
        <f>MATCH($A27,'Draft Engine'!$F$161:$F$188,0)</f>
        <v/>
      </c>
    </row>
    <row r="28">
      <c r="A28">
        <f>26</f>
        <v/>
      </c>
      <c r="B28">
        <f>INDEX('Draft Engine'!$B$161:$B$188,$N28)</f>
        <v/>
      </c>
      <c r="C28" s="4">
        <f>INDEX('Draft Engine'!$E$161:$E$188,$N28)</f>
        <v/>
      </c>
      <c r="D28">
        <f>IF($C28&gt;=95,"ELITE",IF($C28&gt;=90,"TIER 1",IF($C28&gt;=85,"TIER 2",IF($C28&gt;=80,"TIER 3",IF($C28&gt;=75,"TIER 4",IF($C28&gt;=70,"TIER 5",IF($C28&gt;=65,"TIER 6","TIER 7")))))))</f>
        <v/>
      </c>
      <c r="E28">
        <f>INDEX('Draft Engine'!$G$161:$G$188,$N28)</f>
        <v/>
      </c>
      <c r="F28">
        <f>INDEX('Draft Engine'!$J$161:$J$188,$N28)</f>
        <v/>
      </c>
      <c r="G28">
        <f>INDEX('Draft Engine'!$N$161:$N$188,$N28)</f>
        <v/>
      </c>
      <c r="H28">
        <f>INDEX('Draft Engine'!$Q$161:$Q$188,$N28)</f>
        <v/>
      </c>
      <c r="I28">
        <f>INDEX('Draft Engine'!$R$161:$R$188,$N28)</f>
        <v/>
      </c>
      <c r="J28">
        <f>INDEX('Draft Engine'!$S$161:$S$188,$N28)</f>
        <v/>
      </c>
      <c r="K28">
        <f>INDEX('Draft Engine'!$T$161:$T$188,$N28)</f>
        <v/>
      </c>
      <c r="L28">
        <f>INDEX('LIVE SOURCE'!$H$161:$H$188,$N28)</f>
        <v/>
      </c>
      <c r="M28">
        <f>INDEX('LIVE SOURCE'!$J$161:$J$188,$N28)</f>
        <v/>
      </c>
      <c r="N28" s="6">
        <f>MATCH($A28,'Draft Engine'!$F$161:$F$188,0)</f>
        <v/>
      </c>
    </row>
    <row r="29">
      <c r="A29">
        <f>27</f>
        <v/>
      </c>
      <c r="B29">
        <f>INDEX('Draft Engine'!$B$161:$B$188,$N29)</f>
        <v/>
      </c>
      <c r="C29" s="4">
        <f>INDEX('Draft Engine'!$E$161:$E$188,$N29)</f>
        <v/>
      </c>
      <c r="D29">
        <f>IF($C29&gt;=95,"ELITE",IF($C29&gt;=90,"TIER 1",IF($C29&gt;=85,"TIER 2",IF($C29&gt;=80,"TIER 3",IF($C29&gt;=75,"TIER 4",IF($C29&gt;=70,"TIER 5",IF($C29&gt;=65,"TIER 6","TIER 7")))))))</f>
        <v/>
      </c>
      <c r="E29">
        <f>INDEX('Draft Engine'!$G$161:$G$188,$N29)</f>
        <v/>
      </c>
      <c r="F29">
        <f>INDEX('Draft Engine'!$J$161:$J$188,$N29)</f>
        <v/>
      </c>
      <c r="G29">
        <f>INDEX('Draft Engine'!$N$161:$N$188,$N29)</f>
        <v/>
      </c>
      <c r="H29">
        <f>INDEX('Draft Engine'!$Q$161:$Q$188,$N29)</f>
        <v/>
      </c>
      <c r="I29">
        <f>INDEX('Draft Engine'!$R$161:$R$188,$N29)</f>
        <v/>
      </c>
      <c r="J29">
        <f>INDEX('Draft Engine'!$S$161:$S$188,$N29)</f>
        <v/>
      </c>
      <c r="K29">
        <f>INDEX('Draft Engine'!$T$161:$T$188,$N29)</f>
        <v/>
      </c>
      <c r="L29">
        <f>INDEX('LIVE SOURCE'!$H$161:$H$188,$N29)</f>
        <v/>
      </c>
      <c r="M29">
        <f>INDEX('LIVE SOURCE'!$J$161:$J$188,$N29)</f>
        <v/>
      </c>
      <c r="N29" s="6">
        <f>MATCH($A29,'Draft Engine'!$F$161:$F$188,0)</f>
        <v/>
      </c>
    </row>
    <row r="30">
      <c r="A30">
        <f>28</f>
        <v/>
      </c>
      <c r="B30">
        <f>INDEX('Draft Engine'!$B$161:$B$188,$N30)</f>
        <v/>
      </c>
      <c r="C30" s="4">
        <f>INDEX('Draft Engine'!$E$161:$E$188,$N30)</f>
        <v/>
      </c>
      <c r="D30">
        <f>IF($C30&gt;=95,"ELITE",IF($C30&gt;=90,"TIER 1",IF($C30&gt;=85,"TIER 2",IF($C30&gt;=80,"TIER 3",IF($C30&gt;=75,"TIER 4",IF($C30&gt;=70,"TIER 5",IF($C30&gt;=65,"TIER 6","TIER 7")))))))</f>
        <v/>
      </c>
      <c r="E30">
        <f>INDEX('Draft Engine'!$G$161:$G$188,$N30)</f>
        <v/>
      </c>
      <c r="F30">
        <f>INDEX('Draft Engine'!$J$161:$J$188,$N30)</f>
        <v/>
      </c>
      <c r="G30">
        <f>INDEX('Draft Engine'!$N$161:$N$188,$N30)</f>
        <v/>
      </c>
      <c r="H30">
        <f>INDEX('Draft Engine'!$Q$161:$Q$188,$N30)</f>
        <v/>
      </c>
      <c r="I30">
        <f>INDEX('Draft Engine'!$R$161:$R$188,$N30)</f>
        <v/>
      </c>
      <c r="J30">
        <f>INDEX('Draft Engine'!$S$161:$S$188,$N30)</f>
        <v/>
      </c>
      <c r="K30">
        <f>INDEX('Draft Engine'!$T$161:$T$188,$N30)</f>
        <v/>
      </c>
      <c r="L30">
        <f>INDEX('LIVE SOURCE'!$H$161:$H$188,$N30)</f>
        <v/>
      </c>
      <c r="M30">
        <f>INDEX('LIVE SOURCE'!$J$161:$J$188,$N30)</f>
        <v/>
      </c>
      <c r="N30" s="6">
        <f>MATCH($A30,'Draft Engine'!$F$161:$F$188,0)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9D18E"/>
    <outlinePr summaryBelow="1" summaryRight="1"/>
    <pageSetUpPr/>
  </sheetPr>
  <dimension ref="A1:O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Kickers: final-round picks only. Top 10 gated to overall 141-150.</t>
        </is>
      </c>
    </row>
    <row r="2" ht="28" customHeight="1">
      <c r="A2" s="3" t="inlineStr">
        <is>
          <t>Pos Rank</t>
        </is>
      </c>
      <c r="B2" s="3" t="inlineStr">
        <is>
          <t>Player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Engine'!$B$189:$B$200,$O3)</f>
        <v/>
      </c>
      <c r="C3">
        <f>INDEX('LIVE SOURCE'!$C$189:$C$200,$O3)</f>
        <v/>
      </c>
      <c r="D3" s="4">
        <f>INDEX('Draft Engine'!$E$189:$E$200,$O3)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Engine'!$G$189:$G$200,$O3)</f>
        <v/>
      </c>
      <c r="G3">
        <f>INDEX('Draft Engine'!$J$189:$J$200,$O3)</f>
        <v/>
      </c>
      <c r="H3">
        <f>INDEX('Draft Engine'!$N$189:$N$200,$O3)</f>
        <v/>
      </c>
      <c r="I3">
        <f>INDEX('Draft Engine'!$Q$189:$Q$200,$O3)</f>
        <v/>
      </c>
      <c r="J3">
        <f>INDEX('Draft Engine'!$R$189:$R$200,$O3)</f>
        <v/>
      </c>
      <c r="K3">
        <f>INDEX('Draft Engine'!$S$189:$S$200,$O3)</f>
        <v/>
      </c>
      <c r="L3">
        <f>INDEX('Draft Engine'!$T$189:$T$200,$O3)</f>
        <v/>
      </c>
      <c r="M3">
        <f>INDEX('LIVE SOURCE'!$H$189:$H$200,$O3)</f>
        <v/>
      </c>
      <c r="N3">
        <f>INDEX('LIVE SOURCE'!$J$189:$J$200,$O3)</f>
        <v/>
      </c>
      <c r="O3" s="6">
        <f>MATCH($A3,'Draft Engine'!$F$189:$F$200,0)</f>
        <v/>
      </c>
    </row>
    <row r="4">
      <c r="A4">
        <f>2</f>
        <v/>
      </c>
      <c r="B4">
        <f>INDEX('Draft Engine'!$B$189:$B$200,$O4)</f>
        <v/>
      </c>
      <c r="C4">
        <f>INDEX('LIVE SOURCE'!$C$189:$C$200,$O4)</f>
        <v/>
      </c>
      <c r="D4" s="4">
        <f>INDEX('Draft Engine'!$E$189:$E$200,$O4)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Engine'!$G$189:$G$200,$O4)</f>
        <v/>
      </c>
      <c r="G4">
        <f>INDEX('Draft Engine'!$J$189:$J$200,$O4)</f>
        <v/>
      </c>
      <c r="H4">
        <f>INDEX('Draft Engine'!$N$189:$N$200,$O4)</f>
        <v/>
      </c>
      <c r="I4">
        <f>INDEX('Draft Engine'!$Q$189:$Q$200,$O4)</f>
        <v/>
      </c>
      <c r="J4">
        <f>INDEX('Draft Engine'!$R$189:$R$200,$O4)</f>
        <v/>
      </c>
      <c r="K4">
        <f>INDEX('Draft Engine'!$S$189:$S$200,$O4)</f>
        <v/>
      </c>
      <c r="L4">
        <f>INDEX('Draft Engine'!$T$189:$T$200,$O4)</f>
        <v/>
      </c>
      <c r="M4">
        <f>INDEX('LIVE SOURCE'!$H$189:$H$200,$O4)</f>
        <v/>
      </c>
      <c r="N4">
        <f>INDEX('LIVE SOURCE'!$J$189:$J$200,$O4)</f>
        <v/>
      </c>
      <c r="O4" s="6">
        <f>MATCH($A4,'Draft Engine'!$F$189:$F$200,0)</f>
        <v/>
      </c>
    </row>
    <row r="5">
      <c r="A5">
        <f>3</f>
        <v/>
      </c>
      <c r="B5">
        <f>INDEX('Draft Engine'!$B$189:$B$200,$O5)</f>
        <v/>
      </c>
      <c r="C5">
        <f>INDEX('LIVE SOURCE'!$C$189:$C$200,$O5)</f>
        <v/>
      </c>
      <c r="D5" s="4">
        <f>INDEX('Draft Engine'!$E$189:$E$200,$O5)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Engine'!$G$189:$G$200,$O5)</f>
        <v/>
      </c>
      <c r="G5">
        <f>INDEX('Draft Engine'!$J$189:$J$200,$O5)</f>
        <v/>
      </c>
      <c r="H5">
        <f>INDEX('Draft Engine'!$N$189:$N$200,$O5)</f>
        <v/>
      </c>
      <c r="I5">
        <f>INDEX('Draft Engine'!$Q$189:$Q$200,$O5)</f>
        <v/>
      </c>
      <c r="J5">
        <f>INDEX('Draft Engine'!$R$189:$R$200,$O5)</f>
        <v/>
      </c>
      <c r="K5">
        <f>INDEX('Draft Engine'!$S$189:$S$200,$O5)</f>
        <v/>
      </c>
      <c r="L5">
        <f>INDEX('Draft Engine'!$T$189:$T$200,$O5)</f>
        <v/>
      </c>
      <c r="M5">
        <f>INDEX('LIVE SOURCE'!$H$189:$H$200,$O5)</f>
        <v/>
      </c>
      <c r="N5">
        <f>INDEX('LIVE SOURCE'!$J$189:$J$200,$O5)</f>
        <v/>
      </c>
      <c r="O5" s="6">
        <f>MATCH($A5,'Draft Engine'!$F$189:$F$200,0)</f>
        <v/>
      </c>
    </row>
    <row r="6">
      <c r="A6">
        <f>4</f>
        <v/>
      </c>
      <c r="B6">
        <f>INDEX('Draft Engine'!$B$189:$B$200,$O6)</f>
        <v/>
      </c>
      <c r="C6">
        <f>INDEX('LIVE SOURCE'!$C$189:$C$200,$O6)</f>
        <v/>
      </c>
      <c r="D6" s="4">
        <f>INDEX('Draft Engine'!$E$189:$E$200,$O6)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Engine'!$G$189:$G$200,$O6)</f>
        <v/>
      </c>
      <c r="G6">
        <f>INDEX('Draft Engine'!$J$189:$J$200,$O6)</f>
        <v/>
      </c>
      <c r="H6">
        <f>INDEX('Draft Engine'!$N$189:$N$200,$O6)</f>
        <v/>
      </c>
      <c r="I6">
        <f>INDEX('Draft Engine'!$Q$189:$Q$200,$O6)</f>
        <v/>
      </c>
      <c r="J6">
        <f>INDEX('Draft Engine'!$R$189:$R$200,$O6)</f>
        <v/>
      </c>
      <c r="K6">
        <f>INDEX('Draft Engine'!$S$189:$S$200,$O6)</f>
        <v/>
      </c>
      <c r="L6">
        <f>INDEX('Draft Engine'!$T$189:$T$200,$O6)</f>
        <v/>
      </c>
      <c r="M6">
        <f>INDEX('LIVE SOURCE'!$H$189:$H$200,$O6)</f>
        <v/>
      </c>
      <c r="N6">
        <f>INDEX('LIVE SOURCE'!$J$189:$J$200,$O6)</f>
        <v/>
      </c>
      <c r="O6" s="6">
        <f>MATCH($A6,'Draft Engine'!$F$189:$F$200,0)</f>
        <v/>
      </c>
    </row>
    <row r="7">
      <c r="A7">
        <f>5</f>
        <v/>
      </c>
      <c r="B7">
        <f>INDEX('Draft Engine'!$B$189:$B$200,$O7)</f>
        <v/>
      </c>
      <c r="C7">
        <f>INDEX('LIVE SOURCE'!$C$189:$C$200,$O7)</f>
        <v/>
      </c>
      <c r="D7" s="4">
        <f>INDEX('Draft Engine'!$E$189:$E$200,$O7)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Engine'!$G$189:$G$200,$O7)</f>
        <v/>
      </c>
      <c r="G7">
        <f>INDEX('Draft Engine'!$J$189:$J$200,$O7)</f>
        <v/>
      </c>
      <c r="H7">
        <f>INDEX('Draft Engine'!$N$189:$N$200,$O7)</f>
        <v/>
      </c>
      <c r="I7">
        <f>INDEX('Draft Engine'!$Q$189:$Q$200,$O7)</f>
        <v/>
      </c>
      <c r="J7">
        <f>INDEX('Draft Engine'!$R$189:$R$200,$O7)</f>
        <v/>
      </c>
      <c r="K7">
        <f>INDEX('Draft Engine'!$S$189:$S$200,$O7)</f>
        <v/>
      </c>
      <c r="L7">
        <f>INDEX('Draft Engine'!$T$189:$T$200,$O7)</f>
        <v/>
      </c>
      <c r="M7">
        <f>INDEX('LIVE SOURCE'!$H$189:$H$200,$O7)</f>
        <v/>
      </c>
      <c r="N7">
        <f>INDEX('LIVE SOURCE'!$J$189:$J$200,$O7)</f>
        <v/>
      </c>
      <c r="O7" s="6">
        <f>MATCH($A7,'Draft Engine'!$F$189:$F$200,0)</f>
        <v/>
      </c>
    </row>
    <row r="8">
      <c r="A8">
        <f>6</f>
        <v/>
      </c>
      <c r="B8">
        <f>INDEX('Draft Engine'!$B$189:$B$200,$O8)</f>
        <v/>
      </c>
      <c r="C8">
        <f>INDEX('LIVE SOURCE'!$C$189:$C$200,$O8)</f>
        <v/>
      </c>
      <c r="D8" s="4">
        <f>INDEX('Draft Engine'!$E$189:$E$200,$O8)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Engine'!$G$189:$G$200,$O8)</f>
        <v/>
      </c>
      <c r="G8">
        <f>INDEX('Draft Engine'!$J$189:$J$200,$O8)</f>
        <v/>
      </c>
      <c r="H8">
        <f>INDEX('Draft Engine'!$N$189:$N$200,$O8)</f>
        <v/>
      </c>
      <c r="I8">
        <f>INDEX('Draft Engine'!$Q$189:$Q$200,$O8)</f>
        <v/>
      </c>
      <c r="J8">
        <f>INDEX('Draft Engine'!$R$189:$R$200,$O8)</f>
        <v/>
      </c>
      <c r="K8">
        <f>INDEX('Draft Engine'!$S$189:$S$200,$O8)</f>
        <v/>
      </c>
      <c r="L8">
        <f>INDEX('Draft Engine'!$T$189:$T$200,$O8)</f>
        <v/>
      </c>
      <c r="M8">
        <f>INDEX('LIVE SOURCE'!$H$189:$H$200,$O8)</f>
        <v/>
      </c>
      <c r="N8">
        <f>INDEX('LIVE SOURCE'!$J$189:$J$200,$O8)</f>
        <v/>
      </c>
      <c r="O8" s="6">
        <f>MATCH($A8,'Draft Engine'!$F$189:$F$200,0)</f>
        <v/>
      </c>
    </row>
    <row r="9">
      <c r="A9">
        <f>7</f>
        <v/>
      </c>
      <c r="B9">
        <f>INDEX('Draft Engine'!$B$189:$B$200,$O9)</f>
        <v/>
      </c>
      <c r="C9">
        <f>INDEX('LIVE SOURCE'!$C$189:$C$200,$O9)</f>
        <v/>
      </c>
      <c r="D9" s="4">
        <f>INDEX('Draft Engine'!$E$189:$E$200,$O9)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Engine'!$G$189:$G$200,$O9)</f>
        <v/>
      </c>
      <c r="G9">
        <f>INDEX('Draft Engine'!$J$189:$J$200,$O9)</f>
        <v/>
      </c>
      <c r="H9">
        <f>INDEX('Draft Engine'!$N$189:$N$200,$O9)</f>
        <v/>
      </c>
      <c r="I9">
        <f>INDEX('Draft Engine'!$Q$189:$Q$200,$O9)</f>
        <v/>
      </c>
      <c r="J9">
        <f>INDEX('Draft Engine'!$R$189:$R$200,$O9)</f>
        <v/>
      </c>
      <c r="K9">
        <f>INDEX('Draft Engine'!$S$189:$S$200,$O9)</f>
        <v/>
      </c>
      <c r="L9">
        <f>INDEX('Draft Engine'!$T$189:$T$200,$O9)</f>
        <v/>
      </c>
      <c r="M9">
        <f>INDEX('LIVE SOURCE'!$H$189:$H$200,$O9)</f>
        <v/>
      </c>
      <c r="N9">
        <f>INDEX('LIVE SOURCE'!$J$189:$J$200,$O9)</f>
        <v/>
      </c>
      <c r="O9" s="6">
        <f>MATCH($A9,'Draft Engine'!$F$189:$F$200,0)</f>
        <v/>
      </c>
    </row>
    <row r="10">
      <c r="A10">
        <f>8</f>
        <v/>
      </c>
      <c r="B10">
        <f>INDEX('Draft Engine'!$B$189:$B$200,$O10)</f>
        <v/>
      </c>
      <c r="C10">
        <f>INDEX('LIVE SOURCE'!$C$189:$C$200,$O10)</f>
        <v/>
      </c>
      <c r="D10" s="4">
        <f>INDEX('Draft Engine'!$E$189:$E$200,$O10)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Engine'!$G$189:$G$200,$O10)</f>
        <v/>
      </c>
      <c r="G10">
        <f>INDEX('Draft Engine'!$J$189:$J$200,$O10)</f>
        <v/>
      </c>
      <c r="H10">
        <f>INDEX('Draft Engine'!$N$189:$N$200,$O10)</f>
        <v/>
      </c>
      <c r="I10">
        <f>INDEX('Draft Engine'!$Q$189:$Q$200,$O10)</f>
        <v/>
      </c>
      <c r="J10">
        <f>INDEX('Draft Engine'!$R$189:$R$200,$O10)</f>
        <v/>
      </c>
      <c r="K10">
        <f>INDEX('Draft Engine'!$S$189:$S$200,$O10)</f>
        <v/>
      </c>
      <c r="L10">
        <f>INDEX('Draft Engine'!$T$189:$T$200,$O10)</f>
        <v/>
      </c>
      <c r="M10">
        <f>INDEX('LIVE SOURCE'!$H$189:$H$200,$O10)</f>
        <v/>
      </c>
      <c r="N10">
        <f>INDEX('LIVE SOURCE'!$J$189:$J$200,$O10)</f>
        <v/>
      </c>
      <c r="O10" s="6">
        <f>MATCH($A10,'Draft Engine'!$F$189:$F$200,0)</f>
        <v/>
      </c>
    </row>
    <row r="11">
      <c r="A11">
        <f>9</f>
        <v/>
      </c>
      <c r="B11">
        <f>INDEX('Draft Engine'!$B$189:$B$200,$O11)</f>
        <v/>
      </c>
      <c r="C11">
        <f>INDEX('LIVE SOURCE'!$C$189:$C$200,$O11)</f>
        <v/>
      </c>
      <c r="D11" s="4">
        <f>INDEX('Draft Engine'!$E$189:$E$200,$O11)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Engine'!$G$189:$G$200,$O11)</f>
        <v/>
      </c>
      <c r="G11">
        <f>INDEX('Draft Engine'!$J$189:$J$200,$O11)</f>
        <v/>
      </c>
      <c r="H11">
        <f>INDEX('Draft Engine'!$N$189:$N$200,$O11)</f>
        <v/>
      </c>
      <c r="I11">
        <f>INDEX('Draft Engine'!$Q$189:$Q$200,$O11)</f>
        <v/>
      </c>
      <c r="J11">
        <f>INDEX('Draft Engine'!$R$189:$R$200,$O11)</f>
        <v/>
      </c>
      <c r="K11">
        <f>INDEX('Draft Engine'!$S$189:$S$200,$O11)</f>
        <v/>
      </c>
      <c r="L11">
        <f>INDEX('Draft Engine'!$T$189:$T$200,$O11)</f>
        <v/>
      </c>
      <c r="M11">
        <f>INDEX('LIVE SOURCE'!$H$189:$H$200,$O11)</f>
        <v/>
      </c>
      <c r="N11">
        <f>INDEX('LIVE SOURCE'!$J$189:$J$200,$O11)</f>
        <v/>
      </c>
      <c r="O11" s="6">
        <f>MATCH($A11,'Draft Engine'!$F$189:$F$200,0)</f>
        <v/>
      </c>
    </row>
    <row r="12">
      <c r="A12">
        <f>10</f>
        <v/>
      </c>
      <c r="B12">
        <f>INDEX('Draft Engine'!$B$189:$B$200,$O12)</f>
        <v/>
      </c>
      <c r="C12">
        <f>INDEX('LIVE SOURCE'!$C$189:$C$200,$O12)</f>
        <v/>
      </c>
      <c r="D12" s="4">
        <f>INDEX('Draft Engine'!$E$189:$E$200,$O12)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Engine'!$G$189:$G$200,$O12)</f>
        <v/>
      </c>
      <c r="G12">
        <f>INDEX('Draft Engine'!$J$189:$J$200,$O12)</f>
        <v/>
      </c>
      <c r="H12">
        <f>INDEX('Draft Engine'!$N$189:$N$200,$O12)</f>
        <v/>
      </c>
      <c r="I12">
        <f>INDEX('Draft Engine'!$Q$189:$Q$200,$O12)</f>
        <v/>
      </c>
      <c r="J12">
        <f>INDEX('Draft Engine'!$R$189:$R$200,$O12)</f>
        <v/>
      </c>
      <c r="K12">
        <f>INDEX('Draft Engine'!$S$189:$S$200,$O12)</f>
        <v/>
      </c>
      <c r="L12">
        <f>INDEX('Draft Engine'!$T$189:$T$200,$O12)</f>
        <v/>
      </c>
      <c r="M12">
        <f>INDEX('LIVE SOURCE'!$H$189:$H$200,$O12)</f>
        <v/>
      </c>
      <c r="N12">
        <f>INDEX('LIVE SOURCE'!$J$189:$J$200,$O12)</f>
        <v/>
      </c>
      <c r="O12" s="6">
        <f>MATCH($A12,'Draft Engine'!$F$189:$F$200,0)</f>
        <v/>
      </c>
    </row>
    <row r="13">
      <c r="A13">
        <f>11</f>
        <v/>
      </c>
      <c r="B13">
        <f>INDEX('Draft Engine'!$B$189:$B$200,$O13)</f>
        <v/>
      </c>
      <c r="C13">
        <f>INDEX('LIVE SOURCE'!$C$189:$C$200,$O13)</f>
        <v/>
      </c>
      <c r="D13" s="4">
        <f>INDEX('Draft Engine'!$E$189:$E$200,$O13)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Engine'!$G$189:$G$200,$O13)</f>
        <v/>
      </c>
      <c r="G13">
        <f>INDEX('Draft Engine'!$J$189:$J$200,$O13)</f>
        <v/>
      </c>
      <c r="H13">
        <f>INDEX('Draft Engine'!$N$189:$N$200,$O13)</f>
        <v/>
      </c>
      <c r="I13">
        <f>INDEX('Draft Engine'!$Q$189:$Q$200,$O13)</f>
        <v/>
      </c>
      <c r="J13">
        <f>INDEX('Draft Engine'!$R$189:$R$200,$O13)</f>
        <v/>
      </c>
      <c r="K13">
        <f>INDEX('Draft Engine'!$S$189:$S$200,$O13)</f>
        <v/>
      </c>
      <c r="L13">
        <f>INDEX('Draft Engine'!$T$189:$T$200,$O13)</f>
        <v/>
      </c>
      <c r="M13">
        <f>INDEX('LIVE SOURCE'!$H$189:$H$200,$O13)</f>
        <v/>
      </c>
      <c r="N13">
        <f>INDEX('LIVE SOURCE'!$J$189:$J$200,$O13)</f>
        <v/>
      </c>
      <c r="O13" s="6">
        <f>MATCH($A13,'Draft Engine'!$F$189:$F$200,0)</f>
        <v/>
      </c>
    </row>
    <row r="14">
      <c r="A14">
        <f>12</f>
        <v/>
      </c>
      <c r="B14">
        <f>INDEX('Draft Engine'!$B$189:$B$200,$O14)</f>
        <v/>
      </c>
      <c r="C14">
        <f>INDEX('LIVE SOURCE'!$C$189:$C$200,$O14)</f>
        <v/>
      </c>
      <c r="D14" s="4">
        <f>INDEX('Draft Engine'!$E$189:$E$200,$O14)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Engine'!$G$189:$G$200,$O14)</f>
        <v/>
      </c>
      <c r="G14">
        <f>INDEX('Draft Engine'!$J$189:$J$200,$O14)</f>
        <v/>
      </c>
      <c r="H14">
        <f>INDEX('Draft Engine'!$N$189:$N$200,$O14)</f>
        <v/>
      </c>
      <c r="I14">
        <f>INDEX('Draft Engine'!$Q$189:$Q$200,$O14)</f>
        <v/>
      </c>
      <c r="J14">
        <f>INDEX('Draft Engine'!$R$189:$R$200,$O14)</f>
        <v/>
      </c>
      <c r="K14">
        <f>INDEX('Draft Engine'!$S$189:$S$200,$O14)</f>
        <v/>
      </c>
      <c r="L14">
        <f>INDEX('Draft Engine'!$T$189:$T$200,$O14)</f>
        <v/>
      </c>
      <c r="M14">
        <f>INDEX('LIVE SOURCE'!$H$189:$H$200,$O14)</f>
        <v/>
      </c>
      <c r="N14">
        <f>INDEX('LIVE SOURCE'!$J$189:$J$200,$O14)</f>
        <v/>
      </c>
      <c r="O14" s="6">
        <f>MATCH($A14,'Draft Engine'!$F$189:$F$200,0)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A9D18E"/>
    <outlinePr summaryBelow="1" summaryRight="1"/>
    <pageSetUpPr/>
  </sheetPr>
  <dimension ref="A1:O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10" customWidth="1" min="4" max="4"/>
    <col width="9" customWidth="1" min="5" max="5"/>
    <col width="10" customWidth="1" min="6" max="6"/>
    <col width="8" customWidth="1" min="7" max="7"/>
    <col width="11" customWidth="1" min="8" max="8"/>
    <col width="11" customWidth="1" min="9" max="9"/>
    <col width="10" customWidth="1" min="10" max="10"/>
    <col width="9" customWidth="1" min="11" max="11"/>
    <col width="10" customWidth="1" min="12" max="12"/>
    <col width="55" customWidth="1" min="13" max="13"/>
    <col width="50" customWidth="1" min="14" max="14"/>
    <col width="6" customWidth="1" min="15" max="15"/>
  </cols>
  <sheetData>
    <row r="1">
      <c r="A1" s="1" t="inlineStr">
        <is>
          <t>2026 DST: final-round picks only. Top 10 gated to overall 131-140.</t>
        </is>
      </c>
    </row>
    <row r="2" ht="28" customHeight="1">
      <c r="A2" s="3" t="inlineStr">
        <is>
          <t>Pos Rank</t>
        </is>
      </c>
      <c r="B2" s="3" t="inlineStr">
        <is>
          <t>Defense</t>
        </is>
      </c>
      <c r="C2" s="3" t="inlineStr">
        <is>
          <t>Team</t>
        </is>
      </c>
      <c r="D2" s="3" t="inlineStr">
        <is>
          <t>Adj Rating</t>
        </is>
      </c>
      <c r="E2" s="3" t="inlineStr">
        <is>
          <t>Tier</t>
        </is>
      </c>
      <c r="F2" s="3" t="inlineStr">
        <is>
          <t>Proj Points</t>
        </is>
      </c>
      <c r="G2" s="3" t="inlineStr">
        <is>
          <t>VORP</t>
        </is>
      </c>
      <c r="H2" s="3" t="inlineStr">
        <is>
          <t>Draft Score</t>
        </is>
      </c>
      <c r="I2" s="3" t="inlineStr">
        <is>
          <t>Overall Rank</t>
        </is>
      </c>
      <c r="J2" s="3" t="inlineStr">
        <is>
          <t>Market ADP</t>
        </is>
      </c>
      <c r="K2" s="3" t="inlineStr">
        <is>
          <t>Draft Edge</t>
        </is>
      </c>
      <c r="L2" s="3" t="inlineStr">
        <is>
          <t>Confidence</t>
        </is>
      </c>
      <c r="M2" s="3" t="inlineStr">
        <is>
          <t>2026 Expectation</t>
        </is>
      </c>
      <c r="N2" s="3" t="inlineStr">
        <is>
          <t>Main Risk</t>
        </is>
      </c>
      <c r="O2" s="3" t="inlineStr">
        <is>
          <t>Src</t>
        </is>
      </c>
    </row>
    <row r="3">
      <c r="A3">
        <f>1</f>
        <v/>
      </c>
      <c r="B3">
        <f>INDEX('Draft Engine'!$B$201:$B$232,$O3)</f>
        <v/>
      </c>
      <c r="C3">
        <f>INDEX('LIVE SOURCE'!$C$201:$C$232,$O3)</f>
        <v/>
      </c>
      <c r="D3" s="4">
        <f>INDEX('Draft Engine'!$E$201:$E$232,$O3)</f>
        <v/>
      </c>
      <c r="E3">
        <f>IF($D3&gt;=95,"ELITE",IF($D3&gt;=90,"TIER 1",IF($D3&gt;=85,"TIER 2",IF($D3&gt;=80,"TIER 3",IF($D3&gt;=75,"TIER 4",IF($D3&gt;=70,"TIER 5",IF($D3&gt;=65,"TIER 6","TIER 7")))))))</f>
        <v/>
      </c>
      <c r="F3">
        <f>INDEX('Draft Engine'!$G$201:$G$232,$O3)</f>
        <v/>
      </c>
      <c r="G3">
        <f>INDEX('Draft Engine'!$J$201:$J$232,$O3)</f>
        <v/>
      </c>
      <c r="H3">
        <f>INDEX('Draft Engine'!$N$201:$N$232,$O3)</f>
        <v/>
      </c>
      <c r="I3">
        <f>INDEX('Draft Engine'!$Q$201:$Q$232,$O3)</f>
        <v/>
      </c>
      <c r="J3">
        <f>INDEX('Draft Engine'!$R$201:$R$232,$O3)</f>
        <v/>
      </c>
      <c r="K3">
        <f>INDEX('Draft Engine'!$S$201:$S$232,$O3)</f>
        <v/>
      </c>
      <c r="L3">
        <f>INDEX('Draft Engine'!$T$201:$T$232,$O3)</f>
        <v/>
      </c>
      <c r="M3">
        <f>INDEX('LIVE SOURCE'!$H$201:$H$232,$O3)</f>
        <v/>
      </c>
      <c r="N3">
        <f>INDEX('LIVE SOURCE'!$J$201:$J$232,$O3)</f>
        <v/>
      </c>
      <c r="O3" s="6">
        <f>MATCH($A3,'Draft Engine'!$F$201:$F$232,0)</f>
        <v/>
      </c>
    </row>
    <row r="4">
      <c r="A4">
        <f>2</f>
        <v/>
      </c>
      <c r="B4">
        <f>INDEX('Draft Engine'!$B$201:$B$232,$O4)</f>
        <v/>
      </c>
      <c r="C4">
        <f>INDEX('LIVE SOURCE'!$C$201:$C$232,$O4)</f>
        <v/>
      </c>
      <c r="D4" s="4">
        <f>INDEX('Draft Engine'!$E$201:$E$232,$O4)</f>
        <v/>
      </c>
      <c r="E4">
        <f>IF($D4&gt;=95,"ELITE",IF($D4&gt;=90,"TIER 1",IF($D4&gt;=85,"TIER 2",IF($D4&gt;=80,"TIER 3",IF($D4&gt;=75,"TIER 4",IF($D4&gt;=70,"TIER 5",IF($D4&gt;=65,"TIER 6","TIER 7")))))))</f>
        <v/>
      </c>
      <c r="F4">
        <f>INDEX('Draft Engine'!$G$201:$G$232,$O4)</f>
        <v/>
      </c>
      <c r="G4">
        <f>INDEX('Draft Engine'!$J$201:$J$232,$O4)</f>
        <v/>
      </c>
      <c r="H4">
        <f>INDEX('Draft Engine'!$N$201:$N$232,$O4)</f>
        <v/>
      </c>
      <c r="I4">
        <f>INDEX('Draft Engine'!$Q$201:$Q$232,$O4)</f>
        <v/>
      </c>
      <c r="J4">
        <f>INDEX('Draft Engine'!$R$201:$R$232,$O4)</f>
        <v/>
      </c>
      <c r="K4">
        <f>INDEX('Draft Engine'!$S$201:$S$232,$O4)</f>
        <v/>
      </c>
      <c r="L4">
        <f>INDEX('Draft Engine'!$T$201:$T$232,$O4)</f>
        <v/>
      </c>
      <c r="M4">
        <f>INDEX('LIVE SOURCE'!$H$201:$H$232,$O4)</f>
        <v/>
      </c>
      <c r="N4">
        <f>INDEX('LIVE SOURCE'!$J$201:$J$232,$O4)</f>
        <v/>
      </c>
      <c r="O4" s="6">
        <f>MATCH($A4,'Draft Engine'!$F$201:$F$232,0)</f>
        <v/>
      </c>
    </row>
    <row r="5">
      <c r="A5">
        <f>3</f>
        <v/>
      </c>
      <c r="B5">
        <f>INDEX('Draft Engine'!$B$201:$B$232,$O5)</f>
        <v/>
      </c>
      <c r="C5">
        <f>INDEX('LIVE SOURCE'!$C$201:$C$232,$O5)</f>
        <v/>
      </c>
      <c r="D5" s="4">
        <f>INDEX('Draft Engine'!$E$201:$E$232,$O5)</f>
        <v/>
      </c>
      <c r="E5">
        <f>IF($D5&gt;=95,"ELITE",IF($D5&gt;=90,"TIER 1",IF($D5&gt;=85,"TIER 2",IF($D5&gt;=80,"TIER 3",IF($D5&gt;=75,"TIER 4",IF($D5&gt;=70,"TIER 5",IF($D5&gt;=65,"TIER 6","TIER 7")))))))</f>
        <v/>
      </c>
      <c r="F5">
        <f>INDEX('Draft Engine'!$G$201:$G$232,$O5)</f>
        <v/>
      </c>
      <c r="G5">
        <f>INDEX('Draft Engine'!$J$201:$J$232,$O5)</f>
        <v/>
      </c>
      <c r="H5">
        <f>INDEX('Draft Engine'!$N$201:$N$232,$O5)</f>
        <v/>
      </c>
      <c r="I5">
        <f>INDEX('Draft Engine'!$Q$201:$Q$232,$O5)</f>
        <v/>
      </c>
      <c r="J5">
        <f>INDEX('Draft Engine'!$R$201:$R$232,$O5)</f>
        <v/>
      </c>
      <c r="K5">
        <f>INDEX('Draft Engine'!$S$201:$S$232,$O5)</f>
        <v/>
      </c>
      <c r="L5">
        <f>INDEX('Draft Engine'!$T$201:$T$232,$O5)</f>
        <v/>
      </c>
      <c r="M5">
        <f>INDEX('LIVE SOURCE'!$H$201:$H$232,$O5)</f>
        <v/>
      </c>
      <c r="N5">
        <f>INDEX('LIVE SOURCE'!$J$201:$J$232,$O5)</f>
        <v/>
      </c>
      <c r="O5" s="6">
        <f>MATCH($A5,'Draft Engine'!$F$201:$F$232,0)</f>
        <v/>
      </c>
    </row>
    <row r="6">
      <c r="A6">
        <f>4</f>
        <v/>
      </c>
      <c r="B6">
        <f>INDEX('Draft Engine'!$B$201:$B$232,$O6)</f>
        <v/>
      </c>
      <c r="C6">
        <f>INDEX('LIVE SOURCE'!$C$201:$C$232,$O6)</f>
        <v/>
      </c>
      <c r="D6" s="4">
        <f>INDEX('Draft Engine'!$E$201:$E$232,$O6)</f>
        <v/>
      </c>
      <c r="E6">
        <f>IF($D6&gt;=95,"ELITE",IF($D6&gt;=90,"TIER 1",IF($D6&gt;=85,"TIER 2",IF($D6&gt;=80,"TIER 3",IF($D6&gt;=75,"TIER 4",IF($D6&gt;=70,"TIER 5",IF($D6&gt;=65,"TIER 6","TIER 7")))))))</f>
        <v/>
      </c>
      <c r="F6">
        <f>INDEX('Draft Engine'!$G$201:$G$232,$O6)</f>
        <v/>
      </c>
      <c r="G6">
        <f>INDEX('Draft Engine'!$J$201:$J$232,$O6)</f>
        <v/>
      </c>
      <c r="H6">
        <f>INDEX('Draft Engine'!$N$201:$N$232,$O6)</f>
        <v/>
      </c>
      <c r="I6">
        <f>INDEX('Draft Engine'!$Q$201:$Q$232,$O6)</f>
        <v/>
      </c>
      <c r="J6">
        <f>INDEX('Draft Engine'!$R$201:$R$232,$O6)</f>
        <v/>
      </c>
      <c r="K6">
        <f>INDEX('Draft Engine'!$S$201:$S$232,$O6)</f>
        <v/>
      </c>
      <c r="L6">
        <f>INDEX('Draft Engine'!$T$201:$T$232,$O6)</f>
        <v/>
      </c>
      <c r="M6">
        <f>INDEX('LIVE SOURCE'!$H$201:$H$232,$O6)</f>
        <v/>
      </c>
      <c r="N6">
        <f>INDEX('LIVE SOURCE'!$J$201:$J$232,$O6)</f>
        <v/>
      </c>
      <c r="O6" s="6">
        <f>MATCH($A6,'Draft Engine'!$F$201:$F$232,0)</f>
        <v/>
      </c>
    </row>
    <row r="7">
      <c r="A7">
        <f>5</f>
        <v/>
      </c>
      <c r="B7">
        <f>INDEX('Draft Engine'!$B$201:$B$232,$O7)</f>
        <v/>
      </c>
      <c r="C7">
        <f>INDEX('LIVE SOURCE'!$C$201:$C$232,$O7)</f>
        <v/>
      </c>
      <c r="D7" s="4">
        <f>INDEX('Draft Engine'!$E$201:$E$232,$O7)</f>
        <v/>
      </c>
      <c r="E7">
        <f>IF($D7&gt;=95,"ELITE",IF($D7&gt;=90,"TIER 1",IF($D7&gt;=85,"TIER 2",IF($D7&gt;=80,"TIER 3",IF($D7&gt;=75,"TIER 4",IF($D7&gt;=70,"TIER 5",IF($D7&gt;=65,"TIER 6","TIER 7")))))))</f>
        <v/>
      </c>
      <c r="F7">
        <f>INDEX('Draft Engine'!$G$201:$G$232,$O7)</f>
        <v/>
      </c>
      <c r="G7">
        <f>INDEX('Draft Engine'!$J$201:$J$232,$O7)</f>
        <v/>
      </c>
      <c r="H7">
        <f>INDEX('Draft Engine'!$N$201:$N$232,$O7)</f>
        <v/>
      </c>
      <c r="I7">
        <f>INDEX('Draft Engine'!$Q$201:$Q$232,$O7)</f>
        <v/>
      </c>
      <c r="J7">
        <f>INDEX('Draft Engine'!$R$201:$R$232,$O7)</f>
        <v/>
      </c>
      <c r="K7">
        <f>INDEX('Draft Engine'!$S$201:$S$232,$O7)</f>
        <v/>
      </c>
      <c r="L7">
        <f>INDEX('Draft Engine'!$T$201:$T$232,$O7)</f>
        <v/>
      </c>
      <c r="M7">
        <f>INDEX('LIVE SOURCE'!$H$201:$H$232,$O7)</f>
        <v/>
      </c>
      <c r="N7">
        <f>INDEX('LIVE SOURCE'!$J$201:$J$232,$O7)</f>
        <v/>
      </c>
      <c r="O7" s="6">
        <f>MATCH($A7,'Draft Engine'!$F$201:$F$232,0)</f>
        <v/>
      </c>
    </row>
    <row r="8">
      <c r="A8">
        <f>6</f>
        <v/>
      </c>
      <c r="B8">
        <f>INDEX('Draft Engine'!$B$201:$B$232,$O8)</f>
        <v/>
      </c>
      <c r="C8">
        <f>INDEX('LIVE SOURCE'!$C$201:$C$232,$O8)</f>
        <v/>
      </c>
      <c r="D8" s="4">
        <f>INDEX('Draft Engine'!$E$201:$E$232,$O8)</f>
        <v/>
      </c>
      <c r="E8">
        <f>IF($D8&gt;=95,"ELITE",IF($D8&gt;=90,"TIER 1",IF($D8&gt;=85,"TIER 2",IF($D8&gt;=80,"TIER 3",IF($D8&gt;=75,"TIER 4",IF($D8&gt;=70,"TIER 5",IF($D8&gt;=65,"TIER 6","TIER 7")))))))</f>
        <v/>
      </c>
      <c r="F8">
        <f>INDEX('Draft Engine'!$G$201:$G$232,$O8)</f>
        <v/>
      </c>
      <c r="G8">
        <f>INDEX('Draft Engine'!$J$201:$J$232,$O8)</f>
        <v/>
      </c>
      <c r="H8">
        <f>INDEX('Draft Engine'!$N$201:$N$232,$O8)</f>
        <v/>
      </c>
      <c r="I8">
        <f>INDEX('Draft Engine'!$Q$201:$Q$232,$O8)</f>
        <v/>
      </c>
      <c r="J8">
        <f>INDEX('Draft Engine'!$R$201:$R$232,$O8)</f>
        <v/>
      </c>
      <c r="K8">
        <f>INDEX('Draft Engine'!$S$201:$S$232,$O8)</f>
        <v/>
      </c>
      <c r="L8">
        <f>INDEX('Draft Engine'!$T$201:$T$232,$O8)</f>
        <v/>
      </c>
      <c r="M8">
        <f>INDEX('LIVE SOURCE'!$H$201:$H$232,$O8)</f>
        <v/>
      </c>
      <c r="N8">
        <f>INDEX('LIVE SOURCE'!$J$201:$J$232,$O8)</f>
        <v/>
      </c>
      <c r="O8" s="6">
        <f>MATCH($A8,'Draft Engine'!$F$201:$F$232,0)</f>
        <v/>
      </c>
    </row>
    <row r="9">
      <c r="A9">
        <f>7</f>
        <v/>
      </c>
      <c r="B9">
        <f>INDEX('Draft Engine'!$B$201:$B$232,$O9)</f>
        <v/>
      </c>
      <c r="C9">
        <f>INDEX('LIVE SOURCE'!$C$201:$C$232,$O9)</f>
        <v/>
      </c>
      <c r="D9" s="4">
        <f>INDEX('Draft Engine'!$E$201:$E$232,$O9)</f>
        <v/>
      </c>
      <c r="E9">
        <f>IF($D9&gt;=95,"ELITE",IF($D9&gt;=90,"TIER 1",IF($D9&gt;=85,"TIER 2",IF($D9&gt;=80,"TIER 3",IF($D9&gt;=75,"TIER 4",IF($D9&gt;=70,"TIER 5",IF($D9&gt;=65,"TIER 6","TIER 7")))))))</f>
        <v/>
      </c>
      <c r="F9">
        <f>INDEX('Draft Engine'!$G$201:$G$232,$O9)</f>
        <v/>
      </c>
      <c r="G9">
        <f>INDEX('Draft Engine'!$J$201:$J$232,$O9)</f>
        <v/>
      </c>
      <c r="H9">
        <f>INDEX('Draft Engine'!$N$201:$N$232,$O9)</f>
        <v/>
      </c>
      <c r="I9">
        <f>INDEX('Draft Engine'!$Q$201:$Q$232,$O9)</f>
        <v/>
      </c>
      <c r="J9">
        <f>INDEX('Draft Engine'!$R$201:$R$232,$O9)</f>
        <v/>
      </c>
      <c r="K9">
        <f>INDEX('Draft Engine'!$S$201:$S$232,$O9)</f>
        <v/>
      </c>
      <c r="L9">
        <f>INDEX('Draft Engine'!$T$201:$T$232,$O9)</f>
        <v/>
      </c>
      <c r="M9">
        <f>INDEX('LIVE SOURCE'!$H$201:$H$232,$O9)</f>
        <v/>
      </c>
      <c r="N9">
        <f>INDEX('LIVE SOURCE'!$J$201:$J$232,$O9)</f>
        <v/>
      </c>
      <c r="O9" s="6">
        <f>MATCH($A9,'Draft Engine'!$F$201:$F$232,0)</f>
        <v/>
      </c>
    </row>
    <row r="10">
      <c r="A10">
        <f>8</f>
        <v/>
      </c>
      <c r="B10">
        <f>INDEX('Draft Engine'!$B$201:$B$232,$O10)</f>
        <v/>
      </c>
      <c r="C10">
        <f>INDEX('LIVE SOURCE'!$C$201:$C$232,$O10)</f>
        <v/>
      </c>
      <c r="D10" s="4">
        <f>INDEX('Draft Engine'!$E$201:$E$232,$O10)</f>
        <v/>
      </c>
      <c r="E10">
        <f>IF($D10&gt;=95,"ELITE",IF($D10&gt;=90,"TIER 1",IF($D10&gt;=85,"TIER 2",IF($D10&gt;=80,"TIER 3",IF($D10&gt;=75,"TIER 4",IF($D10&gt;=70,"TIER 5",IF($D10&gt;=65,"TIER 6","TIER 7")))))))</f>
        <v/>
      </c>
      <c r="F10">
        <f>INDEX('Draft Engine'!$G$201:$G$232,$O10)</f>
        <v/>
      </c>
      <c r="G10">
        <f>INDEX('Draft Engine'!$J$201:$J$232,$O10)</f>
        <v/>
      </c>
      <c r="H10">
        <f>INDEX('Draft Engine'!$N$201:$N$232,$O10)</f>
        <v/>
      </c>
      <c r="I10">
        <f>INDEX('Draft Engine'!$Q$201:$Q$232,$O10)</f>
        <v/>
      </c>
      <c r="J10">
        <f>INDEX('Draft Engine'!$R$201:$R$232,$O10)</f>
        <v/>
      </c>
      <c r="K10">
        <f>INDEX('Draft Engine'!$S$201:$S$232,$O10)</f>
        <v/>
      </c>
      <c r="L10">
        <f>INDEX('Draft Engine'!$T$201:$T$232,$O10)</f>
        <v/>
      </c>
      <c r="M10">
        <f>INDEX('LIVE SOURCE'!$H$201:$H$232,$O10)</f>
        <v/>
      </c>
      <c r="N10">
        <f>INDEX('LIVE SOURCE'!$J$201:$J$232,$O10)</f>
        <v/>
      </c>
      <c r="O10" s="6">
        <f>MATCH($A10,'Draft Engine'!$F$201:$F$232,0)</f>
        <v/>
      </c>
    </row>
    <row r="11">
      <c r="A11">
        <f>9</f>
        <v/>
      </c>
      <c r="B11">
        <f>INDEX('Draft Engine'!$B$201:$B$232,$O11)</f>
        <v/>
      </c>
      <c r="C11">
        <f>INDEX('LIVE SOURCE'!$C$201:$C$232,$O11)</f>
        <v/>
      </c>
      <c r="D11" s="4">
        <f>INDEX('Draft Engine'!$E$201:$E$232,$O11)</f>
        <v/>
      </c>
      <c r="E11">
        <f>IF($D11&gt;=95,"ELITE",IF($D11&gt;=90,"TIER 1",IF($D11&gt;=85,"TIER 2",IF($D11&gt;=80,"TIER 3",IF($D11&gt;=75,"TIER 4",IF($D11&gt;=70,"TIER 5",IF($D11&gt;=65,"TIER 6","TIER 7")))))))</f>
        <v/>
      </c>
      <c r="F11">
        <f>INDEX('Draft Engine'!$G$201:$G$232,$O11)</f>
        <v/>
      </c>
      <c r="G11">
        <f>INDEX('Draft Engine'!$J$201:$J$232,$O11)</f>
        <v/>
      </c>
      <c r="H11">
        <f>INDEX('Draft Engine'!$N$201:$N$232,$O11)</f>
        <v/>
      </c>
      <c r="I11">
        <f>INDEX('Draft Engine'!$Q$201:$Q$232,$O11)</f>
        <v/>
      </c>
      <c r="J11">
        <f>INDEX('Draft Engine'!$R$201:$R$232,$O11)</f>
        <v/>
      </c>
      <c r="K11">
        <f>INDEX('Draft Engine'!$S$201:$S$232,$O11)</f>
        <v/>
      </c>
      <c r="L11">
        <f>INDEX('Draft Engine'!$T$201:$T$232,$O11)</f>
        <v/>
      </c>
      <c r="M11">
        <f>INDEX('LIVE SOURCE'!$H$201:$H$232,$O11)</f>
        <v/>
      </c>
      <c r="N11">
        <f>INDEX('LIVE SOURCE'!$J$201:$J$232,$O11)</f>
        <v/>
      </c>
      <c r="O11" s="6">
        <f>MATCH($A11,'Draft Engine'!$F$201:$F$232,0)</f>
        <v/>
      </c>
    </row>
    <row r="12">
      <c r="A12">
        <f>10</f>
        <v/>
      </c>
      <c r="B12">
        <f>INDEX('Draft Engine'!$B$201:$B$232,$O12)</f>
        <v/>
      </c>
      <c r="C12">
        <f>INDEX('LIVE SOURCE'!$C$201:$C$232,$O12)</f>
        <v/>
      </c>
      <c r="D12" s="4">
        <f>INDEX('Draft Engine'!$E$201:$E$232,$O12)</f>
        <v/>
      </c>
      <c r="E12">
        <f>IF($D12&gt;=95,"ELITE",IF($D12&gt;=90,"TIER 1",IF($D12&gt;=85,"TIER 2",IF($D12&gt;=80,"TIER 3",IF($D12&gt;=75,"TIER 4",IF($D12&gt;=70,"TIER 5",IF($D12&gt;=65,"TIER 6","TIER 7")))))))</f>
        <v/>
      </c>
      <c r="F12">
        <f>INDEX('Draft Engine'!$G$201:$G$232,$O12)</f>
        <v/>
      </c>
      <c r="G12">
        <f>INDEX('Draft Engine'!$J$201:$J$232,$O12)</f>
        <v/>
      </c>
      <c r="H12">
        <f>INDEX('Draft Engine'!$N$201:$N$232,$O12)</f>
        <v/>
      </c>
      <c r="I12">
        <f>INDEX('Draft Engine'!$Q$201:$Q$232,$O12)</f>
        <v/>
      </c>
      <c r="J12">
        <f>INDEX('Draft Engine'!$R$201:$R$232,$O12)</f>
        <v/>
      </c>
      <c r="K12">
        <f>INDEX('Draft Engine'!$S$201:$S$232,$O12)</f>
        <v/>
      </c>
      <c r="L12">
        <f>INDEX('Draft Engine'!$T$201:$T$232,$O12)</f>
        <v/>
      </c>
      <c r="M12">
        <f>INDEX('LIVE SOURCE'!$H$201:$H$232,$O12)</f>
        <v/>
      </c>
      <c r="N12">
        <f>INDEX('LIVE SOURCE'!$J$201:$J$232,$O12)</f>
        <v/>
      </c>
      <c r="O12" s="6">
        <f>MATCH($A12,'Draft Engine'!$F$201:$F$232,0)</f>
        <v/>
      </c>
    </row>
    <row r="13">
      <c r="A13">
        <f>11</f>
        <v/>
      </c>
      <c r="B13">
        <f>INDEX('Draft Engine'!$B$201:$B$232,$O13)</f>
        <v/>
      </c>
      <c r="C13">
        <f>INDEX('LIVE SOURCE'!$C$201:$C$232,$O13)</f>
        <v/>
      </c>
      <c r="D13" s="4">
        <f>INDEX('Draft Engine'!$E$201:$E$232,$O13)</f>
        <v/>
      </c>
      <c r="E13">
        <f>IF($D13&gt;=95,"ELITE",IF($D13&gt;=90,"TIER 1",IF($D13&gt;=85,"TIER 2",IF($D13&gt;=80,"TIER 3",IF($D13&gt;=75,"TIER 4",IF($D13&gt;=70,"TIER 5",IF($D13&gt;=65,"TIER 6","TIER 7")))))))</f>
        <v/>
      </c>
      <c r="F13">
        <f>INDEX('Draft Engine'!$G$201:$G$232,$O13)</f>
        <v/>
      </c>
      <c r="G13">
        <f>INDEX('Draft Engine'!$J$201:$J$232,$O13)</f>
        <v/>
      </c>
      <c r="H13">
        <f>INDEX('Draft Engine'!$N$201:$N$232,$O13)</f>
        <v/>
      </c>
      <c r="I13">
        <f>INDEX('Draft Engine'!$Q$201:$Q$232,$O13)</f>
        <v/>
      </c>
      <c r="J13">
        <f>INDEX('Draft Engine'!$R$201:$R$232,$O13)</f>
        <v/>
      </c>
      <c r="K13">
        <f>INDEX('Draft Engine'!$S$201:$S$232,$O13)</f>
        <v/>
      </c>
      <c r="L13">
        <f>INDEX('Draft Engine'!$T$201:$T$232,$O13)</f>
        <v/>
      </c>
      <c r="M13">
        <f>INDEX('LIVE SOURCE'!$H$201:$H$232,$O13)</f>
        <v/>
      </c>
      <c r="N13">
        <f>INDEX('LIVE SOURCE'!$J$201:$J$232,$O13)</f>
        <v/>
      </c>
      <c r="O13" s="6">
        <f>MATCH($A13,'Draft Engine'!$F$201:$F$232,0)</f>
        <v/>
      </c>
    </row>
    <row r="14">
      <c r="A14">
        <f>12</f>
        <v/>
      </c>
      <c r="B14">
        <f>INDEX('Draft Engine'!$B$201:$B$232,$O14)</f>
        <v/>
      </c>
      <c r="C14">
        <f>INDEX('LIVE SOURCE'!$C$201:$C$232,$O14)</f>
        <v/>
      </c>
      <c r="D14" s="4">
        <f>INDEX('Draft Engine'!$E$201:$E$232,$O14)</f>
        <v/>
      </c>
      <c r="E14">
        <f>IF($D14&gt;=95,"ELITE",IF($D14&gt;=90,"TIER 1",IF($D14&gt;=85,"TIER 2",IF($D14&gt;=80,"TIER 3",IF($D14&gt;=75,"TIER 4",IF($D14&gt;=70,"TIER 5",IF($D14&gt;=65,"TIER 6","TIER 7")))))))</f>
        <v/>
      </c>
      <c r="F14">
        <f>INDEX('Draft Engine'!$G$201:$G$232,$O14)</f>
        <v/>
      </c>
      <c r="G14">
        <f>INDEX('Draft Engine'!$J$201:$J$232,$O14)</f>
        <v/>
      </c>
      <c r="H14">
        <f>INDEX('Draft Engine'!$N$201:$N$232,$O14)</f>
        <v/>
      </c>
      <c r="I14">
        <f>INDEX('Draft Engine'!$Q$201:$Q$232,$O14)</f>
        <v/>
      </c>
      <c r="J14">
        <f>INDEX('Draft Engine'!$R$201:$R$232,$O14)</f>
        <v/>
      </c>
      <c r="K14">
        <f>INDEX('Draft Engine'!$S$201:$S$232,$O14)</f>
        <v/>
      </c>
      <c r="L14">
        <f>INDEX('Draft Engine'!$T$201:$T$232,$O14)</f>
        <v/>
      </c>
      <c r="M14">
        <f>INDEX('LIVE SOURCE'!$H$201:$H$232,$O14)</f>
        <v/>
      </c>
      <c r="N14">
        <f>INDEX('LIVE SOURCE'!$J$201:$J$232,$O14)</f>
        <v/>
      </c>
      <c r="O14" s="6">
        <f>MATCH($A14,'Draft Engine'!$F$201:$F$232,0)</f>
        <v/>
      </c>
    </row>
    <row r="15">
      <c r="A15">
        <f>13</f>
        <v/>
      </c>
      <c r="B15">
        <f>INDEX('Draft Engine'!$B$201:$B$232,$O15)</f>
        <v/>
      </c>
      <c r="C15">
        <f>INDEX('LIVE SOURCE'!$C$201:$C$232,$O15)</f>
        <v/>
      </c>
      <c r="D15" s="4">
        <f>INDEX('Draft Engine'!$E$201:$E$232,$O15)</f>
        <v/>
      </c>
      <c r="E15">
        <f>IF($D15&gt;=95,"ELITE",IF($D15&gt;=90,"TIER 1",IF($D15&gt;=85,"TIER 2",IF($D15&gt;=80,"TIER 3",IF($D15&gt;=75,"TIER 4",IF($D15&gt;=70,"TIER 5",IF($D15&gt;=65,"TIER 6","TIER 7")))))))</f>
        <v/>
      </c>
      <c r="F15">
        <f>INDEX('Draft Engine'!$G$201:$G$232,$O15)</f>
        <v/>
      </c>
      <c r="G15">
        <f>INDEX('Draft Engine'!$J$201:$J$232,$O15)</f>
        <v/>
      </c>
      <c r="H15">
        <f>INDEX('Draft Engine'!$N$201:$N$232,$O15)</f>
        <v/>
      </c>
      <c r="I15">
        <f>INDEX('Draft Engine'!$Q$201:$Q$232,$O15)</f>
        <v/>
      </c>
      <c r="J15">
        <f>INDEX('Draft Engine'!$R$201:$R$232,$O15)</f>
        <v/>
      </c>
      <c r="K15">
        <f>INDEX('Draft Engine'!$S$201:$S$232,$O15)</f>
        <v/>
      </c>
      <c r="L15">
        <f>INDEX('Draft Engine'!$T$201:$T$232,$O15)</f>
        <v/>
      </c>
      <c r="M15">
        <f>INDEX('LIVE SOURCE'!$H$201:$H$232,$O15)</f>
        <v/>
      </c>
      <c r="N15">
        <f>INDEX('LIVE SOURCE'!$J$201:$J$232,$O15)</f>
        <v/>
      </c>
      <c r="O15" s="6">
        <f>MATCH($A15,'Draft Engine'!$F$201:$F$232,0)</f>
        <v/>
      </c>
    </row>
    <row r="16">
      <c r="A16">
        <f>14</f>
        <v/>
      </c>
      <c r="B16">
        <f>INDEX('Draft Engine'!$B$201:$B$232,$O16)</f>
        <v/>
      </c>
      <c r="C16">
        <f>INDEX('LIVE SOURCE'!$C$201:$C$232,$O16)</f>
        <v/>
      </c>
      <c r="D16" s="4">
        <f>INDEX('Draft Engine'!$E$201:$E$232,$O16)</f>
        <v/>
      </c>
      <c r="E16">
        <f>IF($D16&gt;=95,"ELITE",IF($D16&gt;=90,"TIER 1",IF($D16&gt;=85,"TIER 2",IF($D16&gt;=80,"TIER 3",IF($D16&gt;=75,"TIER 4",IF($D16&gt;=70,"TIER 5",IF($D16&gt;=65,"TIER 6","TIER 7")))))))</f>
        <v/>
      </c>
      <c r="F16">
        <f>INDEX('Draft Engine'!$G$201:$G$232,$O16)</f>
        <v/>
      </c>
      <c r="G16">
        <f>INDEX('Draft Engine'!$J$201:$J$232,$O16)</f>
        <v/>
      </c>
      <c r="H16">
        <f>INDEX('Draft Engine'!$N$201:$N$232,$O16)</f>
        <v/>
      </c>
      <c r="I16">
        <f>INDEX('Draft Engine'!$Q$201:$Q$232,$O16)</f>
        <v/>
      </c>
      <c r="J16">
        <f>INDEX('Draft Engine'!$R$201:$R$232,$O16)</f>
        <v/>
      </c>
      <c r="K16">
        <f>INDEX('Draft Engine'!$S$201:$S$232,$O16)</f>
        <v/>
      </c>
      <c r="L16">
        <f>INDEX('Draft Engine'!$T$201:$T$232,$O16)</f>
        <v/>
      </c>
      <c r="M16">
        <f>INDEX('LIVE SOURCE'!$H$201:$H$232,$O16)</f>
        <v/>
      </c>
      <c r="N16">
        <f>INDEX('LIVE SOURCE'!$J$201:$J$232,$O16)</f>
        <v/>
      </c>
      <c r="O16" s="6">
        <f>MATCH($A16,'Draft Engine'!$F$201:$F$232,0)</f>
        <v/>
      </c>
    </row>
    <row r="17">
      <c r="A17">
        <f>15</f>
        <v/>
      </c>
      <c r="B17">
        <f>INDEX('Draft Engine'!$B$201:$B$232,$O17)</f>
        <v/>
      </c>
      <c r="C17">
        <f>INDEX('LIVE SOURCE'!$C$201:$C$232,$O17)</f>
        <v/>
      </c>
      <c r="D17" s="4">
        <f>INDEX('Draft Engine'!$E$201:$E$232,$O17)</f>
        <v/>
      </c>
      <c r="E17">
        <f>IF($D17&gt;=95,"ELITE",IF($D17&gt;=90,"TIER 1",IF($D17&gt;=85,"TIER 2",IF($D17&gt;=80,"TIER 3",IF($D17&gt;=75,"TIER 4",IF($D17&gt;=70,"TIER 5",IF($D17&gt;=65,"TIER 6","TIER 7")))))))</f>
        <v/>
      </c>
      <c r="F17">
        <f>INDEX('Draft Engine'!$G$201:$G$232,$O17)</f>
        <v/>
      </c>
      <c r="G17">
        <f>INDEX('Draft Engine'!$J$201:$J$232,$O17)</f>
        <v/>
      </c>
      <c r="H17">
        <f>INDEX('Draft Engine'!$N$201:$N$232,$O17)</f>
        <v/>
      </c>
      <c r="I17">
        <f>INDEX('Draft Engine'!$Q$201:$Q$232,$O17)</f>
        <v/>
      </c>
      <c r="J17">
        <f>INDEX('Draft Engine'!$R$201:$R$232,$O17)</f>
        <v/>
      </c>
      <c r="K17">
        <f>INDEX('Draft Engine'!$S$201:$S$232,$O17)</f>
        <v/>
      </c>
      <c r="L17">
        <f>INDEX('Draft Engine'!$T$201:$T$232,$O17)</f>
        <v/>
      </c>
      <c r="M17">
        <f>INDEX('LIVE SOURCE'!$H$201:$H$232,$O17)</f>
        <v/>
      </c>
      <c r="N17">
        <f>INDEX('LIVE SOURCE'!$J$201:$J$232,$O17)</f>
        <v/>
      </c>
      <c r="O17" s="6">
        <f>MATCH($A17,'Draft Engine'!$F$201:$F$232,0)</f>
        <v/>
      </c>
    </row>
    <row r="18">
      <c r="A18">
        <f>16</f>
        <v/>
      </c>
      <c r="B18">
        <f>INDEX('Draft Engine'!$B$201:$B$232,$O18)</f>
        <v/>
      </c>
      <c r="C18">
        <f>INDEX('LIVE SOURCE'!$C$201:$C$232,$O18)</f>
        <v/>
      </c>
      <c r="D18" s="4">
        <f>INDEX('Draft Engine'!$E$201:$E$232,$O18)</f>
        <v/>
      </c>
      <c r="E18">
        <f>IF($D18&gt;=95,"ELITE",IF($D18&gt;=90,"TIER 1",IF($D18&gt;=85,"TIER 2",IF($D18&gt;=80,"TIER 3",IF($D18&gt;=75,"TIER 4",IF($D18&gt;=70,"TIER 5",IF($D18&gt;=65,"TIER 6","TIER 7")))))))</f>
        <v/>
      </c>
      <c r="F18">
        <f>INDEX('Draft Engine'!$G$201:$G$232,$O18)</f>
        <v/>
      </c>
      <c r="G18">
        <f>INDEX('Draft Engine'!$J$201:$J$232,$O18)</f>
        <v/>
      </c>
      <c r="H18">
        <f>INDEX('Draft Engine'!$N$201:$N$232,$O18)</f>
        <v/>
      </c>
      <c r="I18">
        <f>INDEX('Draft Engine'!$Q$201:$Q$232,$O18)</f>
        <v/>
      </c>
      <c r="J18">
        <f>INDEX('Draft Engine'!$R$201:$R$232,$O18)</f>
        <v/>
      </c>
      <c r="K18">
        <f>INDEX('Draft Engine'!$S$201:$S$232,$O18)</f>
        <v/>
      </c>
      <c r="L18">
        <f>INDEX('Draft Engine'!$T$201:$T$232,$O18)</f>
        <v/>
      </c>
      <c r="M18">
        <f>INDEX('LIVE SOURCE'!$H$201:$H$232,$O18)</f>
        <v/>
      </c>
      <c r="N18">
        <f>INDEX('LIVE SOURCE'!$J$201:$J$232,$O18)</f>
        <v/>
      </c>
      <c r="O18" s="6">
        <f>MATCH($A18,'Draft Engine'!$F$201:$F$232,0)</f>
        <v/>
      </c>
    </row>
    <row r="19">
      <c r="A19">
        <f>17</f>
        <v/>
      </c>
      <c r="B19">
        <f>INDEX('Draft Engine'!$B$201:$B$232,$O19)</f>
        <v/>
      </c>
      <c r="C19">
        <f>INDEX('LIVE SOURCE'!$C$201:$C$232,$O19)</f>
        <v/>
      </c>
      <c r="D19" s="4">
        <f>INDEX('Draft Engine'!$E$201:$E$232,$O19)</f>
        <v/>
      </c>
      <c r="E19">
        <f>IF($D19&gt;=95,"ELITE",IF($D19&gt;=90,"TIER 1",IF($D19&gt;=85,"TIER 2",IF($D19&gt;=80,"TIER 3",IF($D19&gt;=75,"TIER 4",IF($D19&gt;=70,"TIER 5",IF($D19&gt;=65,"TIER 6","TIER 7")))))))</f>
        <v/>
      </c>
      <c r="F19">
        <f>INDEX('Draft Engine'!$G$201:$G$232,$O19)</f>
        <v/>
      </c>
      <c r="G19">
        <f>INDEX('Draft Engine'!$J$201:$J$232,$O19)</f>
        <v/>
      </c>
      <c r="H19">
        <f>INDEX('Draft Engine'!$N$201:$N$232,$O19)</f>
        <v/>
      </c>
      <c r="I19">
        <f>INDEX('Draft Engine'!$Q$201:$Q$232,$O19)</f>
        <v/>
      </c>
      <c r="J19">
        <f>INDEX('Draft Engine'!$R$201:$R$232,$O19)</f>
        <v/>
      </c>
      <c r="K19">
        <f>INDEX('Draft Engine'!$S$201:$S$232,$O19)</f>
        <v/>
      </c>
      <c r="L19">
        <f>INDEX('Draft Engine'!$T$201:$T$232,$O19)</f>
        <v/>
      </c>
      <c r="M19">
        <f>INDEX('LIVE SOURCE'!$H$201:$H$232,$O19)</f>
        <v/>
      </c>
      <c r="N19">
        <f>INDEX('LIVE SOURCE'!$J$201:$J$232,$O19)</f>
        <v/>
      </c>
      <c r="O19" s="6">
        <f>MATCH($A19,'Draft Engine'!$F$201:$F$232,0)</f>
        <v/>
      </c>
    </row>
    <row r="20">
      <c r="A20">
        <f>18</f>
        <v/>
      </c>
      <c r="B20">
        <f>INDEX('Draft Engine'!$B$201:$B$232,$O20)</f>
        <v/>
      </c>
      <c r="C20">
        <f>INDEX('LIVE SOURCE'!$C$201:$C$232,$O20)</f>
        <v/>
      </c>
      <c r="D20" s="4">
        <f>INDEX('Draft Engine'!$E$201:$E$232,$O20)</f>
        <v/>
      </c>
      <c r="E20">
        <f>IF($D20&gt;=95,"ELITE",IF($D20&gt;=90,"TIER 1",IF($D20&gt;=85,"TIER 2",IF($D20&gt;=80,"TIER 3",IF($D20&gt;=75,"TIER 4",IF($D20&gt;=70,"TIER 5",IF($D20&gt;=65,"TIER 6","TIER 7")))))))</f>
        <v/>
      </c>
      <c r="F20">
        <f>INDEX('Draft Engine'!$G$201:$G$232,$O20)</f>
        <v/>
      </c>
      <c r="G20">
        <f>INDEX('Draft Engine'!$J$201:$J$232,$O20)</f>
        <v/>
      </c>
      <c r="H20">
        <f>INDEX('Draft Engine'!$N$201:$N$232,$O20)</f>
        <v/>
      </c>
      <c r="I20">
        <f>INDEX('Draft Engine'!$Q$201:$Q$232,$O20)</f>
        <v/>
      </c>
      <c r="J20">
        <f>INDEX('Draft Engine'!$R$201:$R$232,$O20)</f>
        <v/>
      </c>
      <c r="K20">
        <f>INDEX('Draft Engine'!$S$201:$S$232,$O20)</f>
        <v/>
      </c>
      <c r="L20">
        <f>INDEX('Draft Engine'!$T$201:$T$232,$O20)</f>
        <v/>
      </c>
      <c r="M20">
        <f>INDEX('LIVE SOURCE'!$H$201:$H$232,$O20)</f>
        <v/>
      </c>
      <c r="N20">
        <f>INDEX('LIVE SOURCE'!$J$201:$J$232,$O20)</f>
        <v/>
      </c>
      <c r="O20" s="6">
        <f>MATCH($A20,'Draft Engine'!$F$201:$F$232,0)</f>
        <v/>
      </c>
    </row>
    <row r="21">
      <c r="A21">
        <f>19</f>
        <v/>
      </c>
      <c r="B21">
        <f>INDEX('Draft Engine'!$B$201:$B$232,$O21)</f>
        <v/>
      </c>
      <c r="C21">
        <f>INDEX('LIVE SOURCE'!$C$201:$C$232,$O21)</f>
        <v/>
      </c>
      <c r="D21" s="4">
        <f>INDEX('Draft Engine'!$E$201:$E$232,$O21)</f>
        <v/>
      </c>
      <c r="E21">
        <f>IF($D21&gt;=95,"ELITE",IF($D21&gt;=90,"TIER 1",IF($D21&gt;=85,"TIER 2",IF($D21&gt;=80,"TIER 3",IF($D21&gt;=75,"TIER 4",IF($D21&gt;=70,"TIER 5",IF($D21&gt;=65,"TIER 6","TIER 7")))))))</f>
        <v/>
      </c>
      <c r="F21">
        <f>INDEX('Draft Engine'!$G$201:$G$232,$O21)</f>
        <v/>
      </c>
      <c r="G21">
        <f>INDEX('Draft Engine'!$J$201:$J$232,$O21)</f>
        <v/>
      </c>
      <c r="H21">
        <f>INDEX('Draft Engine'!$N$201:$N$232,$O21)</f>
        <v/>
      </c>
      <c r="I21">
        <f>INDEX('Draft Engine'!$Q$201:$Q$232,$O21)</f>
        <v/>
      </c>
      <c r="J21">
        <f>INDEX('Draft Engine'!$R$201:$R$232,$O21)</f>
        <v/>
      </c>
      <c r="K21">
        <f>INDEX('Draft Engine'!$S$201:$S$232,$O21)</f>
        <v/>
      </c>
      <c r="L21">
        <f>INDEX('Draft Engine'!$T$201:$T$232,$O21)</f>
        <v/>
      </c>
      <c r="M21">
        <f>INDEX('LIVE SOURCE'!$H$201:$H$232,$O21)</f>
        <v/>
      </c>
      <c r="N21">
        <f>INDEX('LIVE SOURCE'!$J$201:$J$232,$O21)</f>
        <v/>
      </c>
      <c r="O21" s="6">
        <f>MATCH($A21,'Draft Engine'!$F$201:$F$232,0)</f>
        <v/>
      </c>
    </row>
    <row r="22">
      <c r="A22">
        <f>20</f>
        <v/>
      </c>
      <c r="B22">
        <f>INDEX('Draft Engine'!$B$201:$B$232,$O22)</f>
        <v/>
      </c>
      <c r="C22">
        <f>INDEX('LIVE SOURCE'!$C$201:$C$232,$O22)</f>
        <v/>
      </c>
      <c r="D22" s="4">
        <f>INDEX('Draft Engine'!$E$201:$E$232,$O22)</f>
        <v/>
      </c>
      <c r="E22">
        <f>IF($D22&gt;=95,"ELITE",IF($D22&gt;=90,"TIER 1",IF($D22&gt;=85,"TIER 2",IF($D22&gt;=80,"TIER 3",IF($D22&gt;=75,"TIER 4",IF($D22&gt;=70,"TIER 5",IF($D22&gt;=65,"TIER 6","TIER 7")))))))</f>
        <v/>
      </c>
      <c r="F22">
        <f>INDEX('Draft Engine'!$G$201:$G$232,$O22)</f>
        <v/>
      </c>
      <c r="G22">
        <f>INDEX('Draft Engine'!$J$201:$J$232,$O22)</f>
        <v/>
      </c>
      <c r="H22">
        <f>INDEX('Draft Engine'!$N$201:$N$232,$O22)</f>
        <v/>
      </c>
      <c r="I22">
        <f>INDEX('Draft Engine'!$Q$201:$Q$232,$O22)</f>
        <v/>
      </c>
      <c r="J22">
        <f>INDEX('Draft Engine'!$R$201:$R$232,$O22)</f>
        <v/>
      </c>
      <c r="K22">
        <f>INDEX('Draft Engine'!$S$201:$S$232,$O22)</f>
        <v/>
      </c>
      <c r="L22">
        <f>INDEX('Draft Engine'!$T$201:$T$232,$O22)</f>
        <v/>
      </c>
      <c r="M22">
        <f>INDEX('LIVE SOURCE'!$H$201:$H$232,$O22)</f>
        <v/>
      </c>
      <c r="N22">
        <f>INDEX('LIVE SOURCE'!$J$201:$J$232,$O22)</f>
        <v/>
      </c>
      <c r="O22" s="6">
        <f>MATCH($A22,'Draft Engine'!$F$201:$F$232,0)</f>
        <v/>
      </c>
    </row>
    <row r="23">
      <c r="A23">
        <f>21</f>
        <v/>
      </c>
      <c r="B23">
        <f>INDEX('Draft Engine'!$B$201:$B$232,$O23)</f>
        <v/>
      </c>
      <c r="C23">
        <f>INDEX('LIVE SOURCE'!$C$201:$C$232,$O23)</f>
        <v/>
      </c>
      <c r="D23" s="4">
        <f>INDEX('Draft Engine'!$E$201:$E$232,$O23)</f>
        <v/>
      </c>
      <c r="E23">
        <f>IF($D23&gt;=95,"ELITE",IF($D23&gt;=90,"TIER 1",IF($D23&gt;=85,"TIER 2",IF($D23&gt;=80,"TIER 3",IF($D23&gt;=75,"TIER 4",IF($D23&gt;=70,"TIER 5",IF($D23&gt;=65,"TIER 6","TIER 7")))))))</f>
        <v/>
      </c>
      <c r="F23">
        <f>INDEX('Draft Engine'!$G$201:$G$232,$O23)</f>
        <v/>
      </c>
      <c r="G23">
        <f>INDEX('Draft Engine'!$J$201:$J$232,$O23)</f>
        <v/>
      </c>
      <c r="H23">
        <f>INDEX('Draft Engine'!$N$201:$N$232,$O23)</f>
        <v/>
      </c>
      <c r="I23">
        <f>INDEX('Draft Engine'!$Q$201:$Q$232,$O23)</f>
        <v/>
      </c>
      <c r="J23">
        <f>INDEX('Draft Engine'!$R$201:$R$232,$O23)</f>
        <v/>
      </c>
      <c r="K23">
        <f>INDEX('Draft Engine'!$S$201:$S$232,$O23)</f>
        <v/>
      </c>
      <c r="L23">
        <f>INDEX('Draft Engine'!$T$201:$T$232,$O23)</f>
        <v/>
      </c>
      <c r="M23">
        <f>INDEX('LIVE SOURCE'!$H$201:$H$232,$O23)</f>
        <v/>
      </c>
      <c r="N23">
        <f>INDEX('LIVE SOURCE'!$J$201:$J$232,$O23)</f>
        <v/>
      </c>
      <c r="O23" s="6">
        <f>MATCH($A23,'Draft Engine'!$F$201:$F$232,0)</f>
        <v/>
      </c>
    </row>
    <row r="24">
      <c r="A24">
        <f>22</f>
        <v/>
      </c>
      <c r="B24">
        <f>INDEX('Draft Engine'!$B$201:$B$232,$O24)</f>
        <v/>
      </c>
      <c r="C24">
        <f>INDEX('LIVE SOURCE'!$C$201:$C$232,$O24)</f>
        <v/>
      </c>
      <c r="D24" s="4">
        <f>INDEX('Draft Engine'!$E$201:$E$232,$O24)</f>
        <v/>
      </c>
      <c r="E24">
        <f>IF($D24&gt;=95,"ELITE",IF($D24&gt;=90,"TIER 1",IF($D24&gt;=85,"TIER 2",IF($D24&gt;=80,"TIER 3",IF($D24&gt;=75,"TIER 4",IF($D24&gt;=70,"TIER 5",IF($D24&gt;=65,"TIER 6","TIER 7")))))))</f>
        <v/>
      </c>
      <c r="F24">
        <f>INDEX('Draft Engine'!$G$201:$G$232,$O24)</f>
        <v/>
      </c>
      <c r="G24">
        <f>INDEX('Draft Engine'!$J$201:$J$232,$O24)</f>
        <v/>
      </c>
      <c r="H24">
        <f>INDEX('Draft Engine'!$N$201:$N$232,$O24)</f>
        <v/>
      </c>
      <c r="I24">
        <f>INDEX('Draft Engine'!$Q$201:$Q$232,$O24)</f>
        <v/>
      </c>
      <c r="J24">
        <f>INDEX('Draft Engine'!$R$201:$R$232,$O24)</f>
        <v/>
      </c>
      <c r="K24">
        <f>INDEX('Draft Engine'!$S$201:$S$232,$O24)</f>
        <v/>
      </c>
      <c r="L24">
        <f>INDEX('Draft Engine'!$T$201:$T$232,$O24)</f>
        <v/>
      </c>
      <c r="M24">
        <f>INDEX('LIVE SOURCE'!$H$201:$H$232,$O24)</f>
        <v/>
      </c>
      <c r="N24">
        <f>INDEX('LIVE SOURCE'!$J$201:$J$232,$O24)</f>
        <v/>
      </c>
      <c r="O24" s="6">
        <f>MATCH($A24,'Draft Engine'!$F$201:$F$232,0)</f>
        <v/>
      </c>
    </row>
    <row r="25">
      <c r="A25">
        <f>23</f>
        <v/>
      </c>
      <c r="B25">
        <f>INDEX('Draft Engine'!$B$201:$B$232,$O25)</f>
        <v/>
      </c>
      <c r="C25">
        <f>INDEX('LIVE SOURCE'!$C$201:$C$232,$O25)</f>
        <v/>
      </c>
      <c r="D25" s="4">
        <f>INDEX('Draft Engine'!$E$201:$E$232,$O25)</f>
        <v/>
      </c>
      <c r="E25">
        <f>IF($D25&gt;=95,"ELITE",IF($D25&gt;=90,"TIER 1",IF($D25&gt;=85,"TIER 2",IF($D25&gt;=80,"TIER 3",IF($D25&gt;=75,"TIER 4",IF($D25&gt;=70,"TIER 5",IF($D25&gt;=65,"TIER 6","TIER 7")))))))</f>
        <v/>
      </c>
      <c r="F25">
        <f>INDEX('Draft Engine'!$G$201:$G$232,$O25)</f>
        <v/>
      </c>
      <c r="G25">
        <f>INDEX('Draft Engine'!$J$201:$J$232,$O25)</f>
        <v/>
      </c>
      <c r="H25">
        <f>INDEX('Draft Engine'!$N$201:$N$232,$O25)</f>
        <v/>
      </c>
      <c r="I25">
        <f>INDEX('Draft Engine'!$Q$201:$Q$232,$O25)</f>
        <v/>
      </c>
      <c r="J25">
        <f>INDEX('Draft Engine'!$R$201:$R$232,$O25)</f>
        <v/>
      </c>
      <c r="K25">
        <f>INDEX('Draft Engine'!$S$201:$S$232,$O25)</f>
        <v/>
      </c>
      <c r="L25">
        <f>INDEX('Draft Engine'!$T$201:$T$232,$O25)</f>
        <v/>
      </c>
      <c r="M25">
        <f>INDEX('LIVE SOURCE'!$H$201:$H$232,$O25)</f>
        <v/>
      </c>
      <c r="N25">
        <f>INDEX('LIVE SOURCE'!$J$201:$J$232,$O25)</f>
        <v/>
      </c>
      <c r="O25" s="6">
        <f>MATCH($A25,'Draft Engine'!$F$201:$F$232,0)</f>
        <v/>
      </c>
    </row>
    <row r="26">
      <c r="A26">
        <f>24</f>
        <v/>
      </c>
      <c r="B26">
        <f>INDEX('Draft Engine'!$B$201:$B$232,$O26)</f>
        <v/>
      </c>
      <c r="C26">
        <f>INDEX('LIVE SOURCE'!$C$201:$C$232,$O26)</f>
        <v/>
      </c>
      <c r="D26" s="4">
        <f>INDEX('Draft Engine'!$E$201:$E$232,$O26)</f>
        <v/>
      </c>
      <c r="E26">
        <f>IF($D26&gt;=95,"ELITE",IF($D26&gt;=90,"TIER 1",IF($D26&gt;=85,"TIER 2",IF($D26&gt;=80,"TIER 3",IF($D26&gt;=75,"TIER 4",IF($D26&gt;=70,"TIER 5",IF($D26&gt;=65,"TIER 6","TIER 7")))))))</f>
        <v/>
      </c>
      <c r="F26">
        <f>INDEX('Draft Engine'!$G$201:$G$232,$O26)</f>
        <v/>
      </c>
      <c r="G26">
        <f>INDEX('Draft Engine'!$J$201:$J$232,$O26)</f>
        <v/>
      </c>
      <c r="H26">
        <f>INDEX('Draft Engine'!$N$201:$N$232,$O26)</f>
        <v/>
      </c>
      <c r="I26">
        <f>INDEX('Draft Engine'!$Q$201:$Q$232,$O26)</f>
        <v/>
      </c>
      <c r="J26">
        <f>INDEX('Draft Engine'!$R$201:$R$232,$O26)</f>
        <v/>
      </c>
      <c r="K26">
        <f>INDEX('Draft Engine'!$S$201:$S$232,$O26)</f>
        <v/>
      </c>
      <c r="L26">
        <f>INDEX('Draft Engine'!$T$201:$T$232,$O26)</f>
        <v/>
      </c>
      <c r="M26">
        <f>INDEX('LIVE SOURCE'!$H$201:$H$232,$O26)</f>
        <v/>
      </c>
      <c r="N26">
        <f>INDEX('LIVE SOURCE'!$J$201:$J$232,$O26)</f>
        <v/>
      </c>
      <c r="O26" s="6">
        <f>MATCH($A26,'Draft Engine'!$F$201:$F$232,0)</f>
        <v/>
      </c>
    </row>
    <row r="27">
      <c r="A27">
        <f>25</f>
        <v/>
      </c>
      <c r="B27">
        <f>INDEX('Draft Engine'!$B$201:$B$232,$O27)</f>
        <v/>
      </c>
      <c r="C27">
        <f>INDEX('LIVE SOURCE'!$C$201:$C$232,$O27)</f>
        <v/>
      </c>
      <c r="D27" s="4">
        <f>INDEX('Draft Engine'!$E$201:$E$232,$O27)</f>
        <v/>
      </c>
      <c r="E27">
        <f>IF($D27&gt;=95,"ELITE",IF($D27&gt;=90,"TIER 1",IF($D27&gt;=85,"TIER 2",IF($D27&gt;=80,"TIER 3",IF($D27&gt;=75,"TIER 4",IF($D27&gt;=70,"TIER 5",IF($D27&gt;=65,"TIER 6","TIER 7")))))))</f>
        <v/>
      </c>
      <c r="F27">
        <f>INDEX('Draft Engine'!$G$201:$G$232,$O27)</f>
        <v/>
      </c>
      <c r="G27">
        <f>INDEX('Draft Engine'!$J$201:$J$232,$O27)</f>
        <v/>
      </c>
      <c r="H27">
        <f>INDEX('Draft Engine'!$N$201:$N$232,$O27)</f>
        <v/>
      </c>
      <c r="I27">
        <f>INDEX('Draft Engine'!$Q$201:$Q$232,$O27)</f>
        <v/>
      </c>
      <c r="J27">
        <f>INDEX('Draft Engine'!$R$201:$R$232,$O27)</f>
        <v/>
      </c>
      <c r="K27">
        <f>INDEX('Draft Engine'!$S$201:$S$232,$O27)</f>
        <v/>
      </c>
      <c r="L27">
        <f>INDEX('Draft Engine'!$T$201:$T$232,$O27)</f>
        <v/>
      </c>
      <c r="M27">
        <f>INDEX('LIVE SOURCE'!$H$201:$H$232,$O27)</f>
        <v/>
      </c>
      <c r="N27">
        <f>INDEX('LIVE SOURCE'!$J$201:$J$232,$O27)</f>
        <v/>
      </c>
      <c r="O27" s="6">
        <f>MATCH($A27,'Draft Engine'!$F$201:$F$232,0)</f>
        <v/>
      </c>
    </row>
    <row r="28">
      <c r="A28">
        <f>26</f>
        <v/>
      </c>
      <c r="B28">
        <f>INDEX('Draft Engine'!$B$201:$B$232,$O28)</f>
        <v/>
      </c>
      <c r="C28">
        <f>INDEX('LIVE SOURCE'!$C$201:$C$232,$O28)</f>
        <v/>
      </c>
      <c r="D28" s="4">
        <f>INDEX('Draft Engine'!$E$201:$E$232,$O28)</f>
        <v/>
      </c>
      <c r="E28">
        <f>IF($D28&gt;=95,"ELITE",IF($D28&gt;=90,"TIER 1",IF($D28&gt;=85,"TIER 2",IF($D28&gt;=80,"TIER 3",IF($D28&gt;=75,"TIER 4",IF($D28&gt;=70,"TIER 5",IF($D28&gt;=65,"TIER 6","TIER 7")))))))</f>
        <v/>
      </c>
      <c r="F28">
        <f>INDEX('Draft Engine'!$G$201:$G$232,$O28)</f>
        <v/>
      </c>
      <c r="G28">
        <f>INDEX('Draft Engine'!$J$201:$J$232,$O28)</f>
        <v/>
      </c>
      <c r="H28">
        <f>INDEX('Draft Engine'!$N$201:$N$232,$O28)</f>
        <v/>
      </c>
      <c r="I28">
        <f>INDEX('Draft Engine'!$Q$201:$Q$232,$O28)</f>
        <v/>
      </c>
      <c r="J28">
        <f>INDEX('Draft Engine'!$R$201:$R$232,$O28)</f>
        <v/>
      </c>
      <c r="K28">
        <f>INDEX('Draft Engine'!$S$201:$S$232,$O28)</f>
        <v/>
      </c>
      <c r="L28">
        <f>INDEX('Draft Engine'!$T$201:$T$232,$O28)</f>
        <v/>
      </c>
      <c r="M28">
        <f>INDEX('LIVE SOURCE'!$H$201:$H$232,$O28)</f>
        <v/>
      </c>
      <c r="N28">
        <f>INDEX('LIVE SOURCE'!$J$201:$J$232,$O28)</f>
        <v/>
      </c>
      <c r="O28" s="6">
        <f>MATCH($A28,'Draft Engine'!$F$201:$F$232,0)</f>
        <v/>
      </c>
    </row>
    <row r="29">
      <c r="A29">
        <f>27</f>
        <v/>
      </c>
      <c r="B29">
        <f>INDEX('Draft Engine'!$B$201:$B$232,$O29)</f>
        <v/>
      </c>
      <c r="C29">
        <f>INDEX('LIVE SOURCE'!$C$201:$C$232,$O29)</f>
        <v/>
      </c>
      <c r="D29" s="4">
        <f>INDEX('Draft Engine'!$E$201:$E$232,$O29)</f>
        <v/>
      </c>
      <c r="E29">
        <f>IF($D29&gt;=95,"ELITE",IF($D29&gt;=90,"TIER 1",IF($D29&gt;=85,"TIER 2",IF($D29&gt;=80,"TIER 3",IF($D29&gt;=75,"TIER 4",IF($D29&gt;=70,"TIER 5",IF($D29&gt;=65,"TIER 6","TIER 7")))))))</f>
        <v/>
      </c>
      <c r="F29">
        <f>INDEX('Draft Engine'!$G$201:$G$232,$O29)</f>
        <v/>
      </c>
      <c r="G29">
        <f>INDEX('Draft Engine'!$J$201:$J$232,$O29)</f>
        <v/>
      </c>
      <c r="H29">
        <f>INDEX('Draft Engine'!$N$201:$N$232,$O29)</f>
        <v/>
      </c>
      <c r="I29">
        <f>INDEX('Draft Engine'!$Q$201:$Q$232,$O29)</f>
        <v/>
      </c>
      <c r="J29">
        <f>INDEX('Draft Engine'!$R$201:$R$232,$O29)</f>
        <v/>
      </c>
      <c r="K29">
        <f>INDEX('Draft Engine'!$S$201:$S$232,$O29)</f>
        <v/>
      </c>
      <c r="L29">
        <f>INDEX('Draft Engine'!$T$201:$T$232,$O29)</f>
        <v/>
      </c>
      <c r="M29">
        <f>INDEX('LIVE SOURCE'!$H$201:$H$232,$O29)</f>
        <v/>
      </c>
      <c r="N29">
        <f>INDEX('LIVE SOURCE'!$J$201:$J$232,$O29)</f>
        <v/>
      </c>
      <c r="O29" s="6">
        <f>MATCH($A29,'Draft Engine'!$F$201:$F$232,0)</f>
        <v/>
      </c>
    </row>
    <row r="30">
      <c r="A30">
        <f>28</f>
        <v/>
      </c>
      <c r="B30">
        <f>INDEX('Draft Engine'!$B$201:$B$232,$O30)</f>
        <v/>
      </c>
      <c r="C30">
        <f>INDEX('LIVE SOURCE'!$C$201:$C$232,$O30)</f>
        <v/>
      </c>
      <c r="D30" s="4">
        <f>INDEX('Draft Engine'!$E$201:$E$232,$O30)</f>
        <v/>
      </c>
      <c r="E30">
        <f>IF($D30&gt;=95,"ELITE",IF($D30&gt;=90,"TIER 1",IF($D30&gt;=85,"TIER 2",IF($D30&gt;=80,"TIER 3",IF($D30&gt;=75,"TIER 4",IF($D30&gt;=70,"TIER 5",IF($D30&gt;=65,"TIER 6","TIER 7")))))))</f>
        <v/>
      </c>
      <c r="F30">
        <f>INDEX('Draft Engine'!$G$201:$G$232,$O30)</f>
        <v/>
      </c>
      <c r="G30">
        <f>INDEX('Draft Engine'!$J$201:$J$232,$O30)</f>
        <v/>
      </c>
      <c r="H30">
        <f>INDEX('Draft Engine'!$N$201:$N$232,$O30)</f>
        <v/>
      </c>
      <c r="I30">
        <f>INDEX('Draft Engine'!$Q$201:$Q$232,$O30)</f>
        <v/>
      </c>
      <c r="J30">
        <f>INDEX('Draft Engine'!$R$201:$R$232,$O30)</f>
        <v/>
      </c>
      <c r="K30">
        <f>INDEX('Draft Engine'!$S$201:$S$232,$O30)</f>
        <v/>
      </c>
      <c r="L30">
        <f>INDEX('Draft Engine'!$T$201:$T$232,$O30)</f>
        <v/>
      </c>
      <c r="M30">
        <f>INDEX('LIVE SOURCE'!$H$201:$H$232,$O30)</f>
        <v/>
      </c>
      <c r="N30">
        <f>INDEX('LIVE SOURCE'!$J$201:$J$232,$O30)</f>
        <v/>
      </c>
      <c r="O30" s="6">
        <f>MATCH($A30,'Draft Engine'!$F$201:$F$232,0)</f>
        <v/>
      </c>
    </row>
    <row r="31">
      <c r="A31">
        <f>29</f>
        <v/>
      </c>
      <c r="B31">
        <f>INDEX('Draft Engine'!$B$201:$B$232,$O31)</f>
        <v/>
      </c>
      <c r="C31">
        <f>INDEX('LIVE SOURCE'!$C$201:$C$232,$O31)</f>
        <v/>
      </c>
      <c r="D31" s="4">
        <f>INDEX('Draft Engine'!$E$201:$E$232,$O31)</f>
        <v/>
      </c>
      <c r="E31">
        <f>IF($D31&gt;=95,"ELITE",IF($D31&gt;=90,"TIER 1",IF($D31&gt;=85,"TIER 2",IF($D31&gt;=80,"TIER 3",IF($D31&gt;=75,"TIER 4",IF($D31&gt;=70,"TIER 5",IF($D31&gt;=65,"TIER 6","TIER 7")))))))</f>
        <v/>
      </c>
      <c r="F31">
        <f>INDEX('Draft Engine'!$G$201:$G$232,$O31)</f>
        <v/>
      </c>
      <c r="G31">
        <f>INDEX('Draft Engine'!$J$201:$J$232,$O31)</f>
        <v/>
      </c>
      <c r="H31">
        <f>INDEX('Draft Engine'!$N$201:$N$232,$O31)</f>
        <v/>
      </c>
      <c r="I31">
        <f>INDEX('Draft Engine'!$Q$201:$Q$232,$O31)</f>
        <v/>
      </c>
      <c r="J31">
        <f>INDEX('Draft Engine'!$R$201:$R$232,$O31)</f>
        <v/>
      </c>
      <c r="K31">
        <f>INDEX('Draft Engine'!$S$201:$S$232,$O31)</f>
        <v/>
      </c>
      <c r="L31">
        <f>INDEX('Draft Engine'!$T$201:$T$232,$O31)</f>
        <v/>
      </c>
      <c r="M31">
        <f>INDEX('LIVE SOURCE'!$H$201:$H$232,$O31)</f>
        <v/>
      </c>
      <c r="N31">
        <f>INDEX('LIVE SOURCE'!$J$201:$J$232,$O31)</f>
        <v/>
      </c>
      <c r="O31" s="6">
        <f>MATCH($A31,'Draft Engine'!$F$201:$F$232,0)</f>
        <v/>
      </c>
    </row>
    <row r="32">
      <c r="A32">
        <f>30</f>
        <v/>
      </c>
      <c r="B32">
        <f>INDEX('Draft Engine'!$B$201:$B$232,$O32)</f>
        <v/>
      </c>
      <c r="C32">
        <f>INDEX('LIVE SOURCE'!$C$201:$C$232,$O32)</f>
        <v/>
      </c>
      <c r="D32" s="4">
        <f>INDEX('Draft Engine'!$E$201:$E$232,$O32)</f>
        <v/>
      </c>
      <c r="E32">
        <f>IF($D32&gt;=95,"ELITE",IF($D32&gt;=90,"TIER 1",IF($D32&gt;=85,"TIER 2",IF($D32&gt;=80,"TIER 3",IF($D32&gt;=75,"TIER 4",IF($D32&gt;=70,"TIER 5",IF($D32&gt;=65,"TIER 6","TIER 7")))))))</f>
        <v/>
      </c>
      <c r="F32">
        <f>INDEX('Draft Engine'!$G$201:$G$232,$O32)</f>
        <v/>
      </c>
      <c r="G32">
        <f>INDEX('Draft Engine'!$J$201:$J$232,$O32)</f>
        <v/>
      </c>
      <c r="H32">
        <f>INDEX('Draft Engine'!$N$201:$N$232,$O32)</f>
        <v/>
      </c>
      <c r="I32">
        <f>INDEX('Draft Engine'!$Q$201:$Q$232,$O32)</f>
        <v/>
      </c>
      <c r="J32">
        <f>INDEX('Draft Engine'!$R$201:$R$232,$O32)</f>
        <v/>
      </c>
      <c r="K32">
        <f>INDEX('Draft Engine'!$S$201:$S$232,$O32)</f>
        <v/>
      </c>
      <c r="L32">
        <f>INDEX('Draft Engine'!$T$201:$T$232,$O32)</f>
        <v/>
      </c>
      <c r="M32">
        <f>INDEX('LIVE SOURCE'!$H$201:$H$232,$O32)</f>
        <v/>
      </c>
      <c r="N32">
        <f>INDEX('LIVE SOURCE'!$J$201:$J$232,$O32)</f>
        <v/>
      </c>
      <c r="O32" s="6">
        <f>MATCH($A32,'Draft Engine'!$F$201:$F$232,0)</f>
        <v/>
      </c>
    </row>
    <row r="33">
      <c r="A33">
        <f>31</f>
        <v/>
      </c>
      <c r="B33">
        <f>INDEX('Draft Engine'!$B$201:$B$232,$O33)</f>
        <v/>
      </c>
      <c r="C33">
        <f>INDEX('LIVE SOURCE'!$C$201:$C$232,$O33)</f>
        <v/>
      </c>
      <c r="D33" s="4">
        <f>INDEX('Draft Engine'!$E$201:$E$232,$O33)</f>
        <v/>
      </c>
      <c r="E33">
        <f>IF($D33&gt;=95,"ELITE",IF($D33&gt;=90,"TIER 1",IF($D33&gt;=85,"TIER 2",IF($D33&gt;=80,"TIER 3",IF($D33&gt;=75,"TIER 4",IF($D33&gt;=70,"TIER 5",IF($D33&gt;=65,"TIER 6","TIER 7")))))))</f>
        <v/>
      </c>
      <c r="F33">
        <f>INDEX('Draft Engine'!$G$201:$G$232,$O33)</f>
        <v/>
      </c>
      <c r="G33">
        <f>INDEX('Draft Engine'!$J$201:$J$232,$O33)</f>
        <v/>
      </c>
      <c r="H33">
        <f>INDEX('Draft Engine'!$N$201:$N$232,$O33)</f>
        <v/>
      </c>
      <c r="I33">
        <f>INDEX('Draft Engine'!$Q$201:$Q$232,$O33)</f>
        <v/>
      </c>
      <c r="J33">
        <f>INDEX('Draft Engine'!$R$201:$R$232,$O33)</f>
        <v/>
      </c>
      <c r="K33">
        <f>INDEX('Draft Engine'!$S$201:$S$232,$O33)</f>
        <v/>
      </c>
      <c r="L33">
        <f>INDEX('Draft Engine'!$T$201:$T$232,$O33)</f>
        <v/>
      </c>
      <c r="M33">
        <f>INDEX('LIVE SOURCE'!$H$201:$H$232,$O33)</f>
        <v/>
      </c>
      <c r="N33">
        <f>INDEX('LIVE SOURCE'!$J$201:$J$232,$O33)</f>
        <v/>
      </c>
      <c r="O33" s="6">
        <f>MATCH($A33,'Draft Engine'!$F$201:$F$232,0)</f>
        <v/>
      </c>
    </row>
    <row r="34">
      <c r="A34">
        <f>32</f>
        <v/>
      </c>
      <c r="B34">
        <f>INDEX('Draft Engine'!$B$201:$B$232,$O34)</f>
        <v/>
      </c>
      <c r="C34">
        <f>INDEX('LIVE SOURCE'!$C$201:$C$232,$O34)</f>
        <v/>
      </c>
      <c r="D34" s="4">
        <f>INDEX('Draft Engine'!$E$201:$E$232,$O34)</f>
        <v/>
      </c>
      <c r="E34">
        <f>IF($D34&gt;=95,"ELITE",IF($D34&gt;=90,"TIER 1",IF($D34&gt;=85,"TIER 2",IF($D34&gt;=80,"TIER 3",IF($D34&gt;=75,"TIER 4",IF($D34&gt;=70,"TIER 5",IF($D34&gt;=65,"TIER 6","TIER 7")))))))</f>
        <v/>
      </c>
      <c r="F34">
        <f>INDEX('Draft Engine'!$G$201:$G$232,$O34)</f>
        <v/>
      </c>
      <c r="G34">
        <f>INDEX('Draft Engine'!$J$201:$J$232,$O34)</f>
        <v/>
      </c>
      <c r="H34">
        <f>INDEX('Draft Engine'!$N$201:$N$232,$O34)</f>
        <v/>
      </c>
      <c r="I34">
        <f>INDEX('Draft Engine'!$Q$201:$Q$232,$O34)</f>
        <v/>
      </c>
      <c r="J34">
        <f>INDEX('Draft Engine'!$R$201:$R$232,$O34)</f>
        <v/>
      </c>
      <c r="K34">
        <f>INDEX('Draft Engine'!$S$201:$S$232,$O34)</f>
        <v/>
      </c>
      <c r="L34">
        <f>INDEX('Draft Engine'!$T$201:$T$232,$O34)</f>
        <v/>
      </c>
      <c r="M34">
        <f>INDEX('LIVE SOURCE'!$H$201:$H$232,$O34)</f>
        <v/>
      </c>
      <c r="N34">
        <f>INDEX('LIVE SOURCE'!$J$201:$J$232,$O34)</f>
        <v/>
      </c>
      <c r="O34" s="6">
        <f>MATCH($A34,'Draft Engine'!$F$201:$F$232,0)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AD47"/>
    <outlinePr summaryBelow="1" summaryRight="1"/>
    <pageSetUpPr/>
  </sheetPr>
  <dimension ref="A1:Z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9" customWidth="1" min="4" max="4"/>
    <col width="11" customWidth="1" min="5" max="5"/>
    <col width="8" customWidth="1" min="6" max="6"/>
    <col width="10" customWidth="1" min="7" max="7"/>
    <col width="9" customWidth="1" min="8" max="8"/>
    <col width="10" customWidth="1" min="9" max="9"/>
    <col width="8" customWidth="1" min="10" max="10"/>
    <col width="10" customWidth="1" min="11" max="11"/>
    <col width="9" customWidth="1" min="12" max="12"/>
    <col width="8" customWidth="1" min="13" max="13"/>
    <col width="11" customWidth="1" min="14" max="14"/>
    <col width="8" customWidth="1" min="15" max="15"/>
    <col width="8" customWidth="1" min="16" max="16"/>
    <col width="10" customWidth="1" min="17" max="17"/>
    <col width="10" customWidth="1" min="18" max="18"/>
    <col width="9" customWidth="1" min="19" max="19"/>
    <col width="10" customWidth="1" min="20" max="20"/>
    <col width="8" customWidth="1" min="21" max="21"/>
    <col width="8" customWidth="1" min="22" max="22"/>
    <col width="8" customWidth="1" min="23" max="23"/>
    <col width="22" customWidth="1" min="24" max="24"/>
    <col width="11" customWidth="1" min="25" max="25"/>
    <col width="9" customWidth="1" min="26" max="26"/>
  </cols>
  <sheetData>
    <row r="1">
      <c r="A1" s="1" t="inlineStr">
        <is>
          <t>Draft Engine: live math. Mark players in the Status column on draft day.</t>
        </is>
      </c>
    </row>
    <row r="2" ht="28" customHeight="1">
      <c r="A2" s="3" t="inlineStr">
        <is>
          <t>Pos</t>
        </is>
      </c>
      <c r="B2" s="3" t="inlineStr">
        <is>
          <t>Player</t>
        </is>
      </c>
      <c r="C2" s="3" t="inlineStr">
        <is>
          <t>Base Rating</t>
        </is>
      </c>
      <c r="D2" s="3" t="inlineStr">
        <is>
          <t>Manual Adj</t>
        </is>
      </c>
      <c r="E2" s="3" t="inlineStr">
        <is>
          <t>Adjusted Rating</t>
        </is>
      </c>
      <c r="F2" s="3" t="inlineStr">
        <is>
          <t>Pos Rank</t>
        </is>
      </c>
      <c r="G2" s="3" t="inlineStr">
        <is>
          <t>Proj Points</t>
        </is>
      </c>
      <c r="H2" s="3" t="inlineStr">
        <is>
          <t>Repl Rank</t>
        </is>
      </c>
      <c r="I2" s="3" t="inlineStr">
        <is>
          <t>Repl Points</t>
        </is>
      </c>
      <c r="J2" s="3" t="inlineStr">
        <is>
          <t>VORP</t>
        </is>
      </c>
      <c r="K2" s="3" t="inlineStr">
        <is>
          <t>VORP Score</t>
        </is>
      </c>
      <c r="L2" s="3" t="inlineStr">
        <is>
          <t>Scarcity</t>
        </is>
      </c>
      <c r="M2" s="3" t="inlineStr">
        <is>
          <t>Penalty</t>
        </is>
      </c>
      <c r="N2" s="3" t="inlineStr">
        <is>
          <t>Draft Score</t>
        </is>
      </c>
      <c r="O2" s="3" t="inlineStr">
        <is>
          <t>Skill Score</t>
        </is>
      </c>
      <c r="P2" s="3" t="inlineStr">
        <is>
          <t>Skill Rank</t>
        </is>
      </c>
      <c r="Q2" s="3" t="inlineStr">
        <is>
          <t>Overall Rank</t>
        </is>
      </c>
      <c r="R2" s="3" t="inlineStr">
        <is>
          <t>Market ADP</t>
        </is>
      </c>
      <c r="S2" s="3" t="inlineStr">
        <is>
          <t>Draft Edge</t>
        </is>
      </c>
      <c r="T2" s="3" t="inlineStr">
        <is>
          <t>Confidence</t>
        </is>
      </c>
      <c r="U2" s="3" t="inlineStr">
        <is>
          <t>Floor</t>
        </is>
      </c>
      <c r="V2" s="3" t="inlineStr">
        <is>
          <t>Median</t>
        </is>
      </c>
      <c r="W2" s="3" t="inlineStr">
        <is>
          <t>Ceiling</t>
        </is>
      </c>
      <c r="X2" s="3" t="inlineStr">
        <is>
          <t>Model Path</t>
        </is>
      </c>
      <c r="Y2" s="3" t="inlineStr">
        <is>
          <t>Status</t>
        </is>
      </c>
      <c r="Z2" s="3" t="inlineStr">
        <is>
          <t>Avail Rank</t>
        </is>
      </c>
    </row>
    <row r="3">
      <c r="A3">
        <f>'LIVE SOURCE'!A3</f>
        <v/>
      </c>
      <c r="B3">
        <f>'LIVE SOURCE'!B3</f>
        <v/>
      </c>
      <c r="C3" s="4">
        <f>'LIVE SOURCE'!D3</f>
        <v/>
      </c>
      <c r="D3" s="4">
        <f>'Manual Adjustments'!G3</f>
        <v/>
      </c>
      <c r="E3" s="4">
        <f>MAX(40,MIN(100,C3+D3))</f>
        <v/>
      </c>
      <c r="F3">
        <f>COUNTIFS($A$3:$A$232,A3,$E$3:$E$232,"&gt;"&amp;E3)+COUNTIFS($A$3:A3,A3,$E$3:E3,E3)</f>
        <v/>
      </c>
      <c r="G3" s="4">
        <f>ROUND(INDEX('League Config'!$K$4:$K$9,MATCH(A3,'League Config'!$E$4:$E$9,0))*E3+INDEX('League Config'!$L$4:$L$9,MATCH(A3,'League Config'!$E$4:$E$9,0)),1)</f>
        <v/>
      </c>
      <c r="H3">
        <f>INDEX('League Config'!$H$4:$H$9,MATCH(A3,'League Config'!$E$4:$E$9,0))</f>
        <v/>
      </c>
      <c r="I3" s="4">
        <f>INDEX('League Config'!$I$4:$I$9,MATCH(A3,'League Config'!$E$4:$E$9,0))</f>
        <v/>
      </c>
      <c r="J3" s="4">
        <f>ROUND(G3-I3,1)</f>
        <v/>
      </c>
      <c r="K3" s="4">
        <f>MAX(0,MIN(100,50+J3*0.6))</f>
        <v/>
      </c>
      <c r="L3" s="4">
        <f>MIN(100,MAX(0,(1-(F3-1)/(H3*1.5))*100*INDEX('League Config'!$J$4:$J$9,MATCH(A3,'League Config'!$E$4:$E$9,0))))</f>
        <v/>
      </c>
      <c r="M3">
        <f>IF(A3="K",'League Config'!$B$14,IF(A3="DST",'League Config'!$B$15,IF(A3="QB",'League Config'!$B$16,0)))</f>
        <v/>
      </c>
      <c r="N3" s="4">
        <f>MIN(100,MAX(0,0.55*E3+0.3*K3+0.15*L3-M3))</f>
        <v/>
      </c>
      <c r="O3" s="9">
        <f>IF(OR(A3="K",A3="DST"),"",N3)</f>
        <v/>
      </c>
      <c r="P3" s="6">
        <f>IF(O3="","",COUNTIF($O$3:$O$232,"&gt;"&amp;O3)+COUNTIF($O$3:O3,O3))</f>
        <v/>
      </c>
      <c r="Q3">
        <f>IF(A3="DST",IF(F3&lt;=GateSize,DstStart-1+F3,NSkill+2*GateSize+F3-GateSize),IF(A3="K",IF(F3&lt;=GateSize,KStart-1+F3,NSkill+GateSize+NDst+F3-GateSize),IF(P3&lt;=DstStart-1,P3,P3+2*GateSize)))</f>
        <v/>
      </c>
      <c r="R3" s="4">
        <f>'LIVE SOURCE'!E3</f>
        <v/>
      </c>
      <c r="S3" s="4">
        <f>R3-Q3</f>
        <v/>
      </c>
      <c r="T3">
        <f>'LIVE SOURCE'!F3</f>
        <v/>
      </c>
      <c r="U3" s="4">
        <f>MAX(40,E3-IF(T3="A",6,IF(T3="B",9,12)))</f>
        <v/>
      </c>
      <c r="V3" s="4">
        <f>E3</f>
        <v/>
      </c>
      <c r="W3" s="4">
        <f>MIN(100,E3+IF(T3="A",6,IF(T3="B",9,12)))</f>
        <v/>
      </c>
      <c r="X3">
        <f>'LIVE SOURCE'!G3</f>
        <v/>
      </c>
      <c r="Y3">
        <f>IF(INDEX('Draft Board'!$J$3:$J$232,Q3)="","Available",INDEX('Draft Board'!$J$3:$J$232,Q3))</f>
        <v/>
      </c>
      <c r="Z3">
        <f>IF(Y3&lt;&gt;"Available","",1+COUNTIFS($Y$3:$Y$232,"Available",$Q$3:$Q$232,"&lt;"&amp;Q3))</f>
        <v/>
      </c>
    </row>
    <row r="4">
      <c r="A4">
        <f>'LIVE SOURCE'!A4</f>
        <v/>
      </c>
      <c r="B4">
        <f>'LIVE SOURCE'!B4</f>
        <v/>
      </c>
      <c r="C4" s="4">
        <f>'LIVE SOURCE'!D4</f>
        <v/>
      </c>
      <c r="D4" s="4">
        <f>'Manual Adjustments'!G4</f>
        <v/>
      </c>
      <c r="E4" s="4">
        <f>MAX(40,MIN(100,C4+D4))</f>
        <v/>
      </c>
      <c r="F4">
        <f>COUNTIFS($A$3:$A$232,A4,$E$3:$E$232,"&gt;"&amp;E4)+COUNTIFS($A$3:A4,A4,$E$3:E4,E4)</f>
        <v/>
      </c>
      <c r="G4" s="4">
        <f>ROUND(INDEX('League Config'!$K$4:$K$9,MATCH(A4,'League Config'!$E$4:$E$9,0))*E4+INDEX('League Config'!$L$4:$L$9,MATCH(A4,'League Config'!$E$4:$E$9,0)),1)</f>
        <v/>
      </c>
      <c r="H4">
        <f>INDEX('League Config'!$H$4:$H$9,MATCH(A4,'League Config'!$E$4:$E$9,0))</f>
        <v/>
      </c>
      <c r="I4" s="4">
        <f>INDEX('League Config'!$I$4:$I$9,MATCH(A4,'League Config'!$E$4:$E$9,0))</f>
        <v/>
      </c>
      <c r="J4" s="4">
        <f>ROUND(G4-I4,1)</f>
        <v/>
      </c>
      <c r="K4" s="4">
        <f>MAX(0,MIN(100,50+J4*0.6))</f>
        <v/>
      </c>
      <c r="L4" s="4">
        <f>MIN(100,MAX(0,(1-(F4-1)/(H4*1.5))*100*INDEX('League Config'!$J$4:$J$9,MATCH(A4,'League Config'!$E$4:$E$9,0))))</f>
        <v/>
      </c>
      <c r="M4">
        <f>IF(A4="K",'League Config'!$B$14,IF(A4="DST",'League Config'!$B$15,IF(A4="QB",'League Config'!$B$16,0)))</f>
        <v/>
      </c>
      <c r="N4" s="4">
        <f>MIN(100,MAX(0,0.55*E4+0.3*K4+0.15*L4-M4))</f>
        <v/>
      </c>
      <c r="O4" s="9">
        <f>IF(OR(A4="K",A4="DST"),"",N4)</f>
        <v/>
      </c>
      <c r="P4" s="6">
        <f>IF(O4="","",COUNTIF($O$3:$O$232,"&gt;"&amp;O4)+COUNTIF($O$3:O4,O4))</f>
        <v/>
      </c>
      <c r="Q4">
        <f>IF(A4="DST",IF(F4&lt;=GateSize,DstStart-1+F4,NSkill+2*GateSize+F4-GateSize),IF(A4="K",IF(F4&lt;=GateSize,KStart-1+F4,NSkill+GateSize+NDst+F4-GateSize),IF(P4&lt;=DstStart-1,P4,P4+2*GateSize)))</f>
        <v/>
      </c>
      <c r="R4" s="4">
        <f>'LIVE SOURCE'!E4</f>
        <v/>
      </c>
      <c r="S4" s="4">
        <f>R4-Q4</f>
        <v/>
      </c>
      <c r="T4">
        <f>'LIVE SOURCE'!F4</f>
        <v/>
      </c>
      <c r="U4" s="4">
        <f>MAX(40,E4-IF(T4="A",6,IF(T4="B",9,12)))</f>
        <v/>
      </c>
      <c r="V4" s="4">
        <f>E4</f>
        <v/>
      </c>
      <c r="W4" s="4">
        <f>MIN(100,E4+IF(T4="A",6,IF(T4="B",9,12)))</f>
        <v/>
      </c>
      <c r="X4">
        <f>'LIVE SOURCE'!G4</f>
        <v/>
      </c>
      <c r="Y4">
        <f>IF(INDEX('Draft Board'!$J$3:$J$232,Q4)="","Available",INDEX('Draft Board'!$J$3:$J$232,Q4))</f>
        <v/>
      </c>
      <c r="Z4">
        <f>IF(Y4&lt;&gt;"Available","",1+COUNTIFS($Y$3:$Y$232,"Available",$Q$3:$Q$232,"&lt;"&amp;Q4))</f>
        <v/>
      </c>
    </row>
    <row r="5">
      <c r="A5">
        <f>'LIVE SOURCE'!A5</f>
        <v/>
      </c>
      <c r="B5">
        <f>'LIVE SOURCE'!B5</f>
        <v/>
      </c>
      <c r="C5" s="4">
        <f>'LIVE SOURCE'!D5</f>
        <v/>
      </c>
      <c r="D5" s="4">
        <f>'Manual Adjustments'!G5</f>
        <v/>
      </c>
      <c r="E5" s="4">
        <f>MAX(40,MIN(100,C5+D5))</f>
        <v/>
      </c>
      <c r="F5">
        <f>COUNTIFS($A$3:$A$232,A5,$E$3:$E$232,"&gt;"&amp;E5)+COUNTIFS($A$3:A5,A5,$E$3:E5,E5)</f>
        <v/>
      </c>
      <c r="G5" s="4">
        <f>ROUND(INDEX('League Config'!$K$4:$K$9,MATCH(A5,'League Config'!$E$4:$E$9,0))*E5+INDEX('League Config'!$L$4:$L$9,MATCH(A5,'League Config'!$E$4:$E$9,0)),1)</f>
        <v/>
      </c>
      <c r="H5">
        <f>INDEX('League Config'!$H$4:$H$9,MATCH(A5,'League Config'!$E$4:$E$9,0))</f>
        <v/>
      </c>
      <c r="I5" s="4">
        <f>INDEX('League Config'!$I$4:$I$9,MATCH(A5,'League Config'!$E$4:$E$9,0))</f>
        <v/>
      </c>
      <c r="J5" s="4">
        <f>ROUND(G5-I5,1)</f>
        <v/>
      </c>
      <c r="K5" s="4">
        <f>MAX(0,MIN(100,50+J5*0.6))</f>
        <v/>
      </c>
      <c r="L5" s="4">
        <f>MIN(100,MAX(0,(1-(F5-1)/(H5*1.5))*100*INDEX('League Config'!$J$4:$J$9,MATCH(A5,'League Config'!$E$4:$E$9,0))))</f>
        <v/>
      </c>
      <c r="M5">
        <f>IF(A5="K",'League Config'!$B$14,IF(A5="DST",'League Config'!$B$15,IF(A5="QB",'League Config'!$B$16,0)))</f>
        <v/>
      </c>
      <c r="N5" s="4">
        <f>MIN(100,MAX(0,0.55*E5+0.3*K5+0.15*L5-M5))</f>
        <v/>
      </c>
      <c r="O5" s="9">
        <f>IF(OR(A5="K",A5="DST"),"",N5)</f>
        <v/>
      </c>
      <c r="P5" s="6">
        <f>IF(O5="","",COUNTIF($O$3:$O$232,"&gt;"&amp;O5)+COUNTIF($O$3:O5,O5))</f>
        <v/>
      </c>
      <c r="Q5">
        <f>IF(A5="DST",IF(F5&lt;=GateSize,DstStart-1+F5,NSkill+2*GateSize+F5-GateSize),IF(A5="K",IF(F5&lt;=GateSize,KStart-1+F5,NSkill+GateSize+NDst+F5-GateSize),IF(P5&lt;=DstStart-1,P5,P5+2*GateSize)))</f>
        <v/>
      </c>
      <c r="R5" s="4">
        <f>'LIVE SOURCE'!E5</f>
        <v/>
      </c>
      <c r="S5" s="4">
        <f>R5-Q5</f>
        <v/>
      </c>
      <c r="T5">
        <f>'LIVE SOURCE'!F5</f>
        <v/>
      </c>
      <c r="U5" s="4">
        <f>MAX(40,E5-IF(T5="A",6,IF(T5="B",9,12)))</f>
        <v/>
      </c>
      <c r="V5" s="4">
        <f>E5</f>
        <v/>
      </c>
      <c r="W5" s="4">
        <f>MIN(100,E5+IF(T5="A",6,IF(T5="B",9,12)))</f>
        <v/>
      </c>
      <c r="X5">
        <f>'LIVE SOURCE'!G5</f>
        <v/>
      </c>
      <c r="Y5">
        <f>IF(INDEX('Draft Board'!$J$3:$J$232,Q5)="","Available",INDEX('Draft Board'!$J$3:$J$232,Q5))</f>
        <v/>
      </c>
      <c r="Z5">
        <f>IF(Y5&lt;&gt;"Available","",1+COUNTIFS($Y$3:$Y$232,"Available",$Q$3:$Q$232,"&lt;"&amp;Q5))</f>
        <v/>
      </c>
    </row>
    <row r="6">
      <c r="A6">
        <f>'LIVE SOURCE'!A6</f>
        <v/>
      </c>
      <c r="B6">
        <f>'LIVE SOURCE'!B6</f>
        <v/>
      </c>
      <c r="C6" s="4">
        <f>'LIVE SOURCE'!D6</f>
        <v/>
      </c>
      <c r="D6" s="4">
        <f>'Manual Adjustments'!G6</f>
        <v/>
      </c>
      <c r="E6" s="4">
        <f>MAX(40,MIN(100,C6+D6))</f>
        <v/>
      </c>
      <c r="F6">
        <f>COUNTIFS($A$3:$A$232,A6,$E$3:$E$232,"&gt;"&amp;E6)+COUNTIFS($A$3:A6,A6,$E$3:E6,E6)</f>
        <v/>
      </c>
      <c r="G6" s="4">
        <f>ROUND(INDEX('League Config'!$K$4:$K$9,MATCH(A6,'League Config'!$E$4:$E$9,0))*E6+INDEX('League Config'!$L$4:$L$9,MATCH(A6,'League Config'!$E$4:$E$9,0)),1)</f>
        <v/>
      </c>
      <c r="H6">
        <f>INDEX('League Config'!$H$4:$H$9,MATCH(A6,'League Config'!$E$4:$E$9,0))</f>
        <v/>
      </c>
      <c r="I6" s="4">
        <f>INDEX('League Config'!$I$4:$I$9,MATCH(A6,'League Config'!$E$4:$E$9,0))</f>
        <v/>
      </c>
      <c r="J6" s="4">
        <f>ROUND(G6-I6,1)</f>
        <v/>
      </c>
      <c r="K6" s="4">
        <f>MAX(0,MIN(100,50+J6*0.6))</f>
        <v/>
      </c>
      <c r="L6" s="4">
        <f>MIN(100,MAX(0,(1-(F6-1)/(H6*1.5))*100*INDEX('League Config'!$J$4:$J$9,MATCH(A6,'League Config'!$E$4:$E$9,0))))</f>
        <v/>
      </c>
      <c r="M6">
        <f>IF(A6="K",'League Config'!$B$14,IF(A6="DST",'League Config'!$B$15,IF(A6="QB",'League Config'!$B$16,0)))</f>
        <v/>
      </c>
      <c r="N6" s="4">
        <f>MIN(100,MAX(0,0.55*E6+0.3*K6+0.15*L6-M6))</f>
        <v/>
      </c>
      <c r="O6" s="9">
        <f>IF(OR(A6="K",A6="DST"),"",N6)</f>
        <v/>
      </c>
      <c r="P6" s="6">
        <f>IF(O6="","",COUNTIF($O$3:$O$232,"&gt;"&amp;O6)+COUNTIF($O$3:O6,O6))</f>
        <v/>
      </c>
      <c r="Q6">
        <f>IF(A6="DST",IF(F6&lt;=GateSize,DstStart-1+F6,NSkill+2*GateSize+F6-GateSize),IF(A6="K",IF(F6&lt;=GateSize,KStart-1+F6,NSkill+GateSize+NDst+F6-GateSize),IF(P6&lt;=DstStart-1,P6,P6+2*GateSize)))</f>
        <v/>
      </c>
      <c r="R6" s="4">
        <f>'LIVE SOURCE'!E6</f>
        <v/>
      </c>
      <c r="S6" s="4">
        <f>R6-Q6</f>
        <v/>
      </c>
      <c r="T6">
        <f>'LIVE SOURCE'!F6</f>
        <v/>
      </c>
      <c r="U6" s="4">
        <f>MAX(40,E6-IF(T6="A",6,IF(T6="B",9,12)))</f>
        <v/>
      </c>
      <c r="V6" s="4">
        <f>E6</f>
        <v/>
      </c>
      <c r="W6" s="4">
        <f>MIN(100,E6+IF(T6="A",6,IF(T6="B",9,12)))</f>
        <v/>
      </c>
      <c r="X6">
        <f>'LIVE SOURCE'!G6</f>
        <v/>
      </c>
      <c r="Y6">
        <f>IF(INDEX('Draft Board'!$J$3:$J$232,Q6)="","Available",INDEX('Draft Board'!$J$3:$J$232,Q6))</f>
        <v/>
      </c>
      <c r="Z6">
        <f>IF(Y6&lt;&gt;"Available","",1+COUNTIFS($Y$3:$Y$232,"Available",$Q$3:$Q$232,"&lt;"&amp;Q6))</f>
        <v/>
      </c>
    </row>
    <row r="7">
      <c r="A7">
        <f>'LIVE SOURCE'!A7</f>
        <v/>
      </c>
      <c r="B7">
        <f>'LIVE SOURCE'!B7</f>
        <v/>
      </c>
      <c r="C7" s="4">
        <f>'LIVE SOURCE'!D7</f>
        <v/>
      </c>
      <c r="D7" s="4">
        <f>'Manual Adjustments'!G7</f>
        <v/>
      </c>
      <c r="E7" s="4">
        <f>MAX(40,MIN(100,C7+D7))</f>
        <v/>
      </c>
      <c r="F7">
        <f>COUNTIFS($A$3:$A$232,A7,$E$3:$E$232,"&gt;"&amp;E7)+COUNTIFS($A$3:A7,A7,$E$3:E7,E7)</f>
        <v/>
      </c>
      <c r="G7" s="4">
        <f>ROUND(INDEX('League Config'!$K$4:$K$9,MATCH(A7,'League Config'!$E$4:$E$9,0))*E7+INDEX('League Config'!$L$4:$L$9,MATCH(A7,'League Config'!$E$4:$E$9,0)),1)</f>
        <v/>
      </c>
      <c r="H7">
        <f>INDEX('League Config'!$H$4:$H$9,MATCH(A7,'League Config'!$E$4:$E$9,0))</f>
        <v/>
      </c>
      <c r="I7" s="4">
        <f>INDEX('League Config'!$I$4:$I$9,MATCH(A7,'League Config'!$E$4:$E$9,0))</f>
        <v/>
      </c>
      <c r="J7" s="4">
        <f>ROUND(G7-I7,1)</f>
        <v/>
      </c>
      <c r="K7" s="4">
        <f>MAX(0,MIN(100,50+J7*0.6))</f>
        <v/>
      </c>
      <c r="L7" s="4">
        <f>MIN(100,MAX(0,(1-(F7-1)/(H7*1.5))*100*INDEX('League Config'!$J$4:$J$9,MATCH(A7,'League Config'!$E$4:$E$9,0))))</f>
        <v/>
      </c>
      <c r="M7">
        <f>IF(A7="K",'League Config'!$B$14,IF(A7="DST",'League Config'!$B$15,IF(A7="QB",'League Config'!$B$16,0)))</f>
        <v/>
      </c>
      <c r="N7" s="4">
        <f>MIN(100,MAX(0,0.55*E7+0.3*K7+0.15*L7-M7))</f>
        <v/>
      </c>
      <c r="O7" s="9">
        <f>IF(OR(A7="K",A7="DST"),"",N7)</f>
        <v/>
      </c>
      <c r="P7" s="6">
        <f>IF(O7="","",COUNTIF($O$3:$O$232,"&gt;"&amp;O7)+COUNTIF($O$3:O7,O7))</f>
        <v/>
      </c>
      <c r="Q7">
        <f>IF(A7="DST",IF(F7&lt;=GateSize,DstStart-1+F7,NSkill+2*GateSize+F7-GateSize),IF(A7="K",IF(F7&lt;=GateSize,KStart-1+F7,NSkill+GateSize+NDst+F7-GateSize),IF(P7&lt;=DstStart-1,P7,P7+2*GateSize)))</f>
        <v/>
      </c>
      <c r="R7" s="4">
        <f>'LIVE SOURCE'!E7</f>
        <v/>
      </c>
      <c r="S7" s="4">
        <f>R7-Q7</f>
        <v/>
      </c>
      <c r="T7">
        <f>'LIVE SOURCE'!F7</f>
        <v/>
      </c>
      <c r="U7" s="4">
        <f>MAX(40,E7-IF(T7="A",6,IF(T7="B",9,12)))</f>
        <v/>
      </c>
      <c r="V7" s="4">
        <f>E7</f>
        <v/>
      </c>
      <c r="W7" s="4">
        <f>MIN(100,E7+IF(T7="A",6,IF(T7="B",9,12)))</f>
        <v/>
      </c>
      <c r="X7">
        <f>'LIVE SOURCE'!G7</f>
        <v/>
      </c>
      <c r="Y7">
        <f>IF(INDEX('Draft Board'!$J$3:$J$232,Q7)="","Available",INDEX('Draft Board'!$J$3:$J$232,Q7))</f>
        <v/>
      </c>
      <c r="Z7">
        <f>IF(Y7&lt;&gt;"Available","",1+COUNTIFS($Y$3:$Y$232,"Available",$Q$3:$Q$232,"&lt;"&amp;Q7))</f>
        <v/>
      </c>
    </row>
    <row r="8">
      <c r="A8">
        <f>'LIVE SOURCE'!A8</f>
        <v/>
      </c>
      <c r="B8">
        <f>'LIVE SOURCE'!B8</f>
        <v/>
      </c>
      <c r="C8" s="4">
        <f>'LIVE SOURCE'!D8</f>
        <v/>
      </c>
      <c r="D8" s="4">
        <f>'Manual Adjustments'!G8</f>
        <v/>
      </c>
      <c r="E8" s="4">
        <f>MAX(40,MIN(100,C8+D8))</f>
        <v/>
      </c>
      <c r="F8">
        <f>COUNTIFS($A$3:$A$232,A8,$E$3:$E$232,"&gt;"&amp;E8)+COUNTIFS($A$3:A8,A8,$E$3:E8,E8)</f>
        <v/>
      </c>
      <c r="G8" s="4">
        <f>ROUND(INDEX('League Config'!$K$4:$K$9,MATCH(A8,'League Config'!$E$4:$E$9,0))*E8+INDEX('League Config'!$L$4:$L$9,MATCH(A8,'League Config'!$E$4:$E$9,0)),1)</f>
        <v/>
      </c>
      <c r="H8">
        <f>INDEX('League Config'!$H$4:$H$9,MATCH(A8,'League Config'!$E$4:$E$9,0))</f>
        <v/>
      </c>
      <c r="I8" s="4">
        <f>INDEX('League Config'!$I$4:$I$9,MATCH(A8,'League Config'!$E$4:$E$9,0))</f>
        <v/>
      </c>
      <c r="J8" s="4">
        <f>ROUND(G8-I8,1)</f>
        <v/>
      </c>
      <c r="K8" s="4">
        <f>MAX(0,MIN(100,50+J8*0.6))</f>
        <v/>
      </c>
      <c r="L8" s="4">
        <f>MIN(100,MAX(0,(1-(F8-1)/(H8*1.5))*100*INDEX('League Config'!$J$4:$J$9,MATCH(A8,'League Config'!$E$4:$E$9,0))))</f>
        <v/>
      </c>
      <c r="M8">
        <f>IF(A8="K",'League Config'!$B$14,IF(A8="DST",'League Config'!$B$15,IF(A8="QB",'League Config'!$B$16,0)))</f>
        <v/>
      </c>
      <c r="N8" s="4">
        <f>MIN(100,MAX(0,0.55*E8+0.3*K8+0.15*L8-M8))</f>
        <v/>
      </c>
      <c r="O8" s="9">
        <f>IF(OR(A8="K",A8="DST"),"",N8)</f>
        <v/>
      </c>
      <c r="P8" s="6">
        <f>IF(O8="","",COUNTIF($O$3:$O$232,"&gt;"&amp;O8)+COUNTIF($O$3:O8,O8))</f>
        <v/>
      </c>
      <c r="Q8">
        <f>IF(A8="DST",IF(F8&lt;=GateSize,DstStart-1+F8,NSkill+2*GateSize+F8-GateSize),IF(A8="K",IF(F8&lt;=GateSize,KStart-1+F8,NSkill+GateSize+NDst+F8-GateSize),IF(P8&lt;=DstStart-1,P8,P8+2*GateSize)))</f>
        <v/>
      </c>
      <c r="R8" s="4">
        <f>'LIVE SOURCE'!E8</f>
        <v/>
      </c>
      <c r="S8" s="4">
        <f>R8-Q8</f>
        <v/>
      </c>
      <c r="T8">
        <f>'LIVE SOURCE'!F8</f>
        <v/>
      </c>
      <c r="U8" s="4">
        <f>MAX(40,E8-IF(T8="A",6,IF(T8="B",9,12)))</f>
        <v/>
      </c>
      <c r="V8" s="4">
        <f>E8</f>
        <v/>
      </c>
      <c r="W8" s="4">
        <f>MIN(100,E8+IF(T8="A",6,IF(T8="B",9,12)))</f>
        <v/>
      </c>
      <c r="X8">
        <f>'LIVE SOURCE'!G8</f>
        <v/>
      </c>
      <c r="Y8">
        <f>IF(INDEX('Draft Board'!$J$3:$J$232,Q8)="","Available",INDEX('Draft Board'!$J$3:$J$232,Q8))</f>
        <v/>
      </c>
      <c r="Z8">
        <f>IF(Y8&lt;&gt;"Available","",1+COUNTIFS($Y$3:$Y$232,"Available",$Q$3:$Q$232,"&lt;"&amp;Q8))</f>
        <v/>
      </c>
    </row>
    <row r="9">
      <c r="A9">
        <f>'LIVE SOURCE'!A9</f>
        <v/>
      </c>
      <c r="B9">
        <f>'LIVE SOURCE'!B9</f>
        <v/>
      </c>
      <c r="C9" s="4">
        <f>'LIVE SOURCE'!D9</f>
        <v/>
      </c>
      <c r="D9" s="4">
        <f>'Manual Adjustments'!G9</f>
        <v/>
      </c>
      <c r="E9" s="4">
        <f>MAX(40,MIN(100,C9+D9))</f>
        <v/>
      </c>
      <c r="F9">
        <f>COUNTIFS($A$3:$A$232,A9,$E$3:$E$232,"&gt;"&amp;E9)+COUNTIFS($A$3:A9,A9,$E$3:E9,E9)</f>
        <v/>
      </c>
      <c r="G9" s="4">
        <f>ROUND(INDEX('League Config'!$K$4:$K$9,MATCH(A9,'League Config'!$E$4:$E$9,0))*E9+INDEX('League Config'!$L$4:$L$9,MATCH(A9,'League Config'!$E$4:$E$9,0)),1)</f>
        <v/>
      </c>
      <c r="H9">
        <f>INDEX('League Config'!$H$4:$H$9,MATCH(A9,'League Config'!$E$4:$E$9,0))</f>
        <v/>
      </c>
      <c r="I9" s="4">
        <f>INDEX('League Config'!$I$4:$I$9,MATCH(A9,'League Config'!$E$4:$E$9,0))</f>
        <v/>
      </c>
      <c r="J9" s="4">
        <f>ROUND(G9-I9,1)</f>
        <v/>
      </c>
      <c r="K9" s="4">
        <f>MAX(0,MIN(100,50+J9*0.6))</f>
        <v/>
      </c>
      <c r="L9" s="4">
        <f>MIN(100,MAX(0,(1-(F9-1)/(H9*1.5))*100*INDEX('League Config'!$J$4:$J$9,MATCH(A9,'League Config'!$E$4:$E$9,0))))</f>
        <v/>
      </c>
      <c r="M9">
        <f>IF(A9="K",'League Config'!$B$14,IF(A9="DST",'League Config'!$B$15,IF(A9="QB",'League Config'!$B$16,0)))</f>
        <v/>
      </c>
      <c r="N9" s="4">
        <f>MIN(100,MAX(0,0.55*E9+0.3*K9+0.15*L9-M9))</f>
        <v/>
      </c>
      <c r="O9" s="9">
        <f>IF(OR(A9="K",A9="DST"),"",N9)</f>
        <v/>
      </c>
      <c r="P9" s="6">
        <f>IF(O9="","",COUNTIF($O$3:$O$232,"&gt;"&amp;O9)+COUNTIF($O$3:O9,O9))</f>
        <v/>
      </c>
      <c r="Q9">
        <f>IF(A9="DST",IF(F9&lt;=GateSize,DstStart-1+F9,NSkill+2*GateSize+F9-GateSize),IF(A9="K",IF(F9&lt;=GateSize,KStart-1+F9,NSkill+GateSize+NDst+F9-GateSize),IF(P9&lt;=DstStart-1,P9,P9+2*GateSize)))</f>
        <v/>
      </c>
      <c r="R9" s="4">
        <f>'LIVE SOURCE'!E9</f>
        <v/>
      </c>
      <c r="S9" s="4">
        <f>R9-Q9</f>
        <v/>
      </c>
      <c r="T9">
        <f>'LIVE SOURCE'!F9</f>
        <v/>
      </c>
      <c r="U9" s="4">
        <f>MAX(40,E9-IF(T9="A",6,IF(T9="B",9,12)))</f>
        <v/>
      </c>
      <c r="V9" s="4">
        <f>E9</f>
        <v/>
      </c>
      <c r="W9" s="4">
        <f>MIN(100,E9+IF(T9="A",6,IF(T9="B",9,12)))</f>
        <v/>
      </c>
      <c r="X9">
        <f>'LIVE SOURCE'!G9</f>
        <v/>
      </c>
      <c r="Y9">
        <f>IF(INDEX('Draft Board'!$J$3:$J$232,Q9)="","Available",INDEX('Draft Board'!$J$3:$J$232,Q9))</f>
        <v/>
      </c>
      <c r="Z9">
        <f>IF(Y9&lt;&gt;"Available","",1+COUNTIFS($Y$3:$Y$232,"Available",$Q$3:$Q$232,"&lt;"&amp;Q9))</f>
        <v/>
      </c>
    </row>
    <row r="10">
      <c r="A10">
        <f>'LIVE SOURCE'!A10</f>
        <v/>
      </c>
      <c r="B10">
        <f>'LIVE SOURCE'!B10</f>
        <v/>
      </c>
      <c r="C10" s="4">
        <f>'LIVE SOURCE'!D10</f>
        <v/>
      </c>
      <c r="D10" s="4">
        <f>'Manual Adjustments'!G10</f>
        <v/>
      </c>
      <c r="E10" s="4">
        <f>MAX(40,MIN(100,C10+D10))</f>
        <v/>
      </c>
      <c r="F10">
        <f>COUNTIFS($A$3:$A$232,A10,$E$3:$E$232,"&gt;"&amp;E10)+COUNTIFS($A$3:A10,A10,$E$3:E10,E10)</f>
        <v/>
      </c>
      <c r="G10" s="4">
        <f>ROUND(INDEX('League Config'!$K$4:$K$9,MATCH(A10,'League Config'!$E$4:$E$9,0))*E10+INDEX('League Config'!$L$4:$L$9,MATCH(A10,'League Config'!$E$4:$E$9,0)),1)</f>
        <v/>
      </c>
      <c r="H10">
        <f>INDEX('League Config'!$H$4:$H$9,MATCH(A10,'League Config'!$E$4:$E$9,0))</f>
        <v/>
      </c>
      <c r="I10" s="4">
        <f>INDEX('League Config'!$I$4:$I$9,MATCH(A10,'League Config'!$E$4:$E$9,0))</f>
        <v/>
      </c>
      <c r="J10" s="4">
        <f>ROUND(G10-I10,1)</f>
        <v/>
      </c>
      <c r="K10" s="4">
        <f>MAX(0,MIN(100,50+J10*0.6))</f>
        <v/>
      </c>
      <c r="L10" s="4">
        <f>MIN(100,MAX(0,(1-(F10-1)/(H10*1.5))*100*INDEX('League Config'!$J$4:$J$9,MATCH(A10,'League Config'!$E$4:$E$9,0))))</f>
        <v/>
      </c>
      <c r="M10">
        <f>IF(A10="K",'League Config'!$B$14,IF(A10="DST",'League Config'!$B$15,IF(A10="QB",'League Config'!$B$16,0)))</f>
        <v/>
      </c>
      <c r="N10" s="4">
        <f>MIN(100,MAX(0,0.55*E10+0.3*K10+0.15*L10-M10))</f>
        <v/>
      </c>
      <c r="O10" s="9">
        <f>IF(OR(A10="K",A10="DST"),"",N10)</f>
        <v/>
      </c>
      <c r="P10" s="6">
        <f>IF(O10="","",COUNTIF($O$3:$O$232,"&gt;"&amp;O10)+COUNTIF($O$3:O10,O10))</f>
        <v/>
      </c>
      <c r="Q10">
        <f>IF(A10="DST",IF(F10&lt;=GateSize,DstStart-1+F10,NSkill+2*GateSize+F10-GateSize),IF(A10="K",IF(F10&lt;=GateSize,KStart-1+F10,NSkill+GateSize+NDst+F10-GateSize),IF(P10&lt;=DstStart-1,P10,P10+2*GateSize)))</f>
        <v/>
      </c>
      <c r="R10" s="4">
        <f>'LIVE SOURCE'!E10</f>
        <v/>
      </c>
      <c r="S10" s="4">
        <f>R10-Q10</f>
        <v/>
      </c>
      <c r="T10">
        <f>'LIVE SOURCE'!F10</f>
        <v/>
      </c>
      <c r="U10" s="4">
        <f>MAX(40,E10-IF(T10="A",6,IF(T10="B",9,12)))</f>
        <v/>
      </c>
      <c r="V10" s="4">
        <f>E10</f>
        <v/>
      </c>
      <c r="W10" s="4">
        <f>MIN(100,E10+IF(T10="A",6,IF(T10="B",9,12)))</f>
        <v/>
      </c>
      <c r="X10">
        <f>'LIVE SOURCE'!G10</f>
        <v/>
      </c>
      <c r="Y10">
        <f>IF(INDEX('Draft Board'!$J$3:$J$232,Q10)="","Available",INDEX('Draft Board'!$J$3:$J$232,Q10))</f>
        <v/>
      </c>
      <c r="Z10">
        <f>IF(Y10&lt;&gt;"Available","",1+COUNTIFS($Y$3:$Y$232,"Available",$Q$3:$Q$232,"&lt;"&amp;Q10))</f>
        <v/>
      </c>
    </row>
    <row r="11">
      <c r="A11">
        <f>'LIVE SOURCE'!A11</f>
        <v/>
      </c>
      <c r="B11">
        <f>'LIVE SOURCE'!B11</f>
        <v/>
      </c>
      <c r="C11" s="4">
        <f>'LIVE SOURCE'!D11</f>
        <v/>
      </c>
      <c r="D11" s="4">
        <f>'Manual Adjustments'!G11</f>
        <v/>
      </c>
      <c r="E11" s="4">
        <f>MAX(40,MIN(100,C11+D11))</f>
        <v/>
      </c>
      <c r="F11">
        <f>COUNTIFS($A$3:$A$232,A11,$E$3:$E$232,"&gt;"&amp;E11)+COUNTIFS($A$3:A11,A11,$E$3:E11,E11)</f>
        <v/>
      </c>
      <c r="G11" s="4">
        <f>ROUND(INDEX('League Config'!$K$4:$K$9,MATCH(A11,'League Config'!$E$4:$E$9,0))*E11+INDEX('League Config'!$L$4:$L$9,MATCH(A11,'League Config'!$E$4:$E$9,0)),1)</f>
        <v/>
      </c>
      <c r="H11">
        <f>INDEX('League Config'!$H$4:$H$9,MATCH(A11,'League Config'!$E$4:$E$9,0))</f>
        <v/>
      </c>
      <c r="I11" s="4">
        <f>INDEX('League Config'!$I$4:$I$9,MATCH(A11,'League Config'!$E$4:$E$9,0))</f>
        <v/>
      </c>
      <c r="J11" s="4">
        <f>ROUND(G11-I11,1)</f>
        <v/>
      </c>
      <c r="K11" s="4">
        <f>MAX(0,MIN(100,50+J11*0.6))</f>
        <v/>
      </c>
      <c r="L11" s="4">
        <f>MIN(100,MAX(0,(1-(F11-1)/(H11*1.5))*100*INDEX('League Config'!$J$4:$J$9,MATCH(A11,'League Config'!$E$4:$E$9,0))))</f>
        <v/>
      </c>
      <c r="M11">
        <f>IF(A11="K",'League Config'!$B$14,IF(A11="DST",'League Config'!$B$15,IF(A11="QB",'League Config'!$B$16,0)))</f>
        <v/>
      </c>
      <c r="N11" s="4">
        <f>MIN(100,MAX(0,0.55*E11+0.3*K11+0.15*L11-M11))</f>
        <v/>
      </c>
      <c r="O11" s="9">
        <f>IF(OR(A11="K",A11="DST"),"",N11)</f>
        <v/>
      </c>
      <c r="P11" s="6">
        <f>IF(O11="","",COUNTIF($O$3:$O$232,"&gt;"&amp;O11)+COUNTIF($O$3:O11,O11))</f>
        <v/>
      </c>
      <c r="Q11">
        <f>IF(A11="DST",IF(F11&lt;=GateSize,DstStart-1+F11,NSkill+2*GateSize+F11-GateSize),IF(A11="K",IF(F11&lt;=GateSize,KStart-1+F11,NSkill+GateSize+NDst+F11-GateSize),IF(P11&lt;=DstStart-1,P11,P11+2*GateSize)))</f>
        <v/>
      </c>
      <c r="R11" s="4">
        <f>'LIVE SOURCE'!E11</f>
        <v/>
      </c>
      <c r="S11" s="4">
        <f>R11-Q11</f>
        <v/>
      </c>
      <c r="T11">
        <f>'LIVE SOURCE'!F11</f>
        <v/>
      </c>
      <c r="U11" s="4">
        <f>MAX(40,E11-IF(T11="A",6,IF(T11="B",9,12)))</f>
        <v/>
      </c>
      <c r="V11" s="4">
        <f>E11</f>
        <v/>
      </c>
      <c r="W11" s="4">
        <f>MIN(100,E11+IF(T11="A",6,IF(T11="B",9,12)))</f>
        <v/>
      </c>
      <c r="X11">
        <f>'LIVE SOURCE'!G11</f>
        <v/>
      </c>
      <c r="Y11">
        <f>IF(INDEX('Draft Board'!$J$3:$J$232,Q11)="","Available",INDEX('Draft Board'!$J$3:$J$232,Q11))</f>
        <v/>
      </c>
      <c r="Z11">
        <f>IF(Y11&lt;&gt;"Available","",1+COUNTIFS($Y$3:$Y$232,"Available",$Q$3:$Q$232,"&lt;"&amp;Q11))</f>
        <v/>
      </c>
    </row>
    <row r="12">
      <c r="A12">
        <f>'LIVE SOURCE'!A12</f>
        <v/>
      </c>
      <c r="B12">
        <f>'LIVE SOURCE'!B12</f>
        <v/>
      </c>
      <c r="C12" s="4">
        <f>'LIVE SOURCE'!D12</f>
        <v/>
      </c>
      <c r="D12" s="4">
        <f>'Manual Adjustments'!G12</f>
        <v/>
      </c>
      <c r="E12" s="4">
        <f>MAX(40,MIN(100,C12+D12))</f>
        <v/>
      </c>
      <c r="F12">
        <f>COUNTIFS($A$3:$A$232,A12,$E$3:$E$232,"&gt;"&amp;E12)+COUNTIFS($A$3:A12,A12,$E$3:E12,E12)</f>
        <v/>
      </c>
      <c r="G12" s="4">
        <f>ROUND(INDEX('League Config'!$K$4:$K$9,MATCH(A12,'League Config'!$E$4:$E$9,0))*E12+INDEX('League Config'!$L$4:$L$9,MATCH(A12,'League Config'!$E$4:$E$9,0)),1)</f>
        <v/>
      </c>
      <c r="H12">
        <f>INDEX('League Config'!$H$4:$H$9,MATCH(A12,'League Config'!$E$4:$E$9,0))</f>
        <v/>
      </c>
      <c r="I12" s="4">
        <f>INDEX('League Config'!$I$4:$I$9,MATCH(A12,'League Config'!$E$4:$E$9,0))</f>
        <v/>
      </c>
      <c r="J12" s="4">
        <f>ROUND(G12-I12,1)</f>
        <v/>
      </c>
      <c r="K12" s="4">
        <f>MAX(0,MIN(100,50+J12*0.6))</f>
        <v/>
      </c>
      <c r="L12" s="4">
        <f>MIN(100,MAX(0,(1-(F12-1)/(H12*1.5))*100*INDEX('League Config'!$J$4:$J$9,MATCH(A12,'League Config'!$E$4:$E$9,0))))</f>
        <v/>
      </c>
      <c r="M12">
        <f>IF(A12="K",'League Config'!$B$14,IF(A12="DST",'League Config'!$B$15,IF(A12="QB",'League Config'!$B$16,0)))</f>
        <v/>
      </c>
      <c r="N12" s="4">
        <f>MIN(100,MAX(0,0.55*E12+0.3*K12+0.15*L12-M12))</f>
        <v/>
      </c>
      <c r="O12" s="9">
        <f>IF(OR(A12="K",A12="DST"),"",N12)</f>
        <v/>
      </c>
      <c r="P12" s="6">
        <f>IF(O12="","",COUNTIF($O$3:$O$232,"&gt;"&amp;O12)+COUNTIF($O$3:O12,O12))</f>
        <v/>
      </c>
      <c r="Q12">
        <f>IF(A12="DST",IF(F12&lt;=GateSize,DstStart-1+F12,NSkill+2*GateSize+F12-GateSize),IF(A12="K",IF(F12&lt;=GateSize,KStart-1+F12,NSkill+GateSize+NDst+F12-GateSize),IF(P12&lt;=DstStart-1,P12,P12+2*GateSize)))</f>
        <v/>
      </c>
      <c r="R12" s="4">
        <f>'LIVE SOURCE'!E12</f>
        <v/>
      </c>
      <c r="S12" s="4">
        <f>R12-Q12</f>
        <v/>
      </c>
      <c r="T12">
        <f>'LIVE SOURCE'!F12</f>
        <v/>
      </c>
      <c r="U12" s="4">
        <f>MAX(40,E12-IF(T12="A",6,IF(T12="B",9,12)))</f>
        <v/>
      </c>
      <c r="V12" s="4">
        <f>E12</f>
        <v/>
      </c>
      <c r="W12" s="4">
        <f>MIN(100,E12+IF(T12="A",6,IF(T12="B",9,12)))</f>
        <v/>
      </c>
      <c r="X12">
        <f>'LIVE SOURCE'!G12</f>
        <v/>
      </c>
      <c r="Y12">
        <f>IF(INDEX('Draft Board'!$J$3:$J$232,Q12)="","Available",INDEX('Draft Board'!$J$3:$J$232,Q12))</f>
        <v/>
      </c>
      <c r="Z12">
        <f>IF(Y12&lt;&gt;"Available","",1+COUNTIFS($Y$3:$Y$232,"Available",$Q$3:$Q$232,"&lt;"&amp;Q12))</f>
        <v/>
      </c>
    </row>
    <row r="13">
      <c r="A13">
        <f>'LIVE SOURCE'!A13</f>
        <v/>
      </c>
      <c r="B13">
        <f>'LIVE SOURCE'!B13</f>
        <v/>
      </c>
      <c r="C13" s="4">
        <f>'LIVE SOURCE'!D13</f>
        <v/>
      </c>
      <c r="D13" s="4">
        <f>'Manual Adjustments'!G13</f>
        <v/>
      </c>
      <c r="E13" s="4">
        <f>MAX(40,MIN(100,C13+D13))</f>
        <v/>
      </c>
      <c r="F13">
        <f>COUNTIFS($A$3:$A$232,A13,$E$3:$E$232,"&gt;"&amp;E13)+COUNTIFS($A$3:A13,A13,$E$3:E13,E13)</f>
        <v/>
      </c>
      <c r="G13" s="4">
        <f>ROUND(INDEX('League Config'!$K$4:$K$9,MATCH(A13,'League Config'!$E$4:$E$9,0))*E13+INDEX('League Config'!$L$4:$L$9,MATCH(A13,'League Config'!$E$4:$E$9,0)),1)</f>
        <v/>
      </c>
      <c r="H13">
        <f>INDEX('League Config'!$H$4:$H$9,MATCH(A13,'League Config'!$E$4:$E$9,0))</f>
        <v/>
      </c>
      <c r="I13" s="4">
        <f>INDEX('League Config'!$I$4:$I$9,MATCH(A13,'League Config'!$E$4:$E$9,0))</f>
        <v/>
      </c>
      <c r="J13" s="4">
        <f>ROUND(G13-I13,1)</f>
        <v/>
      </c>
      <c r="K13" s="4">
        <f>MAX(0,MIN(100,50+J13*0.6))</f>
        <v/>
      </c>
      <c r="L13" s="4">
        <f>MIN(100,MAX(0,(1-(F13-1)/(H13*1.5))*100*INDEX('League Config'!$J$4:$J$9,MATCH(A13,'League Config'!$E$4:$E$9,0))))</f>
        <v/>
      </c>
      <c r="M13">
        <f>IF(A13="K",'League Config'!$B$14,IF(A13="DST",'League Config'!$B$15,IF(A13="QB",'League Config'!$B$16,0)))</f>
        <v/>
      </c>
      <c r="N13" s="4">
        <f>MIN(100,MAX(0,0.55*E13+0.3*K13+0.15*L13-M13))</f>
        <v/>
      </c>
      <c r="O13" s="9">
        <f>IF(OR(A13="K",A13="DST"),"",N13)</f>
        <v/>
      </c>
      <c r="P13" s="6">
        <f>IF(O13="","",COUNTIF($O$3:$O$232,"&gt;"&amp;O13)+COUNTIF($O$3:O13,O13))</f>
        <v/>
      </c>
      <c r="Q13">
        <f>IF(A13="DST",IF(F13&lt;=GateSize,DstStart-1+F13,NSkill+2*GateSize+F13-GateSize),IF(A13="K",IF(F13&lt;=GateSize,KStart-1+F13,NSkill+GateSize+NDst+F13-GateSize),IF(P13&lt;=DstStart-1,P13,P13+2*GateSize)))</f>
        <v/>
      </c>
      <c r="R13" s="4">
        <f>'LIVE SOURCE'!E13</f>
        <v/>
      </c>
      <c r="S13" s="4">
        <f>R13-Q13</f>
        <v/>
      </c>
      <c r="T13">
        <f>'LIVE SOURCE'!F13</f>
        <v/>
      </c>
      <c r="U13" s="4">
        <f>MAX(40,E13-IF(T13="A",6,IF(T13="B",9,12)))</f>
        <v/>
      </c>
      <c r="V13" s="4">
        <f>E13</f>
        <v/>
      </c>
      <c r="W13" s="4">
        <f>MIN(100,E13+IF(T13="A",6,IF(T13="B",9,12)))</f>
        <v/>
      </c>
      <c r="X13">
        <f>'LIVE SOURCE'!G13</f>
        <v/>
      </c>
      <c r="Y13">
        <f>IF(INDEX('Draft Board'!$J$3:$J$232,Q13)="","Available",INDEX('Draft Board'!$J$3:$J$232,Q13))</f>
        <v/>
      </c>
      <c r="Z13">
        <f>IF(Y13&lt;&gt;"Available","",1+COUNTIFS($Y$3:$Y$232,"Available",$Q$3:$Q$232,"&lt;"&amp;Q13))</f>
        <v/>
      </c>
    </row>
    <row r="14">
      <c r="A14">
        <f>'LIVE SOURCE'!A14</f>
        <v/>
      </c>
      <c r="B14">
        <f>'LIVE SOURCE'!B14</f>
        <v/>
      </c>
      <c r="C14" s="4">
        <f>'LIVE SOURCE'!D14</f>
        <v/>
      </c>
      <c r="D14" s="4">
        <f>'Manual Adjustments'!G14</f>
        <v/>
      </c>
      <c r="E14" s="4">
        <f>MAX(40,MIN(100,C14+D14))</f>
        <v/>
      </c>
      <c r="F14">
        <f>COUNTIFS($A$3:$A$232,A14,$E$3:$E$232,"&gt;"&amp;E14)+COUNTIFS($A$3:A14,A14,$E$3:E14,E14)</f>
        <v/>
      </c>
      <c r="G14" s="4">
        <f>ROUND(INDEX('League Config'!$K$4:$K$9,MATCH(A14,'League Config'!$E$4:$E$9,0))*E14+INDEX('League Config'!$L$4:$L$9,MATCH(A14,'League Config'!$E$4:$E$9,0)),1)</f>
        <v/>
      </c>
      <c r="H14">
        <f>INDEX('League Config'!$H$4:$H$9,MATCH(A14,'League Config'!$E$4:$E$9,0))</f>
        <v/>
      </c>
      <c r="I14" s="4">
        <f>INDEX('League Config'!$I$4:$I$9,MATCH(A14,'League Config'!$E$4:$E$9,0))</f>
        <v/>
      </c>
      <c r="J14" s="4">
        <f>ROUND(G14-I14,1)</f>
        <v/>
      </c>
      <c r="K14" s="4">
        <f>MAX(0,MIN(100,50+J14*0.6))</f>
        <v/>
      </c>
      <c r="L14" s="4">
        <f>MIN(100,MAX(0,(1-(F14-1)/(H14*1.5))*100*INDEX('League Config'!$J$4:$J$9,MATCH(A14,'League Config'!$E$4:$E$9,0))))</f>
        <v/>
      </c>
      <c r="M14">
        <f>IF(A14="K",'League Config'!$B$14,IF(A14="DST",'League Config'!$B$15,IF(A14="QB",'League Config'!$B$16,0)))</f>
        <v/>
      </c>
      <c r="N14" s="4">
        <f>MIN(100,MAX(0,0.55*E14+0.3*K14+0.15*L14-M14))</f>
        <v/>
      </c>
      <c r="O14" s="9">
        <f>IF(OR(A14="K",A14="DST"),"",N14)</f>
        <v/>
      </c>
      <c r="P14" s="6">
        <f>IF(O14="","",COUNTIF($O$3:$O$232,"&gt;"&amp;O14)+COUNTIF($O$3:O14,O14))</f>
        <v/>
      </c>
      <c r="Q14">
        <f>IF(A14="DST",IF(F14&lt;=GateSize,DstStart-1+F14,NSkill+2*GateSize+F14-GateSize),IF(A14="K",IF(F14&lt;=GateSize,KStart-1+F14,NSkill+GateSize+NDst+F14-GateSize),IF(P14&lt;=DstStart-1,P14,P14+2*GateSize)))</f>
        <v/>
      </c>
      <c r="R14" s="4">
        <f>'LIVE SOURCE'!E14</f>
        <v/>
      </c>
      <c r="S14" s="4">
        <f>R14-Q14</f>
        <v/>
      </c>
      <c r="T14">
        <f>'LIVE SOURCE'!F14</f>
        <v/>
      </c>
      <c r="U14" s="4">
        <f>MAX(40,E14-IF(T14="A",6,IF(T14="B",9,12)))</f>
        <v/>
      </c>
      <c r="V14" s="4">
        <f>E14</f>
        <v/>
      </c>
      <c r="W14" s="4">
        <f>MIN(100,E14+IF(T14="A",6,IF(T14="B",9,12)))</f>
        <v/>
      </c>
      <c r="X14">
        <f>'LIVE SOURCE'!G14</f>
        <v/>
      </c>
      <c r="Y14">
        <f>IF(INDEX('Draft Board'!$J$3:$J$232,Q14)="","Available",INDEX('Draft Board'!$J$3:$J$232,Q14))</f>
        <v/>
      </c>
      <c r="Z14">
        <f>IF(Y14&lt;&gt;"Available","",1+COUNTIFS($Y$3:$Y$232,"Available",$Q$3:$Q$232,"&lt;"&amp;Q14))</f>
        <v/>
      </c>
    </row>
    <row r="15">
      <c r="A15">
        <f>'LIVE SOURCE'!A15</f>
        <v/>
      </c>
      <c r="B15">
        <f>'LIVE SOURCE'!B15</f>
        <v/>
      </c>
      <c r="C15" s="4">
        <f>'LIVE SOURCE'!D15</f>
        <v/>
      </c>
      <c r="D15" s="4">
        <f>'Manual Adjustments'!G15</f>
        <v/>
      </c>
      <c r="E15" s="4">
        <f>MAX(40,MIN(100,C15+D15))</f>
        <v/>
      </c>
      <c r="F15">
        <f>COUNTIFS($A$3:$A$232,A15,$E$3:$E$232,"&gt;"&amp;E15)+COUNTIFS($A$3:A15,A15,$E$3:E15,E15)</f>
        <v/>
      </c>
      <c r="G15" s="4">
        <f>ROUND(INDEX('League Config'!$K$4:$K$9,MATCH(A15,'League Config'!$E$4:$E$9,0))*E15+INDEX('League Config'!$L$4:$L$9,MATCH(A15,'League Config'!$E$4:$E$9,0)),1)</f>
        <v/>
      </c>
      <c r="H15">
        <f>INDEX('League Config'!$H$4:$H$9,MATCH(A15,'League Config'!$E$4:$E$9,0))</f>
        <v/>
      </c>
      <c r="I15" s="4">
        <f>INDEX('League Config'!$I$4:$I$9,MATCH(A15,'League Config'!$E$4:$E$9,0))</f>
        <v/>
      </c>
      <c r="J15" s="4">
        <f>ROUND(G15-I15,1)</f>
        <v/>
      </c>
      <c r="K15" s="4">
        <f>MAX(0,MIN(100,50+J15*0.6))</f>
        <v/>
      </c>
      <c r="L15" s="4">
        <f>MIN(100,MAX(0,(1-(F15-1)/(H15*1.5))*100*INDEX('League Config'!$J$4:$J$9,MATCH(A15,'League Config'!$E$4:$E$9,0))))</f>
        <v/>
      </c>
      <c r="M15">
        <f>IF(A15="K",'League Config'!$B$14,IF(A15="DST",'League Config'!$B$15,IF(A15="QB",'League Config'!$B$16,0)))</f>
        <v/>
      </c>
      <c r="N15" s="4">
        <f>MIN(100,MAX(0,0.55*E15+0.3*K15+0.15*L15-M15))</f>
        <v/>
      </c>
      <c r="O15" s="9">
        <f>IF(OR(A15="K",A15="DST"),"",N15)</f>
        <v/>
      </c>
      <c r="P15" s="6">
        <f>IF(O15="","",COUNTIF($O$3:$O$232,"&gt;"&amp;O15)+COUNTIF($O$3:O15,O15))</f>
        <v/>
      </c>
      <c r="Q15">
        <f>IF(A15="DST",IF(F15&lt;=GateSize,DstStart-1+F15,NSkill+2*GateSize+F15-GateSize),IF(A15="K",IF(F15&lt;=GateSize,KStart-1+F15,NSkill+GateSize+NDst+F15-GateSize),IF(P15&lt;=DstStart-1,P15,P15+2*GateSize)))</f>
        <v/>
      </c>
      <c r="R15" s="4">
        <f>'LIVE SOURCE'!E15</f>
        <v/>
      </c>
      <c r="S15" s="4">
        <f>R15-Q15</f>
        <v/>
      </c>
      <c r="T15">
        <f>'LIVE SOURCE'!F15</f>
        <v/>
      </c>
      <c r="U15" s="4">
        <f>MAX(40,E15-IF(T15="A",6,IF(T15="B",9,12)))</f>
        <v/>
      </c>
      <c r="V15" s="4">
        <f>E15</f>
        <v/>
      </c>
      <c r="W15" s="4">
        <f>MIN(100,E15+IF(T15="A",6,IF(T15="B",9,12)))</f>
        <v/>
      </c>
      <c r="X15">
        <f>'LIVE SOURCE'!G15</f>
        <v/>
      </c>
      <c r="Y15">
        <f>IF(INDEX('Draft Board'!$J$3:$J$232,Q15)="","Available",INDEX('Draft Board'!$J$3:$J$232,Q15))</f>
        <v/>
      </c>
      <c r="Z15">
        <f>IF(Y15&lt;&gt;"Available","",1+COUNTIFS($Y$3:$Y$232,"Available",$Q$3:$Q$232,"&lt;"&amp;Q15))</f>
        <v/>
      </c>
    </row>
    <row r="16">
      <c r="A16">
        <f>'LIVE SOURCE'!A16</f>
        <v/>
      </c>
      <c r="B16">
        <f>'LIVE SOURCE'!B16</f>
        <v/>
      </c>
      <c r="C16" s="4">
        <f>'LIVE SOURCE'!D16</f>
        <v/>
      </c>
      <c r="D16" s="4">
        <f>'Manual Adjustments'!G16</f>
        <v/>
      </c>
      <c r="E16" s="4">
        <f>MAX(40,MIN(100,C16+D16))</f>
        <v/>
      </c>
      <c r="F16">
        <f>COUNTIFS($A$3:$A$232,A16,$E$3:$E$232,"&gt;"&amp;E16)+COUNTIFS($A$3:A16,A16,$E$3:E16,E16)</f>
        <v/>
      </c>
      <c r="G16" s="4">
        <f>ROUND(INDEX('League Config'!$K$4:$K$9,MATCH(A16,'League Config'!$E$4:$E$9,0))*E16+INDEX('League Config'!$L$4:$L$9,MATCH(A16,'League Config'!$E$4:$E$9,0)),1)</f>
        <v/>
      </c>
      <c r="H16">
        <f>INDEX('League Config'!$H$4:$H$9,MATCH(A16,'League Config'!$E$4:$E$9,0))</f>
        <v/>
      </c>
      <c r="I16" s="4">
        <f>INDEX('League Config'!$I$4:$I$9,MATCH(A16,'League Config'!$E$4:$E$9,0))</f>
        <v/>
      </c>
      <c r="J16" s="4">
        <f>ROUND(G16-I16,1)</f>
        <v/>
      </c>
      <c r="K16" s="4">
        <f>MAX(0,MIN(100,50+J16*0.6))</f>
        <v/>
      </c>
      <c r="L16" s="4">
        <f>MIN(100,MAX(0,(1-(F16-1)/(H16*1.5))*100*INDEX('League Config'!$J$4:$J$9,MATCH(A16,'League Config'!$E$4:$E$9,0))))</f>
        <v/>
      </c>
      <c r="M16">
        <f>IF(A16="K",'League Config'!$B$14,IF(A16="DST",'League Config'!$B$15,IF(A16="QB",'League Config'!$B$16,0)))</f>
        <v/>
      </c>
      <c r="N16" s="4">
        <f>MIN(100,MAX(0,0.55*E16+0.3*K16+0.15*L16-M16))</f>
        <v/>
      </c>
      <c r="O16" s="9">
        <f>IF(OR(A16="K",A16="DST"),"",N16)</f>
        <v/>
      </c>
      <c r="P16" s="6">
        <f>IF(O16="","",COUNTIF($O$3:$O$232,"&gt;"&amp;O16)+COUNTIF($O$3:O16,O16))</f>
        <v/>
      </c>
      <c r="Q16">
        <f>IF(A16="DST",IF(F16&lt;=GateSize,DstStart-1+F16,NSkill+2*GateSize+F16-GateSize),IF(A16="K",IF(F16&lt;=GateSize,KStart-1+F16,NSkill+GateSize+NDst+F16-GateSize),IF(P16&lt;=DstStart-1,P16,P16+2*GateSize)))</f>
        <v/>
      </c>
      <c r="R16" s="4">
        <f>'LIVE SOURCE'!E16</f>
        <v/>
      </c>
      <c r="S16" s="4">
        <f>R16-Q16</f>
        <v/>
      </c>
      <c r="T16">
        <f>'LIVE SOURCE'!F16</f>
        <v/>
      </c>
      <c r="U16" s="4">
        <f>MAX(40,E16-IF(T16="A",6,IF(T16="B",9,12)))</f>
        <v/>
      </c>
      <c r="V16" s="4">
        <f>E16</f>
        <v/>
      </c>
      <c r="W16" s="4">
        <f>MIN(100,E16+IF(T16="A",6,IF(T16="B",9,12)))</f>
        <v/>
      </c>
      <c r="X16">
        <f>'LIVE SOURCE'!G16</f>
        <v/>
      </c>
      <c r="Y16">
        <f>IF(INDEX('Draft Board'!$J$3:$J$232,Q16)="","Available",INDEX('Draft Board'!$J$3:$J$232,Q16))</f>
        <v/>
      </c>
      <c r="Z16">
        <f>IF(Y16&lt;&gt;"Available","",1+COUNTIFS($Y$3:$Y$232,"Available",$Q$3:$Q$232,"&lt;"&amp;Q16))</f>
        <v/>
      </c>
    </row>
    <row r="17">
      <c r="A17">
        <f>'LIVE SOURCE'!A17</f>
        <v/>
      </c>
      <c r="B17">
        <f>'LIVE SOURCE'!B17</f>
        <v/>
      </c>
      <c r="C17" s="4">
        <f>'LIVE SOURCE'!D17</f>
        <v/>
      </c>
      <c r="D17" s="4">
        <f>'Manual Adjustments'!G17</f>
        <v/>
      </c>
      <c r="E17" s="4">
        <f>MAX(40,MIN(100,C17+D17))</f>
        <v/>
      </c>
      <c r="F17">
        <f>COUNTIFS($A$3:$A$232,A17,$E$3:$E$232,"&gt;"&amp;E17)+COUNTIFS($A$3:A17,A17,$E$3:E17,E17)</f>
        <v/>
      </c>
      <c r="G17" s="4">
        <f>ROUND(INDEX('League Config'!$K$4:$K$9,MATCH(A17,'League Config'!$E$4:$E$9,0))*E17+INDEX('League Config'!$L$4:$L$9,MATCH(A17,'League Config'!$E$4:$E$9,0)),1)</f>
        <v/>
      </c>
      <c r="H17">
        <f>INDEX('League Config'!$H$4:$H$9,MATCH(A17,'League Config'!$E$4:$E$9,0))</f>
        <v/>
      </c>
      <c r="I17" s="4">
        <f>INDEX('League Config'!$I$4:$I$9,MATCH(A17,'League Config'!$E$4:$E$9,0))</f>
        <v/>
      </c>
      <c r="J17" s="4">
        <f>ROUND(G17-I17,1)</f>
        <v/>
      </c>
      <c r="K17" s="4">
        <f>MAX(0,MIN(100,50+J17*0.6))</f>
        <v/>
      </c>
      <c r="L17" s="4">
        <f>MIN(100,MAX(0,(1-(F17-1)/(H17*1.5))*100*INDEX('League Config'!$J$4:$J$9,MATCH(A17,'League Config'!$E$4:$E$9,0))))</f>
        <v/>
      </c>
      <c r="M17">
        <f>IF(A17="K",'League Config'!$B$14,IF(A17="DST",'League Config'!$B$15,IF(A17="QB",'League Config'!$B$16,0)))</f>
        <v/>
      </c>
      <c r="N17" s="4">
        <f>MIN(100,MAX(0,0.55*E17+0.3*K17+0.15*L17-M17))</f>
        <v/>
      </c>
      <c r="O17" s="9">
        <f>IF(OR(A17="K",A17="DST"),"",N17)</f>
        <v/>
      </c>
      <c r="P17" s="6">
        <f>IF(O17="","",COUNTIF($O$3:$O$232,"&gt;"&amp;O17)+COUNTIF($O$3:O17,O17))</f>
        <v/>
      </c>
      <c r="Q17">
        <f>IF(A17="DST",IF(F17&lt;=GateSize,DstStart-1+F17,NSkill+2*GateSize+F17-GateSize),IF(A17="K",IF(F17&lt;=GateSize,KStart-1+F17,NSkill+GateSize+NDst+F17-GateSize),IF(P17&lt;=DstStart-1,P17,P17+2*GateSize)))</f>
        <v/>
      </c>
      <c r="R17" s="4">
        <f>'LIVE SOURCE'!E17</f>
        <v/>
      </c>
      <c r="S17" s="4">
        <f>R17-Q17</f>
        <v/>
      </c>
      <c r="T17">
        <f>'LIVE SOURCE'!F17</f>
        <v/>
      </c>
      <c r="U17" s="4">
        <f>MAX(40,E17-IF(T17="A",6,IF(T17="B",9,12)))</f>
        <v/>
      </c>
      <c r="V17" s="4">
        <f>E17</f>
        <v/>
      </c>
      <c r="W17" s="4">
        <f>MIN(100,E17+IF(T17="A",6,IF(T17="B",9,12)))</f>
        <v/>
      </c>
      <c r="X17">
        <f>'LIVE SOURCE'!G17</f>
        <v/>
      </c>
      <c r="Y17">
        <f>IF(INDEX('Draft Board'!$J$3:$J$232,Q17)="","Available",INDEX('Draft Board'!$J$3:$J$232,Q17))</f>
        <v/>
      </c>
      <c r="Z17">
        <f>IF(Y17&lt;&gt;"Available","",1+COUNTIFS($Y$3:$Y$232,"Available",$Q$3:$Q$232,"&lt;"&amp;Q17))</f>
        <v/>
      </c>
    </row>
    <row r="18">
      <c r="A18">
        <f>'LIVE SOURCE'!A18</f>
        <v/>
      </c>
      <c r="B18">
        <f>'LIVE SOURCE'!B18</f>
        <v/>
      </c>
      <c r="C18" s="4">
        <f>'LIVE SOURCE'!D18</f>
        <v/>
      </c>
      <c r="D18" s="4">
        <f>'Manual Adjustments'!G18</f>
        <v/>
      </c>
      <c r="E18" s="4">
        <f>MAX(40,MIN(100,C18+D18))</f>
        <v/>
      </c>
      <c r="F18">
        <f>COUNTIFS($A$3:$A$232,A18,$E$3:$E$232,"&gt;"&amp;E18)+COUNTIFS($A$3:A18,A18,$E$3:E18,E18)</f>
        <v/>
      </c>
      <c r="G18" s="4">
        <f>ROUND(INDEX('League Config'!$K$4:$K$9,MATCH(A18,'League Config'!$E$4:$E$9,0))*E18+INDEX('League Config'!$L$4:$L$9,MATCH(A18,'League Config'!$E$4:$E$9,0)),1)</f>
        <v/>
      </c>
      <c r="H18">
        <f>INDEX('League Config'!$H$4:$H$9,MATCH(A18,'League Config'!$E$4:$E$9,0))</f>
        <v/>
      </c>
      <c r="I18" s="4">
        <f>INDEX('League Config'!$I$4:$I$9,MATCH(A18,'League Config'!$E$4:$E$9,0))</f>
        <v/>
      </c>
      <c r="J18" s="4">
        <f>ROUND(G18-I18,1)</f>
        <v/>
      </c>
      <c r="K18" s="4">
        <f>MAX(0,MIN(100,50+J18*0.6))</f>
        <v/>
      </c>
      <c r="L18" s="4">
        <f>MIN(100,MAX(0,(1-(F18-1)/(H18*1.5))*100*INDEX('League Config'!$J$4:$J$9,MATCH(A18,'League Config'!$E$4:$E$9,0))))</f>
        <v/>
      </c>
      <c r="M18">
        <f>IF(A18="K",'League Config'!$B$14,IF(A18="DST",'League Config'!$B$15,IF(A18="QB",'League Config'!$B$16,0)))</f>
        <v/>
      </c>
      <c r="N18" s="4">
        <f>MIN(100,MAX(0,0.55*E18+0.3*K18+0.15*L18-M18))</f>
        <v/>
      </c>
      <c r="O18" s="9">
        <f>IF(OR(A18="K",A18="DST"),"",N18)</f>
        <v/>
      </c>
      <c r="P18" s="6">
        <f>IF(O18="","",COUNTIF($O$3:$O$232,"&gt;"&amp;O18)+COUNTIF($O$3:O18,O18))</f>
        <v/>
      </c>
      <c r="Q18">
        <f>IF(A18="DST",IF(F18&lt;=GateSize,DstStart-1+F18,NSkill+2*GateSize+F18-GateSize),IF(A18="K",IF(F18&lt;=GateSize,KStart-1+F18,NSkill+GateSize+NDst+F18-GateSize),IF(P18&lt;=DstStart-1,P18,P18+2*GateSize)))</f>
        <v/>
      </c>
      <c r="R18" s="4">
        <f>'LIVE SOURCE'!E18</f>
        <v/>
      </c>
      <c r="S18" s="4">
        <f>R18-Q18</f>
        <v/>
      </c>
      <c r="T18">
        <f>'LIVE SOURCE'!F18</f>
        <v/>
      </c>
      <c r="U18" s="4">
        <f>MAX(40,E18-IF(T18="A",6,IF(T18="B",9,12)))</f>
        <v/>
      </c>
      <c r="V18" s="4">
        <f>E18</f>
        <v/>
      </c>
      <c r="W18" s="4">
        <f>MIN(100,E18+IF(T18="A",6,IF(T18="B",9,12)))</f>
        <v/>
      </c>
      <c r="X18">
        <f>'LIVE SOURCE'!G18</f>
        <v/>
      </c>
      <c r="Y18">
        <f>IF(INDEX('Draft Board'!$J$3:$J$232,Q18)="","Available",INDEX('Draft Board'!$J$3:$J$232,Q18))</f>
        <v/>
      </c>
      <c r="Z18">
        <f>IF(Y18&lt;&gt;"Available","",1+COUNTIFS($Y$3:$Y$232,"Available",$Q$3:$Q$232,"&lt;"&amp;Q18))</f>
        <v/>
      </c>
    </row>
    <row r="19">
      <c r="A19">
        <f>'LIVE SOURCE'!A19</f>
        <v/>
      </c>
      <c r="B19">
        <f>'LIVE SOURCE'!B19</f>
        <v/>
      </c>
      <c r="C19" s="4">
        <f>'LIVE SOURCE'!D19</f>
        <v/>
      </c>
      <c r="D19" s="4">
        <f>'Manual Adjustments'!G19</f>
        <v/>
      </c>
      <c r="E19" s="4">
        <f>MAX(40,MIN(100,C19+D19))</f>
        <v/>
      </c>
      <c r="F19">
        <f>COUNTIFS($A$3:$A$232,A19,$E$3:$E$232,"&gt;"&amp;E19)+COUNTIFS($A$3:A19,A19,$E$3:E19,E19)</f>
        <v/>
      </c>
      <c r="G19" s="4">
        <f>ROUND(INDEX('League Config'!$K$4:$K$9,MATCH(A19,'League Config'!$E$4:$E$9,0))*E19+INDEX('League Config'!$L$4:$L$9,MATCH(A19,'League Config'!$E$4:$E$9,0)),1)</f>
        <v/>
      </c>
      <c r="H19">
        <f>INDEX('League Config'!$H$4:$H$9,MATCH(A19,'League Config'!$E$4:$E$9,0))</f>
        <v/>
      </c>
      <c r="I19" s="4">
        <f>INDEX('League Config'!$I$4:$I$9,MATCH(A19,'League Config'!$E$4:$E$9,0))</f>
        <v/>
      </c>
      <c r="J19" s="4">
        <f>ROUND(G19-I19,1)</f>
        <v/>
      </c>
      <c r="K19" s="4">
        <f>MAX(0,MIN(100,50+J19*0.6))</f>
        <v/>
      </c>
      <c r="L19" s="4">
        <f>MIN(100,MAX(0,(1-(F19-1)/(H19*1.5))*100*INDEX('League Config'!$J$4:$J$9,MATCH(A19,'League Config'!$E$4:$E$9,0))))</f>
        <v/>
      </c>
      <c r="M19">
        <f>IF(A19="K",'League Config'!$B$14,IF(A19="DST",'League Config'!$B$15,IF(A19="QB",'League Config'!$B$16,0)))</f>
        <v/>
      </c>
      <c r="N19" s="4">
        <f>MIN(100,MAX(0,0.55*E19+0.3*K19+0.15*L19-M19))</f>
        <v/>
      </c>
      <c r="O19" s="9">
        <f>IF(OR(A19="K",A19="DST"),"",N19)</f>
        <v/>
      </c>
      <c r="P19" s="6">
        <f>IF(O19="","",COUNTIF($O$3:$O$232,"&gt;"&amp;O19)+COUNTIF($O$3:O19,O19))</f>
        <v/>
      </c>
      <c r="Q19">
        <f>IF(A19="DST",IF(F19&lt;=GateSize,DstStart-1+F19,NSkill+2*GateSize+F19-GateSize),IF(A19="K",IF(F19&lt;=GateSize,KStart-1+F19,NSkill+GateSize+NDst+F19-GateSize),IF(P19&lt;=DstStart-1,P19,P19+2*GateSize)))</f>
        <v/>
      </c>
      <c r="R19" s="4">
        <f>'LIVE SOURCE'!E19</f>
        <v/>
      </c>
      <c r="S19" s="4">
        <f>R19-Q19</f>
        <v/>
      </c>
      <c r="T19">
        <f>'LIVE SOURCE'!F19</f>
        <v/>
      </c>
      <c r="U19" s="4">
        <f>MAX(40,E19-IF(T19="A",6,IF(T19="B",9,12)))</f>
        <v/>
      </c>
      <c r="V19" s="4">
        <f>E19</f>
        <v/>
      </c>
      <c r="W19" s="4">
        <f>MIN(100,E19+IF(T19="A",6,IF(T19="B",9,12)))</f>
        <v/>
      </c>
      <c r="X19">
        <f>'LIVE SOURCE'!G19</f>
        <v/>
      </c>
      <c r="Y19">
        <f>IF(INDEX('Draft Board'!$J$3:$J$232,Q19)="","Available",INDEX('Draft Board'!$J$3:$J$232,Q19))</f>
        <v/>
      </c>
      <c r="Z19">
        <f>IF(Y19&lt;&gt;"Available","",1+COUNTIFS($Y$3:$Y$232,"Available",$Q$3:$Q$232,"&lt;"&amp;Q19))</f>
        <v/>
      </c>
    </row>
    <row r="20">
      <c r="A20">
        <f>'LIVE SOURCE'!A20</f>
        <v/>
      </c>
      <c r="B20">
        <f>'LIVE SOURCE'!B20</f>
        <v/>
      </c>
      <c r="C20" s="4">
        <f>'LIVE SOURCE'!D20</f>
        <v/>
      </c>
      <c r="D20" s="4">
        <f>'Manual Adjustments'!G20</f>
        <v/>
      </c>
      <c r="E20" s="4">
        <f>MAX(40,MIN(100,C20+D20))</f>
        <v/>
      </c>
      <c r="F20">
        <f>COUNTIFS($A$3:$A$232,A20,$E$3:$E$232,"&gt;"&amp;E20)+COUNTIFS($A$3:A20,A20,$E$3:E20,E20)</f>
        <v/>
      </c>
      <c r="G20" s="4">
        <f>ROUND(INDEX('League Config'!$K$4:$K$9,MATCH(A20,'League Config'!$E$4:$E$9,0))*E20+INDEX('League Config'!$L$4:$L$9,MATCH(A20,'League Config'!$E$4:$E$9,0)),1)</f>
        <v/>
      </c>
      <c r="H20">
        <f>INDEX('League Config'!$H$4:$H$9,MATCH(A20,'League Config'!$E$4:$E$9,0))</f>
        <v/>
      </c>
      <c r="I20" s="4">
        <f>INDEX('League Config'!$I$4:$I$9,MATCH(A20,'League Config'!$E$4:$E$9,0))</f>
        <v/>
      </c>
      <c r="J20" s="4">
        <f>ROUND(G20-I20,1)</f>
        <v/>
      </c>
      <c r="K20" s="4">
        <f>MAX(0,MIN(100,50+J20*0.6))</f>
        <v/>
      </c>
      <c r="L20" s="4">
        <f>MIN(100,MAX(0,(1-(F20-1)/(H20*1.5))*100*INDEX('League Config'!$J$4:$J$9,MATCH(A20,'League Config'!$E$4:$E$9,0))))</f>
        <v/>
      </c>
      <c r="M20">
        <f>IF(A20="K",'League Config'!$B$14,IF(A20="DST",'League Config'!$B$15,IF(A20="QB",'League Config'!$B$16,0)))</f>
        <v/>
      </c>
      <c r="N20" s="4">
        <f>MIN(100,MAX(0,0.55*E20+0.3*K20+0.15*L20-M20))</f>
        <v/>
      </c>
      <c r="O20" s="9">
        <f>IF(OR(A20="K",A20="DST"),"",N20)</f>
        <v/>
      </c>
      <c r="P20" s="6">
        <f>IF(O20="","",COUNTIF($O$3:$O$232,"&gt;"&amp;O20)+COUNTIF($O$3:O20,O20))</f>
        <v/>
      </c>
      <c r="Q20">
        <f>IF(A20="DST",IF(F20&lt;=GateSize,DstStart-1+F20,NSkill+2*GateSize+F20-GateSize),IF(A20="K",IF(F20&lt;=GateSize,KStart-1+F20,NSkill+GateSize+NDst+F20-GateSize),IF(P20&lt;=DstStart-1,P20,P20+2*GateSize)))</f>
        <v/>
      </c>
      <c r="R20" s="4">
        <f>'LIVE SOURCE'!E20</f>
        <v/>
      </c>
      <c r="S20" s="4">
        <f>R20-Q20</f>
        <v/>
      </c>
      <c r="T20">
        <f>'LIVE SOURCE'!F20</f>
        <v/>
      </c>
      <c r="U20" s="4">
        <f>MAX(40,E20-IF(T20="A",6,IF(T20="B",9,12)))</f>
        <v/>
      </c>
      <c r="V20" s="4">
        <f>E20</f>
        <v/>
      </c>
      <c r="W20" s="4">
        <f>MIN(100,E20+IF(T20="A",6,IF(T20="B",9,12)))</f>
        <v/>
      </c>
      <c r="X20">
        <f>'LIVE SOURCE'!G20</f>
        <v/>
      </c>
      <c r="Y20">
        <f>IF(INDEX('Draft Board'!$J$3:$J$232,Q20)="","Available",INDEX('Draft Board'!$J$3:$J$232,Q20))</f>
        <v/>
      </c>
      <c r="Z20">
        <f>IF(Y20&lt;&gt;"Available","",1+COUNTIFS($Y$3:$Y$232,"Available",$Q$3:$Q$232,"&lt;"&amp;Q20))</f>
        <v/>
      </c>
    </row>
    <row r="21">
      <c r="A21">
        <f>'LIVE SOURCE'!A21</f>
        <v/>
      </c>
      <c r="B21">
        <f>'LIVE SOURCE'!B21</f>
        <v/>
      </c>
      <c r="C21" s="4">
        <f>'LIVE SOURCE'!D21</f>
        <v/>
      </c>
      <c r="D21" s="4">
        <f>'Manual Adjustments'!G21</f>
        <v/>
      </c>
      <c r="E21" s="4">
        <f>MAX(40,MIN(100,C21+D21))</f>
        <v/>
      </c>
      <c r="F21">
        <f>COUNTIFS($A$3:$A$232,A21,$E$3:$E$232,"&gt;"&amp;E21)+COUNTIFS($A$3:A21,A21,$E$3:E21,E21)</f>
        <v/>
      </c>
      <c r="G21" s="4">
        <f>ROUND(INDEX('League Config'!$K$4:$K$9,MATCH(A21,'League Config'!$E$4:$E$9,0))*E21+INDEX('League Config'!$L$4:$L$9,MATCH(A21,'League Config'!$E$4:$E$9,0)),1)</f>
        <v/>
      </c>
      <c r="H21">
        <f>INDEX('League Config'!$H$4:$H$9,MATCH(A21,'League Config'!$E$4:$E$9,0))</f>
        <v/>
      </c>
      <c r="I21" s="4">
        <f>INDEX('League Config'!$I$4:$I$9,MATCH(A21,'League Config'!$E$4:$E$9,0))</f>
        <v/>
      </c>
      <c r="J21" s="4">
        <f>ROUND(G21-I21,1)</f>
        <v/>
      </c>
      <c r="K21" s="4">
        <f>MAX(0,MIN(100,50+J21*0.6))</f>
        <v/>
      </c>
      <c r="L21" s="4">
        <f>MIN(100,MAX(0,(1-(F21-1)/(H21*1.5))*100*INDEX('League Config'!$J$4:$J$9,MATCH(A21,'League Config'!$E$4:$E$9,0))))</f>
        <v/>
      </c>
      <c r="M21">
        <f>IF(A21="K",'League Config'!$B$14,IF(A21="DST",'League Config'!$B$15,IF(A21="QB",'League Config'!$B$16,0)))</f>
        <v/>
      </c>
      <c r="N21" s="4">
        <f>MIN(100,MAX(0,0.55*E21+0.3*K21+0.15*L21-M21))</f>
        <v/>
      </c>
      <c r="O21" s="9">
        <f>IF(OR(A21="K",A21="DST"),"",N21)</f>
        <v/>
      </c>
      <c r="P21" s="6">
        <f>IF(O21="","",COUNTIF($O$3:$O$232,"&gt;"&amp;O21)+COUNTIF($O$3:O21,O21))</f>
        <v/>
      </c>
      <c r="Q21">
        <f>IF(A21="DST",IF(F21&lt;=GateSize,DstStart-1+F21,NSkill+2*GateSize+F21-GateSize),IF(A21="K",IF(F21&lt;=GateSize,KStart-1+F21,NSkill+GateSize+NDst+F21-GateSize),IF(P21&lt;=DstStart-1,P21,P21+2*GateSize)))</f>
        <v/>
      </c>
      <c r="R21" s="4">
        <f>'LIVE SOURCE'!E21</f>
        <v/>
      </c>
      <c r="S21" s="4">
        <f>R21-Q21</f>
        <v/>
      </c>
      <c r="T21">
        <f>'LIVE SOURCE'!F21</f>
        <v/>
      </c>
      <c r="U21" s="4">
        <f>MAX(40,E21-IF(T21="A",6,IF(T21="B",9,12)))</f>
        <v/>
      </c>
      <c r="V21" s="4">
        <f>E21</f>
        <v/>
      </c>
      <c r="W21" s="4">
        <f>MIN(100,E21+IF(T21="A",6,IF(T21="B",9,12)))</f>
        <v/>
      </c>
      <c r="X21">
        <f>'LIVE SOURCE'!G21</f>
        <v/>
      </c>
      <c r="Y21">
        <f>IF(INDEX('Draft Board'!$J$3:$J$232,Q21)="","Available",INDEX('Draft Board'!$J$3:$J$232,Q21))</f>
        <v/>
      </c>
      <c r="Z21">
        <f>IF(Y21&lt;&gt;"Available","",1+COUNTIFS($Y$3:$Y$232,"Available",$Q$3:$Q$232,"&lt;"&amp;Q21))</f>
        <v/>
      </c>
    </row>
    <row r="22">
      <c r="A22">
        <f>'LIVE SOURCE'!A22</f>
        <v/>
      </c>
      <c r="B22">
        <f>'LIVE SOURCE'!B22</f>
        <v/>
      </c>
      <c r="C22" s="4">
        <f>'LIVE SOURCE'!D22</f>
        <v/>
      </c>
      <c r="D22" s="4">
        <f>'Manual Adjustments'!G22</f>
        <v/>
      </c>
      <c r="E22" s="4">
        <f>MAX(40,MIN(100,C22+D22))</f>
        <v/>
      </c>
      <c r="F22">
        <f>COUNTIFS($A$3:$A$232,A22,$E$3:$E$232,"&gt;"&amp;E22)+COUNTIFS($A$3:A22,A22,$E$3:E22,E22)</f>
        <v/>
      </c>
      <c r="G22" s="4">
        <f>ROUND(INDEX('League Config'!$K$4:$K$9,MATCH(A22,'League Config'!$E$4:$E$9,0))*E22+INDEX('League Config'!$L$4:$L$9,MATCH(A22,'League Config'!$E$4:$E$9,0)),1)</f>
        <v/>
      </c>
      <c r="H22">
        <f>INDEX('League Config'!$H$4:$H$9,MATCH(A22,'League Config'!$E$4:$E$9,0))</f>
        <v/>
      </c>
      <c r="I22" s="4">
        <f>INDEX('League Config'!$I$4:$I$9,MATCH(A22,'League Config'!$E$4:$E$9,0))</f>
        <v/>
      </c>
      <c r="J22" s="4">
        <f>ROUND(G22-I22,1)</f>
        <v/>
      </c>
      <c r="K22" s="4">
        <f>MAX(0,MIN(100,50+J22*0.6))</f>
        <v/>
      </c>
      <c r="L22" s="4">
        <f>MIN(100,MAX(0,(1-(F22-1)/(H22*1.5))*100*INDEX('League Config'!$J$4:$J$9,MATCH(A22,'League Config'!$E$4:$E$9,0))))</f>
        <v/>
      </c>
      <c r="M22">
        <f>IF(A22="K",'League Config'!$B$14,IF(A22="DST",'League Config'!$B$15,IF(A22="QB",'League Config'!$B$16,0)))</f>
        <v/>
      </c>
      <c r="N22" s="4">
        <f>MIN(100,MAX(0,0.55*E22+0.3*K22+0.15*L22-M22))</f>
        <v/>
      </c>
      <c r="O22" s="9">
        <f>IF(OR(A22="K",A22="DST"),"",N22)</f>
        <v/>
      </c>
      <c r="P22" s="6">
        <f>IF(O22="","",COUNTIF($O$3:$O$232,"&gt;"&amp;O22)+COUNTIF($O$3:O22,O22))</f>
        <v/>
      </c>
      <c r="Q22">
        <f>IF(A22="DST",IF(F22&lt;=GateSize,DstStart-1+F22,NSkill+2*GateSize+F22-GateSize),IF(A22="K",IF(F22&lt;=GateSize,KStart-1+F22,NSkill+GateSize+NDst+F22-GateSize),IF(P22&lt;=DstStart-1,P22,P22+2*GateSize)))</f>
        <v/>
      </c>
      <c r="R22" s="4">
        <f>'LIVE SOURCE'!E22</f>
        <v/>
      </c>
      <c r="S22" s="4">
        <f>R22-Q22</f>
        <v/>
      </c>
      <c r="T22">
        <f>'LIVE SOURCE'!F22</f>
        <v/>
      </c>
      <c r="U22" s="4">
        <f>MAX(40,E22-IF(T22="A",6,IF(T22="B",9,12)))</f>
        <v/>
      </c>
      <c r="V22" s="4">
        <f>E22</f>
        <v/>
      </c>
      <c r="W22" s="4">
        <f>MIN(100,E22+IF(T22="A",6,IF(T22="B",9,12)))</f>
        <v/>
      </c>
      <c r="X22">
        <f>'LIVE SOURCE'!G22</f>
        <v/>
      </c>
      <c r="Y22">
        <f>IF(INDEX('Draft Board'!$J$3:$J$232,Q22)="","Available",INDEX('Draft Board'!$J$3:$J$232,Q22))</f>
        <v/>
      </c>
      <c r="Z22">
        <f>IF(Y22&lt;&gt;"Available","",1+COUNTIFS($Y$3:$Y$232,"Available",$Q$3:$Q$232,"&lt;"&amp;Q22))</f>
        <v/>
      </c>
    </row>
    <row r="23">
      <c r="A23">
        <f>'LIVE SOURCE'!A23</f>
        <v/>
      </c>
      <c r="B23">
        <f>'LIVE SOURCE'!B23</f>
        <v/>
      </c>
      <c r="C23" s="4">
        <f>'LIVE SOURCE'!D23</f>
        <v/>
      </c>
      <c r="D23" s="4">
        <f>'Manual Adjustments'!G23</f>
        <v/>
      </c>
      <c r="E23" s="4">
        <f>MAX(40,MIN(100,C23+D23))</f>
        <v/>
      </c>
      <c r="F23">
        <f>COUNTIFS($A$3:$A$232,A23,$E$3:$E$232,"&gt;"&amp;E23)+COUNTIFS($A$3:A23,A23,$E$3:E23,E23)</f>
        <v/>
      </c>
      <c r="G23" s="4">
        <f>ROUND(INDEX('League Config'!$K$4:$K$9,MATCH(A23,'League Config'!$E$4:$E$9,0))*E23+INDEX('League Config'!$L$4:$L$9,MATCH(A23,'League Config'!$E$4:$E$9,0)),1)</f>
        <v/>
      </c>
      <c r="H23">
        <f>INDEX('League Config'!$H$4:$H$9,MATCH(A23,'League Config'!$E$4:$E$9,0))</f>
        <v/>
      </c>
      <c r="I23" s="4">
        <f>INDEX('League Config'!$I$4:$I$9,MATCH(A23,'League Config'!$E$4:$E$9,0))</f>
        <v/>
      </c>
      <c r="J23" s="4">
        <f>ROUND(G23-I23,1)</f>
        <v/>
      </c>
      <c r="K23" s="4">
        <f>MAX(0,MIN(100,50+J23*0.6))</f>
        <v/>
      </c>
      <c r="L23" s="4">
        <f>MIN(100,MAX(0,(1-(F23-1)/(H23*1.5))*100*INDEX('League Config'!$J$4:$J$9,MATCH(A23,'League Config'!$E$4:$E$9,0))))</f>
        <v/>
      </c>
      <c r="M23">
        <f>IF(A23="K",'League Config'!$B$14,IF(A23="DST",'League Config'!$B$15,IF(A23="QB",'League Config'!$B$16,0)))</f>
        <v/>
      </c>
      <c r="N23" s="4">
        <f>MIN(100,MAX(0,0.55*E23+0.3*K23+0.15*L23-M23))</f>
        <v/>
      </c>
      <c r="O23" s="9">
        <f>IF(OR(A23="K",A23="DST"),"",N23)</f>
        <v/>
      </c>
      <c r="P23" s="6">
        <f>IF(O23="","",COUNTIF($O$3:$O$232,"&gt;"&amp;O23)+COUNTIF($O$3:O23,O23))</f>
        <v/>
      </c>
      <c r="Q23">
        <f>IF(A23="DST",IF(F23&lt;=GateSize,DstStart-1+F23,NSkill+2*GateSize+F23-GateSize),IF(A23="K",IF(F23&lt;=GateSize,KStart-1+F23,NSkill+GateSize+NDst+F23-GateSize),IF(P23&lt;=DstStart-1,P23,P23+2*GateSize)))</f>
        <v/>
      </c>
      <c r="R23" s="4">
        <f>'LIVE SOURCE'!E23</f>
        <v/>
      </c>
      <c r="S23" s="4">
        <f>R23-Q23</f>
        <v/>
      </c>
      <c r="T23">
        <f>'LIVE SOURCE'!F23</f>
        <v/>
      </c>
      <c r="U23" s="4">
        <f>MAX(40,E23-IF(T23="A",6,IF(T23="B",9,12)))</f>
        <v/>
      </c>
      <c r="V23" s="4">
        <f>E23</f>
        <v/>
      </c>
      <c r="W23" s="4">
        <f>MIN(100,E23+IF(T23="A",6,IF(T23="B",9,12)))</f>
        <v/>
      </c>
      <c r="X23">
        <f>'LIVE SOURCE'!G23</f>
        <v/>
      </c>
      <c r="Y23">
        <f>IF(INDEX('Draft Board'!$J$3:$J$232,Q23)="","Available",INDEX('Draft Board'!$J$3:$J$232,Q23))</f>
        <v/>
      </c>
      <c r="Z23">
        <f>IF(Y23&lt;&gt;"Available","",1+COUNTIFS($Y$3:$Y$232,"Available",$Q$3:$Q$232,"&lt;"&amp;Q23))</f>
        <v/>
      </c>
    </row>
    <row r="24">
      <c r="A24">
        <f>'LIVE SOURCE'!A24</f>
        <v/>
      </c>
      <c r="B24">
        <f>'LIVE SOURCE'!B24</f>
        <v/>
      </c>
      <c r="C24" s="4">
        <f>'LIVE SOURCE'!D24</f>
        <v/>
      </c>
      <c r="D24" s="4">
        <f>'Manual Adjustments'!G24</f>
        <v/>
      </c>
      <c r="E24" s="4">
        <f>MAX(40,MIN(100,C24+D24))</f>
        <v/>
      </c>
      <c r="F24">
        <f>COUNTIFS($A$3:$A$232,A24,$E$3:$E$232,"&gt;"&amp;E24)+COUNTIFS($A$3:A24,A24,$E$3:E24,E24)</f>
        <v/>
      </c>
      <c r="G24" s="4">
        <f>ROUND(INDEX('League Config'!$K$4:$K$9,MATCH(A24,'League Config'!$E$4:$E$9,0))*E24+INDEX('League Config'!$L$4:$L$9,MATCH(A24,'League Config'!$E$4:$E$9,0)),1)</f>
        <v/>
      </c>
      <c r="H24">
        <f>INDEX('League Config'!$H$4:$H$9,MATCH(A24,'League Config'!$E$4:$E$9,0))</f>
        <v/>
      </c>
      <c r="I24" s="4">
        <f>INDEX('League Config'!$I$4:$I$9,MATCH(A24,'League Config'!$E$4:$E$9,0))</f>
        <v/>
      </c>
      <c r="J24" s="4">
        <f>ROUND(G24-I24,1)</f>
        <v/>
      </c>
      <c r="K24" s="4">
        <f>MAX(0,MIN(100,50+J24*0.6))</f>
        <v/>
      </c>
      <c r="L24" s="4">
        <f>MIN(100,MAX(0,(1-(F24-1)/(H24*1.5))*100*INDEX('League Config'!$J$4:$J$9,MATCH(A24,'League Config'!$E$4:$E$9,0))))</f>
        <v/>
      </c>
      <c r="M24">
        <f>IF(A24="K",'League Config'!$B$14,IF(A24="DST",'League Config'!$B$15,IF(A24="QB",'League Config'!$B$16,0)))</f>
        <v/>
      </c>
      <c r="N24" s="4">
        <f>MIN(100,MAX(0,0.55*E24+0.3*K24+0.15*L24-M24))</f>
        <v/>
      </c>
      <c r="O24" s="9">
        <f>IF(OR(A24="K",A24="DST"),"",N24)</f>
        <v/>
      </c>
      <c r="P24" s="6">
        <f>IF(O24="","",COUNTIF($O$3:$O$232,"&gt;"&amp;O24)+COUNTIF($O$3:O24,O24))</f>
        <v/>
      </c>
      <c r="Q24">
        <f>IF(A24="DST",IF(F24&lt;=GateSize,DstStart-1+F24,NSkill+2*GateSize+F24-GateSize),IF(A24="K",IF(F24&lt;=GateSize,KStart-1+F24,NSkill+GateSize+NDst+F24-GateSize),IF(P24&lt;=DstStart-1,P24,P24+2*GateSize)))</f>
        <v/>
      </c>
      <c r="R24" s="4">
        <f>'LIVE SOURCE'!E24</f>
        <v/>
      </c>
      <c r="S24" s="4">
        <f>R24-Q24</f>
        <v/>
      </c>
      <c r="T24">
        <f>'LIVE SOURCE'!F24</f>
        <v/>
      </c>
      <c r="U24" s="4">
        <f>MAX(40,E24-IF(T24="A",6,IF(T24="B",9,12)))</f>
        <v/>
      </c>
      <c r="V24" s="4">
        <f>E24</f>
        <v/>
      </c>
      <c r="W24" s="4">
        <f>MIN(100,E24+IF(T24="A",6,IF(T24="B",9,12)))</f>
        <v/>
      </c>
      <c r="X24">
        <f>'LIVE SOURCE'!G24</f>
        <v/>
      </c>
      <c r="Y24">
        <f>IF(INDEX('Draft Board'!$J$3:$J$232,Q24)="","Available",INDEX('Draft Board'!$J$3:$J$232,Q24))</f>
        <v/>
      </c>
      <c r="Z24">
        <f>IF(Y24&lt;&gt;"Available","",1+COUNTIFS($Y$3:$Y$232,"Available",$Q$3:$Q$232,"&lt;"&amp;Q24))</f>
        <v/>
      </c>
    </row>
    <row r="25">
      <c r="A25">
        <f>'LIVE SOURCE'!A25</f>
        <v/>
      </c>
      <c r="B25">
        <f>'LIVE SOURCE'!B25</f>
        <v/>
      </c>
      <c r="C25" s="4">
        <f>'LIVE SOURCE'!D25</f>
        <v/>
      </c>
      <c r="D25" s="4">
        <f>'Manual Adjustments'!G25</f>
        <v/>
      </c>
      <c r="E25" s="4">
        <f>MAX(40,MIN(100,C25+D25))</f>
        <v/>
      </c>
      <c r="F25">
        <f>COUNTIFS($A$3:$A$232,A25,$E$3:$E$232,"&gt;"&amp;E25)+COUNTIFS($A$3:A25,A25,$E$3:E25,E25)</f>
        <v/>
      </c>
      <c r="G25" s="4">
        <f>ROUND(INDEX('League Config'!$K$4:$K$9,MATCH(A25,'League Config'!$E$4:$E$9,0))*E25+INDEX('League Config'!$L$4:$L$9,MATCH(A25,'League Config'!$E$4:$E$9,0)),1)</f>
        <v/>
      </c>
      <c r="H25">
        <f>INDEX('League Config'!$H$4:$H$9,MATCH(A25,'League Config'!$E$4:$E$9,0))</f>
        <v/>
      </c>
      <c r="I25" s="4">
        <f>INDEX('League Config'!$I$4:$I$9,MATCH(A25,'League Config'!$E$4:$E$9,0))</f>
        <v/>
      </c>
      <c r="J25" s="4">
        <f>ROUND(G25-I25,1)</f>
        <v/>
      </c>
      <c r="K25" s="4">
        <f>MAX(0,MIN(100,50+J25*0.6))</f>
        <v/>
      </c>
      <c r="L25" s="4">
        <f>MIN(100,MAX(0,(1-(F25-1)/(H25*1.5))*100*INDEX('League Config'!$J$4:$J$9,MATCH(A25,'League Config'!$E$4:$E$9,0))))</f>
        <v/>
      </c>
      <c r="M25">
        <f>IF(A25="K",'League Config'!$B$14,IF(A25="DST",'League Config'!$B$15,IF(A25="QB",'League Config'!$B$16,0)))</f>
        <v/>
      </c>
      <c r="N25" s="4">
        <f>MIN(100,MAX(0,0.55*E25+0.3*K25+0.15*L25-M25))</f>
        <v/>
      </c>
      <c r="O25" s="9">
        <f>IF(OR(A25="K",A25="DST"),"",N25)</f>
        <v/>
      </c>
      <c r="P25" s="6">
        <f>IF(O25="","",COUNTIF($O$3:$O$232,"&gt;"&amp;O25)+COUNTIF($O$3:O25,O25))</f>
        <v/>
      </c>
      <c r="Q25">
        <f>IF(A25="DST",IF(F25&lt;=GateSize,DstStart-1+F25,NSkill+2*GateSize+F25-GateSize),IF(A25="K",IF(F25&lt;=GateSize,KStart-1+F25,NSkill+GateSize+NDst+F25-GateSize),IF(P25&lt;=DstStart-1,P25,P25+2*GateSize)))</f>
        <v/>
      </c>
      <c r="R25" s="4">
        <f>'LIVE SOURCE'!E25</f>
        <v/>
      </c>
      <c r="S25" s="4">
        <f>R25-Q25</f>
        <v/>
      </c>
      <c r="T25">
        <f>'LIVE SOURCE'!F25</f>
        <v/>
      </c>
      <c r="U25" s="4">
        <f>MAX(40,E25-IF(T25="A",6,IF(T25="B",9,12)))</f>
        <v/>
      </c>
      <c r="V25" s="4">
        <f>E25</f>
        <v/>
      </c>
      <c r="W25" s="4">
        <f>MIN(100,E25+IF(T25="A",6,IF(T25="B",9,12)))</f>
        <v/>
      </c>
      <c r="X25">
        <f>'LIVE SOURCE'!G25</f>
        <v/>
      </c>
      <c r="Y25">
        <f>IF(INDEX('Draft Board'!$J$3:$J$232,Q25)="","Available",INDEX('Draft Board'!$J$3:$J$232,Q25))</f>
        <v/>
      </c>
      <c r="Z25">
        <f>IF(Y25&lt;&gt;"Available","",1+COUNTIFS($Y$3:$Y$232,"Available",$Q$3:$Q$232,"&lt;"&amp;Q25))</f>
        <v/>
      </c>
    </row>
    <row r="26">
      <c r="A26">
        <f>'LIVE SOURCE'!A26</f>
        <v/>
      </c>
      <c r="B26">
        <f>'LIVE SOURCE'!B26</f>
        <v/>
      </c>
      <c r="C26" s="4">
        <f>'LIVE SOURCE'!D26</f>
        <v/>
      </c>
      <c r="D26" s="4">
        <f>'Manual Adjustments'!G26</f>
        <v/>
      </c>
      <c r="E26" s="4">
        <f>MAX(40,MIN(100,C26+D26))</f>
        <v/>
      </c>
      <c r="F26">
        <f>COUNTIFS($A$3:$A$232,A26,$E$3:$E$232,"&gt;"&amp;E26)+COUNTIFS($A$3:A26,A26,$E$3:E26,E26)</f>
        <v/>
      </c>
      <c r="G26" s="4">
        <f>ROUND(INDEX('League Config'!$K$4:$K$9,MATCH(A26,'League Config'!$E$4:$E$9,0))*E26+INDEX('League Config'!$L$4:$L$9,MATCH(A26,'League Config'!$E$4:$E$9,0)),1)</f>
        <v/>
      </c>
      <c r="H26">
        <f>INDEX('League Config'!$H$4:$H$9,MATCH(A26,'League Config'!$E$4:$E$9,0))</f>
        <v/>
      </c>
      <c r="I26" s="4">
        <f>INDEX('League Config'!$I$4:$I$9,MATCH(A26,'League Config'!$E$4:$E$9,0))</f>
        <v/>
      </c>
      <c r="J26" s="4">
        <f>ROUND(G26-I26,1)</f>
        <v/>
      </c>
      <c r="K26" s="4">
        <f>MAX(0,MIN(100,50+J26*0.6))</f>
        <v/>
      </c>
      <c r="L26" s="4">
        <f>MIN(100,MAX(0,(1-(F26-1)/(H26*1.5))*100*INDEX('League Config'!$J$4:$J$9,MATCH(A26,'League Config'!$E$4:$E$9,0))))</f>
        <v/>
      </c>
      <c r="M26">
        <f>IF(A26="K",'League Config'!$B$14,IF(A26="DST",'League Config'!$B$15,IF(A26="QB",'League Config'!$B$16,0)))</f>
        <v/>
      </c>
      <c r="N26" s="4">
        <f>MIN(100,MAX(0,0.55*E26+0.3*K26+0.15*L26-M26))</f>
        <v/>
      </c>
      <c r="O26" s="9">
        <f>IF(OR(A26="K",A26="DST"),"",N26)</f>
        <v/>
      </c>
      <c r="P26" s="6">
        <f>IF(O26="","",COUNTIF($O$3:$O$232,"&gt;"&amp;O26)+COUNTIF($O$3:O26,O26))</f>
        <v/>
      </c>
      <c r="Q26">
        <f>IF(A26="DST",IF(F26&lt;=GateSize,DstStart-1+F26,NSkill+2*GateSize+F26-GateSize),IF(A26="K",IF(F26&lt;=GateSize,KStart-1+F26,NSkill+GateSize+NDst+F26-GateSize),IF(P26&lt;=DstStart-1,P26,P26+2*GateSize)))</f>
        <v/>
      </c>
      <c r="R26" s="4">
        <f>'LIVE SOURCE'!E26</f>
        <v/>
      </c>
      <c r="S26" s="4">
        <f>R26-Q26</f>
        <v/>
      </c>
      <c r="T26">
        <f>'LIVE SOURCE'!F26</f>
        <v/>
      </c>
      <c r="U26" s="4">
        <f>MAX(40,E26-IF(T26="A",6,IF(T26="B",9,12)))</f>
        <v/>
      </c>
      <c r="V26" s="4">
        <f>E26</f>
        <v/>
      </c>
      <c r="W26" s="4">
        <f>MIN(100,E26+IF(T26="A",6,IF(T26="B",9,12)))</f>
        <v/>
      </c>
      <c r="X26">
        <f>'LIVE SOURCE'!G26</f>
        <v/>
      </c>
      <c r="Y26">
        <f>IF(INDEX('Draft Board'!$J$3:$J$232,Q26)="","Available",INDEX('Draft Board'!$J$3:$J$232,Q26))</f>
        <v/>
      </c>
      <c r="Z26">
        <f>IF(Y26&lt;&gt;"Available","",1+COUNTIFS($Y$3:$Y$232,"Available",$Q$3:$Q$232,"&lt;"&amp;Q26))</f>
        <v/>
      </c>
    </row>
    <row r="27">
      <c r="A27">
        <f>'LIVE SOURCE'!A27</f>
        <v/>
      </c>
      <c r="B27">
        <f>'LIVE SOURCE'!B27</f>
        <v/>
      </c>
      <c r="C27" s="4">
        <f>'LIVE SOURCE'!D27</f>
        <v/>
      </c>
      <c r="D27" s="4">
        <f>'Manual Adjustments'!G27</f>
        <v/>
      </c>
      <c r="E27" s="4">
        <f>MAX(40,MIN(100,C27+D27))</f>
        <v/>
      </c>
      <c r="F27">
        <f>COUNTIFS($A$3:$A$232,A27,$E$3:$E$232,"&gt;"&amp;E27)+COUNTIFS($A$3:A27,A27,$E$3:E27,E27)</f>
        <v/>
      </c>
      <c r="G27" s="4">
        <f>ROUND(INDEX('League Config'!$K$4:$K$9,MATCH(A27,'League Config'!$E$4:$E$9,0))*E27+INDEX('League Config'!$L$4:$L$9,MATCH(A27,'League Config'!$E$4:$E$9,0)),1)</f>
        <v/>
      </c>
      <c r="H27">
        <f>INDEX('League Config'!$H$4:$H$9,MATCH(A27,'League Config'!$E$4:$E$9,0))</f>
        <v/>
      </c>
      <c r="I27" s="4">
        <f>INDEX('League Config'!$I$4:$I$9,MATCH(A27,'League Config'!$E$4:$E$9,0))</f>
        <v/>
      </c>
      <c r="J27" s="4">
        <f>ROUND(G27-I27,1)</f>
        <v/>
      </c>
      <c r="K27" s="4">
        <f>MAX(0,MIN(100,50+J27*0.6))</f>
        <v/>
      </c>
      <c r="L27" s="4">
        <f>MIN(100,MAX(0,(1-(F27-1)/(H27*1.5))*100*INDEX('League Config'!$J$4:$J$9,MATCH(A27,'League Config'!$E$4:$E$9,0))))</f>
        <v/>
      </c>
      <c r="M27">
        <f>IF(A27="K",'League Config'!$B$14,IF(A27="DST",'League Config'!$B$15,IF(A27="QB",'League Config'!$B$16,0)))</f>
        <v/>
      </c>
      <c r="N27" s="4">
        <f>MIN(100,MAX(0,0.55*E27+0.3*K27+0.15*L27-M27))</f>
        <v/>
      </c>
      <c r="O27" s="9">
        <f>IF(OR(A27="K",A27="DST"),"",N27)</f>
        <v/>
      </c>
      <c r="P27" s="6">
        <f>IF(O27="","",COUNTIF($O$3:$O$232,"&gt;"&amp;O27)+COUNTIF($O$3:O27,O27))</f>
        <v/>
      </c>
      <c r="Q27">
        <f>IF(A27="DST",IF(F27&lt;=GateSize,DstStart-1+F27,NSkill+2*GateSize+F27-GateSize),IF(A27="K",IF(F27&lt;=GateSize,KStart-1+F27,NSkill+GateSize+NDst+F27-GateSize),IF(P27&lt;=DstStart-1,P27,P27+2*GateSize)))</f>
        <v/>
      </c>
      <c r="R27" s="4">
        <f>'LIVE SOURCE'!E27</f>
        <v/>
      </c>
      <c r="S27" s="4">
        <f>R27-Q27</f>
        <v/>
      </c>
      <c r="T27">
        <f>'LIVE SOURCE'!F27</f>
        <v/>
      </c>
      <c r="U27" s="4">
        <f>MAX(40,E27-IF(T27="A",6,IF(T27="B",9,12)))</f>
        <v/>
      </c>
      <c r="V27" s="4">
        <f>E27</f>
        <v/>
      </c>
      <c r="W27" s="4">
        <f>MIN(100,E27+IF(T27="A",6,IF(T27="B",9,12)))</f>
        <v/>
      </c>
      <c r="X27">
        <f>'LIVE SOURCE'!G27</f>
        <v/>
      </c>
      <c r="Y27">
        <f>IF(INDEX('Draft Board'!$J$3:$J$232,Q27)="","Available",INDEX('Draft Board'!$J$3:$J$232,Q27))</f>
        <v/>
      </c>
      <c r="Z27">
        <f>IF(Y27&lt;&gt;"Available","",1+COUNTIFS($Y$3:$Y$232,"Available",$Q$3:$Q$232,"&lt;"&amp;Q27))</f>
        <v/>
      </c>
    </row>
    <row r="28">
      <c r="A28">
        <f>'LIVE SOURCE'!A28</f>
        <v/>
      </c>
      <c r="B28">
        <f>'LIVE SOURCE'!B28</f>
        <v/>
      </c>
      <c r="C28" s="4">
        <f>'LIVE SOURCE'!D28</f>
        <v/>
      </c>
      <c r="D28" s="4">
        <f>'Manual Adjustments'!G28</f>
        <v/>
      </c>
      <c r="E28" s="4">
        <f>MAX(40,MIN(100,C28+D28))</f>
        <v/>
      </c>
      <c r="F28">
        <f>COUNTIFS($A$3:$A$232,A28,$E$3:$E$232,"&gt;"&amp;E28)+COUNTIFS($A$3:A28,A28,$E$3:E28,E28)</f>
        <v/>
      </c>
      <c r="G28" s="4">
        <f>ROUND(INDEX('League Config'!$K$4:$K$9,MATCH(A28,'League Config'!$E$4:$E$9,0))*E28+INDEX('League Config'!$L$4:$L$9,MATCH(A28,'League Config'!$E$4:$E$9,0)),1)</f>
        <v/>
      </c>
      <c r="H28">
        <f>INDEX('League Config'!$H$4:$H$9,MATCH(A28,'League Config'!$E$4:$E$9,0))</f>
        <v/>
      </c>
      <c r="I28" s="4">
        <f>INDEX('League Config'!$I$4:$I$9,MATCH(A28,'League Config'!$E$4:$E$9,0))</f>
        <v/>
      </c>
      <c r="J28" s="4">
        <f>ROUND(G28-I28,1)</f>
        <v/>
      </c>
      <c r="K28" s="4">
        <f>MAX(0,MIN(100,50+J28*0.6))</f>
        <v/>
      </c>
      <c r="L28" s="4">
        <f>MIN(100,MAX(0,(1-(F28-1)/(H28*1.5))*100*INDEX('League Config'!$J$4:$J$9,MATCH(A28,'League Config'!$E$4:$E$9,0))))</f>
        <v/>
      </c>
      <c r="M28">
        <f>IF(A28="K",'League Config'!$B$14,IF(A28="DST",'League Config'!$B$15,IF(A28="QB",'League Config'!$B$16,0)))</f>
        <v/>
      </c>
      <c r="N28" s="4">
        <f>MIN(100,MAX(0,0.55*E28+0.3*K28+0.15*L28-M28))</f>
        <v/>
      </c>
      <c r="O28" s="9">
        <f>IF(OR(A28="K",A28="DST"),"",N28)</f>
        <v/>
      </c>
      <c r="P28" s="6">
        <f>IF(O28="","",COUNTIF($O$3:$O$232,"&gt;"&amp;O28)+COUNTIF($O$3:O28,O28))</f>
        <v/>
      </c>
      <c r="Q28">
        <f>IF(A28="DST",IF(F28&lt;=GateSize,DstStart-1+F28,NSkill+2*GateSize+F28-GateSize),IF(A28="K",IF(F28&lt;=GateSize,KStart-1+F28,NSkill+GateSize+NDst+F28-GateSize),IF(P28&lt;=DstStart-1,P28,P28+2*GateSize)))</f>
        <v/>
      </c>
      <c r="R28" s="4">
        <f>'LIVE SOURCE'!E28</f>
        <v/>
      </c>
      <c r="S28" s="4">
        <f>R28-Q28</f>
        <v/>
      </c>
      <c r="T28">
        <f>'LIVE SOURCE'!F28</f>
        <v/>
      </c>
      <c r="U28" s="4">
        <f>MAX(40,E28-IF(T28="A",6,IF(T28="B",9,12)))</f>
        <v/>
      </c>
      <c r="V28" s="4">
        <f>E28</f>
        <v/>
      </c>
      <c r="W28" s="4">
        <f>MIN(100,E28+IF(T28="A",6,IF(T28="B",9,12)))</f>
        <v/>
      </c>
      <c r="X28">
        <f>'LIVE SOURCE'!G28</f>
        <v/>
      </c>
      <c r="Y28">
        <f>IF(INDEX('Draft Board'!$J$3:$J$232,Q28)="","Available",INDEX('Draft Board'!$J$3:$J$232,Q28))</f>
        <v/>
      </c>
      <c r="Z28">
        <f>IF(Y28&lt;&gt;"Available","",1+COUNTIFS($Y$3:$Y$232,"Available",$Q$3:$Q$232,"&lt;"&amp;Q28))</f>
        <v/>
      </c>
    </row>
    <row r="29">
      <c r="A29">
        <f>'LIVE SOURCE'!A29</f>
        <v/>
      </c>
      <c r="B29">
        <f>'LIVE SOURCE'!B29</f>
        <v/>
      </c>
      <c r="C29" s="4">
        <f>'LIVE SOURCE'!D29</f>
        <v/>
      </c>
      <c r="D29" s="4">
        <f>'Manual Adjustments'!G29</f>
        <v/>
      </c>
      <c r="E29" s="4">
        <f>MAX(40,MIN(100,C29+D29))</f>
        <v/>
      </c>
      <c r="F29">
        <f>COUNTIFS($A$3:$A$232,A29,$E$3:$E$232,"&gt;"&amp;E29)+COUNTIFS($A$3:A29,A29,$E$3:E29,E29)</f>
        <v/>
      </c>
      <c r="G29" s="4">
        <f>ROUND(INDEX('League Config'!$K$4:$K$9,MATCH(A29,'League Config'!$E$4:$E$9,0))*E29+INDEX('League Config'!$L$4:$L$9,MATCH(A29,'League Config'!$E$4:$E$9,0)),1)</f>
        <v/>
      </c>
      <c r="H29">
        <f>INDEX('League Config'!$H$4:$H$9,MATCH(A29,'League Config'!$E$4:$E$9,0))</f>
        <v/>
      </c>
      <c r="I29" s="4">
        <f>INDEX('League Config'!$I$4:$I$9,MATCH(A29,'League Config'!$E$4:$E$9,0))</f>
        <v/>
      </c>
      <c r="J29" s="4">
        <f>ROUND(G29-I29,1)</f>
        <v/>
      </c>
      <c r="K29" s="4">
        <f>MAX(0,MIN(100,50+J29*0.6))</f>
        <v/>
      </c>
      <c r="L29" s="4">
        <f>MIN(100,MAX(0,(1-(F29-1)/(H29*1.5))*100*INDEX('League Config'!$J$4:$J$9,MATCH(A29,'League Config'!$E$4:$E$9,0))))</f>
        <v/>
      </c>
      <c r="M29">
        <f>IF(A29="K",'League Config'!$B$14,IF(A29="DST",'League Config'!$B$15,IF(A29="QB",'League Config'!$B$16,0)))</f>
        <v/>
      </c>
      <c r="N29" s="4">
        <f>MIN(100,MAX(0,0.55*E29+0.3*K29+0.15*L29-M29))</f>
        <v/>
      </c>
      <c r="O29" s="9">
        <f>IF(OR(A29="K",A29="DST"),"",N29)</f>
        <v/>
      </c>
      <c r="P29" s="6">
        <f>IF(O29="","",COUNTIF($O$3:$O$232,"&gt;"&amp;O29)+COUNTIF($O$3:O29,O29))</f>
        <v/>
      </c>
      <c r="Q29">
        <f>IF(A29="DST",IF(F29&lt;=GateSize,DstStart-1+F29,NSkill+2*GateSize+F29-GateSize),IF(A29="K",IF(F29&lt;=GateSize,KStart-1+F29,NSkill+GateSize+NDst+F29-GateSize),IF(P29&lt;=DstStart-1,P29,P29+2*GateSize)))</f>
        <v/>
      </c>
      <c r="R29" s="4">
        <f>'LIVE SOURCE'!E29</f>
        <v/>
      </c>
      <c r="S29" s="4">
        <f>R29-Q29</f>
        <v/>
      </c>
      <c r="T29">
        <f>'LIVE SOURCE'!F29</f>
        <v/>
      </c>
      <c r="U29" s="4">
        <f>MAX(40,E29-IF(T29="A",6,IF(T29="B",9,12)))</f>
        <v/>
      </c>
      <c r="V29" s="4">
        <f>E29</f>
        <v/>
      </c>
      <c r="W29" s="4">
        <f>MIN(100,E29+IF(T29="A",6,IF(T29="B",9,12)))</f>
        <v/>
      </c>
      <c r="X29">
        <f>'LIVE SOURCE'!G29</f>
        <v/>
      </c>
      <c r="Y29">
        <f>IF(INDEX('Draft Board'!$J$3:$J$232,Q29)="","Available",INDEX('Draft Board'!$J$3:$J$232,Q29))</f>
        <v/>
      </c>
      <c r="Z29">
        <f>IF(Y29&lt;&gt;"Available","",1+COUNTIFS($Y$3:$Y$232,"Available",$Q$3:$Q$232,"&lt;"&amp;Q29))</f>
        <v/>
      </c>
    </row>
    <row r="30">
      <c r="A30">
        <f>'LIVE SOURCE'!A30</f>
        <v/>
      </c>
      <c r="B30">
        <f>'LIVE SOURCE'!B30</f>
        <v/>
      </c>
      <c r="C30" s="4">
        <f>'LIVE SOURCE'!D30</f>
        <v/>
      </c>
      <c r="D30" s="4">
        <f>'Manual Adjustments'!G30</f>
        <v/>
      </c>
      <c r="E30" s="4">
        <f>MAX(40,MIN(100,C30+D30))</f>
        <v/>
      </c>
      <c r="F30">
        <f>COUNTIFS($A$3:$A$232,A30,$E$3:$E$232,"&gt;"&amp;E30)+COUNTIFS($A$3:A30,A30,$E$3:E30,E30)</f>
        <v/>
      </c>
      <c r="G30" s="4">
        <f>ROUND(INDEX('League Config'!$K$4:$K$9,MATCH(A30,'League Config'!$E$4:$E$9,0))*E30+INDEX('League Config'!$L$4:$L$9,MATCH(A30,'League Config'!$E$4:$E$9,0)),1)</f>
        <v/>
      </c>
      <c r="H30">
        <f>INDEX('League Config'!$H$4:$H$9,MATCH(A30,'League Config'!$E$4:$E$9,0))</f>
        <v/>
      </c>
      <c r="I30" s="4">
        <f>INDEX('League Config'!$I$4:$I$9,MATCH(A30,'League Config'!$E$4:$E$9,0))</f>
        <v/>
      </c>
      <c r="J30" s="4">
        <f>ROUND(G30-I30,1)</f>
        <v/>
      </c>
      <c r="K30" s="4">
        <f>MAX(0,MIN(100,50+J30*0.6))</f>
        <v/>
      </c>
      <c r="L30" s="4">
        <f>MIN(100,MAX(0,(1-(F30-1)/(H30*1.5))*100*INDEX('League Config'!$J$4:$J$9,MATCH(A30,'League Config'!$E$4:$E$9,0))))</f>
        <v/>
      </c>
      <c r="M30">
        <f>IF(A30="K",'League Config'!$B$14,IF(A30="DST",'League Config'!$B$15,IF(A30="QB",'League Config'!$B$16,0)))</f>
        <v/>
      </c>
      <c r="N30" s="4">
        <f>MIN(100,MAX(0,0.55*E30+0.3*K30+0.15*L30-M30))</f>
        <v/>
      </c>
      <c r="O30" s="9">
        <f>IF(OR(A30="K",A30="DST"),"",N30)</f>
        <v/>
      </c>
      <c r="P30" s="6">
        <f>IF(O30="","",COUNTIF($O$3:$O$232,"&gt;"&amp;O30)+COUNTIF($O$3:O30,O30))</f>
        <v/>
      </c>
      <c r="Q30">
        <f>IF(A30="DST",IF(F30&lt;=GateSize,DstStart-1+F30,NSkill+2*GateSize+F30-GateSize),IF(A30="K",IF(F30&lt;=GateSize,KStart-1+F30,NSkill+GateSize+NDst+F30-GateSize),IF(P30&lt;=DstStart-1,P30,P30+2*GateSize)))</f>
        <v/>
      </c>
      <c r="R30" s="4">
        <f>'LIVE SOURCE'!E30</f>
        <v/>
      </c>
      <c r="S30" s="4">
        <f>R30-Q30</f>
        <v/>
      </c>
      <c r="T30">
        <f>'LIVE SOURCE'!F30</f>
        <v/>
      </c>
      <c r="U30" s="4">
        <f>MAX(40,E30-IF(T30="A",6,IF(T30="B",9,12)))</f>
        <v/>
      </c>
      <c r="V30" s="4">
        <f>E30</f>
        <v/>
      </c>
      <c r="W30" s="4">
        <f>MIN(100,E30+IF(T30="A",6,IF(T30="B",9,12)))</f>
        <v/>
      </c>
      <c r="X30">
        <f>'LIVE SOURCE'!G30</f>
        <v/>
      </c>
      <c r="Y30">
        <f>IF(INDEX('Draft Board'!$J$3:$J$232,Q30)="","Available",INDEX('Draft Board'!$J$3:$J$232,Q30))</f>
        <v/>
      </c>
      <c r="Z30">
        <f>IF(Y30&lt;&gt;"Available","",1+COUNTIFS($Y$3:$Y$232,"Available",$Q$3:$Q$232,"&lt;"&amp;Q30))</f>
        <v/>
      </c>
    </row>
    <row r="31">
      <c r="A31">
        <f>'LIVE SOURCE'!A31</f>
        <v/>
      </c>
      <c r="B31">
        <f>'LIVE SOURCE'!B31</f>
        <v/>
      </c>
      <c r="C31" s="4">
        <f>'LIVE SOURCE'!D31</f>
        <v/>
      </c>
      <c r="D31" s="4">
        <f>'Manual Adjustments'!G31</f>
        <v/>
      </c>
      <c r="E31" s="4">
        <f>MAX(40,MIN(100,C31+D31))</f>
        <v/>
      </c>
      <c r="F31">
        <f>COUNTIFS($A$3:$A$232,A31,$E$3:$E$232,"&gt;"&amp;E31)+COUNTIFS($A$3:A31,A31,$E$3:E31,E31)</f>
        <v/>
      </c>
      <c r="G31" s="4">
        <f>ROUND(INDEX('League Config'!$K$4:$K$9,MATCH(A31,'League Config'!$E$4:$E$9,0))*E31+INDEX('League Config'!$L$4:$L$9,MATCH(A31,'League Config'!$E$4:$E$9,0)),1)</f>
        <v/>
      </c>
      <c r="H31">
        <f>INDEX('League Config'!$H$4:$H$9,MATCH(A31,'League Config'!$E$4:$E$9,0))</f>
        <v/>
      </c>
      <c r="I31" s="4">
        <f>INDEX('League Config'!$I$4:$I$9,MATCH(A31,'League Config'!$E$4:$E$9,0))</f>
        <v/>
      </c>
      <c r="J31" s="4">
        <f>ROUND(G31-I31,1)</f>
        <v/>
      </c>
      <c r="K31" s="4">
        <f>MAX(0,MIN(100,50+J31*0.6))</f>
        <v/>
      </c>
      <c r="L31" s="4">
        <f>MIN(100,MAX(0,(1-(F31-1)/(H31*1.5))*100*INDEX('League Config'!$J$4:$J$9,MATCH(A31,'League Config'!$E$4:$E$9,0))))</f>
        <v/>
      </c>
      <c r="M31">
        <f>IF(A31="K",'League Config'!$B$14,IF(A31="DST",'League Config'!$B$15,IF(A31="QB",'League Config'!$B$16,0)))</f>
        <v/>
      </c>
      <c r="N31" s="4">
        <f>MIN(100,MAX(0,0.55*E31+0.3*K31+0.15*L31-M31))</f>
        <v/>
      </c>
      <c r="O31" s="9">
        <f>IF(OR(A31="K",A31="DST"),"",N31)</f>
        <v/>
      </c>
      <c r="P31" s="6">
        <f>IF(O31="","",COUNTIF($O$3:$O$232,"&gt;"&amp;O31)+COUNTIF($O$3:O31,O31))</f>
        <v/>
      </c>
      <c r="Q31">
        <f>IF(A31="DST",IF(F31&lt;=GateSize,DstStart-1+F31,NSkill+2*GateSize+F31-GateSize),IF(A31="K",IF(F31&lt;=GateSize,KStart-1+F31,NSkill+GateSize+NDst+F31-GateSize),IF(P31&lt;=DstStart-1,P31,P31+2*GateSize)))</f>
        <v/>
      </c>
      <c r="R31" s="4">
        <f>'LIVE SOURCE'!E31</f>
        <v/>
      </c>
      <c r="S31" s="4">
        <f>R31-Q31</f>
        <v/>
      </c>
      <c r="T31">
        <f>'LIVE SOURCE'!F31</f>
        <v/>
      </c>
      <c r="U31" s="4">
        <f>MAX(40,E31-IF(T31="A",6,IF(T31="B",9,12)))</f>
        <v/>
      </c>
      <c r="V31" s="4">
        <f>E31</f>
        <v/>
      </c>
      <c r="W31" s="4">
        <f>MIN(100,E31+IF(T31="A",6,IF(T31="B",9,12)))</f>
        <v/>
      </c>
      <c r="X31">
        <f>'LIVE SOURCE'!G31</f>
        <v/>
      </c>
      <c r="Y31">
        <f>IF(INDEX('Draft Board'!$J$3:$J$232,Q31)="","Available",INDEX('Draft Board'!$J$3:$J$232,Q31))</f>
        <v/>
      </c>
      <c r="Z31">
        <f>IF(Y31&lt;&gt;"Available","",1+COUNTIFS($Y$3:$Y$232,"Available",$Q$3:$Q$232,"&lt;"&amp;Q31))</f>
        <v/>
      </c>
    </row>
    <row r="32">
      <c r="A32">
        <f>'LIVE SOURCE'!A32</f>
        <v/>
      </c>
      <c r="B32">
        <f>'LIVE SOURCE'!B32</f>
        <v/>
      </c>
      <c r="C32" s="4">
        <f>'LIVE SOURCE'!D32</f>
        <v/>
      </c>
      <c r="D32" s="4">
        <f>'Manual Adjustments'!G32</f>
        <v/>
      </c>
      <c r="E32" s="4">
        <f>MAX(40,MIN(100,C32+D32))</f>
        <v/>
      </c>
      <c r="F32">
        <f>COUNTIFS($A$3:$A$232,A32,$E$3:$E$232,"&gt;"&amp;E32)+COUNTIFS($A$3:A32,A32,$E$3:E32,E32)</f>
        <v/>
      </c>
      <c r="G32" s="4">
        <f>ROUND(INDEX('League Config'!$K$4:$K$9,MATCH(A32,'League Config'!$E$4:$E$9,0))*E32+INDEX('League Config'!$L$4:$L$9,MATCH(A32,'League Config'!$E$4:$E$9,0)),1)</f>
        <v/>
      </c>
      <c r="H32">
        <f>INDEX('League Config'!$H$4:$H$9,MATCH(A32,'League Config'!$E$4:$E$9,0))</f>
        <v/>
      </c>
      <c r="I32" s="4">
        <f>INDEX('League Config'!$I$4:$I$9,MATCH(A32,'League Config'!$E$4:$E$9,0))</f>
        <v/>
      </c>
      <c r="J32" s="4">
        <f>ROUND(G32-I32,1)</f>
        <v/>
      </c>
      <c r="K32" s="4">
        <f>MAX(0,MIN(100,50+J32*0.6))</f>
        <v/>
      </c>
      <c r="L32" s="4">
        <f>MIN(100,MAX(0,(1-(F32-1)/(H32*1.5))*100*INDEX('League Config'!$J$4:$J$9,MATCH(A32,'League Config'!$E$4:$E$9,0))))</f>
        <v/>
      </c>
      <c r="M32">
        <f>IF(A32="K",'League Config'!$B$14,IF(A32="DST",'League Config'!$B$15,IF(A32="QB",'League Config'!$B$16,0)))</f>
        <v/>
      </c>
      <c r="N32" s="4">
        <f>MIN(100,MAX(0,0.55*E32+0.3*K32+0.15*L32-M32))</f>
        <v/>
      </c>
      <c r="O32" s="9">
        <f>IF(OR(A32="K",A32="DST"),"",N32)</f>
        <v/>
      </c>
      <c r="P32" s="6">
        <f>IF(O32="","",COUNTIF($O$3:$O$232,"&gt;"&amp;O32)+COUNTIF($O$3:O32,O32))</f>
        <v/>
      </c>
      <c r="Q32">
        <f>IF(A32="DST",IF(F32&lt;=GateSize,DstStart-1+F32,NSkill+2*GateSize+F32-GateSize),IF(A32="K",IF(F32&lt;=GateSize,KStart-1+F32,NSkill+GateSize+NDst+F32-GateSize),IF(P32&lt;=DstStart-1,P32,P32+2*GateSize)))</f>
        <v/>
      </c>
      <c r="R32" s="4">
        <f>'LIVE SOURCE'!E32</f>
        <v/>
      </c>
      <c r="S32" s="4">
        <f>R32-Q32</f>
        <v/>
      </c>
      <c r="T32">
        <f>'LIVE SOURCE'!F32</f>
        <v/>
      </c>
      <c r="U32" s="4">
        <f>MAX(40,E32-IF(T32="A",6,IF(T32="B",9,12)))</f>
        <v/>
      </c>
      <c r="V32" s="4">
        <f>E32</f>
        <v/>
      </c>
      <c r="W32" s="4">
        <f>MIN(100,E32+IF(T32="A",6,IF(T32="B",9,12)))</f>
        <v/>
      </c>
      <c r="X32">
        <f>'LIVE SOURCE'!G32</f>
        <v/>
      </c>
      <c r="Y32">
        <f>IF(INDEX('Draft Board'!$J$3:$J$232,Q32)="","Available",INDEX('Draft Board'!$J$3:$J$232,Q32))</f>
        <v/>
      </c>
      <c r="Z32">
        <f>IF(Y32&lt;&gt;"Available","",1+COUNTIFS($Y$3:$Y$232,"Available",$Q$3:$Q$232,"&lt;"&amp;Q32))</f>
        <v/>
      </c>
    </row>
    <row r="33">
      <c r="A33">
        <f>'LIVE SOURCE'!A33</f>
        <v/>
      </c>
      <c r="B33">
        <f>'LIVE SOURCE'!B33</f>
        <v/>
      </c>
      <c r="C33" s="4">
        <f>'LIVE SOURCE'!D33</f>
        <v/>
      </c>
      <c r="D33" s="4">
        <f>'Manual Adjustments'!G33</f>
        <v/>
      </c>
      <c r="E33" s="4">
        <f>MAX(40,MIN(100,C33+D33))</f>
        <v/>
      </c>
      <c r="F33">
        <f>COUNTIFS($A$3:$A$232,A33,$E$3:$E$232,"&gt;"&amp;E33)+COUNTIFS($A$3:A33,A33,$E$3:E33,E33)</f>
        <v/>
      </c>
      <c r="G33" s="4">
        <f>ROUND(INDEX('League Config'!$K$4:$K$9,MATCH(A33,'League Config'!$E$4:$E$9,0))*E33+INDEX('League Config'!$L$4:$L$9,MATCH(A33,'League Config'!$E$4:$E$9,0)),1)</f>
        <v/>
      </c>
      <c r="H33">
        <f>INDEX('League Config'!$H$4:$H$9,MATCH(A33,'League Config'!$E$4:$E$9,0))</f>
        <v/>
      </c>
      <c r="I33" s="4">
        <f>INDEX('League Config'!$I$4:$I$9,MATCH(A33,'League Config'!$E$4:$E$9,0))</f>
        <v/>
      </c>
      <c r="J33" s="4">
        <f>ROUND(G33-I33,1)</f>
        <v/>
      </c>
      <c r="K33" s="4">
        <f>MAX(0,MIN(100,50+J33*0.6))</f>
        <v/>
      </c>
      <c r="L33" s="4">
        <f>MIN(100,MAX(0,(1-(F33-1)/(H33*1.5))*100*INDEX('League Config'!$J$4:$J$9,MATCH(A33,'League Config'!$E$4:$E$9,0))))</f>
        <v/>
      </c>
      <c r="M33">
        <f>IF(A33="K",'League Config'!$B$14,IF(A33="DST",'League Config'!$B$15,IF(A33="QB",'League Config'!$B$16,0)))</f>
        <v/>
      </c>
      <c r="N33" s="4">
        <f>MIN(100,MAX(0,0.55*E33+0.3*K33+0.15*L33-M33))</f>
        <v/>
      </c>
      <c r="O33" s="9">
        <f>IF(OR(A33="K",A33="DST"),"",N33)</f>
        <v/>
      </c>
      <c r="P33" s="6">
        <f>IF(O33="","",COUNTIF($O$3:$O$232,"&gt;"&amp;O33)+COUNTIF($O$3:O33,O33))</f>
        <v/>
      </c>
      <c r="Q33">
        <f>IF(A33="DST",IF(F33&lt;=GateSize,DstStart-1+F33,NSkill+2*GateSize+F33-GateSize),IF(A33="K",IF(F33&lt;=GateSize,KStart-1+F33,NSkill+GateSize+NDst+F33-GateSize),IF(P33&lt;=DstStart-1,P33,P33+2*GateSize)))</f>
        <v/>
      </c>
      <c r="R33" s="4">
        <f>'LIVE SOURCE'!E33</f>
        <v/>
      </c>
      <c r="S33" s="4">
        <f>R33-Q33</f>
        <v/>
      </c>
      <c r="T33">
        <f>'LIVE SOURCE'!F33</f>
        <v/>
      </c>
      <c r="U33" s="4">
        <f>MAX(40,E33-IF(T33="A",6,IF(T33="B",9,12)))</f>
        <v/>
      </c>
      <c r="V33" s="4">
        <f>E33</f>
        <v/>
      </c>
      <c r="W33" s="4">
        <f>MIN(100,E33+IF(T33="A",6,IF(T33="B",9,12)))</f>
        <v/>
      </c>
      <c r="X33">
        <f>'LIVE SOURCE'!G33</f>
        <v/>
      </c>
      <c r="Y33">
        <f>IF(INDEX('Draft Board'!$J$3:$J$232,Q33)="","Available",INDEX('Draft Board'!$J$3:$J$232,Q33))</f>
        <v/>
      </c>
      <c r="Z33">
        <f>IF(Y33&lt;&gt;"Available","",1+COUNTIFS($Y$3:$Y$232,"Available",$Q$3:$Q$232,"&lt;"&amp;Q33))</f>
        <v/>
      </c>
    </row>
    <row r="34">
      <c r="A34">
        <f>'LIVE SOURCE'!A34</f>
        <v/>
      </c>
      <c r="B34">
        <f>'LIVE SOURCE'!B34</f>
        <v/>
      </c>
      <c r="C34" s="4">
        <f>'LIVE SOURCE'!D34</f>
        <v/>
      </c>
      <c r="D34" s="4">
        <f>'Manual Adjustments'!G34</f>
        <v/>
      </c>
      <c r="E34" s="4">
        <f>MAX(40,MIN(100,C34+D34))</f>
        <v/>
      </c>
      <c r="F34">
        <f>COUNTIFS($A$3:$A$232,A34,$E$3:$E$232,"&gt;"&amp;E34)+COUNTIFS($A$3:A34,A34,$E$3:E34,E34)</f>
        <v/>
      </c>
      <c r="G34" s="4">
        <f>ROUND(INDEX('League Config'!$K$4:$K$9,MATCH(A34,'League Config'!$E$4:$E$9,0))*E34+INDEX('League Config'!$L$4:$L$9,MATCH(A34,'League Config'!$E$4:$E$9,0)),1)</f>
        <v/>
      </c>
      <c r="H34">
        <f>INDEX('League Config'!$H$4:$H$9,MATCH(A34,'League Config'!$E$4:$E$9,0))</f>
        <v/>
      </c>
      <c r="I34" s="4">
        <f>INDEX('League Config'!$I$4:$I$9,MATCH(A34,'League Config'!$E$4:$E$9,0))</f>
        <v/>
      </c>
      <c r="J34" s="4">
        <f>ROUND(G34-I34,1)</f>
        <v/>
      </c>
      <c r="K34" s="4">
        <f>MAX(0,MIN(100,50+J34*0.6))</f>
        <v/>
      </c>
      <c r="L34" s="4">
        <f>MIN(100,MAX(0,(1-(F34-1)/(H34*1.5))*100*INDEX('League Config'!$J$4:$J$9,MATCH(A34,'League Config'!$E$4:$E$9,0))))</f>
        <v/>
      </c>
      <c r="M34">
        <f>IF(A34="K",'League Config'!$B$14,IF(A34="DST",'League Config'!$B$15,IF(A34="QB",'League Config'!$B$16,0)))</f>
        <v/>
      </c>
      <c r="N34" s="4">
        <f>MIN(100,MAX(0,0.55*E34+0.3*K34+0.15*L34-M34))</f>
        <v/>
      </c>
      <c r="O34" s="9">
        <f>IF(OR(A34="K",A34="DST"),"",N34)</f>
        <v/>
      </c>
      <c r="P34" s="6">
        <f>IF(O34="","",COUNTIF($O$3:$O$232,"&gt;"&amp;O34)+COUNTIF($O$3:O34,O34))</f>
        <v/>
      </c>
      <c r="Q34">
        <f>IF(A34="DST",IF(F34&lt;=GateSize,DstStart-1+F34,NSkill+2*GateSize+F34-GateSize),IF(A34="K",IF(F34&lt;=GateSize,KStart-1+F34,NSkill+GateSize+NDst+F34-GateSize),IF(P34&lt;=DstStart-1,P34,P34+2*GateSize)))</f>
        <v/>
      </c>
      <c r="R34" s="4">
        <f>'LIVE SOURCE'!E34</f>
        <v/>
      </c>
      <c r="S34" s="4">
        <f>R34-Q34</f>
        <v/>
      </c>
      <c r="T34">
        <f>'LIVE SOURCE'!F34</f>
        <v/>
      </c>
      <c r="U34" s="4">
        <f>MAX(40,E34-IF(T34="A",6,IF(T34="B",9,12)))</f>
        <v/>
      </c>
      <c r="V34" s="4">
        <f>E34</f>
        <v/>
      </c>
      <c r="W34" s="4">
        <f>MIN(100,E34+IF(T34="A",6,IF(T34="B",9,12)))</f>
        <v/>
      </c>
      <c r="X34">
        <f>'LIVE SOURCE'!G34</f>
        <v/>
      </c>
      <c r="Y34">
        <f>IF(INDEX('Draft Board'!$J$3:$J$232,Q34)="","Available",INDEX('Draft Board'!$J$3:$J$232,Q34))</f>
        <v/>
      </c>
      <c r="Z34">
        <f>IF(Y34&lt;&gt;"Available","",1+COUNTIFS($Y$3:$Y$232,"Available",$Q$3:$Q$232,"&lt;"&amp;Q34))</f>
        <v/>
      </c>
    </row>
    <row r="35">
      <c r="A35">
        <f>'LIVE SOURCE'!A35</f>
        <v/>
      </c>
      <c r="B35">
        <f>'LIVE SOURCE'!B35</f>
        <v/>
      </c>
      <c r="C35" s="4">
        <f>'LIVE SOURCE'!D35</f>
        <v/>
      </c>
      <c r="D35" s="4">
        <f>'Manual Adjustments'!G35</f>
        <v/>
      </c>
      <c r="E35" s="4">
        <f>MAX(40,MIN(100,C35+D35))</f>
        <v/>
      </c>
      <c r="F35">
        <f>COUNTIFS($A$3:$A$232,A35,$E$3:$E$232,"&gt;"&amp;E35)+COUNTIFS($A$3:A35,A35,$E$3:E35,E35)</f>
        <v/>
      </c>
      <c r="G35" s="4">
        <f>ROUND(INDEX('League Config'!$K$4:$K$9,MATCH(A35,'League Config'!$E$4:$E$9,0))*E35+INDEX('League Config'!$L$4:$L$9,MATCH(A35,'League Config'!$E$4:$E$9,0)),1)</f>
        <v/>
      </c>
      <c r="H35">
        <f>INDEX('League Config'!$H$4:$H$9,MATCH(A35,'League Config'!$E$4:$E$9,0))</f>
        <v/>
      </c>
      <c r="I35" s="4">
        <f>INDEX('League Config'!$I$4:$I$9,MATCH(A35,'League Config'!$E$4:$E$9,0))</f>
        <v/>
      </c>
      <c r="J35" s="4">
        <f>ROUND(G35-I35,1)</f>
        <v/>
      </c>
      <c r="K35" s="4">
        <f>MAX(0,MIN(100,50+J35*0.6))</f>
        <v/>
      </c>
      <c r="L35" s="4">
        <f>MIN(100,MAX(0,(1-(F35-1)/(H35*1.5))*100*INDEX('League Config'!$J$4:$J$9,MATCH(A35,'League Config'!$E$4:$E$9,0))))</f>
        <v/>
      </c>
      <c r="M35">
        <f>IF(A35="K",'League Config'!$B$14,IF(A35="DST",'League Config'!$B$15,IF(A35="QB",'League Config'!$B$16,0)))</f>
        <v/>
      </c>
      <c r="N35" s="4">
        <f>MIN(100,MAX(0,0.55*E35+0.3*K35+0.15*L35-M35))</f>
        <v/>
      </c>
      <c r="O35" s="9">
        <f>IF(OR(A35="K",A35="DST"),"",N35)</f>
        <v/>
      </c>
      <c r="P35" s="6">
        <f>IF(O35="","",COUNTIF($O$3:$O$232,"&gt;"&amp;O35)+COUNTIF($O$3:O35,O35))</f>
        <v/>
      </c>
      <c r="Q35">
        <f>IF(A35="DST",IF(F35&lt;=GateSize,DstStart-1+F35,NSkill+2*GateSize+F35-GateSize),IF(A35="K",IF(F35&lt;=GateSize,KStart-1+F35,NSkill+GateSize+NDst+F35-GateSize),IF(P35&lt;=DstStart-1,P35,P35+2*GateSize)))</f>
        <v/>
      </c>
      <c r="R35" s="4">
        <f>'LIVE SOURCE'!E35</f>
        <v/>
      </c>
      <c r="S35" s="4">
        <f>R35-Q35</f>
        <v/>
      </c>
      <c r="T35">
        <f>'LIVE SOURCE'!F35</f>
        <v/>
      </c>
      <c r="U35" s="4">
        <f>MAX(40,E35-IF(T35="A",6,IF(T35="B",9,12)))</f>
        <v/>
      </c>
      <c r="V35" s="4">
        <f>E35</f>
        <v/>
      </c>
      <c r="W35" s="4">
        <f>MIN(100,E35+IF(T35="A",6,IF(T35="B",9,12)))</f>
        <v/>
      </c>
      <c r="X35">
        <f>'LIVE SOURCE'!G35</f>
        <v/>
      </c>
      <c r="Y35">
        <f>IF(INDEX('Draft Board'!$J$3:$J$232,Q35)="","Available",INDEX('Draft Board'!$J$3:$J$232,Q35))</f>
        <v/>
      </c>
      <c r="Z35">
        <f>IF(Y35&lt;&gt;"Available","",1+COUNTIFS($Y$3:$Y$232,"Available",$Q$3:$Q$232,"&lt;"&amp;Q35))</f>
        <v/>
      </c>
    </row>
    <row r="36">
      <c r="A36">
        <f>'LIVE SOURCE'!A36</f>
        <v/>
      </c>
      <c r="B36">
        <f>'LIVE SOURCE'!B36</f>
        <v/>
      </c>
      <c r="C36" s="4">
        <f>'LIVE SOURCE'!D36</f>
        <v/>
      </c>
      <c r="D36" s="4">
        <f>'Manual Adjustments'!G36</f>
        <v/>
      </c>
      <c r="E36" s="4">
        <f>MAX(40,MIN(100,C36+D36))</f>
        <v/>
      </c>
      <c r="F36">
        <f>COUNTIFS($A$3:$A$232,A36,$E$3:$E$232,"&gt;"&amp;E36)+COUNTIFS($A$3:A36,A36,$E$3:E36,E36)</f>
        <v/>
      </c>
      <c r="G36" s="4">
        <f>ROUND(INDEX('League Config'!$K$4:$K$9,MATCH(A36,'League Config'!$E$4:$E$9,0))*E36+INDEX('League Config'!$L$4:$L$9,MATCH(A36,'League Config'!$E$4:$E$9,0)),1)</f>
        <v/>
      </c>
      <c r="H36">
        <f>INDEX('League Config'!$H$4:$H$9,MATCH(A36,'League Config'!$E$4:$E$9,0))</f>
        <v/>
      </c>
      <c r="I36" s="4">
        <f>INDEX('League Config'!$I$4:$I$9,MATCH(A36,'League Config'!$E$4:$E$9,0))</f>
        <v/>
      </c>
      <c r="J36" s="4">
        <f>ROUND(G36-I36,1)</f>
        <v/>
      </c>
      <c r="K36" s="4">
        <f>MAX(0,MIN(100,50+J36*0.6))</f>
        <v/>
      </c>
      <c r="L36" s="4">
        <f>MIN(100,MAX(0,(1-(F36-1)/(H36*1.5))*100*INDEX('League Config'!$J$4:$J$9,MATCH(A36,'League Config'!$E$4:$E$9,0))))</f>
        <v/>
      </c>
      <c r="M36">
        <f>IF(A36="K",'League Config'!$B$14,IF(A36="DST",'League Config'!$B$15,IF(A36="QB",'League Config'!$B$16,0)))</f>
        <v/>
      </c>
      <c r="N36" s="4">
        <f>MIN(100,MAX(0,0.55*E36+0.3*K36+0.15*L36-M36))</f>
        <v/>
      </c>
      <c r="O36" s="9">
        <f>IF(OR(A36="K",A36="DST"),"",N36)</f>
        <v/>
      </c>
      <c r="P36" s="6">
        <f>IF(O36="","",COUNTIF($O$3:$O$232,"&gt;"&amp;O36)+COUNTIF($O$3:O36,O36))</f>
        <v/>
      </c>
      <c r="Q36">
        <f>IF(A36="DST",IF(F36&lt;=GateSize,DstStart-1+F36,NSkill+2*GateSize+F36-GateSize),IF(A36="K",IF(F36&lt;=GateSize,KStart-1+F36,NSkill+GateSize+NDst+F36-GateSize),IF(P36&lt;=DstStart-1,P36,P36+2*GateSize)))</f>
        <v/>
      </c>
      <c r="R36" s="4">
        <f>'LIVE SOURCE'!E36</f>
        <v/>
      </c>
      <c r="S36" s="4">
        <f>R36-Q36</f>
        <v/>
      </c>
      <c r="T36">
        <f>'LIVE SOURCE'!F36</f>
        <v/>
      </c>
      <c r="U36" s="4">
        <f>MAX(40,E36-IF(T36="A",6,IF(T36="B",9,12)))</f>
        <v/>
      </c>
      <c r="V36" s="4">
        <f>E36</f>
        <v/>
      </c>
      <c r="W36" s="4">
        <f>MIN(100,E36+IF(T36="A",6,IF(T36="B",9,12)))</f>
        <v/>
      </c>
      <c r="X36">
        <f>'LIVE SOURCE'!G36</f>
        <v/>
      </c>
      <c r="Y36">
        <f>IF(INDEX('Draft Board'!$J$3:$J$232,Q36)="","Available",INDEX('Draft Board'!$J$3:$J$232,Q36))</f>
        <v/>
      </c>
      <c r="Z36">
        <f>IF(Y36&lt;&gt;"Available","",1+COUNTIFS($Y$3:$Y$232,"Available",$Q$3:$Q$232,"&lt;"&amp;Q36))</f>
        <v/>
      </c>
    </row>
    <row r="37">
      <c r="A37">
        <f>'LIVE SOURCE'!A37</f>
        <v/>
      </c>
      <c r="B37">
        <f>'LIVE SOURCE'!B37</f>
        <v/>
      </c>
      <c r="C37" s="4">
        <f>'LIVE SOURCE'!D37</f>
        <v/>
      </c>
      <c r="D37" s="4">
        <f>'Manual Adjustments'!G37</f>
        <v/>
      </c>
      <c r="E37" s="4">
        <f>MAX(40,MIN(100,C37+D37))</f>
        <v/>
      </c>
      <c r="F37">
        <f>COUNTIFS($A$3:$A$232,A37,$E$3:$E$232,"&gt;"&amp;E37)+COUNTIFS($A$3:A37,A37,$E$3:E37,E37)</f>
        <v/>
      </c>
      <c r="G37" s="4">
        <f>ROUND(INDEX('League Config'!$K$4:$K$9,MATCH(A37,'League Config'!$E$4:$E$9,0))*E37+INDEX('League Config'!$L$4:$L$9,MATCH(A37,'League Config'!$E$4:$E$9,0)),1)</f>
        <v/>
      </c>
      <c r="H37">
        <f>INDEX('League Config'!$H$4:$H$9,MATCH(A37,'League Config'!$E$4:$E$9,0))</f>
        <v/>
      </c>
      <c r="I37" s="4">
        <f>INDEX('League Config'!$I$4:$I$9,MATCH(A37,'League Config'!$E$4:$E$9,0))</f>
        <v/>
      </c>
      <c r="J37" s="4">
        <f>ROUND(G37-I37,1)</f>
        <v/>
      </c>
      <c r="K37" s="4">
        <f>MAX(0,MIN(100,50+J37*0.6))</f>
        <v/>
      </c>
      <c r="L37" s="4">
        <f>MIN(100,MAX(0,(1-(F37-1)/(H37*1.5))*100*INDEX('League Config'!$J$4:$J$9,MATCH(A37,'League Config'!$E$4:$E$9,0))))</f>
        <v/>
      </c>
      <c r="M37">
        <f>IF(A37="K",'League Config'!$B$14,IF(A37="DST",'League Config'!$B$15,IF(A37="QB",'League Config'!$B$16,0)))</f>
        <v/>
      </c>
      <c r="N37" s="4">
        <f>MIN(100,MAX(0,0.55*E37+0.3*K37+0.15*L37-M37))</f>
        <v/>
      </c>
      <c r="O37" s="9">
        <f>IF(OR(A37="K",A37="DST"),"",N37)</f>
        <v/>
      </c>
      <c r="P37" s="6">
        <f>IF(O37="","",COUNTIF($O$3:$O$232,"&gt;"&amp;O37)+COUNTIF($O$3:O37,O37))</f>
        <v/>
      </c>
      <c r="Q37">
        <f>IF(A37="DST",IF(F37&lt;=GateSize,DstStart-1+F37,NSkill+2*GateSize+F37-GateSize),IF(A37="K",IF(F37&lt;=GateSize,KStart-1+F37,NSkill+GateSize+NDst+F37-GateSize),IF(P37&lt;=DstStart-1,P37,P37+2*GateSize)))</f>
        <v/>
      </c>
      <c r="R37" s="4">
        <f>'LIVE SOURCE'!E37</f>
        <v/>
      </c>
      <c r="S37" s="4">
        <f>R37-Q37</f>
        <v/>
      </c>
      <c r="T37">
        <f>'LIVE SOURCE'!F37</f>
        <v/>
      </c>
      <c r="U37" s="4">
        <f>MAX(40,E37-IF(T37="A",6,IF(T37="B",9,12)))</f>
        <v/>
      </c>
      <c r="V37" s="4">
        <f>E37</f>
        <v/>
      </c>
      <c r="W37" s="4">
        <f>MIN(100,E37+IF(T37="A",6,IF(T37="B",9,12)))</f>
        <v/>
      </c>
      <c r="X37">
        <f>'LIVE SOURCE'!G37</f>
        <v/>
      </c>
      <c r="Y37">
        <f>IF(INDEX('Draft Board'!$J$3:$J$232,Q37)="","Available",INDEX('Draft Board'!$J$3:$J$232,Q37))</f>
        <v/>
      </c>
      <c r="Z37">
        <f>IF(Y37&lt;&gt;"Available","",1+COUNTIFS($Y$3:$Y$232,"Available",$Q$3:$Q$232,"&lt;"&amp;Q37))</f>
        <v/>
      </c>
    </row>
    <row r="38">
      <c r="A38">
        <f>'LIVE SOURCE'!A38</f>
        <v/>
      </c>
      <c r="B38">
        <f>'LIVE SOURCE'!B38</f>
        <v/>
      </c>
      <c r="C38" s="4">
        <f>'LIVE SOURCE'!D38</f>
        <v/>
      </c>
      <c r="D38" s="4">
        <f>'Manual Adjustments'!G38</f>
        <v/>
      </c>
      <c r="E38" s="4">
        <f>MAX(40,MIN(100,C38+D38))</f>
        <v/>
      </c>
      <c r="F38">
        <f>COUNTIFS($A$3:$A$232,A38,$E$3:$E$232,"&gt;"&amp;E38)+COUNTIFS($A$3:A38,A38,$E$3:E38,E38)</f>
        <v/>
      </c>
      <c r="G38" s="4">
        <f>ROUND(INDEX('League Config'!$K$4:$K$9,MATCH(A38,'League Config'!$E$4:$E$9,0))*E38+INDEX('League Config'!$L$4:$L$9,MATCH(A38,'League Config'!$E$4:$E$9,0)),1)</f>
        <v/>
      </c>
      <c r="H38">
        <f>INDEX('League Config'!$H$4:$H$9,MATCH(A38,'League Config'!$E$4:$E$9,0))</f>
        <v/>
      </c>
      <c r="I38" s="4">
        <f>INDEX('League Config'!$I$4:$I$9,MATCH(A38,'League Config'!$E$4:$E$9,0))</f>
        <v/>
      </c>
      <c r="J38" s="4">
        <f>ROUND(G38-I38,1)</f>
        <v/>
      </c>
      <c r="K38" s="4">
        <f>MAX(0,MIN(100,50+J38*0.6))</f>
        <v/>
      </c>
      <c r="L38" s="4">
        <f>MIN(100,MAX(0,(1-(F38-1)/(H38*1.5))*100*INDEX('League Config'!$J$4:$J$9,MATCH(A38,'League Config'!$E$4:$E$9,0))))</f>
        <v/>
      </c>
      <c r="M38">
        <f>IF(A38="K",'League Config'!$B$14,IF(A38="DST",'League Config'!$B$15,IF(A38="QB",'League Config'!$B$16,0)))</f>
        <v/>
      </c>
      <c r="N38" s="4">
        <f>MIN(100,MAX(0,0.55*E38+0.3*K38+0.15*L38-M38))</f>
        <v/>
      </c>
      <c r="O38" s="9">
        <f>IF(OR(A38="K",A38="DST"),"",N38)</f>
        <v/>
      </c>
      <c r="P38" s="6">
        <f>IF(O38="","",COUNTIF($O$3:$O$232,"&gt;"&amp;O38)+COUNTIF($O$3:O38,O38))</f>
        <v/>
      </c>
      <c r="Q38">
        <f>IF(A38="DST",IF(F38&lt;=GateSize,DstStart-1+F38,NSkill+2*GateSize+F38-GateSize),IF(A38="K",IF(F38&lt;=GateSize,KStart-1+F38,NSkill+GateSize+NDst+F38-GateSize),IF(P38&lt;=DstStart-1,P38,P38+2*GateSize)))</f>
        <v/>
      </c>
      <c r="R38" s="4">
        <f>'LIVE SOURCE'!E38</f>
        <v/>
      </c>
      <c r="S38" s="4">
        <f>R38-Q38</f>
        <v/>
      </c>
      <c r="T38">
        <f>'LIVE SOURCE'!F38</f>
        <v/>
      </c>
      <c r="U38" s="4">
        <f>MAX(40,E38-IF(T38="A",6,IF(T38="B",9,12)))</f>
        <v/>
      </c>
      <c r="V38" s="4">
        <f>E38</f>
        <v/>
      </c>
      <c r="W38" s="4">
        <f>MIN(100,E38+IF(T38="A",6,IF(T38="B",9,12)))</f>
        <v/>
      </c>
      <c r="X38">
        <f>'LIVE SOURCE'!G38</f>
        <v/>
      </c>
      <c r="Y38">
        <f>IF(INDEX('Draft Board'!$J$3:$J$232,Q38)="","Available",INDEX('Draft Board'!$J$3:$J$232,Q38))</f>
        <v/>
      </c>
      <c r="Z38">
        <f>IF(Y38&lt;&gt;"Available","",1+COUNTIFS($Y$3:$Y$232,"Available",$Q$3:$Q$232,"&lt;"&amp;Q38))</f>
        <v/>
      </c>
    </row>
    <row r="39">
      <c r="A39">
        <f>'LIVE SOURCE'!A39</f>
        <v/>
      </c>
      <c r="B39">
        <f>'LIVE SOURCE'!B39</f>
        <v/>
      </c>
      <c r="C39" s="4">
        <f>'LIVE SOURCE'!D39</f>
        <v/>
      </c>
      <c r="D39" s="4">
        <f>'Manual Adjustments'!G39</f>
        <v/>
      </c>
      <c r="E39" s="4">
        <f>MAX(40,MIN(100,C39+D39))</f>
        <v/>
      </c>
      <c r="F39">
        <f>COUNTIFS($A$3:$A$232,A39,$E$3:$E$232,"&gt;"&amp;E39)+COUNTIFS($A$3:A39,A39,$E$3:E39,E39)</f>
        <v/>
      </c>
      <c r="G39" s="4">
        <f>ROUND(INDEX('League Config'!$K$4:$K$9,MATCH(A39,'League Config'!$E$4:$E$9,0))*E39+INDEX('League Config'!$L$4:$L$9,MATCH(A39,'League Config'!$E$4:$E$9,0)),1)</f>
        <v/>
      </c>
      <c r="H39">
        <f>INDEX('League Config'!$H$4:$H$9,MATCH(A39,'League Config'!$E$4:$E$9,0))</f>
        <v/>
      </c>
      <c r="I39" s="4">
        <f>INDEX('League Config'!$I$4:$I$9,MATCH(A39,'League Config'!$E$4:$E$9,0))</f>
        <v/>
      </c>
      <c r="J39" s="4">
        <f>ROUND(G39-I39,1)</f>
        <v/>
      </c>
      <c r="K39" s="4">
        <f>MAX(0,MIN(100,50+J39*0.6))</f>
        <v/>
      </c>
      <c r="L39" s="4">
        <f>MIN(100,MAX(0,(1-(F39-1)/(H39*1.5))*100*INDEX('League Config'!$J$4:$J$9,MATCH(A39,'League Config'!$E$4:$E$9,0))))</f>
        <v/>
      </c>
      <c r="M39">
        <f>IF(A39="K",'League Config'!$B$14,IF(A39="DST",'League Config'!$B$15,IF(A39="QB",'League Config'!$B$16,0)))</f>
        <v/>
      </c>
      <c r="N39" s="4">
        <f>MIN(100,MAX(0,0.55*E39+0.3*K39+0.15*L39-M39))</f>
        <v/>
      </c>
      <c r="O39" s="9">
        <f>IF(OR(A39="K",A39="DST"),"",N39)</f>
        <v/>
      </c>
      <c r="P39" s="6">
        <f>IF(O39="","",COUNTIF($O$3:$O$232,"&gt;"&amp;O39)+COUNTIF($O$3:O39,O39))</f>
        <v/>
      </c>
      <c r="Q39">
        <f>IF(A39="DST",IF(F39&lt;=GateSize,DstStart-1+F39,NSkill+2*GateSize+F39-GateSize),IF(A39="K",IF(F39&lt;=GateSize,KStart-1+F39,NSkill+GateSize+NDst+F39-GateSize),IF(P39&lt;=DstStart-1,P39,P39+2*GateSize)))</f>
        <v/>
      </c>
      <c r="R39" s="4">
        <f>'LIVE SOURCE'!E39</f>
        <v/>
      </c>
      <c r="S39" s="4">
        <f>R39-Q39</f>
        <v/>
      </c>
      <c r="T39">
        <f>'LIVE SOURCE'!F39</f>
        <v/>
      </c>
      <c r="U39" s="4">
        <f>MAX(40,E39-IF(T39="A",6,IF(T39="B",9,12)))</f>
        <v/>
      </c>
      <c r="V39" s="4">
        <f>E39</f>
        <v/>
      </c>
      <c r="W39" s="4">
        <f>MIN(100,E39+IF(T39="A",6,IF(T39="B",9,12)))</f>
        <v/>
      </c>
      <c r="X39">
        <f>'LIVE SOURCE'!G39</f>
        <v/>
      </c>
      <c r="Y39">
        <f>IF(INDEX('Draft Board'!$J$3:$J$232,Q39)="","Available",INDEX('Draft Board'!$J$3:$J$232,Q39))</f>
        <v/>
      </c>
      <c r="Z39">
        <f>IF(Y39&lt;&gt;"Available","",1+COUNTIFS($Y$3:$Y$232,"Available",$Q$3:$Q$232,"&lt;"&amp;Q39))</f>
        <v/>
      </c>
    </row>
    <row r="40">
      <c r="A40">
        <f>'LIVE SOURCE'!A40</f>
        <v/>
      </c>
      <c r="B40">
        <f>'LIVE SOURCE'!B40</f>
        <v/>
      </c>
      <c r="C40" s="4">
        <f>'LIVE SOURCE'!D40</f>
        <v/>
      </c>
      <c r="D40" s="4">
        <f>'Manual Adjustments'!G40</f>
        <v/>
      </c>
      <c r="E40" s="4">
        <f>MAX(40,MIN(100,C40+D40))</f>
        <v/>
      </c>
      <c r="F40">
        <f>COUNTIFS($A$3:$A$232,A40,$E$3:$E$232,"&gt;"&amp;E40)+COUNTIFS($A$3:A40,A40,$E$3:E40,E40)</f>
        <v/>
      </c>
      <c r="G40" s="4">
        <f>ROUND(INDEX('League Config'!$K$4:$K$9,MATCH(A40,'League Config'!$E$4:$E$9,0))*E40+INDEX('League Config'!$L$4:$L$9,MATCH(A40,'League Config'!$E$4:$E$9,0)),1)</f>
        <v/>
      </c>
      <c r="H40">
        <f>INDEX('League Config'!$H$4:$H$9,MATCH(A40,'League Config'!$E$4:$E$9,0))</f>
        <v/>
      </c>
      <c r="I40" s="4">
        <f>INDEX('League Config'!$I$4:$I$9,MATCH(A40,'League Config'!$E$4:$E$9,0))</f>
        <v/>
      </c>
      <c r="J40" s="4">
        <f>ROUND(G40-I40,1)</f>
        <v/>
      </c>
      <c r="K40" s="4">
        <f>MAX(0,MIN(100,50+J40*0.6))</f>
        <v/>
      </c>
      <c r="L40" s="4">
        <f>MIN(100,MAX(0,(1-(F40-1)/(H40*1.5))*100*INDEX('League Config'!$J$4:$J$9,MATCH(A40,'League Config'!$E$4:$E$9,0))))</f>
        <v/>
      </c>
      <c r="M40">
        <f>IF(A40="K",'League Config'!$B$14,IF(A40="DST",'League Config'!$B$15,IF(A40="QB",'League Config'!$B$16,0)))</f>
        <v/>
      </c>
      <c r="N40" s="4">
        <f>MIN(100,MAX(0,0.55*E40+0.3*K40+0.15*L40-M40))</f>
        <v/>
      </c>
      <c r="O40" s="9">
        <f>IF(OR(A40="K",A40="DST"),"",N40)</f>
        <v/>
      </c>
      <c r="P40" s="6">
        <f>IF(O40="","",COUNTIF($O$3:$O$232,"&gt;"&amp;O40)+COUNTIF($O$3:O40,O40))</f>
        <v/>
      </c>
      <c r="Q40">
        <f>IF(A40="DST",IF(F40&lt;=GateSize,DstStart-1+F40,NSkill+2*GateSize+F40-GateSize),IF(A40="K",IF(F40&lt;=GateSize,KStart-1+F40,NSkill+GateSize+NDst+F40-GateSize),IF(P40&lt;=DstStart-1,P40,P40+2*GateSize)))</f>
        <v/>
      </c>
      <c r="R40" s="4">
        <f>'LIVE SOURCE'!E40</f>
        <v/>
      </c>
      <c r="S40" s="4">
        <f>R40-Q40</f>
        <v/>
      </c>
      <c r="T40">
        <f>'LIVE SOURCE'!F40</f>
        <v/>
      </c>
      <c r="U40" s="4">
        <f>MAX(40,E40-IF(T40="A",6,IF(T40="B",9,12)))</f>
        <v/>
      </c>
      <c r="V40" s="4">
        <f>E40</f>
        <v/>
      </c>
      <c r="W40" s="4">
        <f>MIN(100,E40+IF(T40="A",6,IF(T40="B",9,12)))</f>
        <v/>
      </c>
      <c r="X40">
        <f>'LIVE SOURCE'!G40</f>
        <v/>
      </c>
      <c r="Y40">
        <f>IF(INDEX('Draft Board'!$J$3:$J$232,Q40)="","Available",INDEX('Draft Board'!$J$3:$J$232,Q40))</f>
        <v/>
      </c>
      <c r="Z40">
        <f>IF(Y40&lt;&gt;"Available","",1+COUNTIFS($Y$3:$Y$232,"Available",$Q$3:$Q$232,"&lt;"&amp;Q40))</f>
        <v/>
      </c>
    </row>
    <row r="41">
      <c r="A41">
        <f>'LIVE SOURCE'!A41</f>
        <v/>
      </c>
      <c r="B41">
        <f>'LIVE SOURCE'!B41</f>
        <v/>
      </c>
      <c r="C41" s="4">
        <f>'LIVE SOURCE'!D41</f>
        <v/>
      </c>
      <c r="D41" s="4">
        <f>'Manual Adjustments'!G41</f>
        <v/>
      </c>
      <c r="E41" s="4">
        <f>MAX(40,MIN(100,C41+D41))</f>
        <v/>
      </c>
      <c r="F41">
        <f>COUNTIFS($A$3:$A$232,A41,$E$3:$E$232,"&gt;"&amp;E41)+COUNTIFS($A$3:A41,A41,$E$3:E41,E41)</f>
        <v/>
      </c>
      <c r="G41" s="4">
        <f>ROUND(INDEX('League Config'!$K$4:$K$9,MATCH(A41,'League Config'!$E$4:$E$9,0))*E41+INDEX('League Config'!$L$4:$L$9,MATCH(A41,'League Config'!$E$4:$E$9,0)),1)</f>
        <v/>
      </c>
      <c r="H41">
        <f>INDEX('League Config'!$H$4:$H$9,MATCH(A41,'League Config'!$E$4:$E$9,0))</f>
        <v/>
      </c>
      <c r="I41" s="4">
        <f>INDEX('League Config'!$I$4:$I$9,MATCH(A41,'League Config'!$E$4:$E$9,0))</f>
        <v/>
      </c>
      <c r="J41" s="4">
        <f>ROUND(G41-I41,1)</f>
        <v/>
      </c>
      <c r="K41" s="4">
        <f>MAX(0,MIN(100,50+J41*0.6))</f>
        <v/>
      </c>
      <c r="L41" s="4">
        <f>MIN(100,MAX(0,(1-(F41-1)/(H41*1.5))*100*INDEX('League Config'!$J$4:$J$9,MATCH(A41,'League Config'!$E$4:$E$9,0))))</f>
        <v/>
      </c>
      <c r="M41">
        <f>IF(A41="K",'League Config'!$B$14,IF(A41="DST",'League Config'!$B$15,IF(A41="QB",'League Config'!$B$16,0)))</f>
        <v/>
      </c>
      <c r="N41" s="4">
        <f>MIN(100,MAX(0,0.55*E41+0.3*K41+0.15*L41-M41))</f>
        <v/>
      </c>
      <c r="O41" s="9">
        <f>IF(OR(A41="K",A41="DST"),"",N41)</f>
        <v/>
      </c>
      <c r="P41" s="6">
        <f>IF(O41="","",COUNTIF($O$3:$O$232,"&gt;"&amp;O41)+COUNTIF($O$3:O41,O41))</f>
        <v/>
      </c>
      <c r="Q41">
        <f>IF(A41="DST",IF(F41&lt;=GateSize,DstStart-1+F41,NSkill+2*GateSize+F41-GateSize),IF(A41="K",IF(F41&lt;=GateSize,KStart-1+F41,NSkill+GateSize+NDst+F41-GateSize),IF(P41&lt;=DstStart-1,P41,P41+2*GateSize)))</f>
        <v/>
      </c>
      <c r="R41" s="4">
        <f>'LIVE SOURCE'!E41</f>
        <v/>
      </c>
      <c r="S41" s="4">
        <f>R41-Q41</f>
        <v/>
      </c>
      <c r="T41">
        <f>'LIVE SOURCE'!F41</f>
        <v/>
      </c>
      <c r="U41" s="4">
        <f>MAX(40,E41-IF(T41="A",6,IF(T41="B",9,12)))</f>
        <v/>
      </c>
      <c r="V41" s="4">
        <f>E41</f>
        <v/>
      </c>
      <c r="W41" s="4">
        <f>MIN(100,E41+IF(T41="A",6,IF(T41="B",9,12)))</f>
        <v/>
      </c>
      <c r="X41">
        <f>'LIVE SOURCE'!G41</f>
        <v/>
      </c>
      <c r="Y41">
        <f>IF(INDEX('Draft Board'!$J$3:$J$232,Q41)="","Available",INDEX('Draft Board'!$J$3:$J$232,Q41))</f>
        <v/>
      </c>
      <c r="Z41">
        <f>IF(Y41&lt;&gt;"Available","",1+COUNTIFS($Y$3:$Y$232,"Available",$Q$3:$Q$232,"&lt;"&amp;Q41))</f>
        <v/>
      </c>
    </row>
    <row r="42">
      <c r="A42">
        <f>'LIVE SOURCE'!A42</f>
        <v/>
      </c>
      <c r="B42">
        <f>'LIVE SOURCE'!B42</f>
        <v/>
      </c>
      <c r="C42" s="4">
        <f>'LIVE SOURCE'!D42</f>
        <v/>
      </c>
      <c r="D42" s="4">
        <f>'Manual Adjustments'!G42</f>
        <v/>
      </c>
      <c r="E42" s="4">
        <f>MAX(40,MIN(100,C42+D42))</f>
        <v/>
      </c>
      <c r="F42">
        <f>COUNTIFS($A$3:$A$232,A42,$E$3:$E$232,"&gt;"&amp;E42)+COUNTIFS($A$3:A42,A42,$E$3:E42,E42)</f>
        <v/>
      </c>
      <c r="G42" s="4">
        <f>ROUND(INDEX('League Config'!$K$4:$K$9,MATCH(A42,'League Config'!$E$4:$E$9,0))*E42+INDEX('League Config'!$L$4:$L$9,MATCH(A42,'League Config'!$E$4:$E$9,0)),1)</f>
        <v/>
      </c>
      <c r="H42">
        <f>INDEX('League Config'!$H$4:$H$9,MATCH(A42,'League Config'!$E$4:$E$9,0))</f>
        <v/>
      </c>
      <c r="I42" s="4">
        <f>INDEX('League Config'!$I$4:$I$9,MATCH(A42,'League Config'!$E$4:$E$9,0))</f>
        <v/>
      </c>
      <c r="J42" s="4">
        <f>ROUND(G42-I42,1)</f>
        <v/>
      </c>
      <c r="K42" s="4">
        <f>MAX(0,MIN(100,50+J42*0.6))</f>
        <v/>
      </c>
      <c r="L42" s="4">
        <f>MIN(100,MAX(0,(1-(F42-1)/(H42*1.5))*100*INDEX('League Config'!$J$4:$J$9,MATCH(A42,'League Config'!$E$4:$E$9,0))))</f>
        <v/>
      </c>
      <c r="M42">
        <f>IF(A42="K",'League Config'!$B$14,IF(A42="DST",'League Config'!$B$15,IF(A42="QB",'League Config'!$B$16,0)))</f>
        <v/>
      </c>
      <c r="N42" s="4">
        <f>MIN(100,MAX(0,0.55*E42+0.3*K42+0.15*L42-M42))</f>
        <v/>
      </c>
      <c r="O42" s="9">
        <f>IF(OR(A42="K",A42="DST"),"",N42)</f>
        <v/>
      </c>
      <c r="P42" s="6">
        <f>IF(O42="","",COUNTIF($O$3:$O$232,"&gt;"&amp;O42)+COUNTIF($O$3:O42,O42))</f>
        <v/>
      </c>
      <c r="Q42">
        <f>IF(A42="DST",IF(F42&lt;=GateSize,DstStart-1+F42,NSkill+2*GateSize+F42-GateSize),IF(A42="K",IF(F42&lt;=GateSize,KStart-1+F42,NSkill+GateSize+NDst+F42-GateSize),IF(P42&lt;=DstStart-1,P42,P42+2*GateSize)))</f>
        <v/>
      </c>
      <c r="R42" s="4">
        <f>'LIVE SOURCE'!E42</f>
        <v/>
      </c>
      <c r="S42" s="4">
        <f>R42-Q42</f>
        <v/>
      </c>
      <c r="T42">
        <f>'LIVE SOURCE'!F42</f>
        <v/>
      </c>
      <c r="U42" s="4">
        <f>MAX(40,E42-IF(T42="A",6,IF(T42="B",9,12)))</f>
        <v/>
      </c>
      <c r="V42" s="4">
        <f>E42</f>
        <v/>
      </c>
      <c r="W42" s="4">
        <f>MIN(100,E42+IF(T42="A",6,IF(T42="B",9,12)))</f>
        <v/>
      </c>
      <c r="X42">
        <f>'LIVE SOURCE'!G42</f>
        <v/>
      </c>
      <c r="Y42">
        <f>IF(INDEX('Draft Board'!$J$3:$J$232,Q42)="","Available",INDEX('Draft Board'!$J$3:$J$232,Q42))</f>
        <v/>
      </c>
      <c r="Z42">
        <f>IF(Y42&lt;&gt;"Available","",1+COUNTIFS($Y$3:$Y$232,"Available",$Q$3:$Q$232,"&lt;"&amp;Q42))</f>
        <v/>
      </c>
    </row>
    <row r="43">
      <c r="A43">
        <f>'LIVE SOURCE'!A43</f>
        <v/>
      </c>
      <c r="B43">
        <f>'LIVE SOURCE'!B43</f>
        <v/>
      </c>
      <c r="C43" s="4">
        <f>'LIVE SOURCE'!D43</f>
        <v/>
      </c>
      <c r="D43" s="4">
        <f>'Manual Adjustments'!G43</f>
        <v/>
      </c>
      <c r="E43" s="4">
        <f>MAX(40,MIN(100,C43+D43))</f>
        <v/>
      </c>
      <c r="F43">
        <f>COUNTIFS($A$3:$A$232,A43,$E$3:$E$232,"&gt;"&amp;E43)+COUNTIFS($A$3:A43,A43,$E$3:E43,E43)</f>
        <v/>
      </c>
      <c r="G43" s="4">
        <f>ROUND(INDEX('League Config'!$K$4:$K$9,MATCH(A43,'League Config'!$E$4:$E$9,0))*E43+INDEX('League Config'!$L$4:$L$9,MATCH(A43,'League Config'!$E$4:$E$9,0)),1)</f>
        <v/>
      </c>
      <c r="H43">
        <f>INDEX('League Config'!$H$4:$H$9,MATCH(A43,'League Config'!$E$4:$E$9,0))</f>
        <v/>
      </c>
      <c r="I43" s="4">
        <f>INDEX('League Config'!$I$4:$I$9,MATCH(A43,'League Config'!$E$4:$E$9,0))</f>
        <v/>
      </c>
      <c r="J43" s="4">
        <f>ROUND(G43-I43,1)</f>
        <v/>
      </c>
      <c r="K43" s="4">
        <f>MAX(0,MIN(100,50+J43*0.6))</f>
        <v/>
      </c>
      <c r="L43" s="4">
        <f>MIN(100,MAX(0,(1-(F43-1)/(H43*1.5))*100*INDEX('League Config'!$J$4:$J$9,MATCH(A43,'League Config'!$E$4:$E$9,0))))</f>
        <v/>
      </c>
      <c r="M43">
        <f>IF(A43="K",'League Config'!$B$14,IF(A43="DST",'League Config'!$B$15,IF(A43="QB",'League Config'!$B$16,0)))</f>
        <v/>
      </c>
      <c r="N43" s="4">
        <f>MIN(100,MAX(0,0.55*E43+0.3*K43+0.15*L43-M43))</f>
        <v/>
      </c>
      <c r="O43" s="9">
        <f>IF(OR(A43="K",A43="DST"),"",N43)</f>
        <v/>
      </c>
      <c r="P43" s="6">
        <f>IF(O43="","",COUNTIF($O$3:$O$232,"&gt;"&amp;O43)+COUNTIF($O$3:O43,O43))</f>
        <v/>
      </c>
      <c r="Q43">
        <f>IF(A43="DST",IF(F43&lt;=GateSize,DstStart-1+F43,NSkill+2*GateSize+F43-GateSize),IF(A43="K",IF(F43&lt;=GateSize,KStart-1+F43,NSkill+GateSize+NDst+F43-GateSize),IF(P43&lt;=DstStart-1,P43,P43+2*GateSize)))</f>
        <v/>
      </c>
      <c r="R43" s="4">
        <f>'LIVE SOURCE'!E43</f>
        <v/>
      </c>
      <c r="S43" s="4">
        <f>R43-Q43</f>
        <v/>
      </c>
      <c r="T43">
        <f>'LIVE SOURCE'!F43</f>
        <v/>
      </c>
      <c r="U43" s="4">
        <f>MAX(40,E43-IF(T43="A",6,IF(T43="B",9,12)))</f>
        <v/>
      </c>
      <c r="V43" s="4">
        <f>E43</f>
        <v/>
      </c>
      <c r="W43" s="4">
        <f>MIN(100,E43+IF(T43="A",6,IF(T43="B",9,12)))</f>
        <v/>
      </c>
      <c r="X43">
        <f>'LIVE SOURCE'!G43</f>
        <v/>
      </c>
      <c r="Y43">
        <f>IF(INDEX('Draft Board'!$J$3:$J$232,Q43)="","Available",INDEX('Draft Board'!$J$3:$J$232,Q43))</f>
        <v/>
      </c>
      <c r="Z43">
        <f>IF(Y43&lt;&gt;"Available","",1+COUNTIFS($Y$3:$Y$232,"Available",$Q$3:$Q$232,"&lt;"&amp;Q43))</f>
        <v/>
      </c>
    </row>
    <row r="44">
      <c r="A44">
        <f>'LIVE SOURCE'!A44</f>
        <v/>
      </c>
      <c r="B44">
        <f>'LIVE SOURCE'!B44</f>
        <v/>
      </c>
      <c r="C44" s="4">
        <f>'LIVE SOURCE'!D44</f>
        <v/>
      </c>
      <c r="D44" s="4">
        <f>'Manual Adjustments'!G44</f>
        <v/>
      </c>
      <c r="E44" s="4">
        <f>MAX(40,MIN(100,C44+D44))</f>
        <v/>
      </c>
      <c r="F44">
        <f>COUNTIFS($A$3:$A$232,A44,$E$3:$E$232,"&gt;"&amp;E44)+COUNTIFS($A$3:A44,A44,$E$3:E44,E44)</f>
        <v/>
      </c>
      <c r="G44" s="4">
        <f>ROUND(INDEX('League Config'!$K$4:$K$9,MATCH(A44,'League Config'!$E$4:$E$9,0))*E44+INDEX('League Config'!$L$4:$L$9,MATCH(A44,'League Config'!$E$4:$E$9,0)),1)</f>
        <v/>
      </c>
      <c r="H44">
        <f>INDEX('League Config'!$H$4:$H$9,MATCH(A44,'League Config'!$E$4:$E$9,0))</f>
        <v/>
      </c>
      <c r="I44" s="4">
        <f>INDEX('League Config'!$I$4:$I$9,MATCH(A44,'League Config'!$E$4:$E$9,0))</f>
        <v/>
      </c>
      <c r="J44" s="4">
        <f>ROUND(G44-I44,1)</f>
        <v/>
      </c>
      <c r="K44" s="4">
        <f>MAX(0,MIN(100,50+J44*0.6))</f>
        <v/>
      </c>
      <c r="L44" s="4">
        <f>MIN(100,MAX(0,(1-(F44-1)/(H44*1.5))*100*INDEX('League Config'!$J$4:$J$9,MATCH(A44,'League Config'!$E$4:$E$9,0))))</f>
        <v/>
      </c>
      <c r="M44">
        <f>IF(A44="K",'League Config'!$B$14,IF(A44="DST",'League Config'!$B$15,IF(A44="QB",'League Config'!$B$16,0)))</f>
        <v/>
      </c>
      <c r="N44" s="4">
        <f>MIN(100,MAX(0,0.55*E44+0.3*K44+0.15*L44-M44))</f>
        <v/>
      </c>
      <c r="O44" s="9">
        <f>IF(OR(A44="K",A44="DST"),"",N44)</f>
        <v/>
      </c>
      <c r="P44" s="6">
        <f>IF(O44="","",COUNTIF($O$3:$O$232,"&gt;"&amp;O44)+COUNTIF($O$3:O44,O44))</f>
        <v/>
      </c>
      <c r="Q44">
        <f>IF(A44="DST",IF(F44&lt;=GateSize,DstStart-1+F44,NSkill+2*GateSize+F44-GateSize),IF(A44="K",IF(F44&lt;=GateSize,KStart-1+F44,NSkill+GateSize+NDst+F44-GateSize),IF(P44&lt;=DstStart-1,P44,P44+2*GateSize)))</f>
        <v/>
      </c>
      <c r="R44" s="4">
        <f>'LIVE SOURCE'!E44</f>
        <v/>
      </c>
      <c r="S44" s="4">
        <f>R44-Q44</f>
        <v/>
      </c>
      <c r="T44">
        <f>'LIVE SOURCE'!F44</f>
        <v/>
      </c>
      <c r="U44" s="4">
        <f>MAX(40,E44-IF(T44="A",6,IF(T44="B",9,12)))</f>
        <v/>
      </c>
      <c r="V44" s="4">
        <f>E44</f>
        <v/>
      </c>
      <c r="W44" s="4">
        <f>MIN(100,E44+IF(T44="A",6,IF(T44="B",9,12)))</f>
        <v/>
      </c>
      <c r="X44">
        <f>'LIVE SOURCE'!G44</f>
        <v/>
      </c>
      <c r="Y44">
        <f>IF(INDEX('Draft Board'!$J$3:$J$232,Q44)="","Available",INDEX('Draft Board'!$J$3:$J$232,Q44))</f>
        <v/>
      </c>
      <c r="Z44">
        <f>IF(Y44&lt;&gt;"Available","",1+COUNTIFS($Y$3:$Y$232,"Available",$Q$3:$Q$232,"&lt;"&amp;Q44))</f>
        <v/>
      </c>
    </row>
    <row r="45">
      <c r="A45">
        <f>'LIVE SOURCE'!A45</f>
        <v/>
      </c>
      <c r="B45">
        <f>'LIVE SOURCE'!B45</f>
        <v/>
      </c>
      <c r="C45" s="4">
        <f>'LIVE SOURCE'!D45</f>
        <v/>
      </c>
      <c r="D45" s="4">
        <f>'Manual Adjustments'!G45</f>
        <v/>
      </c>
      <c r="E45" s="4">
        <f>MAX(40,MIN(100,C45+D45))</f>
        <v/>
      </c>
      <c r="F45">
        <f>COUNTIFS($A$3:$A$232,A45,$E$3:$E$232,"&gt;"&amp;E45)+COUNTIFS($A$3:A45,A45,$E$3:E45,E45)</f>
        <v/>
      </c>
      <c r="G45" s="4">
        <f>ROUND(INDEX('League Config'!$K$4:$K$9,MATCH(A45,'League Config'!$E$4:$E$9,0))*E45+INDEX('League Config'!$L$4:$L$9,MATCH(A45,'League Config'!$E$4:$E$9,0)),1)</f>
        <v/>
      </c>
      <c r="H45">
        <f>INDEX('League Config'!$H$4:$H$9,MATCH(A45,'League Config'!$E$4:$E$9,0))</f>
        <v/>
      </c>
      <c r="I45" s="4">
        <f>INDEX('League Config'!$I$4:$I$9,MATCH(A45,'League Config'!$E$4:$E$9,0))</f>
        <v/>
      </c>
      <c r="J45" s="4">
        <f>ROUND(G45-I45,1)</f>
        <v/>
      </c>
      <c r="K45" s="4">
        <f>MAX(0,MIN(100,50+J45*0.6))</f>
        <v/>
      </c>
      <c r="L45" s="4">
        <f>MIN(100,MAX(0,(1-(F45-1)/(H45*1.5))*100*INDEX('League Config'!$J$4:$J$9,MATCH(A45,'League Config'!$E$4:$E$9,0))))</f>
        <v/>
      </c>
      <c r="M45">
        <f>IF(A45="K",'League Config'!$B$14,IF(A45="DST",'League Config'!$B$15,IF(A45="QB",'League Config'!$B$16,0)))</f>
        <v/>
      </c>
      <c r="N45" s="4">
        <f>MIN(100,MAX(0,0.55*E45+0.3*K45+0.15*L45-M45))</f>
        <v/>
      </c>
      <c r="O45" s="9">
        <f>IF(OR(A45="K",A45="DST"),"",N45)</f>
        <v/>
      </c>
      <c r="P45" s="6">
        <f>IF(O45="","",COUNTIF($O$3:$O$232,"&gt;"&amp;O45)+COUNTIF($O$3:O45,O45))</f>
        <v/>
      </c>
      <c r="Q45">
        <f>IF(A45="DST",IF(F45&lt;=GateSize,DstStart-1+F45,NSkill+2*GateSize+F45-GateSize),IF(A45="K",IF(F45&lt;=GateSize,KStart-1+F45,NSkill+GateSize+NDst+F45-GateSize),IF(P45&lt;=DstStart-1,P45,P45+2*GateSize)))</f>
        <v/>
      </c>
      <c r="R45" s="4">
        <f>'LIVE SOURCE'!E45</f>
        <v/>
      </c>
      <c r="S45" s="4">
        <f>R45-Q45</f>
        <v/>
      </c>
      <c r="T45">
        <f>'LIVE SOURCE'!F45</f>
        <v/>
      </c>
      <c r="U45" s="4">
        <f>MAX(40,E45-IF(T45="A",6,IF(T45="B",9,12)))</f>
        <v/>
      </c>
      <c r="V45" s="4">
        <f>E45</f>
        <v/>
      </c>
      <c r="W45" s="4">
        <f>MIN(100,E45+IF(T45="A",6,IF(T45="B",9,12)))</f>
        <v/>
      </c>
      <c r="X45">
        <f>'LIVE SOURCE'!G45</f>
        <v/>
      </c>
      <c r="Y45">
        <f>IF(INDEX('Draft Board'!$J$3:$J$232,Q45)="","Available",INDEX('Draft Board'!$J$3:$J$232,Q45))</f>
        <v/>
      </c>
      <c r="Z45">
        <f>IF(Y45&lt;&gt;"Available","",1+COUNTIFS($Y$3:$Y$232,"Available",$Q$3:$Q$232,"&lt;"&amp;Q45))</f>
        <v/>
      </c>
    </row>
    <row r="46">
      <c r="A46">
        <f>'LIVE SOURCE'!A46</f>
        <v/>
      </c>
      <c r="B46">
        <f>'LIVE SOURCE'!B46</f>
        <v/>
      </c>
      <c r="C46" s="4">
        <f>'LIVE SOURCE'!D46</f>
        <v/>
      </c>
      <c r="D46" s="4">
        <f>'Manual Adjustments'!G46</f>
        <v/>
      </c>
      <c r="E46" s="4">
        <f>MAX(40,MIN(100,C46+D46))</f>
        <v/>
      </c>
      <c r="F46">
        <f>COUNTIFS($A$3:$A$232,A46,$E$3:$E$232,"&gt;"&amp;E46)+COUNTIFS($A$3:A46,A46,$E$3:E46,E46)</f>
        <v/>
      </c>
      <c r="G46" s="4">
        <f>ROUND(INDEX('League Config'!$K$4:$K$9,MATCH(A46,'League Config'!$E$4:$E$9,0))*E46+INDEX('League Config'!$L$4:$L$9,MATCH(A46,'League Config'!$E$4:$E$9,0)),1)</f>
        <v/>
      </c>
      <c r="H46">
        <f>INDEX('League Config'!$H$4:$H$9,MATCH(A46,'League Config'!$E$4:$E$9,0))</f>
        <v/>
      </c>
      <c r="I46" s="4">
        <f>INDEX('League Config'!$I$4:$I$9,MATCH(A46,'League Config'!$E$4:$E$9,0))</f>
        <v/>
      </c>
      <c r="J46" s="4">
        <f>ROUND(G46-I46,1)</f>
        <v/>
      </c>
      <c r="K46" s="4">
        <f>MAX(0,MIN(100,50+J46*0.6))</f>
        <v/>
      </c>
      <c r="L46" s="4">
        <f>MIN(100,MAX(0,(1-(F46-1)/(H46*1.5))*100*INDEX('League Config'!$J$4:$J$9,MATCH(A46,'League Config'!$E$4:$E$9,0))))</f>
        <v/>
      </c>
      <c r="M46">
        <f>IF(A46="K",'League Config'!$B$14,IF(A46="DST",'League Config'!$B$15,IF(A46="QB",'League Config'!$B$16,0)))</f>
        <v/>
      </c>
      <c r="N46" s="4">
        <f>MIN(100,MAX(0,0.55*E46+0.3*K46+0.15*L46-M46))</f>
        <v/>
      </c>
      <c r="O46" s="9">
        <f>IF(OR(A46="K",A46="DST"),"",N46)</f>
        <v/>
      </c>
      <c r="P46" s="6">
        <f>IF(O46="","",COUNTIF($O$3:$O$232,"&gt;"&amp;O46)+COUNTIF($O$3:O46,O46))</f>
        <v/>
      </c>
      <c r="Q46">
        <f>IF(A46="DST",IF(F46&lt;=GateSize,DstStart-1+F46,NSkill+2*GateSize+F46-GateSize),IF(A46="K",IF(F46&lt;=GateSize,KStart-1+F46,NSkill+GateSize+NDst+F46-GateSize),IF(P46&lt;=DstStart-1,P46,P46+2*GateSize)))</f>
        <v/>
      </c>
      <c r="R46" s="4">
        <f>'LIVE SOURCE'!E46</f>
        <v/>
      </c>
      <c r="S46" s="4">
        <f>R46-Q46</f>
        <v/>
      </c>
      <c r="T46">
        <f>'LIVE SOURCE'!F46</f>
        <v/>
      </c>
      <c r="U46" s="4">
        <f>MAX(40,E46-IF(T46="A",6,IF(T46="B",9,12)))</f>
        <v/>
      </c>
      <c r="V46" s="4">
        <f>E46</f>
        <v/>
      </c>
      <c r="W46" s="4">
        <f>MIN(100,E46+IF(T46="A",6,IF(T46="B",9,12)))</f>
        <v/>
      </c>
      <c r="X46">
        <f>'LIVE SOURCE'!G46</f>
        <v/>
      </c>
      <c r="Y46">
        <f>IF(INDEX('Draft Board'!$J$3:$J$232,Q46)="","Available",INDEX('Draft Board'!$J$3:$J$232,Q46))</f>
        <v/>
      </c>
      <c r="Z46">
        <f>IF(Y46&lt;&gt;"Available","",1+COUNTIFS($Y$3:$Y$232,"Available",$Q$3:$Q$232,"&lt;"&amp;Q46))</f>
        <v/>
      </c>
    </row>
    <row r="47">
      <c r="A47">
        <f>'LIVE SOURCE'!A47</f>
        <v/>
      </c>
      <c r="B47">
        <f>'LIVE SOURCE'!B47</f>
        <v/>
      </c>
      <c r="C47" s="4">
        <f>'LIVE SOURCE'!D47</f>
        <v/>
      </c>
      <c r="D47" s="4">
        <f>'Manual Adjustments'!G47</f>
        <v/>
      </c>
      <c r="E47" s="4">
        <f>MAX(40,MIN(100,C47+D47))</f>
        <v/>
      </c>
      <c r="F47">
        <f>COUNTIFS($A$3:$A$232,A47,$E$3:$E$232,"&gt;"&amp;E47)+COUNTIFS($A$3:A47,A47,$E$3:E47,E47)</f>
        <v/>
      </c>
      <c r="G47" s="4">
        <f>ROUND(INDEX('League Config'!$K$4:$K$9,MATCH(A47,'League Config'!$E$4:$E$9,0))*E47+INDEX('League Config'!$L$4:$L$9,MATCH(A47,'League Config'!$E$4:$E$9,0)),1)</f>
        <v/>
      </c>
      <c r="H47">
        <f>INDEX('League Config'!$H$4:$H$9,MATCH(A47,'League Config'!$E$4:$E$9,0))</f>
        <v/>
      </c>
      <c r="I47" s="4">
        <f>INDEX('League Config'!$I$4:$I$9,MATCH(A47,'League Config'!$E$4:$E$9,0))</f>
        <v/>
      </c>
      <c r="J47" s="4">
        <f>ROUND(G47-I47,1)</f>
        <v/>
      </c>
      <c r="K47" s="4">
        <f>MAX(0,MIN(100,50+J47*0.6))</f>
        <v/>
      </c>
      <c r="L47" s="4">
        <f>MIN(100,MAX(0,(1-(F47-1)/(H47*1.5))*100*INDEX('League Config'!$J$4:$J$9,MATCH(A47,'League Config'!$E$4:$E$9,0))))</f>
        <v/>
      </c>
      <c r="M47">
        <f>IF(A47="K",'League Config'!$B$14,IF(A47="DST",'League Config'!$B$15,IF(A47="QB",'League Config'!$B$16,0)))</f>
        <v/>
      </c>
      <c r="N47" s="4">
        <f>MIN(100,MAX(0,0.55*E47+0.3*K47+0.15*L47-M47))</f>
        <v/>
      </c>
      <c r="O47" s="9">
        <f>IF(OR(A47="K",A47="DST"),"",N47)</f>
        <v/>
      </c>
      <c r="P47" s="6">
        <f>IF(O47="","",COUNTIF($O$3:$O$232,"&gt;"&amp;O47)+COUNTIF($O$3:O47,O47))</f>
        <v/>
      </c>
      <c r="Q47">
        <f>IF(A47="DST",IF(F47&lt;=GateSize,DstStart-1+F47,NSkill+2*GateSize+F47-GateSize),IF(A47="K",IF(F47&lt;=GateSize,KStart-1+F47,NSkill+GateSize+NDst+F47-GateSize),IF(P47&lt;=DstStart-1,P47,P47+2*GateSize)))</f>
        <v/>
      </c>
      <c r="R47" s="4">
        <f>'LIVE SOURCE'!E47</f>
        <v/>
      </c>
      <c r="S47" s="4">
        <f>R47-Q47</f>
        <v/>
      </c>
      <c r="T47">
        <f>'LIVE SOURCE'!F47</f>
        <v/>
      </c>
      <c r="U47" s="4">
        <f>MAX(40,E47-IF(T47="A",6,IF(T47="B",9,12)))</f>
        <v/>
      </c>
      <c r="V47" s="4">
        <f>E47</f>
        <v/>
      </c>
      <c r="W47" s="4">
        <f>MIN(100,E47+IF(T47="A",6,IF(T47="B",9,12)))</f>
        <v/>
      </c>
      <c r="X47">
        <f>'LIVE SOURCE'!G47</f>
        <v/>
      </c>
      <c r="Y47">
        <f>IF(INDEX('Draft Board'!$J$3:$J$232,Q47)="","Available",INDEX('Draft Board'!$J$3:$J$232,Q47))</f>
        <v/>
      </c>
      <c r="Z47">
        <f>IF(Y47&lt;&gt;"Available","",1+COUNTIFS($Y$3:$Y$232,"Available",$Q$3:$Q$232,"&lt;"&amp;Q47))</f>
        <v/>
      </c>
    </row>
    <row r="48">
      <c r="A48">
        <f>'LIVE SOURCE'!A48</f>
        <v/>
      </c>
      <c r="B48">
        <f>'LIVE SOURCE'!B48</f>
        <v/>
      </c>
      <c r="C48" s="4">
        <f>'LIVE SOURCE'!D48</f>
        <v/>
      </c>
      <c r="D48" s="4">
        <f>'Manual Adjustments'!G48</f>
        <v/>
      </c>
      <c r="E48" s="4">
        <f>MAX(40,MIN(100,C48+D48))</f>
        <v/>
      </c>
      <c r="F48">
        <f>COUNTIFS($A$3:$A$232,A48,$E$3:$E$232,"&gt;"&amp;E48)+COUNTIFS($A$3:A48,A48,$E$3:E48,E48)</f>
        <v/>
      </c>
      <c r="G48" s="4">
        <f>ROUND(INDEX('League Config'!$K$4:$K$9,MATCH(A48,'League Config'!$E$4:$E$9,0))*E48+INDEX('League Config'!$L$4:$L$9,MATCH(A48,'League Config'!$E$4:$E$9,0)),1)</f>
        <v/>
      </c>
      <c r="H48">
        <f>INDEX('League Config'!$H$4:$H$9,MATCH(A48,'League Config'!$E$4:$E$9,0))</f>
        <v/>
      </c>
      <c r="I48" s="4">
        <f>INDEX('League Config'!$I$4:$I$9,MATCH(A48,'League Config'!$E$4:$E$9,0))</f>
        <v/>
      </c>
      <c r="J48" s="4">
        <f>ROUND(G48-I48,1)</f>
        <v/>
      </c>
      <c r="K48" s="4">
        <f>MAX(0,MIN(100,50+J48*0.6))</f>
        <v/>
      </c>
      <c r="L48" s="4">
        <f>MIN(100,MAX(0,(1-(F48-1)/(H48*1.5))*100*INDEX('League Config'!$J$4:$J$9,MATCH(A48,'League Config'!$E$4:$E$9,0))))</f>
        <v/>
      </c>
      <c r="M48">
        <f>IF(A48="K",'League Config'!$B$14,IF(A48="DST",'League Config'!$B$15,IF(A48="QB",'League Config'!$B$16,0)))</f>
        <v/>
      </c>
      <c r="N48" s="4">
        <f>MIN(100,MAX(0,0.55*E48+0.3*K48+0.15*L48-M48))</f>
        <v/>
      </c>
      <c r="O48" s="9">
        <f>IF(OR(A48="K",A48="DST"),"",N48)</f>
        <v/>
      </c>
      <c r="P48" s="6">
        <f>IF(O48="","",COUNTIF($O$3:$O$232,"&gt;"&amp;O48)+COUNTIF($O$3:O48,O48))</f>
        <v/>
      </c>
      <c r="Q48">
        <f>IF(A48="DST",IF(F48&lt;=GateSize,DstStart-1+F48,NSkill+2*GateSize+F48-GateSize),IF(A48="K",IF(F48&lt;=GateSize,KStart-1+F48,NSkill+GateSize+NDst+F48-GateSize),IF(P48&lt;=DstStart-1,P48,P48+2*GateSize)))</f>
        <v/>
      </c>
      <c r="R48" s="4">
        <f>'LIVE SOURCE'!E48</f>
        <v/>
      </c>
      <c r="S48" s="4">
        <f>R48-Q48</f>
        <v/>
      </c>
      <c r="T48">
        <f>'LIVE SOURCE'!F48</f>
        <v/>
      </c>
      <c r="U48" s="4">
        <f>MAX(40,E48-IF(T48="A",6,IF(T48="B",9,12)))</f>
        <v/>
      </c>
      <c r="V48" s="4">
        <f>E48</f>
        <v/>
      </c>
      <c r="W48" s="4">
        <f>MIN(100,E48+IF(T48="A",6,IF(T48="B",9,12)))</f>
        <v/>
      </c>
      <c r="X48">
        <f>'LIVE SOURCE'!G48</f>
        <v/>
      </c>
      <c r="Y48">
        <f>IF(INDEX('Draft Board'!$J$3:$J$232,Q48)="","Available",INDEX('Draft Board'!$J$3:$J$232,Q48))</f>
        <v/>
      </c>
      <c r="Z48">
        <f>IF(Y48&lt;&gt;"Available","",1+COUNTIFS($Y$3:$Y$232,"Available",$Q$3:$Q$232,"&lt;"&amp;Q48))</f>
        <v/>
      </c>
    </row>
    <row r="49">
      <c r="A49">
        <f>'LIVE SOURCE'!A49</f>
        <v/>
      </c>
      <c r="B49">
        <f>'LIVE SOURCE'!B49</f>
        <v/>
      </c>
      <c r="C49" s="4">
        <f>'LIVE SOURCE'!D49</f>
        <v/>
      </c>
      <c r="D49" s="4">
        <f>'Manual Adjustments'!G49</f>
        <v/>
      </c>
      <c r="E49" s="4">
        <f>MAX(40,MIN(100,C49+D49))</f>
        <v/>
      </c>
      <c r="F49">
        <f>COUNTIFS($A$3:$A$232,A49,$E$3:$E$232,"&gt;"&amp;E49)+COUNTIFS($A$3:A49,A49,$E$3:E49,E49)</f>
        <v/>
      </c>
      <c r="G49" s="4">
        <f>ROUND(INDEX('League Config'!$K$4:$K$9,MATCH(A49,'League Config'!$E$4:$E$9,0))*E49+INDEX('League Config'!$L$4:$L$9,MATCH(A49,'League Config'!$E$4:$E$9,0)),1)</f>
        <v/>
      </c>
      <c r="H49">
        <f>INDEX('League Config'!$H$4:$H$9,MATCH(A49,'League Config'!$E$4:$E$9,0))</f>
        <v/>
      </c>
      <c r="I49" s="4">
        <f>INDEX('League Config'!$I$4:$I$9,MATCH(A49,'League Config'!$E$4:$E$9,0))</f>
        <v/>
      </c>
      <c r="J49" s="4">
        <f>ROUND(G49-I49,1)</f>
        <v/>
      </c>
      <c r="K49" s="4">
        <f>MAX(0,MIN(100,50+J49*0.6))</f>
        <v/>
      </c>
      <c r="L49" s="4">
        <f>MIN(100,MAX(0,(1-(F49-1)/(H49*1.5))*100*INDEX('League Config'!$J$4:$J$9,MATCH(A49,'League Config'!$E$4:$E$9,0))))</f>
        <v/>
      </c>
      <c r="M49">
        <f>IF(A49="K",'League Config'!$B$14,IF(A49="DST",'League Config'!$B$15,IF(A49="QB",'League Config'!$B$16,0)))</f>
        <v/>
      </c>
      <c r="N49" s="4">
        <f>MIN(100,MAX(0,0.55*E49+0.3*K49+0.15*L49-M49))</f>
        <v/>
      </c>
      <c r="O49" s="9">
        <f>IF(OR(A49="K",A49="DST"),"",N49)</f>
        <v/>
      </c>
      <c r="P49" s="6">
        <f>IF(O49="","",COUNTIF($O$3:$O$232,"&gt;"&amp;O49)+COUNTIF($O$3:O49,O49))</f>
        <v/>
      </c>
      <c r="Q49">
        <f>IF(A49="DST",IF(F49&lt;=GateSize,DstStart-1+F49,NSkill+2*GateSize+F49-GateSize),IF(A49="K",IF(F49&lt;=GateSize,KStart-1+F49,NSkill+GateSize+NDst+F49-GateSize),IF(P49&lt;=DstStart-1,P49,P49+2*GateSize)))</f>
        <v/>
      </c>
      <c r="R49" s="4">
        <f>'LIVE SOURCE'!E49</f>
        <v/>
      </c>
      <c r="S49" s="4">
        <f>R49-Q49</f>
        <v/>
      </c>
      <c r="T49">
        <f>'LIVE SOURCE'!F49</f>
        <v/>
      </c>
      <c r="U49" s="4">
        <f>MAX(40,E49-IF(T49="A",6,IF(T49="B",9,12)))</f>
        <v/>
      </c>
      <c r="V49" s="4">
        <f>E49</f>
        <v/>
      </c>
      <c r="W49" s="4">
        <f>MIN(100,E49+IF(T49="A",6,IF(T49="B",9,12)))</f>
        <v/>
      </c>
      <c r="X49">
        <f>'LIVE SOURCE'!G49</f>
        <v/>
      </c>
      <c r="Y49">
        <f>IF(INDEX('Draft Board'!$J$3:$J$232,Q49)="","Available",INDEX('Draft Board'!$J$3:$J$232,Q49))</f>
        <v/>
      </c>
      <c r="Z49">
        <f>IF(Y49&lt;&gt;"Available","",1+COUNTIFS($Y$3:$Y$232,"Available",$Q$3:$Q$232,"&lt;"&amp;Q49))</f>
        <v/>
      </c>
    </row>
    <row r="50">
      <c r="A50">
        <f>'LIVE SOURCE'!A50</f>
        <v/>
      </c>
      <c r="B50">
        <f>'LIVE SOURCE'!B50</f>
        <v/>
      </c>
      <c r="C50" s="4">
        <f>'LIVE SOURCE'!D50</f>
        <v/>
      </c>
      <c r="D50" s="4">
        <f>'Manual Adjustments'!G50</f>
        <v/>
      </c>
      <c r="E50" s="4">
        <f>MAX(40,MIN(100,C50+D50))</f>
        <v/>
      </c>
      <c r="F50">
        <f>COUNTIFS($A$3:$A$232,A50,$E$3:$E$232,"&gt;"&amp;E50)+COUNTIFS($A$3:A50,A50,$E$3:E50,E50)</f>
        <v/>
      </c>
      <c r="G50" s="4">
        <f>ROUND(INDEX('League Config'!$K$4:$K$9,MATCH(A50,'League Config'!$E$4:$E$9,0))*E50+INDEX('League Config'!$L$4:$L$9,MATCH(A50,'League Config'!$E$4:$E$9,0)),1)</f>
        <v/>
      </c>
      <c r="H50">
        <f>INDEX('League Config'!$H$4:$H$9,MATCH(A50,'League Config'!$E$4:$E$9,0))</f>
        <v/>
      </c>
      <c r="I50" s="4">
        <f>INDEX('League Config'!$I$4:$I$9,MATCH(A50,'League Config'!$E$4:$E$9,0))</f>
        <v/>
      </c>
      <c r="J50" s="4">
        <f>ROUND(G50-I50,1)</f>
        <v/>
      </c>
      <c r="K50" s="4">
        <f>MAX(0,MIN(100,50+J50*0.6))</f>
        <v/>
      </c>
      <c r="L50" s="4">
        <f>MIN(100,MAX(0,(1-(F50-1)/(H50*1.5))*100*INDEX('League Config'!$J$4:$J$9,MATCH(A50,'League Config'!$E$4:$E$9,0))))</f>
        <v/>
      </c>
      <c r="M50">
        <f>IF(A50="K",'League Config'!$B$14,IF(A50="DST",'League Config'!$B$15,IF(A50="QB",'League Config'!$B$16,0)))</f>
        <v/>
      </c>
      <c r="N50" s="4">
        <f>MIN(100,MAX(0,0.55*E50+0.3*K50+0.15*L50-M50))</f>
        <v/>
      </c>
      <c r="O50" s="9">
        <f>IF(OR(A50="K",A50="DST"),"",N50)</f>
        <v/>
      </c>
      <c r="P50" s="6">
        <f>IF(O50="","",COUNTIF($O$3:$O$232,"&gt;"&amp;O50)+COUNTIF($O$3:O50,O50))</f>
        <v/>
      </c>
      <c r="Q50">
        <f>IF(A50="DST",IF(F50&lt;=GateSize,DstStart-1+F50,NSkill+2*GateSize+F50-GateSize),IF(A50="K",IF(F50&lt;=GateSize,KStart-1+F50,NSkill+GateSize+NDst+F50-GateSize),IF(P50&lt;=DstStart-1,P50,P50+2*GateSize)))</f>
        <v/>
      </c>
      <c r="R50" s="4">
        <f>'LIVE SOURCE'!E50</f>
        <v/>
      </c>
      <c r="S50" s="4">
        <f>R50-Q50</f>
        <v/>
      </c>
      <c r="T50">
        <f>'LIVE SOURCE'!F50</f>
        <v/>
      </c>
      <c r="U50" s="4">
        <f>MAX(40,E50-IF(T50="A",6,IF(T50="B",9,12)))</f>
        <v/>
      </c>
      <c r="V50" s="4">
        <f>E50</f>
        <v/>
      </c>
      <c r="W50" s="4">
        <f>MIN(100,E50+IF(T50="A",6,IF(T50="B",9,12)))</f>
        <v/>
      </c>
      <c r="X50">
        <f>'LIVE SOURCE'!G50</f>
        <v/>
      </c>
      <c r="Y50">
        <f>IF(INDEX('Draft Board'!$J$3:$J$232,Q50)="","Available",INDEX('Draft Board'!$J$3:$J$232,Q50))</f>
        <v/>
      </c>
      <c r="Z50">
        <f>IF(Y50&lt;&gt;"Available","",1+COUNTIFS($Y$3:$Y$232,"Available",$Q$3:$Q$232,"&lt;"&amp;Q50))</f>
        <v/>
      </c>
    </row>
    <row r="51">
      <c r="A51">
        <f>'LIVE SOURCE'!A51</f>
        <v/>
      </c>
      <c r="B51">
        <f>'LIVE SOURCE'!B51</f>
        <v/>
      </c>
      <c r="C51" s="4">
        <f>'LIVE SOURCE'!D51</f>
        <v/>
      </c>
      <c r="D51" s="4">
        <f>'Manual Adjustments'!G51</f>
        <v/>
      </c>
      <c r="E51" s="4">
        <f>MAX(40,MIN(100,C51+D51))</f>
        <v/>
      </c>
      <c r="F51">
        <f>COUNTIFS($A$3:$A$232,A51,$E$3:$E$232,"&gt;"&amp;E51)+COUNTIFS($A$3:A51,A51,$E$3:E51,E51)</f>
        <v/>
      </c>
      <c r="G51" s="4">
        <f>ROUND(INDEX('League Config'!$K$4:$K$9,MATCH(A51,'League Config'!$E$4:$E$9,0))*E51+INDEX('League Config'!$L$4:$L$9,MATCH(A51,'League Config'!$E$4:$E$9,0)),1)</f>
        <v/>
      </c>
      <c r="H51">
        <f>INDEX('League Config'!$H$4:$H$9,MATCH(A51,'League Config'!$E$4:$E$9,0))</f>
        <v/>
      </c>
      <c r="I51" s="4">
        <f>INDEX('League Config'!$I$4:$I$9,MATCH(A51,'League Config'!$E$4:$E$9,0))</f>
        <v/>
      </c>
      <c r="J51" s="4">
        <f>ROUND(G51-I51,1)</f>
        <v/>
      </c>
      <c r="K51" s="4">
        <f>MAX(0,MIN(100,50+J51*0.6))</f>
        <v/>
      </c>
      <c r="L51" s="4">
        <f>MIN(100,MAX(0,(1-(F51-1)/(H51*1.5))*100*INDEX('League Config'!$J$4:$J$9,MATCH(A51,'League Config'!$E$4:$E$9,0))))</f>
        <v/>
      </c>
      <c r="M51">
        <f>IF(A51="K",'League Config'!$B$14,IF(A51="DST",'League Config'!$B$15,IF(A51="QB",'League Config'!$B$16,0)))</f>
        <v/>
      </c>
      <c r="N51" s="4">
        <f>MIN(100,MAX(0,0.55*E51+0.3*K51+0.15*L51-M51))</f>
        <v/>
      </c>
      <c r="O51" s="9">
        <f>IF(OR(A51="K",A51="DST"),"",N51)</f>
        <v/>
      </c>
      <c r="P51" s="6">
        <f>IF(O51="","",COUNTIF($O$3:$O$232,"&gt;"&amp;O51)+COUNTIF($O$3:O51,O51))</f>
        <v/>
      </c>
      <c r="Q51">
        <f>IF(A51="DST",IF(F51&lt;=GateSize,DstStart-1+F51,NSkill+2*GateSize+F51-GateSize),IF(A51="K",IF(F51&lt;=GateSize,KStart-1+F51,NSkill+GateSize+NDst+F51-GateSize),IF(P51&lt;=DstStart-1,P51,P51+2*GateSize)))</f>
        <v/>
      </c>
      <c r="R51" s="4">
        <f>'LIVE SOURCE'!E51</f>
        <v/>
      </c>
      <c r="S51" s="4">
        <f>R51-Q51</f>
        <v/>
      </c>
      <c r="T51">
        <f>'LIVE SOURCE'!F51</f>
        <v/>
      </c>
      <c r="U51" s="4">
        <f>MAX(40,E51-IF(T51="A",6,IF(T51="B",9,12)))</f>
        <v/>
      </c>
      <c r="V51" s="4">
        <f>E51</f>
        <v/>
      </c>
      <c r="W51" s="4">
        <f>MIN(100,E51+IF(T51="A",6,IF(T51="B",9,12)))</f>
        <v/>
      </c>
      <c r="X51">
        <f>'LIVE SOURCE'!G51</f>
        <v/>
      </c>
      <c r="Y51">
        <f>IF(INDEX('Draft Board'!$J$3:$J$232,Q51)="","Available",INDEX('Draft Board'!$J$3:$J$232,Q51))</f>
        <v/>
      </c>
      <c r="Z51">
        <f>IF(Y51&lt;&gt;"Available","",1+COUNTIFS($Y$3:$Y$232,"Available",$Q$3:$Q$232,"&lt;"&amp;Q51))</f>
        <v/>
      </c>
    </row>
    <row r="52">
      <c r="A52">
        <f>'LIVE SOURCE'!A52</f>
        <v/>
      </c>
      <c r="B52">
        <f>'LIVE SOURCE'!B52</f>
        <v/>
      </c>
      <c r="C52" s="4">
        <f>'LIVE SOURCE'!D52</f>
        <v/>
      </c>
      <c r="D52" s="4">
        <f>'Manual Adjustments'!G52</f>
        <v/>
      </c>
      <c r="E52" s="4">
        <f>MAX(40,MIN(100,C52+D52))</f>
        <v/>
      </c>
      <c r="F52">
        <f>COUNTIFS($A$3:$A$232,A52,$E$3:$E$232,"&gt;"&amp;E52)+COUNTIFS($A$3:A52,A52,$E$3:E52,E52)</f>
        <v/>
      </c>
      <c r="G52" s="4">
        <f>ROUND(INDEX('League Config'!$K$4:$K$9,MATCH(A52,'League Config'!$E$4:$E$9,0))*E52+INDEX('League Config'!$L$4:$L$9,MATCH(A52,'League Config'!$E$4:$E$9,0)),1)</f>
        <v/>
      </c>
      <c r="H52">
        <f>INDEX('League Config'!$H$4:$H$9,MATCH(A52,'League Config'!$E$4:$E$9,0))</f>
        <v/>
      </c>
      <c r="I52" s="4">
        <f>INDEX('League Config'!$I$4:$I$9,MATCH(A52,'League Config'!$E$4:$E$9,0))</f>
        <v/>
      </c>
      <c r="J52" s="4">
        <f>ROUND(G52-I52,1)</f>
        <v/>
      </c>
      <c r="K52" s="4">
        <f>MAX(0,MIN(100,50+J52*0.6))</f>
        <v/>
      </c>
      <c r="L52" s="4">
        <f>MIN(100,MAX(0,(1-(F52-1)/(H52*1.5))*100*INDEX('League Config'!$J$4:$J$9,MATCH(A52,'League Config'!$E$4:$E$9,0))))</f>
        <v/>
      </c>
      <c r="M52">
        <f>IF(A52="K",'League Config'!$B$14,IF(A52="DST",'League Config'!$B$15,IF(A52="QB",'League Config'!$B$16,0)))</f>
        <v/>
      </c>
      <c r="N52" s="4">
        <f>MIN(100,MAX(0,0.55*E52+0.3*K52+0.15*L52-M52))</f>
        <v/>
      </c>
      <c r="O52" s="9">
        <f>IF(OR(A52="K",A52="DST"),"",N52)</f>
        <v/>
      </c>
      <c r="P52" s="6">
        <f>IF(O52="","",COUNTIF($O$3:$O$232,"&gt;"&amp;O52)+COUNTIF($O$3:O52,O52))</f>
        <v/>
      </c>
      <c r="Q52">
        <f>IF(A52="DST",IF(F52&lt;=GateSize,DstStart-1+F52,NSkill+2*GateSize+F52-GateSize),IF(A52="K",IF(F52&lt;=GateSize,KStart-1+F52,NSkill+GateSize+NDst+F52-GateSize),IF(P52&lt;=DstStart-1,P52,P52+2*GateSize)))</f>
        <v/>
      </c>
      <c r="R52" s="4">
        <f>'LIVE SOURCE'!E52</f>
        <v/>
      </c>
      <c r="S52" s="4">
        <f>R52-Q52</f>
        <v/>
      </c>
      <c r="T52">
        <f>'LIVE SOURCE'!F52</f>
        <v/>
      </c>
      <c r="U52" s="4">
        <f>MAX(40,E52-IF(T52="A",6,IF(T52="B",9,12)))</f>
        <v/>
      </c>
      <c r="V52" s="4">
        <f>E52</f>
        <v/>
      </c>
      <c r="W52" s="4">
        <f>MIN(100,E52+IF(T52="A",6,IF(T52="B",9,12)))</f>
        <v/>
      </c>
      <c r="X52">
        <f>'LIVE SOURCE'!G52</f>
        <v/>
      </c>
      <c r="Y52">
        <f>IF(INDEX('Draft Board'!$J$3:$J$232,Q52)="","Available",INDEX('Draft Board'!$J$3:$J$232,Q52))</f>
        <v/>
      </c>
      <c r="Z52">
        <f>IF(Y52&lt;&gt;"Available","",1+COUNTIFS($Y$3:$Y$232,"Available",$Q$3:$Q$232,"&lt;"&amp;Q52))</f>
        <v/>
      </c>
    </row>
    <row r="53">
      <c r="A53">
        <f>'LIVE SOURCE'!A53</f>
        <v/>
      </c>
      <c r="B53">
        <f>'LIVE SOURCE'!B53</f>
        <v/>
      </c>
      <c r="C53" s="4">
        <f>'LIVE SOURCE'!D53</f>
        <v/>
      </c>
      <c r="D53" s="4">
        <f>'Manual Adjustments'!G53</f>
        <v/>
      </c>
      <c r="E53" s="4">
        <f>MAX(40,MIN(100,C53+D53))</f>
        <v/>
      </c>
      <c r="F53">
        <f>COUNTIFS($A$3:$A$232,A53,$E$3:$E$232,"&gt;"&amp;E53)+COUNTIFS($A$3:A53,A53,$E$3:E53,E53)</f>
        <v/>
      </c>
      <c r="G53" s="4">
        <f>ROUND(INDEX('League Config'!$K$4:$K$9,MATCH(A53,'League Config'!$E$4:$E$9,0))*E53+INDEX('League Config'!$L$4:$L$9,MATCH(A53,'League Config'!$E$4:$E$9,0)),1)</f>
        <v/>
      </c>
      <c r="H53">
        <f>INDEX('League Config'!$H$4:$H$9,MATCH(A53,'League Config'!$E$4:$E$9,0))</f>
        <v/>
      </c>
      <c r="I53" s="4">
        <f>INDEX('League Config'!$I$4:$I$9,MATCH(A53,'League Config'!$E$4:$E$9,0))</f>
        <v/>
      </c>
      <c r="J53" s="4">
        <f>ROUND(G53-I53,1)</f>
        <v/>
      </c>
      <c r="K53" s="4">
        <f>MAX(0,MIN(100,50+J53*0.6))</f>
        <v/>
      </c>
      <c r="L53" s="4">
        <f>MIN(100,MAX(0,(1-(F53-1)/(H53*1.5))*100*INDEX('League Config'!$J$4:$J$9,MATCH(A53,'League Config'!$E$4:$E$9,0))))</f>
        <v/>
      </c>
      <c r="M53">
        <f>IF(A53="K",'League Config'!$B$14,IF(A53="DST",'League Config'!$B$15,IF(A53="QB",'League Config'!$B$16,0)))</f>
        <v/>
      </c>
      <c r="N53" s="4">
        <f>MIN(100,MAX(0,0.55*E53+0.3*K53+0.15*L53-M53))</f>
        <v/>
      </c>
      <c r="O53" s="9">
        <f>IF(OR(A53="K",A53="DST"),"",N53)</f>
        <v/>
      </c>
      <c r="P53" s="6">
        <f>IF(O53="","",COUNTIF($O$3:$O$232,"&gt;"&amp;O53)+COUNTIF($O$3:O53,O53))</f>
        <v/>
      </c>
      <c r="Q53">
        <f>IF(A53="DST",IF(F53&lt;=GateSize,DstStart-1+F53,NSkill+2*GateSize+F53-GateSize),IF(A53="K",IF(F53&lt;=GateSize,KStart-1+F53,NSkill+GateSize+NDst+F53-GateSize),IF(P53&lt;=DstStart-1,P53,P53+2*GateSize)))</f>
        <v/>
      </c>
      <c r="R53" s="4">
        <f>'LIVE SOURCE'!E53</f>
        <v/>
      </c>
      <c r="S53" s="4">
        <f>R53-Q53</f>
        <v/>
      </c>
      <c r="T53">
        <f>'LIVE SOURCE'!F53</f>
        <v/>
      </c>
      <c r="U53" s="4">
        <f>MAX(40,E53-IF(T53="A",6,IF(T53="B",9,12)))</f>
        <v/>
      </c>
      <c r="V53" s="4">
        <f>E53</f>
        <v/>
      </c>
      <c r="W53" s="4">
        <f>MIN(100,E53+IF(T53="A",6,IF(T53="B",9,12)))</f>
        <v/>
      </c>
      <c r="X53">
        <f>'LIVE SOURCE'!G53</f>
        <v/>
      </c>
      <c r="Y53">
        <f>IF(INDEX('Draft Board'!$J$3:$J$232,Q53)="","Available",INDEX('Draft Board'!$J$3:$J$232,Q53))</f>
        <v/>
      </c>
      <c r="Z53">
        <f>IF(Y53&lt;&gt;"Available","",1+COUNTIFS($Y$3:$Y$232,"Available",$Q$3:$Q$232,"&lt;"&amp;Q53))</f>
        <v/>
      </c>
    </row>
    <row r="54">
      <c r="A54">
        <f>'LIVE SOURCE'!A54</f>
        <v/>
      </c>
      <c r="B54">
        <f>'LIVE SOURCE'!B54</f>
        <v/>
      </c>
      <c r="C54" s="4">
        <f>'LIVE SOURCE'!D54</f>
        <v/>
      </c>
      <c r="D54" s="4">
        <f>'Manual Adjustments'!G54</f>
        <v/>
      </c>
      <c r="E54" s="4">
        <f>MAX(40,MIN(100,C54+D54))</f>
        <v/>
      </c>
      <c r="F54">
        <f>COUNTIFS($A$3:$A$232,A54,$E$3:$E$232,"&gt;"&amp;E54)+COUNTIFS($A$3:A54,A54,$E$3:E54,E54)</f>
        <v/>
      </c>
      <c r="G54" s="4">
        <f>ROUND(INDEX('League Config'!$K$4:$K$9,MATCH(A54,'League Config'!$E$4:$E$9,0))*E54+INDEX('League Config'!$L$4:$L$9,MATCH(A54,'League Config'!$E$4:$E$9,0)),1)</f>
        <v/>
      </c>
      <c r="H54">
        <f>INDEX('League Config'!$H$4:$H$9,MATCH(A54,'League Config'!$E$4:$E$9,0))</f>
        <v/>
      </c>
      <c r="I54" s="4">
        <f>INDEX('League Config'!$I$4:$I$9,MATCH(A54,'League Config'!$E$4:$E$9,0))</f>
        <v/>
      </c>
      <c r="J54" s="4">
        <f>ROUND(G54-I54,1)</f>
        <v/>
      </c>
      <c r="K54" s="4">
        <f>MAX(0,MIN(100,50+J54*0.6))</f>
        <v/>
      </c>
      <c r="L54" s="4">
        <f>MIN(100,MAX(0,(1-(F54-1)/(H54*1.5))*100*INDEX('League Config'!$J$4:$J$9,MATCH(A54,'League Config'!$E$4:$E$9,0))))</f>
        <v/>
      </c>
      <c r="M54">
        <f>IF(A54="K",'League Config'!$B$14,IF(A54="DST",'League Config'!$B$15,IF(A54="QB",'League Config'!$B$16,0)))</f>
        <v/>
      </c>
      <c r="N54" s="4">
        <f>MIN(100,MAX(0,0.55*E54+0.3*K54+0.15*L54-M54))</f>
        <v/>
      </c>
      <c r="O54" s="9">
        <f>IF(OR(A54="K",A54="DST"),"",N54)</f>
        <v/>
      </c>
      <c r="P54" s="6">
        <f>IF(O54="","",COUNTIF($O$3:$O$232,"&gt;"&amp;O54)+COUNTIF($O$3:O54,O54))</f>
        <v/>
      </c>
      <c r="Q54">
        <f>IF(A54="DST",IF(F54&lt;=GateSize,DstStart-1+F54,NSkill+2*GateSize+F54-GateSize),IF(A54="K",IF(F54&lt;=GateSize,KStart-1+F54,NSkill+GateSize+NDst+F54-GateSize),IF(P54&lt;=DstStart-1,P54,P54+2*GateSize)))</f>
        <v/>
      </c>
      <c r="R54" s="4">
        <f>'LIVE SOURCE'!E54</f>
        <v/>
      </c>
      <c r="S54" s="4">
        <f>R54-Q54</f>
        <v/>
      </c>
      <c r="T54">
        <f>'LIVE SOURCE'!F54</f>
        <v/>
      </c>
      <c r="U54" s="4">
        <f>MAX(40,E54-IF(T54="A",6,IF(T54="B",9,12)))</f>
        <v/>
      </c>
      <c r="V54" s="4">
        <f>E54</f>
        <v/>
      </c>
      <c r="W54" s="4">
        <f>MIN(100,E54+IF(T54="A",6,IF(T54="B",9,12)))</f>
        <v/>
      </c>
      <c r="X54">
        <f>'LIVE SOURCE'!G54</f>
        <v/>
      </c>
      <c r="Y54">
        <f>IF(INDEX('Draft Board'!$J$3:$J$232,Q54)="","Available",INDEX('Draft Board'!$J$3:$J$232,Q54))</f>
        <v/>
      </c>
      <c r="Z54">
        <f>IF(Y54&lt;&gt;"Available","",1+COUNTIFS($Y$3:$Y$232,"Available",$Q$3:$Q$232,"&lt;"&amp;Q54))</f>
        <v/>
      </c>
    </row>
    <row r="55">
      <c r="A55">
        <f>'LIVE SOURCE'!A55</f>
        <v/>
      </c>
      <c r="B55">
        <f>'LIVE SOURCE'!B55</f>
        <v/>
      </c>
      <c r="C55" s="4">
        <f>'LIVE SOURCE'!D55</f>
        <v/>
      </c>
      <c r="D55" s="4">
        <f>'Manual Adjustments'!G55</f>
        <v/>
      </c>
      <c r="E55" s="4">
        <f>MAX(40,MIN(100,C55+D55))</f>
        <v/>
      </c>
      <c r="F55">
        <f>COUNTIFS($A$3:$A$232,A55,$E$3:$E$232,"&gt;"&amp;E55)+COUNTIFS($A$3:A55,A55,$E$3:E55,E55)</f>
        <v/>
      </c>
      <c r="G55" s="4">
        <f>ROUND(INDEX('League Config'!$K$4:$K$9,MATCH(A55,'League Config'!$E$4:$E$9,0))*E55+INDEX('League Config'!$L$4:$L$9,MATCH(A55,'League Config'!$E$4:$E$9,0)),1)</f>
        <v/>
      </c>
      <c r="H55">
        <f>INDEX('League Config'!$H$4:$H$9,MATCH(A55,'League Config'!$E$4:$E$9,0))</f>
        <v/>
      </c>
      <c r="I55" s="4">
        <f>INDEX('League Config'!$I$4:$I$9,MATCH(A55,'League Config'!$E$4:$E$9,0))</f>
        <v/>
      </c>
      <c r="J55" s="4">
        <f>ROUND(G55-I55,1)</f>
        <v/>
      </c>
      <c r="K55" s="4">
        <f>MAX(0,MIN(100,50+J55*0.6))</f>
        <v/>
      </c>
      <c r="L55" s="4">
        <f>MIN(100,MAX(0,(1-(F55-1)/(H55*1.5))*100*INDEX('League Config'!$J$4:$J$9,MATCH(A55,'League Config'!$E$4:$E$9,0))))</f>
        <v/>
      </c>
      <c r="M55">
        <f>IF(A55="K",'League Config'!$B$14,IF(A55="DST",'League Config'!$B$15,IF(A55="QB",'League Config'!$B$16,0)))</f>
        <v/>
      </c>
      <c r="N55" s="4">
        <f>MIN(100,MAX(0,0.55*E55+0.3*K55+0.15*L55-M55))</f>
        <v/>
      </c>
      <c r="O55" s="9">
        <f>IF(OR(A55="K",A55="DST"),"",N55)</f>
        <v/>
      </c>
      <c r="P55" s="6">
        <f>IF(O55="","",COUNTIF($O$3:$O$232,"&gt;"&amp;O55)+COUNTIF($O$3:O55,O55))</f>
        <v/>
      </c>
      <c r="Q55">
        <f>IF(A55="DST",IF(F55&lt;=GateSize,DstStart-1+F55,NSkill+2*GateSize+F55-GateSize),IF(A55="K",IF(F55&lt;=GateSize,KStart-1+F55,NSkill+GateSize+NDst+F55-GateSize),IF(P55&lt;=DstStart-1,P55,P55+2*GateSize)))</f>
        <v/>
      </c>
      <c r="R55" s="4">
        <f>'LIVE SOURCE'!E55</f>
        <v/>
      </c>
      <c r="S55" s="4">
        <f>R55-Q55</f>
        <v/>
      </c>
      <c r="T55">
        <f>'LIVE SOURCE'!F55</f>
        <v/>
      </c>
      <c r="U55" s="4">
        <f>MAX(40,E55-IF(T55="A",6,IF(T55="B",9,12)))</f>
        <v/>
      </c>
      <c r="V55" s="4">
        <f>E55</f>
        <v/>
      </c>
      <c r="W55" s="4">
        <f>MIN(100,E55+IF(T55="A",6,IF(T55="B",9,12)))</f>
        <v/>
      </c>
      <c r="X55">
        <f>'LIVE SOURCE'!G55</f>
        <v/>
      </c>
      <c r="Y55">
        <f>IF(INDEX('Draft Board'!$J$3:$J$232,Q55)="","Available",INDEX('Draft Board'!$J$3:$J$232,Q55))</f>
        <v/>
      </c>
      <c r="Z55">
        <f>IF(Y55&lt;&gt;"Available","",1+COUNTIFS($Y$3:$Y$232,"Available",$Q$3:$Q$232,"&lt;"&amp;Q55))</f>
        <v/>
      </c>
    </row>
    <row r="56">
      <c r="A56">
        <f>'LIVE SOURCE'!A56</f>
        <v/>
      </c>
      <c r="B56">
        <f>'LIVE SOURCE'!B56</f>
        <v/>
      </c>
      <c r="C56" s="4">
        <f>'LIVE SOURCE'!D56</f>
        <v/>
      </c>
      <c r="D56" s="4">
        <f>'Manual Adjustments'!G56</f>
        <v/>
      </c>
      <c r="E56" s="4">
        <f>MAX(40,MIN(100,C56+D56))</f>
        <v/>
      </c>
      <c r="F56">
        <f>COUNTIFS($A$3:$A$232,A56,$E$3:$E$232,"&gt;"&amp;E56)+COUNTIFS($A$3:A56,A56,$E$3:E56,E56)</f>
        <v/>
      </c>
      <c r="G56" s="4">
        <f>ROUND(INDEX('League Config'!$K$4:$K$9,MATCH(A56,'League Config'!$E$4:$E$9,0))*E56+INDEX('League Config'!$L$4:$L$9,MATCH(A56,'League Config'!$E$4:$E$9,0)),1)</f>
        <v/>
      </c>
      <c r="H56">
        <f>INDEX('League Config'!$H$4:$H$9,MATCH(A56,'League Config'!$E$4:$E$9,0))</f>
        <v/>
      </c>
      <c r="I56" s="4">
        <f>INDEX('League Config'!$I$4:$I$9,MATCH(A56,'League Config'!$E$4:$E$9,0))</f>
        <v/>
      </c>
      <c r="J56" s="4">
        <f>ROUND(G56-I56,1)</f>
        <v/>
      </c>
      <c r="K56" s="4">
        <f>MAX(0,MIN(100,50+J56*0.6))</f>
        <v/>
      </c>
      <c r="L56" s="4">
        <f>MIN(100,MAX(0,(1-(F56-1)/(H56*1.5))*100*INDEX('League Config'!$J$4:$J$9,MATCH(A56,'League Config'!$E$4:$E$9,0))))</f>
        <v/>
      </c>
      <c r="M56">
        <f>IF(A56="K",'League Config'!$B$14,IF(A56="DST",'League Config'!$B$15,IF(A56="QB",'League Config'!$B$16,0)))</f>
        <v/>
      </c>
      <c r="N56" s="4">
        <f>MIN(100,MAX(0,0.55*E56+0.3*K56+0.15*L56-M56))</f>
        <v/>
      </c>
      <c r="O56" s="9">
        <f>IF(OR(A56="K",A56="DST"),"",N56)</f>
        <v/>
      </c>
      <c r="P56" s="6">
        <f>IF(O56="","",COUNTIF($O$3:$O$232,"&gt;"&amp;O56)+COUNTIF($O$3:O56,O56))</f>
        <v/>
      </c>
      <c r="Q56">
        <f>IF(A56="DST",IF(F56&lt;=GateSize,DstStart-1+F56,NSkill+2*GateSize+F56-GateSize),IF(A56="K",IF(F56&lt;=GateSize,KStart-1+F56,NSkill+GateSize+NDst+F56-GateSize),IF(P56&lt;=DstStart-1,P56,P56+2*GateSize)))</f>
        <v/>
      </c>
      <c r="R56" s="4">
        <f>'LIVE SOURCE'!E56</f>
        <v/>
      </c>
      <c r="S56" s="4">
        <f>R56-Q56</f>
        <v/>
      </c>
      <c r="T56">
        <f>'LIVE SOURCE'!F56</f>
        <v/>
      </c>
      <c r="U56" s="4">
        <f>MAX(40,E56-IF(T56="A",6,IF(T56="B",9,12)))</f>
        <v/>
      </c>
      <c r="V56" s="4">
        <f>E56</f>
        <v/>
      </c>
      <c r="W56" s="4">
        <f>MIN(100,E56+IF(T56="A",6,IF(T56="B",9,12)))</f>
        <v/>
      </c>
      <c r="X56">
        <f>'LIVE SOURCE'!G56</f>
        <v/>
      </c>
      <c r="Y56">
        <f>IF(INDEX('Draft Board'!$J$3:$J$232,Q56)="","Available",INDEX('Draft Board'!$J$3:$J$232,Q56))</f>
        <v/>
      </c>
      <c r="Z56">
        <f>IF(Y56&lt;&gt;"Available","",1+COUNTIFS($Y$3:$Y$232,"Available",$Q$3:$Q$232,"&lt;"&amp;Q56))</f>
        <v/>
      </c>
    </row>
    <row r="57">
      <c r="A57">
        <f>'LIVE SOURCE'!A57</f>
        <v/>
      </c>
      <c r="B57">
        <f>'LIVE SOURCE'!B57</f>
        <v/>
      </c>
      <c r="C57" s="4">
        <f>'LIVE SOURCE'!D57</f>
        <v/>
      </c>
      <c r="D57" s="4">
        <f>'Manual Adjustments'!G57</f>
        <v/>
      </c>
      <c r="E57" s="4">
        <f>MAX(40,MIN(100,C57+D57))</f>
        <v/>
      </c>
      <c r="F57">
        <f>COUNTIFS($A$3:$A$232,A57,$E$3:$E$232,"&gt;"&amp;E57)+COUNTIFS($A$3:A57,A57,$E$3:E57,E57)</f>
        <v/>
      </c>
      <c r="G57" s="4">
        <f>ROUND(INDEX('League Config'!$K$4:$K$9,MATCH(A57,'League Config'!$E$4:$E$9,0))*E57+INDEX('League Config'!$L$4:$L$9,MATCH(A57,'League Config'!$E$4:$E$9,0)),1)</f>
        <v/>
      </c>
      <c r="H57">
        <f>INDEX('League Config'!$H$4:$H$9,MATCH(A57,'League Config'!$E$4:$E$9,0))</f>
        <v/>
      </c>
      <c r="I57" s="4">
        <f>INDEX('League Config'!$I$4:$I$9,MATCH(A57,'League Config'!$E$4:$E$9,0))</f>
        <v/>
      </c>
      <c r="J57" s="4">
        <f>ROUND(G57-I57,1)</f>
        <v/>
      </c>
      <c r="K57" s="4">
        <f>MAX(0,MIN(100,50+J57*0.6))</f>
        <v/>
      </c>
      <c r="L57" s="4">
        <f>MIN(100,MAX(0,(1-(F57-1)/(H57*1.5))*100*INDEX('League Config'!$J$4:$J$9,MATCH(A57,'League Config'!$E$4:$E$9,0))))</f>
        <v/>
      </c>
      <c r="M57">
        <f>IF(A57="K",'League Config'!$B$14,IF(A57="DST",'League Config'!$B$15,IF(A57="QB",'League Config'!$B$16,0)))</f>
        <v/>
      </c>
      <c r="N57" s="4">
        <f>MIN(100,MAX(0,0.55*E57+0.3*K57+0.15*L57-M57))</f>
        <v/>
      </c>
      <c r="O57" s="9">
        <f>IF(OR(A57="K",A57="DST"),"",N57)</f>
        <v/>
      </c>
      <c r="P57" s="6">
        <f>IF(O57="","",COUNTIF($O$3:$O$232,"&gt;"&amp;O57)+COUNTIF($O$3:O57,O57))</f>
        <v/>
      </c>
      <c r="Q57">
        <f>IF(A57="DST",IF(F57&lt;=GateSize,DstStart-1+F57,NSkill+2*GateSize+F57-GateSize),IF(A57="K",IF(F57&lt;=GateSize,KStart-1+F57,NSkill+GateSize+NDst+F57-GateSize),IF(P57&lt;=DstStart-1,P57,P57+2*GateSize)))</f>
        <v/>
      </c>
      <c r="R57" s="4">
        <f>'LIVE SOURCE'!E57</f>
        <v/>
      </c>
      <c r="S57" s="4">
        <f>R57-Q57</f>
        <v/>
      </c>
      <c r="T57">
        <f>'LIVE SOURCE'!F57</f>
        <v/>
      </c>
      <c r="U57" s="4">
        <f>MAX(40,E57-IF(T57="A",6,IF(T57="B",9,12)))</f>
        <v/>
      </c>
      <c r="V57" s="4">
        <f>E57</f>
        <v/>
      </c>
      <c r="W57" s="4">
        <f>MIN(100,E57+IF(T57="A",6,IF(T57="B",9,12)))</f>
        <v/>
      </c>
      <c r="X57">
        <f>'LIVE SOURCE'!G57</f>
        <v/>
      </c>
      <c r="Y57">
        <f>IF(INDEX('Draft Board'!$J$3:$J$232,Q57)="","Available",INDEX('Draft Board'!$J$3:$J$232,Q57))</f>
        <v/>
      </c>
      <c r="Z57">
        <f>IF(Y57&lt;&gt;"Available","",1+COUNTIFS($Y$3:$Y$232,"Available",$Q$3:$Q$232,"&lt;"&amp;Q57))</f>
        <v/>
      </c>
    </row>
    <row r="58">
      <c r="A58">
        <f>'LIVE SOURCE'!A58</f>
        <v/>
      </c>
      <c r="B58">
        <f>'LIVE SOURCE'!B58</f>
        <v/>
      </c>
      <c r="C58" s="4">
        <f>'LIVE SOURCE'!D58</f>
        <v/>
      </c>
      <c r="D58" s="4">
        <f>'Manual Adjustments'!G58</f>
        <v/>
      </c>
      <c r="E58" s="4">
        <f>MAX(40,MIN(100,C58+D58))</f>
        <v/>
      </c>
      <c r="F58">
        <f>COUNTIFS($A$3:$A$232,A58,$E$3:$E$232,"&gt;"&amp;E58)+COUNTIFS($A$3:A58,A58,$E$3:E58,E58)</f>
        <v/>
      </c>
      <c r="G58" s="4">
        <f>ROUND(INDEX('League Config'!$K$4:$K$9,MATCH(A58,'League Config'!$E$4:$E$9,0))*E58+INDEX('League Config'!$L$4:$L$9,MATCH(A58,'League Config'!$E$4:$E$9,0)),1)</f>
        <v/>
      </c>
      <c r="H58">
        <f>INDEX('League Config'!$H$4:$H$9,MATCH(A58,'League Config'!$E$4:$E$9,0))</f>
        <v/>
      </c>
      <c r="I58" s="4">
        <f>INDEX('League Config'!$I$4:$I$9,MATCH(A58,'League Config'!$E$4:$E$9,0))</f>
        <v/>
      </c>
      <c r="J58" s="4">
        <f>ROUND(G58-I58,1)</f>
        <v/>
      </c>
      <c r="K58" s="4">
        <f>MAX(0,MIN(100,50+J58*0.6))</f>
        <v/>
      </c>
      <c r="L58" s="4">
        <f>MIN(100,MAX(0,(1-(F58-1)/(H58*1.5))*100*INDEX('League Config'!$J$4:$J$9,MATCH(A58,'League Config'!$E$4:$E$9,0))))</f>
        <v/>
      </c>
      <c r="M58">
        <f>IF(A58="K",'League Config'!$B$14,IF(A58="DST",'League Config'!$B$15,IF(A58="QB",'League Config'!$B$16,0)))</f>
        <v/>
      </c>
      <c r="N58" s="4">
        <f>MIN(100,MAX(0,0.55*E58+0.3*K58+0.15*L58-M58))</f>
        <v/>
      </c>
      <c r="O58" s="9">
        <f>IF(OR(A58="K",A58="DST"),"",N58)</f>
        <v/>
      </c>
      <c r="P58" s="6">
        <f>IF(O58="","",COUNTIF($O$3:$O$232,"&gt;"&amp;O58)+COUNTIF($O$3:O58,O58))</f>
        <v/>
      </c>
      <c r="Q58">
        <f>IF(A58="DST",IF(F58&lt;=GateSize,DstStart-1+F58,NSkill+2*GateSize+F58-GateSize),IF(A58="K",IF(F58&lt;=GateSize,KStart-1+F58,NSkill+GateSize+NDst+F58-GateSize),IF(P58&lt;=DstStart-1,P58,P58+2*GateSize)))</f>
        <v/>
      </c>
      <c r="R58" s="4">
        <f>'LIVE SOURCE'!E58</f>
        <v/>
      </c>
      <c r="S58" s="4">
        <f>R58-Q58</f>
        <v/>
      </c>
      <c r="T58">
        <f>'LIVE SOURCE'!F58</f>
        <v/>
      </c>
      <c r="U58" s="4">
        <f>MAX(40,E58-IF(T58="A",6,IF(T58="B",9,12)))</f>
        <v/>
      </c>
      <c r="V58" s="4">
        <f>E58</f>
        <v/>
      </c>
      <c r="W58" s="4">
        <f>MIN(100,E58+IF(T58="A",6,IF(T58="B",9,12)))</f>
        <v/>
      </c>
      <c r="X58">
        <f>'LIVE SOURCE'!G58</f>
        <v/>
      </c>
      <c r="Y58">
        <f>IF(INDEX('Draft Board'!$J$3:$J$232,Q58)="","Available",INDEX('Draft Board'!$J$3:$J$232,Q58))</f>
        <v/>
      </c>
      <c r="Z58">
        <f>IF(Y58&lt;&gt;"Available","",1+COUNTIFS($Y$3:$Y$232,"Available",$Q$3:$Q$232,"&lt;"&amp;Q58))</f>
        <v/>
      </c>
    </row>
    <row r="59">
      <c r="A59">
        <f>'LIVE SOURCE'!A59</f>
        <v/>
      </c>
      <c r="B59">
        <f>'LIVE SOURCE'!B59</f>
        <v/>
      </c>
      <c r="C59" s="4">
        <f>'LIVE SOURCE'!D59</f>
        <v/>
      </c>
      <c r="D59" s="4">
        <f>'Manual Adjustments'!G59</f>
        <v/>
      </c>
      <c r="E59" s="4">
        <f>MAX(40,MIN(100,C59+D59))</f>
        <v/>
      </c>
      <c r="F59">
        <f>COUNTIFS($A$3:$A$232,A59,$E$3:$E$232,"&gt;"&amp;E59)+COUNTIFS($A$3:A59,A59,$E$3:E59,E59)</f>
        <v/>
      </c>
      <c r="G59" s="4">
        <f>ROUND(INDEX('League Config'!$K$4:$K$9,MATCH(A59,'League Config'!$E$4:$E$9,0))*E59+INDEX('League Config'!$L$4:$L$9,MATCH(A59,'League Config'!$E$4:$E$9,0)),1)</f>
        <v/>
      </c>
      <c r="H59">
        <f>INDEX('League Config'!$H$4:$H$9,MATCH(A59,'League Config'!$E$4:$E$9,0))</f>
        <v/>
      </c>
      <c r="I59" s="4">
        <f>INDEX('League Config'!$I$4:$I$9,MATCH(A59,'League Config'!$E$4:$E$9,0))</f>
        <v/>
      </c>
      <c r="J59" s="4">
        <f>ROUND(G59-I59,1)</f>
        <v/>
      </c>
      <c r="K59" s="4">
        <f>MAX(0,MIN(100,50+J59*0.6))</f>
        <v/>
      </c>
      <c r="L59" s="4">
        <f>MIN(100,MAX(0,(1-(F59-1)/(H59*1.5))*100*INDEX('League Config'!$J$4:$J$9,MATCH(A59,'League Config'!$E$4:$E$9,0))))</f>
        <v/>
      </c>
      <c r="M59">
        <f>IF(A59="K",'League Config'!$B$14,IF(A59="DST",'League Config'!$B$15,IF(A59="QB",'League Config'!$B$16,0)))</f>
        <v/>
      </c>
      <c r="N59" s="4">
        <f>MIN(100,MAX(0,0.55*E59+0.3*K59+0.15*L59-M59))</f>
        <v/>
      </c>
      <c r="O59" s="9">
        <f>IF(OR(A59="K",A59="DST"),"",N59)</f>
        <v/>
      </c>
      <c r="P59" s="6">
        <f>IF(O59="","",COUNTIF($O$3:$O$232,"&gt;"&amp;O59)+COUNTIF($O$3:O59,O59))</f>
        <v/>
      </c>
      <c r="Q59">
        <f>IF(A59="DST",IF(F59&lt;=GateSize,DstStart-1+F59,NSkill+2*GateSize+F59-GateSize),IF(A59="K",IF(F59&lt;=GateSize,KStart-1+F59,NSkill+GateSize+NDst+F59-GateSize),IF(P59&lt;=DstStart-1,P59,P59+2*GateSize)))</f>
        <v/>
      </c>
      <c r="R59" s="4">
        <f>'LIVE SOURCE'!E59</f>
        <v/>
      </c>
      <c r="S59" s="4">
        <f>R59-Q59</f>
        <v/>
      </c>
      <c r="T59">
        <f>'LIVE SOURCE'!F59</f>
        <v/>
      </c>
      <c r="U59" s="4">
        <f>MAX(40,E59-IF(T59="A",6,IF(T59="B",9,12)))</f>
        <v/>
      </c>
      <c r="V59" s="4">
        <f>E59</f>
        <v/>
      </c>
      <c r="W59" s="4">
        <f>MIN(100,E59+IF(T59="A",6,IF(T59="B",9,12)))</f>
        <v/>
      </c>
      <c r="X59">
        <f>'LIVE SOURCE'!G59</f>
        <v/>
      </c>
      <c r="Y59">
        <f>IF(INDEX('Draft Board'!$J$3:$J$232,Q59)="","Available",INDEX('Draft Board'!$J$3:$J$232,Q59))</f>
        <v/>
      </c>
      <c r="Z59">
        <f>IF(Y59&lt;&gt;"Available","",1+COUNTIFS($Y$3:$Y$232,"Available",$Q$3:$Q$232,"&lt;"&amp;Q59))</f>
        <v/>
      </c>
    </row>
    <row r="60">
      <c r="A60">
        <f>'LIVE SOURCE'!A60</f>
        <v/>
      </c>
      <c r="B60">
        <f>'LIVE SOURCE'!B60</f>
        <v/>
      </c>
      <c r="C60" s="4">
        <f>'LIVE SOURCE'!D60</f>
        <v/>
      </c>
      <c r="D60" s="4">
        <f>'Manual Adjustments'!G60</f>
        <v/>
      </c>
      <c r="E60" s="4">
        <f>MAX(40,MIN(100,C60+D60))</f>
        <v/>
      </c>
      <c r="F60">
        <f>COUNTIFS($A$3:$A$232,A60,$E$3:$E$232,"&gt;"&amp;E60)+COUNTIFS($A$3:A60,A60,$E$3:E60,E60)</f>
        <v/>
      </c>
      <c r="G60" s="4">
        <f>ROUND(INDEX('League Config'!$K$4:$K$9,MATCH(A60,'League Config'!$E$4:$E$9,0))*E60+INDEX('League Config'!$L$4:$L$9,MATCH(A60,'League Config'!$E$4:$E$9,0)),1)</f>
        <v/>
      </c>
      <c r="H60">
        <f>INDEX('League Config'!$H$4:$H$9,MATCH(A60,'League Config'!$E$4:$E$9,0))</f>
        <v/>
      </c>
      <c r="I60" s="4">
        <f>INDEX('League Config'!$I$4:$I$9,MATCH(A60,'League Config'!$E$4:$E$9,0))</f>
        <v/>
      </c>
      <c r="J60" s="4">
        <f>ROUND(G60-I60,1)</f>
        <v/>
      </c>
      <c r="K60" s="4">
        <f>MAX(0,MIN(100,50+J60*0.6))</f>
        <v/>
      </c>
      <c r="L60" s="4">
        <f>MIN(100,MAX(0,(1-(F60-1)/(H60*1.5))*100*INDEX('League Config'!$J$4:$J$9,MATCH(A60,'League Config'!$E$4:$E$9,0))))</f>
        <v/>
      </c>
      <c r="M60">
        <f>IF(A60="K",'League Config'!$B$14,IF(A60="DST",'League Config'!$B$15,IF(A60="QB",'League Config'!$B$16,0)))</f>
        <v/>
      </c>
      <c r="N60" s="4">
        <f>MIN(100,MAX(0,0.55*E60+0.3*K60+0.15*L60-M60))</f>
        <v/>
      </c>
      <c r="O60" s="9">
        <f>IF(OR(A60="K",A60="DST"),"",N60)</f>
        <v/>
      </c>
      <c r="P60" s="6">
        <f>IF(O60="","",COUNTIF($O$3:$O$232,"&gt;"&amp;O60)+COUNTIF($O$3:O60,O60))</f>
        <v/>
      </c>
      <c r="Q60">
        <f>IF(A60="DST",IF(F60&lt;=GateSize,DstStart-1+F60,NSkill+2*GateSize+F60-GateSize),IF(A60="K",IF(F60&lt;=GateSize,KStart-1+F60,NSkill+GateSize+NDst+F60-GateSize),IF(P60&lt;=DstStart-1,P60,P60+2*GateSize)))</f>
        <v/>
      </c>
      <c r="R60" s="4">
        <f>'LIVE SOURCE'!E60</f>
        <v/>
      </c>
      <c r="S60" s="4">
        <f>R60-Q60</f>
        <v/>
      </c>
      <c r="T60">
        <f>'LIVE SOURCE'!F60</f>
        <v/>
      </c>
      <c r="U60" s="4">
        <f>MAX(40,E60-IF(T60="A",6,IF(T60="B",9,12)))</f>
        <v/>
      </c>
      <c r="V60" s="4">
        <f>E60</f>
        <v/>
      </c>
      <c r="W60" s="4">
        <f>MIN(100,E60+IF(T60="A",6,IF(T60="B",9,12)))</f>
        <v/>
      </c>
      <c r="X60">
        <f>'LIVE SOURCE'!G60</f>
        <v/>
      </c>
      <c r="Y60">
        <f>IF(INDEX('Draft Board'!$J$3:$J$232,Q60)="","Available",INDEX('Draft Board'!$J$3:$J$232,Q60))</f>
        <v/>
      </c>
      <c r="Z60">
        <f>IF(Y60&lt;&gt;"Available","",1+COUNTIFS($Y$3:$Y$232,"Available",$Q$3:$Q$232,"&lt;"&amp;Q60))</f>
        <v/>
      </c>
    </row>
    <row r="61">
      <c r="A61">
        <f>'LIVE SOURCE'!A61</f>
        <v/>
      </c>
      <c r="B61">
        <f>'LIVE SOURCE'!B61</f>
        <v/>
      </c>
      <c r="C61" s="4">
        <f>'LIVE SOURCE'!D61</f>
        <v/>
      </c>
      <c r="D61" s="4">
        <f>'Manual Adjustments'!G61</f>
        <v/>
      </c>
      <c r="E61" s="4">
        <f>MAX(40,MIN(100,C61+D61))</f>
        <v/>
      </c>
      <c r="F61">
        <f>COUNTIFS($A$3:$A$232,A61,$E$3:$E$232,"&gt;"&amp;E61)+COUNTIFS($A$3:A61,A61,$E$3:E61,E61)</f>
        <v/>
      </c>
      <c r="G61" s="4">
        <f>ROUND(INDEX('League Config'!$K$4:$K$9,MATCH(A61,'League Config'!$E$4:$E$9,0))*E61+INDEX('League Config'!$L$4:$L$9,MATCH(A61,'League Config'!$E$4:$E$9,0)),1)</f>
        <v/>
      </c>
      <c r="H61">
        <f>INDEX('League Config'!$H$4:$H$9,MATCH(A61,'League Config'!$E$4:$E$9,0))</f>
        <v/>
      </c>
      <c r="I61" s="4">
        <f>INDEX('League Config'!$I$4:$I$9,MATCH(A61,'League Config'!$E$4:$E$9,0))</f>
        <v/>
      </c>
      <c r="J61" s="4">
        <f>ROUND(G61-I61,1)</f>
        <v/>
      </c>
      <c r="K61" s="4">
        <f>MAX(0,MIN(100,50+J61*0.6))</f>
        <v/>
      </c>
      <c r="L61" s="4">
        <f>MIN(100,MAX(0,(1-(F61-1)/(H61*1.5))*100*INDEX('League Config'!$J$4:$J$9,MATCH(A61,'League Config'!$E$4:$E$9,0))))</f>
        <v/>
      </c>
      <c r="M61">
        <f>IF(A61="K",'League Config'!$B$14,IF(A61="DST",'League Config'!$B$15,IF(A61="QB",'League Config'!$B$16,0)))</f>
        <v/>
      </c>
      <c r="N61" s="4">
        <f>MIN(100,MAX(0,0.55*E61+0.3*K61+0.15*L61-M61))</f>
        <v/>
      </c>
      <c r="O61" s="9">
        <f>IF(OR(A61="K",A61="DST"),"",N61)</f>
        <v/>
      </c>
      <c r="P61" s="6">
        <f>IF(O61="","",COUNTIF($O$3:$O$232,"&gt;"&amp;O61)+COUNTIF($O$3:O61,O61))</f>
        <v/>
      </c>
      <c r="Q61">
        <f>IF(A61="DST",IF(F61&lt;=GateSize,DstStart-1+F61,NSkill+2*GateSize+F61-GateSize),IF(A61="K",IF(F61&lt;=GateSize,KStart-1+F61,NSkill+GateSize+NDst+F61-GateSize),IF(P61&lt;=DstStart-1,P61,P61+2*GateSize)))</f>
        <v/>
      </c>
      <c r="R61" s="4">
        <f>'LIVE SOURCE'!E61</f>
        <v/>
      </c>
      <c r="S61" s="4">
        <f>R61-Q61</f>
        <v/>
      </c>
      <c r="T61">
        <f>'LIVE SOURCE'!F61</f>
        <v/>
      </c>
      <c r="U61" s="4">
        <f>MAX(40,E61-IF(T61="A",6,IF(T61="B",9,12)))</f>
        <v/>
      </c>
      <c r="V61" s="4">
        <f>E61</f>
        <v/>
      </c>
      <c r="W61" s="4">
        <f>MIN(100,E61+IF(T61="A",6,IF(T61="B",9,12)))</f>
        <v/>
      </c>
      <c r="X61">
        <f>'LIVE SOURCE'!G61</f>
        <v/>
      </c>
      <c r="Y61">
        <f>IF(INDEX('Draft Board'!$J$3:$J$232,Q61)="","Available",INDEX('Draft Board'!$J$3:$J$232,Q61))</f>
        <v/>
      </c>
      <c r="Z61">
        <f>IF(Y61&lt;&gt;"Available","",1+COUNTIFS($Y$3:$Y$232,"Available",$Q$3:$Q$232,"&lt;"&amp;Q61))</f>
        <v/>
      </c>
    </row>
    <row r="62">
      <c r="A62">
        <f>'LIVE SOURCE'!A62</f>
        <v/>
      </c>
      <c r="B62">
        <f>'LIVE SOURCE'!B62</f>
        <v/>
      </c>
      <c r="C62" s="4">
        <f>'LIVE SOURCE'!D62</f>
        <v/>
      </c>
      <c r="D62" s="4">
        <f>'Manual Adjustments'!G62</f>
        <v/>
      </c>
      <c r="E62" s="4">
        <f>MAX(40,MIN(100,C62+D62))</f>
        <v/>
      </c>
      <c r="F62">
        <f>COUNTIFS($A$3:$A$232,A62,$E$3:$E$232,"&gt;"&amp;E62)+COUNTIFS($A$3:A62,A62,$E$3:E62,E62)</f>
        <v/>
      </c>
      <c r="G62" s="4">
        <f>ROUND(INDEX('League Config'!$K$4:$K$9,MATCH(A62,'League Config'!$E$4:$E$9,0))*E62+INDEX('League Config'!$L$4:$L$9,MATCH(A62,'League Config'!$E$4:$E$9,0)),1)</f>
        <v/>
      </c>
      <c r="H62">
        <f>INDEX('League Config'!$H$4:$H$9,MATCH(A62,'League Config'!$E$4:$E$9,0))</f>
        <v/>
      </c>
      <c r="I62" s="4">
        <f>INDEX('League Config'!$I$4:$I$9,MATCH(A62,'League Config'!$E$4:$E$9,0))</f>
        <v/>
      </c>
      <c r="J62" s="4">
        <f>ROUND(G62-I62,1)</f>
        <v/>
      </c>
      <c r="K62" s="4">
        <f>MAX(0,MIN(100,50+J62*0.6))</f>
        <v/>
      </c>
      <c r="L62" s="4">
        <f>MIN(100,MAX(0,(1-(F62-1)/(H62*1.5))*100*INDEX('League Config'!$J$4:$J$9,MATCH(A62,'League Config'!$E$4:$E$9,0))))</f>
        <v/>
      </c>
      <c r="M62">
        <f>IF(A62="K",'League Config'!$B$14,IF(A62="DST",'League Config'!$B$15,IF(A62="QB",'League Config'!$B$16,0)))</f>
        <v/>
      </c>
      <c r="N62" s="4">
        <f>MIN(100,MAX(0,0.55*E62+0.3*K62+0.15*L62-M62))</f>
        <v/>
      </c>
      <c r="O62" s="9">
        <f>IF(OR(A62="K",A62="DST"),"",N62)</f>
        <v/>
      </c>
      <c r="P62" s="6">
        <f>IF(O62="","",COUNTIF($O$3:$O$232,"&gt;"&amp;O62)+COUNTIF($O$3:O62,O62))</f>
        <v/>
      </c>
      <c r="Q62">
        <f>IF(A62="DST",IF(F62&lt;=GateSize,DstStart-1+F62,NSkill+2*GateSize+F62-GateSize),IF(A62="K",IF(F62&lt;=GateSize,KStart-1+F62,NSkill+GateSize+NDst+F62-GateSize),IF(P62&lt;=DstStart-1,P62,P62+2*GateSize)))</f>
        <v/>
      </c>
      <c r="R62" s="4">
        <f>'LIVE SOURCE'!E62</f>
        <v/>
      </c>
      <c r="S62" s="4">
        <f>R62-Q62</f>
        <v/>
      </c>
      <c r="T62">
        <f>'LIVE SOURCE'!F62</f>
        <v/>
      </c>
      <c r="U62" s="4">
        <f>MAX(40,E62-IF(T62="A",6,IF(T62="B",9,12)))</f>
        <v/>
      </c>
      <c r="V62" s="4">
        <f>E62</f>
        <v/>
      </c>
      <c r="W62" s="4">
        <f>MIN(100,E62+IF(T62="A",6,IF(T62="B",9,12)))</f>
        <v/>
      </c>
      <c r="X62">
        <f>'LIVE SOURCE'!G62</f>
        <v/>
      </c>
      <c r="Y62">
        <f>IF(INDEX('Draft Board'!$J$3:$J$232,Q62)="","Available",INDEX('Draft Board'!$J$3:$J$232,Q62))</f>
        <v/>
      </c>
      <c r="Z62">
        <f>IF(Y62&lt;&gt;"Available","",1+COUNTIFS($Y$3:$Y$232,"Available",$Q$3:$Q$232,"&lt;"&amp;Q62))</f>
        <v/>
      </c>
    </row>
    <row r="63">
      <c r="A63">
        <f>'LIVE SOURCE'!A63</f>
        <v/>
      </c>
      <c r="B63">
        <f>'LIVE SOURCE'!B63</f>
        <v/>
      </c>
      <c r="C63" s="4">
        <f>'LIVE SOURCE'!D63</f>
        <v/>
      </c>
      <c r="D63" s="4">
        <f>'Manual Adjustments'!G63</f>
        <v/>
      </c>
      <c r="E63" s="4">
        <f>MAX(40,MIN(100,C63+D63))</f>
        <v/>
      </c>
      <c r="F63">
        <f>COUNTIFS($A$3:$A$232,A63,$E$3:$E$232,"&gt;"&amp;E63)+COUNTIFS($A$3:A63,A63,$E$3:E63,E63)</f>
        <v/>
      </c>
      <c r="G63" s="4">
        <f>ROUND(INDEX('League Config'!$K$4:$K$9,MATCH(A63,'League Config'!$E$4:$E$9,0))*E63+INDEX('League Config'!$L$4:$L$9,MATCH(A63,'League Config'!$E$4:$E$9,0)),1)</f>
        <v/>
      </c>
      <c r="H63">
        <f>INDEX('League Config'!$H$4:$H$9,MATCH(A63,'League Config'!$E$4:$E$9,0))</f>
        <v/>
      </c>
      <c r="I63" s="4">
        <f>INDEX('League Config'!$I$4:$I$9,MATCH(A63,'League Config'!$E$4:$E$9,0))</f>
        <v/>
      </c>
      <c r="J63" s="4">
        <f>ROUND(G63-I63,1)</f>
        <v/>
      </c>
      <c r="K63" s="4">
        <f>MAX(0,MIN(100,50+J63*0.6))</f>
        <v/>
      </c>
      <c r="L63" s="4">
        <f>MIN(100,MAX(0,(1-(F63-1)/(H63*1.5))*100*INDEX('League Config'!$J$4:$J$9,MATCH(A63,'League Config'!$E$4:$E$9,0))))</f>
        <v/>
      </c>
      <c r="M63">
        <f>IF(A63="K",'League Config'!$B$14,IF(A63="DST",'League Config'!$B$15,IF(A63="QB",'League Config'!$B$16,0)))</f>
        <v/>
      </c>
      <c r="N63" s="4">
        <f>MIN(100,MAX(0,0.55*E63+0.3*K63+0.15*L63-M63))</f>
        <v/>
      </c>
      <c r="O63" s="9">
        <f>IF(OR(A63="K",A63="DST"),"",N63)</f>
        <v/>
      </c>
      <c r="P63" s="6">
        <f>IF(O63="","",COUNTIF($O$3:$O$232,"&gt;"&amp;O63)+COUNTIF($O$3:O63,O63))</f>
        <v/>
      </c>
      <c r="Q63">
        <f>IF(A63="DST",IF(F63&lt;=GateSize,DstStart-1+F63,NSkill+2*GateSize+F63-GateSize),IF(A63="K",IF(F63&lt;=GateSize,KStart-1+F63,NSkill+GateSize+NDst+F63-GateSize),IF(P63&lt;=DstStart-1,P63,P63+2*GateSize)))</f>
        <v/>
      </c>
      <c r="R63" s="4">
        <f>'LIVE SOURCE'!E63</f>
        <v/>
      </c>
      <c r="S63" s="4">
        <f>R63-Q63</f>
        <v/>
      </c>
      <c r="T63">
        <f>'LIVE SOURCE'!F63</f>
        <v/>
      </c>
      <c r="U63" s="4">
        <f>MAX(40,E63-IF(T63="A",6,IF(T63="B",9,12)))</f>
        <v/>
      </c>
      <c r="V63" s="4">
        <f>E63</f>
        <v/>
      </c>
      <c r="W63" s="4">
        <f>MIN(100,E63+IF(T63="A",6,IF(T63="B",9,12)))</f>
        <v/>
      </c>
      <c r="X63">
        <f>'LIVE SOURCE'!G63</f>
        <v/>
      </c>
      <c r="Y63">
        <f>IF(INDEX('Draft Board'!$J$3:$J$232,Q63)="","Available",INDEX('Draft Board'!$J$3:$J$232,Q63))</f>
        <v/>
      </c>
      <c r="Z63">
        <f>IF(Y63&lt;&gt;"Available","",1+COUNTIFS($Y$3:$Y$232,"Available",$Q$3:$Q$232,"&lt;"&amp;Q63))</f>
        <v/>
      </c>
    </row>
    <row r="64">
      <c r="A64">
        <f>'LIVE SOURCE'!A64</f>
        <v/>
      </c>
      <c r="B64">
        <f>'LIVE SOURCE'!B64</f>
        <v/>
      </c>
      <c r="C64" s="4">
        <f>'LIVE SOURCE'!D64</f>
        <v/>
      </c>
      <c r="D64" s="4">
        <f>'Manual Adjustments'!G64</f>
        <v/>
      </c>
      <c r="E64" s="4">
        <f>MAX(40,MIN(100,C64+D64))</f>
        <v/>
      </c>
      <c r="F64">
        <f>COUNTIFS($A$3:$A$232,A64,$E$3:$E$232,"&gt;"&amp;E64)+COUNTIFS($A$3:A64,A64,$E$3:E64,E64)</f>
        <v/>
      </c>
      <c r="G64" s="4">
        <f>ROUND(INDEX('League Config'!$K$4:$K$9,MATCH(A64,'League Config'!$E$4:$E$9,0))*E64+INDEX('League Config'!$L$4:$L$9,MATCH(A64,'League Config'!$E$4:$E$9,0)),1)</f>
        <v/>
      </c>
      <c r="H64">
        <f>INDEX('League Config'!$H$4:$H$9,MATCH(A64,'League Config'!$E$4:$E$9,0))</f>
        <v/>
      </c>
      <c r="I64" s="4">
        <f>INDEX('League Config'!$I$4:$I$9,MATCH(A64,'League Config'!$E$4:$E$9,0))</f>
        <v/>
      </c>
      <c r="J64" s="4">
        <f>ROUND(G64-I64,1)</f>
        <v/>
      </c>
      <c r="K64" s="4">
        <f>MAX(0,MIN(100,50+J64*0.6))</f>
        <v/>
      </c>
      <c r="L64" s="4">
        <f>MIN(100,MAX(0,(1-(F64-1)/(H64*1.5))*100*INDEX('League Config'!$J$4:$J$9,MATCH(A64,'League Config'!$E$4:$E$9,0))))</f>
        <v/>
      </c>
      <c r="M64">
        <f>IF(A64="K",'League Config'!$B$14,IF(A64="DST",'League Config'!$B$15,IF(A64="QB",'League Config'!$B$16,0)))</f>
        <v/>
      </c>
      <c r="N64" s="4">
        <f>MIN(100,MAX(0,0.55*E64+0.3*K64+0.15*L64-M64))</f>
        <v/>
      </c>
      <c r="O64" s="9">
        <f>IF(OR(A64="K",A64="DST"),"",N64)</f>
        <v/>
      </c>
      <c r="P64" s="6">
        <f>IF(O64="","",COUNTIF($O$3:$O$232,"&gt;"&amp;O64)+COUNTIF($O$3:O64,O64))</f>
        <v/>
      </c>
      <c r="Q64">
        <f>IF(A64="DST",IF(F64&lt;=GateSize,DstStart-1+F64,NSkill+2*GateSize+F64-GateSize),IF(A64="K",IF(F64&lt;=GateSize,KStart-1+F64,NSkill+GateSize+NDst+F64-GateSize),IF(P64&lt;=DstStart-1,P64,P64+2*GateSize)))</f>
        <v/>
      </c>
      <c r="R64" s="4">
        <f>'LIVE SOURCE'!E64</f>
        <v/>
      </c>
      <c r="S64" s="4">
        <f>R64-Q64</f>
        <v/>
      </c>
      <c r="T64">
        <f>'LIVE SOURCE'!F64</f>
        <v/>
      </c>
      <c r="U64" s="4">
        <f>MAX(40,E64-IF(T64="A",6,IF(T64="B",9,12)))</f>
        <v/>
      </c>
      <c r="V64" s="4">
        <f>E64</f>
        <v/>
      </c>
      <c r="W64" s="4">
        <f>MIN(100,E64+IF(T64="A",6,IF(T64="B",9,12)))</f>
        <v/>
      </c>
      <c r="X64">
        <f>'LIVE SOURCE'!G64</f>
        <v/>
      </c>
      <c r="Y64">
        <f>IF(INDEX('Draft Board'!$J$3:$J$232,Q64)="","Available",INDEX('Draft Board'!$J$3:$J$232,Q64))</f>
        <v/>
      </c>
      <c r="Z64">
        <f>IF(Y64&lt;&gt;"Available","",1+COUNTIFS($Y$3:$Y$232,"Available",$Q$3:$Q$232,"&lt;"&amp;Q64))</f>
        <v/>
      </c>
    </row>
    <row r="65">
      <c r="A65">
        <f>'LIVE SOURCE'!A65</f>
        <v/>
      </c>
      <c r="B65">
        <f>'LIVE SOURCE'!B65</f>
        <v/>
      </c>
      <c r="C65" s="4">
        <f>'LIVE SOURCE'!D65</f>
        <v/>
      </c>
      <c r="D65" s="4">
        <f>'Manual Adjustments'!G65</f>
        <v/>
      </c>
      <c r="E65" s="4">
        <f>MAX(40,MIN(100,C65+D65))</f>
        <v/>
      </c>
      <c r="F65">
        <f>COUNTIFS($A$3:$A$232,A65,$E$3:$E$232,"&gt;"&amp;E65)+COUNTIFS($A$3:A65,A65,$E$3:E65,E65)</f>
        <v/>
      </c>
      <c r="G65" s="4">
        <f>ROUND(INDEX('League Config'!$K$4:$K$9,MATCH(A65,'League Config'!$E$4:$E$9,0))*E65+INDEX('League Config'!$L$4:$L$9,MATCH(A65,'League Config'!$E$4:$E$9,0)),1)</f>
        <v/>
      </c>
      <c r="H65">
        <f>INDEX('League Config'!$H$4:$H$9,MATCH(A65,'League Config'!$E$4:$E$9,0))</f>
        <v/>
      </c>
      <c r="I65" s="4">
        <f>INDEX('League Config'!$I$4:$I$9,MATCH(A65,'League Config'!$E$4:$E$9,0))</f>
        <v/>
      </c>
      <c r="J65" s="4">
        <f>ROUND(G65-I65,1)</f>
        <v/>
      </c>
      <c r="K65" s="4">
        <f>MAX(0,MIN(100,50+J65*0.6))</f>
        <v/>
      </c>
      <c r="L65" s="4">
        <f>MIN(100,MAX(0,(1-(F65-1)/(H65*1.5))*100*INDEX('League Config'!$J$4:$J$9,MATCH(A65,'League Config'!$E$4:$E$9,0))))</f>
        <v/>
      </c>
      <c r="M65">
        <f>IF(A65="K",'League Config'!$B$14,IF(A65="DST",'League Config'!$B$15,IF(A65="QB",'League Config'!$B$16,0)))</f>
        <v/>
      </c>
      <c r="N65" s="4">
        <f>MIN(100,MAX(0,0.55*E65+0.3*K65+0.15*L65-M65))</f>
        <v/>
      </c>
      <c r="O65" s="9">
        <f>IF(OR(A65="K",A65="DST"),"",N65)</f>
        <v/>
      </c>
      <c r="P65" s="6">
        <f>IF(O65="","",COUNTIF($O$3:$O$232,"&gt;"&amp;O65)+COUNTIF($O$3:O65,O65))</f>
        <v/>
      </c>
      <c r="Q65">
        <f>IF(A65="DST",IF(F65&lt;=GateSize,DstStart-1+F65,NSkill+2*GateSize+F65-GateSize),IF(A65="K",IF(F65&lt;=GateSize,KStart-1+F65,NSkill+GateSize+NDst+F65-GateSize),IF(P65&lt;=DstStart-1,P65,P65+2*GateSize)))</f>
        <v/>
      </c>
      <c r="R65" s="4">
        <f>'LIVE SOURCE'!E65</f>
        <v/>
      </c>
      <c r="S65" s="4">
        <f>R65-Q65</f>
        <v/>
      </c>
      <c r="T65">
        <f>'LIVE SOURCE'!F65</f>
        <v/>
      </c>
      <c r="U65" s="4">
        <f>MAX(40,E65-IF(T65="A",6,IF(T65="B",9,12)))</f>
        <v/>
      </c>
      <c r="V65" s="4">
        <f>E65</f>
        <v/>
      </c>
      <c r="W65" s="4">
        <f>MIN(100,E65+IF(T65="A",6,IF(T65="B",9,12)))</f>
        <v/>
      </c>
      <c r="X65">
        <f>'LIVE SOURCE'!G65</f>
        <v/>
      </c>
      <c r="Y65">
        <f>IF(INDEX('Draft Board'!$J$3:$J$232,Q65)="","Available",INDEX('Draft Board'!$J$3:$J$232,Q65))</f>
        <v/>
      </c>
      <c r="Z65">
        <f>IF(Y65&lt;&gt;"Available","",1+COUNTIFS($Y$3:$Y$232,"Available",$Q$3:$Q$232,"&lt;"&amp;Q65))</f>
        <v/>
      </c>
    </row>
    <row r="66">
      <c r="A66">
        <f>'LIVE SOURCE'!A66</f>
        <v/>
      </c>
      <c r="B66">
        <f>'LIVE SOURCE'!B66</f>
        <v/>
      </c>
      <c r="C66" s="4">
        <f>'LIVE SOURCE'!D66</f>
        <v/>
      </c>
      <c r="D66" s="4">
        <f>'Manual Adjustments'!G66</f>
        <v/>
      </c>
      <c r="E66" s="4">
        <f>MAX(40,MIN(100,C66+D66))</f>
        <v/>
      </c>
      <c r="F66">
        <f>COUNTIFS($A$3:$A$232,A66,$E$3:$E$232,"&gt;"&amp;E66)+COUNTIFS($A$3:A66,A66,$E$3:E66,E66)</f>
        <v/>
      </c>
      <c r="G66" s="4">
        <f>ROUND(INDEX('League Config'!$K$4:$K$9,MATCH(A66,'League Config'!$E$4:$E$9,0))*E66+INDEX('League Config'!$L$4:$L$9,MATCH(A66,'League Config'!$E$4:$E$9,0)),1)</f>
        <v/>
      </c>
      <c r="H66">
        <f>INDEX('League Config'!$H$4:$H$9,MATCH(A66,'League Config'!$E$4:$E$9,0))</f>
        <v/>
      </c>
      <c r="I66" s="4">
        <f>INDEX('League Config'!$I$4:$I$9,MATCH(A66,'League Config'!$E$4:$E$9,0))</f>
        <v/>
      </c>
      <c r="J66" s="4">
        <f>ROUND(G66-I66,1)</f>
        <v/>
      </c>
      <c r="K66" s="4">
        <f>MAX(0,MIN(100,50+J66*0.6))</f>
        <v/>
      </c>
      <c r="L66" s="4">
        <f>MIN(100,MAX(0,(1-(F66-1)/(H66*1.5))*100*INDEX('League Config'!$J$4:$J$9,MATCH(A66,'League Config'!$E$4:$E$9,0))))</f>
        <v/>
      </c>
      <c r="M66">
        <f>IF(A66="K",'League Config'!$B$14,IF(A66="DST",'League Config'!$B$15,IF(A66="QB",'League Config'!$B$16,0)))</f>
        <v/>
      </c>
      <c r="N66" s="4">
        <f>MIN(100,MAX(0,0.55*E66+0.3*K66+0.15*L66-M66))</f>
        <v/>
      </c>
      <c r="O66" s="9">
        <f>IF(OR(A66="K",A66="DST"),"",N66)</f>
        <v/>
      </c>
      <c r="P66" s="6">
        <f>IF(O66="","",COUNTIF($O$3:$O$232,"&gt;"&amp;O66)+COUNTIF($O$3:O66,O66))</f>
        <v/>
      </c>
      <c r="Q66">
        <f>IF(A66="DST",IF(F66&lt;=GateSize,DstStart-1+F66,NSkill+2*GateSize+F66-GateSize),IF(A66="K",IF(F66&lt;=GateSize,KStart-1+F66,NSkill+GateSize+NDst+F66-GateSize),IF(P66&lt;=DstStart-1,P66,P66+2*GateSize)))</f>
        <v/>
      </c>
      <c r="R66" s="4">
        <f>'LIVE SOURCE'!E66</f>
        <v/>
      </c>
      <c r="S66" s="4">
        <f>R66-Q66</f>
        <v/>
      </c>
      <c r="T66">
        <f>'LIVE SOURCE'!F66</f>
        <v/>
      </c>
      <c r="U66" s="4">
        <f>MAX(40,E66-IF(T66="A",6,IF(T66="B",9,12)))</f>
        <v/>
      </c>
      <c r="V66" s="4">
        <f>E66</f>
        <v/>
      </c>
      <c r="W66" s="4">
        <f>MIN(100,E66+IF(T66="A",6,IF(T66="B",9,12)))</f>
        <v/>
      </c>
      <c r="X66">
        <f>'LIVE SOURCE'!G66</f>
        <v/>
      </c>
      <c r="Y66">
        <f>IF(INDEX('Draft Board'!$J$3:$J$232,Q66)="","Available",INDEX('Draft Board'!$J$3:$J$232,Q66))</f>
        <v/>
      </c>
      <c r="Z66">
        <f>IF(Y66&lt;&gt;"Available","",1+COUNTIFS($Y$3:$Y$232,"Available",$Q$3:$Q$232,"&lt;"&amp;Q66))</f>
        <v/>
      </c>
    </row>
    <row r="67">
      <c r="A67">
        <f>'LIVE SOURCE'!A67</f>
        <v/>
      </c>
      <c r="B67">
        <f>'LIVE SOURCE'!B67</f>
        <v/>
      </c>
      <c r="C67" s="4">
        <f>'LIVE SOURCE'!D67</f>
        <v/>
      </c>
      <c r="D67" s="4">
        <f>'Manual Adjustments'!G67</f>
        <v/>
      </c>
      <c r="E67" s="4">
        <f>MAX(40,MIN(100,C67+D67))</f>
        <v/>
      </c>
      <c r="F67">
        <f>COUNTIFS($A$3:$A$232,A67,$E$3:$E$232,"&gt;"&amp;E67)+COUNTIFS($A$3:A67,A67,$E$3:E67,E67)</f>
        <v/>
      </c>
      <c r="G67" s="4">
        <f>ROUND(INDEX('League Config'!$K$4:$K$9,MATCH(A67,'League Config'!$E$4:$E$9,0))*E67+INDEX('League Config'!$L$4:$L$9,MATCH(A67,'League Config'!$E$4:$E$9,0)),1)</f>
        <v/>
      </c>
      <c r="H67">
        <f>INDEX('League Config'!$H$4:$H$9,MATCH(A67,'League Config'!$E$4:$E$9,0))</f>
        <v/>
      </c>
      <c r="I67" s="4">
        <f>INDEX('League Config'!$I$4:$I$9,MATCH(A67,'League Config'!$E$4:$E$9,0))</f>
        <v/>
      </c>
      <c r="J67" s="4">
        <f>ROUND(G67-I67,1)</f>
        <v/>
      </c>
      <c r="K67" s="4">
        <f>MAX(0,MIN(100,50+J67*0.6))</f>
        <v/>
      </c>
      <c r="L67" s="4">
        <f>MIN(100,MAX(0,(1-(F67-1)/(H67*1.5))*100*INDEX('League Config'!$J$4:$J$9,MATCH(A67,'League Config'!$E$4:$E$9,0))))</f>
        <v/>
      </c>
      <c r="M67">
        <f>IF(A67="K",'League Config'!$B$14,IF(A67="DST",'League Config'!$B$15,IF(A67="QB",'League Config'!$B$16,0)))</f>
        <v/>
      </c>
      <c r="N67" s="4">
        <f>MIN(100,MAX(0,0.55*E67+0.3*K67+0.15*L67-M67))</f>
        <v/>
      </c>
      <c r="O67" s="9">
        <f>IF(OR(A67="K",A67="DST"),"",N67)</f>
        <v/>
      </c>
      <c r="P67" s="6">
        <f>IF(O67="","",COUNTIF($O$3:$O$232,"&gt;"&amp;O67)+COUNTIF($O$3:O67,O67))</f>
        <v/>
      </c>
      <c r="Q67">
        <f>IF(A67="DST",IF(F67&lt;=GateSize,DstStart-1+F67,NSkill+2*GateSize+F67-GateSize),IF(A67="K",IF(F67&lt;=GateSize,KStart-1+F67,NSkill+GateSize+NDst+F67-GateSize),IF(P67&lt;=DstStart-1,P67,P67+2*GateSize)))</f>
        <v/>
      </c>
      <c r="R67" s="4">
        <f>'LIVE SOURCE'!E67</f>
        <v/>
      </c>
      <c r="S67" s="4">
        <f>R67-Q67</f>
        <v/>
      </c>
      <c r="T67">
        <f>'LIVE SOURCE'!F67</f>
        <v/>
      </c>
      <c r="U67" s="4">
        <f>MAX(40,E67-IF(T67="A",6,IF(T67="B",9,12)))</f>
        <v/>
      </c>
      <c r="V67" s="4">
        <f>E67</f>
        <v/>
      </c>
      <c r="W67" s="4">
        <f>MIN(100,E67+IF(T67="A",6,IF(T67="B",9,12)))</f>
        <v/>
      </c>
      <c r="X67">
        <f>'LIVE SOURCE'!G67</f>
        <v/>
      </c>
      <c r="Y67">
        <f>IF(INDEX('Draft Board'!$J$3:$J$232,Q67)="","Available",INDEX('Draft Board'!$J$3:$J$232,Q67))</f>
        <v/>
      </c>
      <c r="Z67">
        <f>IF(Y67&lt;&gt;"Available","",1+COUNTIFS($Y$3:$Y$232,"Available",$Q$3:$Q$232,"&lt;"&amp;Q67))</f>
        <v/>
      </c>
    </row>
    <row r="68">
      <c r="A68">
        <f>'LIVE SOURCE'!A68</f>
        <v/>
      </c>
      <c r="B68">
        <f>'LIVE SOURCE'!B68</f>
        <v/>
      </c>
      <c r="C68" s="4">
        <f>'LIVE SOURCE'!D68</f>
        <v/>
      </c>
      <c r="D68" s="4">
        <f>'Manual Adjustments'!G68</f>
        <v/>
      </c>
      <c r="E68" s="4">
        <f>MAX(40,MIN(100,C68+D68))</f>
        <v/>
      </c>
      <c r="F68">
        <f>COUNTIFS($A$3:$A$232,A68,$E$3:$E$232,"&gt;"&amp;E68)+COUNTIFS($A$3:A68,A68,$E$3:E68,E68)</f>
        <v/>
      </c>
      <c r="G68" s="4">
        <f>ROUND(INDEX('League Config'!$K$4:$K$9,MATCH(A68,'League Config'!$E$4:$E$9,0))*E68+INDEX('League Config'!$L$4:$L$9,MATCH(A68,'League Config'!$E$4:$E$9,0)),1)</f>
        <v/>
      </c>
      <c r="H68">
        <f>INDEX('League Config'!$H$4:$H$9,MATCH(A68,'League Config'!$E$4:$E$9,0))</f>
        <v/>
      </c>
      <c r="I68" s="4">
        <f>INDEX('League Config'!$I$4:$I$9,MATCH(A68,'League Config'!$E$4:$E$9,0))</f>
        <v/>
      </c>
      <c r="J68" s="4">
        <f>ROUND(G68-I68,1)</f>
        <v/>
      </c>
      <c r="K68" s="4">
        <f>MAX(0,MIN(100,50+J68*0.6))</f>
        <v/>
      </c>
      <c r="L68" s="4">
        <f>MIN(100,MAX(0,(1-(F68-1)/(H68*1.5))*100*INDEX('League Config'!$J$4:$J$9,MATCH(A68,'League Config'!$E$4:$E$9,0))))</f>
        <v/>
      </c>
      <c r="M68">
        <f>IF(A68="K",'League Config'!$B$14,IF(A68="DST",'League Config'!$B$15,IF(A68="QB",'League Config'!$B$16,0)))</f>
        <v/>
      </c>
      <c r="N68" s="4">
        <f>MIN(100,MAX(0,0.55*E68+0.3*K68+0.15*L68-M68))</f>
        <v/>
      </c>
      <c r="O68" s="9">
        <f>IF(OR(A68="K",A68="DST"),"",N68)</f>
        <v/>
      </c>
      <c r="P68" s="6">
        <f>IF(O68="","",COUNTIF($O$3:$O$232,"&gt;"&amp;O68)+COUNTIF($O$3:O68,O68))</f>
        <v/>
      </c>
      <c r="Q68">
        <f>IF(A68="DST",IF(F68&lt;=GateSize,DstStart-1+F68,NSkill+2*GateSize+F68-GateSize),IF(A68="K",IF(F68&lt;=GateSize,KStart-1+F68,NSkill+GateSize+NDst+F68-GateSize),IF(P68&lt;=DstStart-1,P68,P68+2*GateSize)))</f>
        <v/>
      </c>
      <c r="R68" s="4">
        <f>'LIVE SOURCE'!E68</f>
        <v/>
      </c>
      <c r="S68" s="4">
        <f>R68-Q68</f>
        <v/>
      </c>
      <c r="T68">
        <f>'LIVE SOURCE'!F68</f>
        <v/>
      </c>
      <c r="U68" s="4">
        <f>MAX(40,E68-IF(T68="A",6,IF(T68="B",9,12)))</f>
        <v/>
      </c>
      <c r="V68" s="4">
        <f>E68</f>
        <v/>
      </c>
      <c r="W68" s="4">
        <f>MIN(100,E68+IF(T68="A",6,IF(T68="B",9,12)))</f>
        <v/>
      </c>
      <c r="X68">
        <f>'LIVE SOURCE'!G68</f>
        <v/>
      </c>
      <c r="Y68">
        <f>IF(INDEX('Draft Board'!$J$3:$J$232,Q68)="","Available",INDEX('Draft Board'!$J$3:$J$232,Q68))</f>
        <v/>
      </c>
      <c r="Z68">
        <f>IF(Y68&lt;&gt;"Available","",1+COUNTIFS($Y$3:$Y$232,"Available",$Q$3:$Q$232,"&lt;"&amp;Q68))</f>
        <v/>
      </c>
    </row>
    <row r="69">
      <c r="A69">
        <f>'LIVE SOURCE'!A69</f>
        <v/>
      </c>
      <c r="B69">
        <f>'LIVE SOURCE'!B69</f>
        <v/>
      </c>
      <c r="C69" s="4">
        <f>'LIVE SOURCE'!D69</f>
        <v/>
      </c>
      <c r="D69" s="4">
        <f>'Manual Adjustments'!G69</f>
        <v/>
      </c>
      <c r="E69" s="4">
        <f>MAX(40,MIN(100,C69+D69))</f>
        <v/>
      </c>
      <c r="F69">
        <f>COUNTIFS($A$3:$A$232,A69,$E$3:$E$232,"&gt;"&amp;E69)+COUNTIFS($A$3:A69,A69,$E$3:E69,E69)</f>
        <v/>
      </c>
      <c r="G69" s="4">
        <f>ROUND(INDEX('League Config'!$K$4:$K$9,MATCH(A69,'League Config'!$E$4:$E$9,0))*E69+INDEX('League Config'!$L$4:$L$9,MATCH(A69,'League Config'!$E$4:$E$9,0)),1)</f>
        <v/>
      </c>
      <c r="H69">
        <f>INDEX('League Config'!$H$4:$H$9,MATCH(A69,'League Config'!$E$4:$E$9,0))</f>
        <v/>
      </c>
      <c r="I69" s="4">
        <f>INDEX('League Config'!$I$4:$I$9,MATCH(A69,'League Config'!$E$4:$E$9,0))</f>
        <v/>
      </c>
      <c r="J69" s="4">
        <f>ROUND(G69-I69,1)</f>
        <v/>
      </c>
      <c r="K69" s="4">
        <f>MAX(0,MIN(100,50+J69*0.6))</f>
        <v/>
      </c>
      <c r="L69" s="4">
        <f>MIN(100,MAX(0,(1-(F69-1)/(H69*1.5))*100*INDEX('League Config'!$J$4:$J$9,MATCH(A69,'League Config'!$E$4:$E$9,0))))</f>
        <v/>
      </c>
      <c r="M69">
        <f>IF(A69="K",'League Config'!$B$14,IF(A69="DST",'League Config'!$B$15,IF(A69="QB",'League Config'!$B$16,0)))</f>
        <v/>
      </c>
      <c r="N69" s="4">
        <f>MIN(100,MAX(0,0.55*E69+0.3*K69+0.15*L69-M69))</f>
        <v/>
      </c>
      <c r="O69" s="9">
        <f>IF(OR(A69="K",A69="DST"),"",N69)</f>
        <v/>
      </c>
      <c r="P69" s="6">
        <f>IF(O69="","",COUNTIF($O$3:$O$232,"&gt;"&amp;O69)+COUNTIF($O$3:O69,O69))</f>
        <v/>
      </c>
      <c r="Q69">
        <f>IF(A69="DST",IF(F69&lt;=GateSize,DstStart-1+F69,NSkill+2*GateSize+F69-GateSize),IF(A69="K",IF(F69&lt;=GateSize,KStart-1+F69,NSkill+GateSize+NDst+F69-GateSize),IF(P69&lt;=DstStart-1,P69,P69+2*GateSize)))</f>
        <v/>
      </c>
      <c r="R69" s="4">
        <f>'LIVE SOURCE'!E69</f>
        <v/>
      </c>
      <c r="S69" s="4">
        <f>R69-Q69</f>
        <v/>
      </c>
      <c r="T69">
        <f>'LIVE SOURCE'!F69</f>
        <v/>
      </c>
      <c r="U69" s="4">
        <f>MAX(40,E69-IF(T69="A",6,IF(T69="B",9,12)))</f>
        <v/>
      </c>
      <c r="V69" s="4">
        <f>E69</f>
        <v/>
      </c>
      <c r="W69" s="4">
        <f>MIN(100,E69+IF(T69="A",6,IF(T69="B",9,12)))</f>
        <v/>
      </c>
      <c r="X69">
        <f>'LIVE SOURCE'!G69</f>
        <v/>
      </c>
      <c r="Y69">
        <f>IF(INDEX('Draft Board'!$J$3:$J$232,Q69)="","Available",INDEX('Draft Board'!$J$3:$J$232,Q69))</f>
        <v/>
      </c>
      <c r="Z69">
        <f>IF(Y69&lt;&gt;"Available","",1+COUNTIFS($Y$3:$Y$232,"Available",$Q$3:$Q$232,"&lt;"&amp;Q69))</f>
        <v/>
      </c>
    </row>
    <row r="70">
      <c r="A70">
        <f>'LIVE SOURCE'!A70</f>
        <v/>
      </c>
      <c r="B70">
        <f>'LIVE SOURCE'!B70</f>
        <v/>
      </c>
      <c r="C70" s="4">
        <f>'LIVE SOURCE'!D70</f>
        <v/>
      </c>
      <c r="D70" s="4">
        <f>'Manual Adjustments'!G70</f>
        <v/>
      </c>
      <c r="E70" s="4">
        <f>MAX(40,MIN(100,C70+D70))</f>
        <v/>
      </c>
      <c r="F70">
        <f>COUNTIFS($A$3:$A$232,A70,$E$3:$E$232,"&gt;"&amp;E70)+COUNTIFS($A$3:A70,A70,$E$3:E70,E70)</f>
        <v/>
      </c>
      <c r="G70" s="4">
        <f>ROUND(INDEX('League Config'!$K$4:$K$9,MATCH(A70,'League Config'!$E$4:$E$9,0))*E70+INDEX('League Config'!$L$4:$L$9,MATCH(A70,'League Config'!$E$4:$E$9,0)),1)</f>
        <v/>
      </c>
      <c r="H70">
        <f>INDEX('League Config'!$H$4:$H$9,MATCH(A70,'League Config'!$E$4:$E$9,0))</f>
        <v/>
      </c>
      <c r="I70" s="4">
        <f>INDEX('League Config'!$I$4:$I$9,MATCH(A70,'League Config'!$E$4:$E$9,0))</f>
        <v/>
      </c>
      <c r="J70" s="4">
        <f>ROUND(G70-I70,1)</f>
        <v/>
      </c>
      <c r="K70" s="4">
        <f>MAX(0,MIN(100,50+J70*0.6))</f>
        <v/>
      </c>
      <c r="L70" s="4">
        <f>MIN(100,MAX(0,(1-(F70-1)/(H70*1.5))*100*INDEX('League Config'!$J$4:$J$9,MATCH(A70,'League Config'!$E$4:$E$9,0))))</f>
        <v/>
      </c>
      <c r="M70">
        <f>IF(A70="K",'League Config'!$B$14,IF(A70="DST",'League Config'!$B$15,IF(A70="QB",'League Config'!$B$16,0)))</f>
        <v/>
      </c>
      <c r="N70" s="4">
        <f>MIN(100,MAX(0,0.55*E70+0.3*K70+0.15*L70-M70))</f>
        <v/>
      </c>
      <c r="O70" s="9">
        <f>IF(OR(A70="K",A70="DST"),"",N70)</f>
        <v/>
      </c>
      <c r="P70" s="6">
        <f>IF(O70="","",COUNTIF($O$3:$O$232,"&gt;"&amp;O70)+COUNTIF($O$3:O70,O70))</f>
        <v/>
      </c>
      <c r="Q70">
        <f>IF(A70="DST",IF(F70&lt;=GateSize,DstStart-1+F70,NSkill+2*GateSize+F70-GateSize),IF(A70="K",IF(F70&lt;=GateSize,KStart-1+F70,NSkill+GateSize+NDst+F70-GateSize),IF(P70&lt;=DstStart-1,P70,P70+2*GateSize)))</f>
        <v/>
      </c>
      <c r="R70" s="4">
        <f>'LIVE SOURCE'!E70</f>
        <v/>
      </c>
      <c r="S70" s="4">
        <f>R70-Q70</f>
        <v/>
      </c>
      <c r="T70">
        <f>'LIVE SOURCE'!F70</f>
        <v/>
      </c>
      <c r="U70" s="4">
        <f>MAX(40,E70-IF(T70="A",6,IF(T70="B",9,12)))</f>
        <v/>
      </c>
      <c r="V70" s="4">
        <f>E70</f>
        <v/>
      </c>
      <c r="W70" s="4">
        <f>MIN(100,E70+IF(T70="A",6,IF(T70="B",9,12)))</f>
        <v/>
      </c>
      <c r="X70">
        <f>'LIVE SOURCE'!G70</f>
        <v/>
      </c>
      <c r="Y70">
        <f>IF(INDEX('Draft Board'!$J$3:$J$232,Q70)="","Available",INDEX('Draft Board'!$J$3:$J$232,Q70))</f>
        <v/>
      </c>
      <c r="Z70">
        <f>IF(Y70&lt;&gt;"Available","",1+COUNTIFS($Y$3:$Y$232,"Available",$Q$3:$Q$232,"&lt;"&amp;Q70))</f>
        <v/>
      </c>
    </row>
    <row r="71">
      <c r="A71">
        <f>'LIVE SOURCE'!A71</f>
        <v/>
      </c>
      <c r="B71">
        <f>'LIVE SOURCE'!B71</f>
        <v/>
      </c>
      <c r="C71" s="4">
        <f>'LIVE SOURCE'!D71</f>
        <v/>
      </c>
      <c r="D71" s="4">
        <f>'Manual Adjustments'!G71</f>
        <v/>
      </c>
      <c r="E71" s="4">
        <f>MAX(40,MIN(100,C71+D71))</f>
        <v/>
      </c>
      <c r="F71">
        <f>COUNTIFS($A$3:$A$232,A71,$E$3:$E$232,"&gt;"&amp;E71)+COUNTIFS($A$3:A71,A71,$E$3:E71,E71)</f>
        <v/>
      </c>
      <c r="G71" s="4">
        <f>ROUND(INDEX('League Config'!$K$4:$K$9,MATCH(A71,'League Config'!$E$4:$E$9,0))*E71+INDEX('League Config'!$L$4:$L$9,MATCH(A71,'League Config'!$E$4:$E$9,0)),1)</f>
        <v/>
      </c>
      <c r="H71">
        <f>INDEX('League Config'!$H$4:$H$9,MATCH(A71,'League Config'!$E$4:$E$9,0))</f>
        <v/>
      </c>
      <c r="I71" s="4">
        <f>INDEX('League Config'!$I$4:$I$9,MATCH(A71,'League Config'!$E$4:$E$9,0))</f>
        <v/>
      </c>
      <c r="J71" s="4">
        <f>ROUND(G71-I71,1)</f>
        <v/>
      </c>
      <c r="K71" s="4">
        <f>MAX(0,MIN(100,50+J71*0.6))</f>
        <v/>
      </c>
      <c r="L71" s="4">
        <f>MIN(100,MAX(0,(1-(F71-1)/(H71*1.5))*100*INDEX('League Config'!$J$4:$J$9,MATCH(A71,'League Config'!$E$4:$E$9,0))))</f>
        <v/>
      </c>
      <c r="M71">
        <f>IF(A71="K",'League Config'!$B$14,IF(A71="DST",'League Config'!$B$15,IF(A71="QB",'League Config'!$B$16,0)))</f>
        <v/>
      </c>
      <c r="N71" s="4">
        <f>MIN(100,MAX(0,0.55*E71+0.3*K71+0.15*L71-M71))</f>
        <v/>
      </c>
      <c r="O71" s="9">
        <f>IF(OR(A71="K",A71="DST"),"",N71)</f>
        <v/>
      </c>
      <c r="P71" s="6">
        <f>IF(O71="","",COUNTIF($O$3:$O$232,"&gt;"&amp;O71)+COUNTIF($O$3:O71,O71))</f>
        <v/>
      </c>
      <c r="Q71">
        <f>IF(A71="DST",IF(F71&lt;=GateSize,DstStart-1+F71,NSkill+2*GateSize+F71-GateSize),IF(A71="K",IF(F71&lt;=GateSize,KStart-1+F71,NSkill+GateSize+NDst+F71-GateSize),IF(P71&lt;=DstStart-1,P71,P71+2*GateSize)))</f>
        <v/>
      </c>
      <c r="R71" s="4">
        <f>'LIVE SOURCE'!E71</f>
        <v/>
      </c>
      <c r="S71" s="4">
        <f>R71-Q71</f>
        <v/>
      </c>
      <c r="T71">
        <f>'LIVE SOURCE'!F71</f>
        <v/>
      </c>
      <c r="U71" s="4">
        <f>MAX(40,E71-IF(T71="A",6,IF(T71="B",9,12)))</f>
        <v/>
      </c>
      <c r="V71" s="4">
        <f>E71</f>
        <v/>
      </c>
      <c r="W71" s="4">
        <f>MIN(100,E71+IF(T71="A",6,IF(T71="B",9,12)))</f>
        <v/>
      </c>
      <c r="X71">
        <f>'LIVE SOURCE'!G71</f>
        <v/>
      </c>
      <c r="Y71">
        <f>IF(INDEX('Draft Board'!$J$3:$J$232,Q71)="","Available",INDEX('Draft Board'!$J$3:$J$232,Q71))</f>
        <v/>
      </c>
      <c r="Z71">
        <f>IF(Y71&lt;&gt;"Available","",1+COUNTIFS($Y$3:$Y$232,"Available",$Q$3:$Q$232,"&lt;"&amp;Q71))</f>
        <v/>
      </c>
    </row>
    <row r="72">
      <c r="A72">
        <f>'LIVE SOURCE'!A72</f>
        <v/>
      </c>
      <c r="B72">
        <f>'LIVE SOURCE'!B72</f>
        <v/>
      </c>
      <c r="C72" s="4">
        <f>'LIVE SOURCE'!D72</f>
        <v/>
      </c>
      <c r="D72" s="4">
        <f>'Manual Adjustments'!G72</f>
        <v/>
      </c>
      <c r="E72" s="4">
        <f>MAX(40,MIN(100,C72+D72))</f>
        <v/>
      </c>
      <c r="F72">
        <f>COUNTIFS($A$3:$A$232,A72,$E$3:$E$232,"&gt;"&amp;E72)+COUNTIFS($A$3:A72,A72,$E$3:E72,E72)</f>
        <v/>
      </c>
      <c r="G72" s="4">
        <f>ROUND(INDEX('League Config'!$K$4:$K$9,MATCH(A72,'League Config'!$E$4:$E$9,0))*E72+INDEX('League Config'!$L$4:$L$9,MATCH(A72,'League Config'!$E$4:$E$9,0)),1)</f>
        <v/>
      </c>
      <c r="H72">
        <f>INDEX('League Config'!$H$4:$H$9,MATCH(A72,'League Config'!$E$4:$E$9,0))</f>
        <v/>
      </c>
      <c r="I72" s="4">
        <f>INDEX('League Config'!$I$4:$I$9,MATCH(A72,'League Config'!$E$4:$E$9,0))</f>
        <v/>
      </c>
      <c r="J72" s="4">
        <f>ROUND(G72-I72,1)</f>
        <v/>
      </c>
      <c r="K72" s="4">
        <f>MAX(0,MIN(100,50+J72*0.6))</f>
        <v/>
      </c>
      <c r="L72" s="4">
        <f>MIN(100,MAX(0,(1-(F72-1)/(H72*1.5))*100*INDEX('League Config'!$J$4:$J$9,MATCH(A72,'League Config'!$E$4:$E$9,0))))</f>
        <v/>
      </c>
      <c r="M72">
        <f>IF(A72="K",'League Config'!$B$14,IF(A72="DST",'League Config'!$B$15,IF(A72="QB",'League Config'!$B$16,0)))</f>
        <v/>
      </c>
      <c r="N72" s="4">
        <f>MIN(100,MAX(0,0.55*E72+0.3*K72+0.15*L72-M72))</f>
        <v/>
      </c>
      <c r="O72" s="9">
        <f>IF(OR(A72="K",A72="DST"),"",N72)</f>
        <v/>
      </c>
      <c r="P72" s="6">
        <f>IF(O72="","",COUNTIF($O$3:$O$232,"&gt;"&amp;O72)+COUNTIF($O$3:O72,O72))</f>
        <v/>
      </c>
      <c r="Q72">
        <f>IF(A72="DST",IF(F72&lt;=GateSize,DstStart-1+F72,NSkill+2*GateSize+F72-GateSize),IF(A72="K",IF(F72&lt;=GateSize,KStart-1+F72,NSkill+GateSize+NDst+F72-GateSize),IF(P72&lt;=DstStart-1,P72,P72+2*GateSize)))</f>
        <v/>
      </c>
      <c r="R72" s="4">
        <f>'LIVE SOURCE'!E72</f>
        <v/>
      </c>
      <c r="S72" s="4">
        <f>R72-Q72</f>
        <v/>
      </c>
      <c r="T72">
        <f>'LIVE SOURCE'!F72</f>
        <v/>
      </c>
      <c r="U72" s="4">
        <f>MAX(40,E72-IF(T72="A",6,IF(T72="B",9,12)))</f>
        <v/>
      </c>
      <c r="V72" s="4">
        <f>E72</f>
        <v/>
      </c>
      <c r="W72" s="4">
        <f>MIN(100,E72+IF(T72="A",6,IF(T72="B",9,12)))</f>
        <v/>
      </c>
      <c r="X72">
        <f>'LIVE SOURCE'!G72</f>
        <v/>
      </c>
      <c r="Y72">
        <f>IF(INDEX('Draft Board'!$J$3:$J$232,Q72)="","Available",INDEX('Draft Board'!$J$3:$J$232,Q72))</f>
        <v/>
      </c>
      <c r="Z72">
        <f>IF(Y72&lt;&gt;"Available","",1+COUNTIFS($Y$3:$Y$232,"Available",$Q$3:$Q$232,"&lt;"&amp;Q72))</f>
        <v/>
      </c>
    </row>
    <row r="73">
      <c r="A73">
        <f>'LIVE SOURCE'!A73</f>
        <v/>
      </c>
      <c r="B73">
        <f>'LIVE SOURCE'!B73</f>
        <v/>
      </c>
      <c r="C73" s="4">
        <f>'LIVE SOURCE'!D73</f>
        <v/>
      </c>
      <c r="D73" s="4">
        <f>'Manual Adjustments'!G73</f>
        <v/>
      </c>
      <c r="E73" s="4">
        <f>MAX(40,MIN(100,C73+D73))</f>
        <v/>
      </c>
      <c r="F73">
        <f>COUNTIFS($A$3:$A$232,A73,$E$3:$E$232,"&gt;"&amp;E73)+COUNTIFS($A$3:A73,A73,$E$3:E73,E73)</f>
        <v/>
      </c>
      <c r="G73" s="4">
        <f>ROUND(INDEX('League Config'!$K$4:$K$9,MATCH(A73,'League Config'!$E$4:$E$9,0))*E73+INDEX('League Config'!$L$4:$L$9,MATCH(A73,'League Config'!$E$4:$E$9,0)),1)</f>
        <v/>
      </c>
      <c r="H73">
        <f>INDEX('League Config'!$H$4:$H$9,MATCH(A73,'League Config'!$E$4:$E$9,0))</f>
        <v/>
      </c>
      <c r="I73" s="4">
        <f>INDEX('League Config'!$I$4:$I$9,MATCH(A73,'League Config'!$E$4:$E$9,0))</f>
        <v/>
      </c>
      <c r="J73" s="4">
        <f>ROUND(G73-I73,1)</f>
        <v/>
      </c>
      <c r="K73" s="4">
        <f>MAX(0,MIN(100,50+J73*0.6))</f>
        <v/>
      </c>
      <c r="L73" s="4">
        <f>MIN(100,MAX(0,(1-(F73-1)/(H73*1.5))*100*INDEX('League Config'!$J$4:$J$9,MATCH(A73,'League Config'!$E$4:$E$9,0))))</f>
        <v/>
      </c>
      <c r="M73">
        <f>IF(A73="K",'League Config'!$B$14,IF(A73="DST",'League Config'!$B$15,IF(A73="QB",'League Config'!$B$16,0)))</f>
        <v/>
      </c>
      <c r="N73" s="4">
        <f>MIN(100,MAX(0,0.55*E73+0.3*K73+0.15*L73-M73))</f>
        <v/>
      </c>
      <c r="O73" s="9">
        <f>IF(OR(A73="K",A73="DST"),"",N73)</f>
        <v/>
      </c>
      <c r="P73" s="6">
        <f>IF(O73="","",COUNTIF($O$3:$O$232,"&gt;"&amp;O73)+COUNTIF($O$3:O73,O73))</f>
        <v/>
      </c>
      <c r="Q73">
        <f>IF(A73="DST",IF(F73&lt;=GateSize,DstStart-1+F73,NSkill+2*GateSize+F73-GateSize),IF(A73="K",IF(F73&lt;=GateSize,KStart-1+F73,NSkill+GateSize+NDst+F73-GateSize),IF(P73&lt;=DstStart-1,P73,P73+2*GateSize)))</f>
        <v/>
      </c>
      <c r="R73" s="4">
        <f>'LIVE SOURCE'!E73</f>
        <v/>
      </c>
      <c r="S73" s="4">
        <f>R73-Q73</f>
        <v/>
      </c>
      <c r="T73">
        <f>'LIVE SOURCE'!F73</f>
        <v/>
      </c>
      <c r="U73" s="4">
        <f>MAX(40,E73-IF(T73="A",6,IF(T73="B",9,12)))</f>
        <v/>
      </c>
      <c r="V73" s="4">
        <f>E73</f>
        <v/>
      </c>
      <c r="W73" s="4">
        <f>MIN(100,E73+IF(T73="A",6,IF(T73="B",9,12)))</f>
        <v/>
      </c>
      <c r="X73">
        <f>'LIVE SOURCE'!G73</f>
        <v/>
      </c>
      <c r="Y73">
        <f>IF(INDEX('Draft Board'!$J$3:$J$232,Q73)="","Available",INDEX('Draft Board'!$J$3:$J$232,Q73))</f>
        <v/>
      </c>
      <c r="Z73">
        <f>IF(Y73&lt;&gt;"Available","",1+COUNTIFS($Y$3:$Y$232,"Available",$Q$3:$Q$232,"&lt;"&amp;Q73))</f>
        <v/>
      </c>
    </row>
    <row r="74">
      <c r="A74">
        <f>'LIVE SOURCE'!A74</f>
        <v/>
      </c>
      <c r="B74">
        <f>'LIVE SOURCE'!B74</f>
        <v/>
      </c>
      <c r="C74" s="4">
        <f>'LIVE SOURCE'!D74</f>
        <v/>
      </c>
      <c r="D74" s="4">
        <f>'Manual Adjustments'!G74</f>
        <v/>
      </c>
      <c r="E74" s="4">
        <f>MAX(40,MIN(100,C74+D74))</f>
        <v/>
      </c>
      <c r="F74">
        <f>COUNTIFS($A$3:$A$232,A74,$E$3:$E$232,"&gt;"&amp;E74)+COUNTIFS($A$3:A74,A74,$E$3:E74,E74)</f>
        <v/>
      </c>
      <c r="G74" s="4">
        <f>ROUND(INDEX('League Config'!$K$4:$K$9,MATCH(A74,'League Config'!$E$4:$E$9,0))*E74+INDEX('League Config'!$L$4:$L$9,MATCH(A74,'League Config'!$E$4:$E$9,0)),1)</f>
        <v/>
      </c>
      <c r="H74">
        <f>INDEX('League Config'!$H$4:$H$9,MATCH(A74,'League Config'!$E$4:$E$9,0))</f>
        <v/>
      </c>
      <c r="I74" s="4">
        <f>INDEX('League Config'!$I$4:$I$9,MATCH(A74,'League Config'!$E$4:$E$9,0))</f>
        <v/>
      </c>
      <c r="J74" s="4">
        <f>ROUND(G74-I74,1)</f>
        <v/>
      </c>
      <c r="K74" s="4">
        <f>MAX(0,MIN(100,50+J74*0.6))</f>
        <v/>
      </c>
      <c r="L74" s="4">
        <f>MIN(100,MAX(0,(1-(F74-1)/(H74*1.5))*100*INDEX('League Config'!$J$4:$J$9,MATCH(A74,'League Config'!$E$4:$E$9,0))))</f>
        <v/>
      </c>
      <c r="M74">
        <f>IF(A74="K",'League Config'!$B$14,IF(A74="DST",'League Config'!$B$15,IF(A74="QB",'League Config'!$B$16,0)))</f>
        <v/>
      </c>
      <c r="N74" s="4">
        <f>MIN(100,MAX(0,0.55*E74+0.3*K74+0.15*L74-M74))</f>
        <v/>
      </c>
      <c r="O74" s="9">
        <f>IF(OR(A74="K",A74="DST"),"",N74)</f>
        <v/>
      </c>
      <c r="P74" s="6">
        <f>IF(O74="","",COUNTIF($O$3:$O$232,"&gt;"&amp;O74)+COUNTIF($O$3:O74,O74))</f>
        <v/>
      </c>
      <c r="Q74">
        <f>IF(A74="DST",IF(F74&lt;=GateSize,DstStart-1+F74,NSkill+2*GateSize+F74-GateSize),IF(A74="K",IF(F74&lt;=GateSize,KStart-1+F74,NSkill+GateSize+NDst+F74-GateSize),IF(P74&lt;=DstStart-1,P74,P74+2*GateSize)))</f>
        <v/>
      </c>
      <c r="R74" s="4">
        <f>'LIVE SOURCE'!E74</f>
        <v/>
      </c>
      <c r="S74" s="4">
        <f>R74-Q74</f>
        <v/>
      </c>
      <c r="T74">
        <f>'LIVE SOURCE'!F74</f>
        <v/>
      </c>
      <c r="U74" s="4">
        <f>MAX(40,E74-IF(T74="A",6,IF(T74="B",9,12)))</f>
        <v/>
      </c>
      <c r="V74" s="4">
        <f>E74</f>
        <v/>
      </c>
      <c r="W74" s="4">
        <f>MIN(100,E74+IF(T74="A",6,IF(T74="B",9,12)))</f>
        <v/>
      </c>
      <c r="X74">
        <f>'LIVE SOURCE'!G74</f>
        <v/>
      </c>
      <c r="Y74">
        <f>IF(INDEX('Draft Board'!$J$3:$J$232,Q74)="","Available",INDEX('Draft Board'!$J$3:$J$232,Q74))</f>
        <v/>
      </c>
      <c r="Z74">
        <f>IF(Y74&lt;&gt;"Available","",1+COUNTIFS($Y$3:$Y$232,"Available",$Q$3:$Q$232,"&lt;"&amp;Q74))</f>
        <v/>
      </c>
    </row>
    <row r="75">
      <c r="A75">
        <f>'LIVE SOURCE'!A75</f>
        <v/>
      </c>
      <c r="B75">
        <f>'LIVE SOURCE'!B75</f>
        <v/>
      </c>
      <c r="C75" s="4">
        <f>'LIVE SOURCE'!D75</f>
        <v/>
      </c>
      <c r="D75" s="4">
        <f>'Manual Adjustments'!G75</f>
        <v/>
      </c>
      <c r="E75" s="4">
        <f>MAX(40,MIN(100,C75+D75))</f>
        <v/>
      </c>
      <c r="F75">
        <f>COUNTIFS($A$3:$A$232,A75,$E$3:$E$232,"&gt;"&amp;E75)+COUNTIFS($A$3:A75,A75,$E$3:E75,E75)</f>
        <v/>
      </c>
      <c r="G75" s="4">
        <f>ROUND(INDEX('League Config'!$K$4:$K$9,MATCH(A75,'League Config'!$E$4:$E$9,0))*E75+INDEX('League Config'!$L$4:$L$9,MATCH(A75,'League Config'!$E$4:$E$9,0)),1)</f>
        <v/>
      </c>
      <c r="H75">
        <f>INDEX('League Config'!$H$4:$H$9,MATCH(A75,'League Config'!$E$4:$E$9,0))</f>
        <v/>
      </c>
      <c r="I75" s="4">
        <f>INDEX('League Config'!$I$4:$I$9,MATCH(A75,'League Config'!$E$4:$E$9,0))</f>
        <v/>
      </c>
      <c r="J75" s="4">
        <f>ROUND(G75-I75,1)</f>
        <v/>
      </c>
      <c r="K75" s="4">
        <f>MAX(0,MIN(100,50+J75*0.6))</f>
        <v/>
      </c>
      <c r="L75" s="4">
        <f>MIN(100,MAX(0,(1-(F75-1)/(H75*1.5))*100*INDEX('League Config'!$J$4:$J$9,MATCH(A75,'League Config'!$E$4:$E$9,0))))</f>
        <v/>
      </c>
      <c r="M75">
        <f>IF(A75="K",'League Config'!$B$14,IF(A75="DST",'League Config'!$B$15,IF(A75="QB",'League Config'!$B$16,0)))</f>
        <v/>
      </c>
      <c r="N75" s="4">
        <f>MIN(100,MAX(0,0.55*E75+0.3*K75+0.15*L75-M75))</f>
        <v/>
      </c>
      <c r="O75" s="9">
        <f>IF(OR(A75="K",A75="DST"),"",N75)</f>
        <v/>
      </c>
      <c r="P75" s="6">
        <f>IF(O75="","",COUNTIF($O$3:$O$232,"&gt;"&amp;O75)+COUNTIF($O$3:O75,O75))</f>
        <v/>
      </c>
      <c r="Q75">
        <f>IF(A75="DST",IF(F75&lt;=GateSize,DstStart-1+F75,NSkill+2*GateSize+F75-GateSize),IF(A75="K",IF(F75&lt;=GateSize,KStart-1+F75,NSkill+GateSize+NDst+F75-GateSize),IF(P75&lt;=DstStart-1,P75,P75+2*GateSize)))</f>
        <v/>
      </c>
      <c r="R75" s="4">
        <f>'LIVE SOURCE'!E75</f>
        <v/>
      </c>
      <c r="S75" s="4">
        <f>R75-Q75</f>
        <v/>
      </c>
      <c r="T75">
        <f>'LIVE SOURCE'!F75</f>
        <v/>
      </c>
      <c r="U75" s="4">
        <f>MAX(40,E75-IF(T75="A",6,IF(T75="B",9,12)))</f>
        <v/>
      </c>
      <c r="V75" s="4">
        <f>E75</f>
        <v/>
      </c>
      <c r="W75" s="4">
        <f>MIN(100,E75+IF(T75="A",6,IF(T75="B",9,12)))</f>
        <v/>
      </c>
      <c r="X75">
        <f>'LIVE SOURCE'!G75</f>
        <v/>
      </c>
      <c r="Y75">
        <f>IF(INDEX('Draft Board'!$J$3:$J$232,Q75)="","Available",INDEX('Draft Board'!$J$3:$J$232,Q75))</f>
        <v/>
      </c>
      <c r="Z75">
        <f>IF(Y75&lt;&gt;"Available","",1+COUNTIFS($Y$3:$Y$232,"Available",$Q$3:$Q$232,"&lt;"&amp;Q75))</f>
        <v/>
      </c>
    </row>
    <row r="76">
      <c r="A76">
        <f>'LIVE SOURCE'!A76</f>
        <v/>
      </c>
      <c r="B76">
        <f>'LIVE SOURCE'!B76</f>
        <v/>
      </c>
      <c r="C76" s="4">
        <f>'LIVE SOURCE'!D76</f>
        <v/>
      </c>
      <c r="D76" s="4">
        <f>'Manual Adjustments'!G76</f>
        <v/>
      </c>
      <c r="E76" s="4">
        <f>MAX(40,MIN(100,C76+D76))</f>
        <v/>
      </c>
      <c r="F76">
        <f>COUNTIFS($A$3:$A$232,A76,$E$3:$E$232,"&gt;"&amp;E76)+COUNTIFS($A$3:A76,A76,$E$3:E76,E76)</f>
        <v/>
      </c>
      <c r="G76" s="4">
        <f>ROUND(INDEX('League Config'!$K$4:$K$9,MATCH(A76,'League Config'!$E$4:$E$9,0))*E76+INDEX('League Config'!$L$4:$L$9,MATCH(A76,'League Config'!$E$4:$E$9,0)),1)</f>
        <v/>
      </c>
      <c r="H76">
        <f>INDEX('League Config'!$H$4:$H$9,MATCH(A76,'League Config'!$E$4:$E$9,0))</f>
        <v/>
      </c>
      <c r="I76" s="4">
        <f>INDEX('League Config'!$I$4:$I$9,MATCH(A76,'League Config'!$E$4:$E$9,0))</f>
        <v/>
      </c>
      <c r="J76" s="4">
        <f>ROUND(G76-I76,1)</f>
        <v/>
      </c>
      <c r="K76" s="4">
        <f>MAX(0,MIN(100,50+J76*0.6))</f>
        <v/>
      </c>
      <c r="L76" s="4">
        <f>MIN(100,MAX(0,(1-(F76-1)/(H76*1.5))*100*INDEX('League Config'!$J$4:$J$9,MATCH(A76,'League Config'!$E$4:$E$9,0))))</f>
        <v/>
      </c>
      <c r="M76">
        <f>IF(A76="K",'League Config'!$B$14,IF(A76="DST",'League Config'!$B$15,IF(A76="QB",'League Config'!$B$16,0)))</f>
        <v/>
      </c>
      <c r="N76" s="4">
        <f>MIN(100,MAX(0,0.55*E76+0.3*K76+0.15*L76-M76))</f>
        <v/>
      </c>
      <c r="O76" s="9">
        <f>IF(OR(A76="K",A76="DST"),"",N76)</f>
        <v/>
      </c>
      <c r="P76" s="6">
        <f>IF(O76="","",COUNTIF($O$3:$O$232,"&gt;"&amp;O76)+COUNTIF($O$3:O76,O76))</f>
        <v/>
      </c>
      <c r="Q76">
        <f>IF(A76="DST",IF(F76&lt;=GateSize,DstStart-1+F76,NSkill+2*GateSize+F76-GateSize),IF(A76="K",IF(F76&lt;=GateSize,KStart-1+F76,NSkill+GateSize+NDst+F76-GateSize),IF(P76&lt;=DstStart-1,P76,P76+2*GateSize)))</f>
        <v/>
      </c>
      <c r="R76" s="4">
        <f>'LIVE SOURCE'!E76</f>
        <v/>
      </c>
      <c r="S76" s="4">
        <f>R76-Q76</f>
        <v/>
      </c>
      <c r="T76">
        <f>'LIVE SOURCE'!F76</f>
        <v/>
      </c>
      <c r="U76" s="4">
        <f>MAX(40,E76-IF(T76="A",6,IF(T76="B",9,12)))</f>
        <v/>
      </c>
      <c r="V76" s="4">
        <f>E76</f>
        <v/>
      </c>
      <c r="W76" s="4">
        <f>MIN(100,E76+IF(T76="A",6,IF(T76="B",9,12)))</f>
        <v/>
      </c>
      <c r="X76">
        <f>'LIVE SOURCE'!G76</f>
        <v/>
      </c>
      <c r="Y76">
        <f>IF(INDEX('Draft Board'!$J$3:$J$232,Q76)="","Available",INDEX('Draft Board'!$J$3:$J$232,Q76))</f>
        <v/>
      </c>
      <c r="Z76">
        <f>IF(Y76&lt;&gt;"Available","",1+COUNTIFS($Y$3:$Y$232,"Available",$Q$3:$Q$232,"&lt;"&amp;Q76))</f>
        <v/>
      </c>
    </row>
    <row r="77">
      <c r="A77">
        <f>'LIVE SOURCE'!A77</f>
        <v/>
      </c>
      <c r="B77">
        <f>'LIVE SOURCE'!B77</f>
        <v/>
      </c>
      <c r="C77" s="4">
        <f>'LIVE SOURCE'!D77</f>
        <v/>
      </c>
      <c r="D77" s="4">
        <f>'Manual Adjustments'!G77</f>
        <v/>
      </c>
      <c r="E77" s="4">
        <f>MAX(40,MIN(100,C77+D77))</f>
        <v/>
      </c>
      <c r="F77">
        <f>COUNTIFS($A$3:$A$232,A77,$E$3:$E$232,"&gt;"&amp;E77)+COUNTIFS($A$3:A77,A77,$E$3:E77,E77)</f>
        <v/>
      </c>
      <c r="G77" s="4">
        <f>ROUND(INDEX('League Config'!$K$4:$K$9,MATCH(A77,'League Config'!$E$4:$E$9,0))*E77+INDEX('League Config'!$L$4:$L$9,MATCH(A77,'League Config'!$E$4:$E$9,0)),1)</f>
        <v/>
      </c>
      <c r="H77">
        <f>INDEX('League Config'!$H$4:$H$9,MATCH(A77,'League Config'!$E$4:$E$9,0))</f>
        <v/>
      </c>
      <c r="I77" s="4">
        <f>INDEX('League Config'!$I$4:$I$9,MATCH(A77,'League Config'!$E$4:$E$9,0))</f>
        <v/>
      </c>
      <c r="J77" s="4">
        <f>ROUND(G77-I77,1)</f>
        <v/>
      </c>
      <c r="K77" s="4">
        <f>MAX(0,MIN(100,50+J77*0.6))</f>
        <v/>
      </c>
      <c r="L77" s="4">
        <f>MIN(100,MAX(0,(1-(F77-1)/(H77*1.5))*100*INDEX('League Config'!$J$4:$J$9,MATCH(A77,'League Config'!$E$4:$E$9,0))))</f>
        <v/>
      </c>
      <c r="M77">
        <f>IF(A77="K",'League Config'!$B$14,IF(A77="DST",'League Config'!$B$15,IF(A77="QB",'League Config'!$B$16,0)))</f>
        <v/>
      </c>
      <c r="N77" s="4">
        <f>MIN(100,MAX(0,0.55*E77+0.3*K77+0.15*L77-M77))</f>
        <v/>
      </c>
      <c r="O77" s="9">
        <f>IF(OR(A77="K",A77="DST"),"",N77)</f>
        <v/>
      </c>
      <c r="P77" s="6">
        <f>IF(O77="","",COUNTIF($O$3:$O$232,"&gt;"&amp;O77)+COUNTIF($O$3:O77,O77))</f>
        <v/>
      </c>
      <c r="Q77">
        <f>IF(A77="DST",IF(F77&lt;=GateSize,DstStart-1+F77,NSkill+2*GateSize+F77-GateSize),IF(A77="K",IF(F77&lt;=GateSize,KStart-1+F77,NSkill+GateSize+NDst+F77-GateSize),IF(P77&lt;=DstStart-1,P77,P77+2*GateSize)))</f>
        <v/>
      </c>
      <c r="R77" s="4">
        <f>'LIVE SOURCE'!E77</f>
        <v/>
      </c>
      <c r="S77" s="4">
        <f>R77-Q77</f>
        <v/>
      </c>
      <c r="T77">
        <f>'LIVE SOURCE'!F77</f>
        <v/>
      </c>
      <c r="U77" s="4">
        <f>MAX(40,E77-IF(T77="A",6,IF(T77="B",9,12)))</f>
        <v/>
      </c>
      <c r="V77" s="4">
        <f>E77</f>
        <v/>
      </c>
      <c r="W77" s="4">
        <f>MIN(100,E77+IF(T77="A",6,IF(T77="B",9,12)))</f>
        <v/>
      </c>
      <c r="X77">
        <f>'LIVE SOURCE'!G77</f>
        <v/>
      </c>
      <c r="Y77">
        <f>IF(INDEX('Draft Board'!$J$3:$J$232,Q77)="","Available",INDEX('Draft Board'!$J$3:$J$232,Q77))</f>
        <v/>
      </c>
      <c r="Z77">
        <f>IF(Y77&lt;&gt;"Available","",1+COUNTIFS($Y$3:$Y$232,"Available",$Q$3:$Q$232,"&lt;"&amp;Q77))</f>
        <v/>
      </c>
    </row>
    <row r="78">
      <c r="A78">
        <f>'LIVE SOURCE'!A78</f>
        <v/>
      </c>
      <c r="B78">
        <f>'LIVE SOURCE'!B78</f>
        <v/>
      </c>
      <c r="C78" s="4">
        <f>'LIVE SOURCE'!D78</f>
        <v/>
      </c>
      <c r="D78" s="4">
        <f>'Manual Adjustments'!G78</f>
        <v/>
      </c>
      <c r="E78" s="4">
        <f>MAX(40,MIN(100,C78+D78))</f>
        <v/>
      </c>
      <c r="F78">
        <f>COUNTIFS($A$3:$A$232,A78,$E$3:$E$232,"&gt;"&amp;E78)+COUNTIFS($A$3:A78,A78,$E$3:E78,E78)</f>
        <v/>
      </c>
      <c r="G78" s="4">
        <f>ROUND(INDEX('League Config'!$K$4:$K$9,MATCH(A78,'League Config'!$E$4:$E$9,0))*E78+INDEX('League Config'!$L$4:$L$9,MATCH(A78,'League Config'!$E$4:$E$9,0)),1)</f>
        <v/>
      </c>
      <c r="H78">
        <f>INDEX('League Config'!$H$4:$H$9,MATCH(A78,'League Config'!$E$4:$E$9,0))</f>
        <v/>
      </c>
      <c r="I78" s="4">
        <f>INDEX('League Config'!$I$4:$I$9,MATCH(A78,'League Config'!$E$4:$E$9,0))</f>
        <v/>
      </c>
      <c r="J78" s="4">
        <f>ROUND(G78-I78,1)</f>
        <v/>
      </c>
      <c r="K78" s="4">
        <f>MAX(0,MIN(100,50+J78*0.6))</f>
        <v/>
      </c>
      <c r="L78" s="4">
        <f>MIN(100,MAX(0,(1-(F78-1)/(H78*1.5))*100*INDEX('League Config'!$J$4:$J$9,MATCH(A78,'League Config'!$E$4:$E$9,0))))</f>
        <v/>
      </c>
      <c r="M78">
        <f>IF(A78="K",'League Config'!$B$14,IF(A78="DST",'League Config'!$B$15,IF(A78="QB",'League Config'!$B$16,0)))</f>
        <v/>
      </c>
      <c r="N78" s="4">
        <f>MIN(100,MAX(0,0.55*E78+0.3*K78+0.15*L78-M78))</f>
        <v/>
      </c>
      <c r="O78" s="9">
        <f>IF(OR(A78="K",A78="DST"),"",N78)</f>
        <v/>
      </c>
      <c r="P78" s="6">
        <f>IF(O78="","",COUNTIF($O$3:$O$232,"&gt;"&amp;O78)+COUNTIF($O$3:O78,O78))</f>
        <v/>
      </c>
      <c r="Q78">
        <f>IF(A78="DST",IF(F78&lt;=GateSize,DstStart-1+F78,NSkill+2*GateSize+F78-GateSize),IF(A78="K",IF(F78&lt;=GateSize,KStart-1+F78,NSkill+GateSize+NDst+F78-GateSize),IF(P78&lt;=DstStart-1,P78,P78+2*GateSize)))</f>
        <v/>
      </c>
      <c r="R78" s="4">
        <f>'LIVE SOURCE'!E78</f>
        <v/>
      </c>
      <c r="S78" s="4">
        <f>R78-Q78</f>
        <v/>
      </c>
      <c r="T78">
        <f>'LIVE SOURCE'!F78</f>
        <v/>
      </c>
      <c r="U78" s="4">
        <f>MAX(40,E78-IF(T78="A",6,IF(T78="B",9,12)))</f>
        <v/>
      </c>
      <c r="V78" s="4">
        <f>E78</f>
        <v/>
      </c>
      <c r="W78" s="4">
        <f>MIN(100,E78+IF(T78="A",6,IF(T78="B",9,12)))</f>
        <v/>
      </c>
      <c r="X78">
        <f>'LIVE SOURCE'!G78</f>
        <v/>
      </c>
      <c r="Y78">
        <f>IF(INDEX('Draft Board'!$J$3:$J$232,Q78)="","Available",INDEX('Draft Board'!$J$3:$J$232,Q78))</f>
        <v/>
      </c>
      <c r="Z78">
        <f>IF(Y78&lt;&gt;"Available","",1+COUNTIFS($Y$3:$Y$232,"Available",$Q$3:$Q$232,"&lt;"&amp;Q78))</f>
        <v/>
      </c>
    </row>
    <row r="79">
      <c r="A79">
        <f>'LIVE SOURCE'!A79</f>
        <v/>
      </c>
      <c r="B79">
        <f>'LIVE SOURCE'!B79</f>
        <v/>
      </c>
      <c r="C79" s="4">
        <f>'LIVE SOURCE'!D79</f>
        <v/>
      </c>
      <c r="D79" s="4">
        <f>'Manual Adjustments'!G79</f>
        <v/>
      </c>
      <c r="E79" s="4">
        <f>MAX(40,MIN(100,C79+D79))</f>
        <v/>
      </c>
      <c r="F79">
        <f>COUNTIFS($A$3:$A$232,A79,$E$3:$E$232,"&gt;"&amp;E79)+COUNTIFS($A$3:A79,A79,$E$3:E79,E79)</f>
        <v/>
      </c>
      <c r="G79" s="4">
        <f>ROUND(INDEX('League Config'!$K$4:$K$9,MATCH(A79,'League Config'!$E$4:$E$9,0))*E79+INDEX('League Config'!$L$4:$L$9,MATCH(A79,'League Config'!$E$4:$E$9,0)),1)</f>
        <v/>
      </c>
      <c r="H79">
        <f>INDEX('League Config'!$H$4:$H$9,MATCH(A79,'League Config'!$E$4:$E$9,0))</f>
        <v/>
      </c>
      <c r="I79" s="4">
        <f>INDEX('League Config'!$I$4:$I$9,MATCH(A79,'League Config'!$E$4:$E$9,0))</f>
        <v/>
      </c>
      <c r="J79" s="4">
        <f>ROUND(G79-I79,1)</f>
        <v/>
      </c>
      <c r="K79" s="4">
        <f>MAX(0,MIN(100,50+J79*0.6))</f>
        <v/>
      </c>
      <c r="L79" s="4">
        <f>MIN(100,MAX(0,(1-(F79-1)/(H79*1.5))*100*INDEX('League Config'!$J$4:$J$9,MATCH(A79,'League Config'!$E$4:$E$9,0))))</f>
        <v/>
      </c>
      <c r="M79">
        <f>IF(A79="K",'League Config'!$B$14,IF(A79="DST",'League Config'!$B$15,IF(A79="QB",'League Config'!$B$16,0)))</f>
        <v/>
      </c>
      <c r="N79" s="4">
        <f>MIN(100,MAX(0,0.55*E79+0.3*K79+0.15*L79-M79))</f>
        <v/>
      </c>
      <c r="O79" s="9">
        <f>IF(OR(A79="K",A79="DST"),"",N79)</f>
        <v/>
      </c>
      <c r="P79" s="6">
        <f>IF(O79="","",COUNTIF($O$3:$O$232,"&gt;"&amp;O79)+COUNTIF($O$3:O79,O79))</f>
        <v/>
      </c>
      <c r="Q79">
        <f>IF(A79="DST",IF(F79&lt;=GateSize,DstStart-1+F79,NSkill+2*GateSize+F79-GateSize),IF(A79="K",IF(F79&lt;=GateSize,KStart-1+F79,NSkill+GateSize+NDst+F79-GateSize),IF(P79&lt;=DstStart-1,P79,P79+2*GateSize)))</f>
        <v/>
      </c>
      <c r="R79" s="4">
        <f>'LIVE SOURCE'!E79</f>
        <v/>
      </c>
      <c r="S79" s="4">
        <f>R79-Q79</f>
        <v/>
      </c>
      <c r="T79">
        <f>'LIVE SOURCE'!F79</f>
        <v/>
      </c>
      <c r="U79" s="4">
        <f>MAX(40,E79-IF(T79="A",6,IF(T79="B",9,12)))</f>
        <v/>
      </c>
      <c r="V79" s="4">
        <f>E79</f>
        <v/>
      </c>
      <c r="W79" s="4">
        <f>MIN(100,E79+IF(T79="A",6,IF(T79="B",9,12)))</f>
        <v/>
      </c>
      <c r="X79">
        <f>'LIVE SOURCE'!G79</f>
        <v/>
      </c>
      <c r="Y79">
        <f>IF(INDEX('Draft Board'!$J$3:$J$232,Q79)="","Available",INDEX('Draft Board'!$J$3:$J$232,Q79))</f>
        <v/>
      </c>
      <c r="Z79">
        <f>IF(Y79&lt;&gt;"Available","",1+COUNTIFS($Y$3:$Y$232,"Available",$Q$3:$Q$232,"&lt;"&amp;Q79))</f>
        <v/>
      </c>
    </row>
    <row r="80">
      <c r="A80">
        <f>'LIVE SOURCE'!A80</f>
        <v/>
      </c>
      <c r="B80">
        <f>'LIVE SOURCE'!B80</f>
        <v/>
      </c>
      <c r="C80" s="4">
        <f>'LIVE SOURCE'!D80</f>
        <v/>
      </c>
      <c r="D80" s="4">
        <f>'Manual Adjustments'!G80</f>
        <v/>
      </c>
      <c r="E80" s="4">
        <f>MAX(40,MIN(100,C80+D80))</f>
        <v/>
      </c>
      <c r="F80">
        <f>COUNTIFS($A$3:$A$232,A80,$E$3:$E$232,"&gt;"&amp;E80)+COUNTIFS($A$3:A80,A80,$E$3:E80,E80)</f>
        <v/>
      </c>
      <c r="G80" s="4">
        <f>ROUND(INDEX('League Config'!$K$4:$K$9,MATCH(A80,'League Config'!$E$4:$E$9,0))*E80+INDEX('League Config'!$L$4:$L$9,MATCH(A80,'League Config'!$E$4:$E$9,0)),1)</f>
        <v/>
      </c>
      <c r="H80">
        <f>INDEX('League Config'!$H$4:$H$9,MATCH(A80,'League Config'!$E$4:$E$9,0))</f>
        <v/>
      </c>
      <c r="I80" s="4">
        <f>INDEX('League Config'!$I$4:$I$9,MATCH(A80,'League Config'!$E$4:$E$9,0))</f>
        <v/>
      </c>
      <c r="J80" s="4">
        <f>ROUND(G80-I80,1)</f>
        <v/>
      </c>
      <c r="K80" s="4">
        <f>MAX(0,MIN(100,50+J80*0.6))</f>
        <v/>
      </c>
      <c r="L80" s="4">
        <f>MIN(100,MAX(0,(1-(F80-1)/(H80*1.5))*100*INDEX('League Config'!$J$4:$J$9,MATCH(A80,'League Config'!$E$4:$E$9,0))))</f>
        <v/>
      </c>
      <c r="M80">
        <f>IF(A80="K",'League Config'!$B$14,IF(A80="DST",'League Config'!$B$15,IF(A80="QB",'League Config'!$B$16,0)))</f>
        <v/>
      </c>
      <c r="N80" s="4">
        <f>MIN(100,MAX(0,0.55*E80+0.3*K80+0.15*L80-M80))</f>
        <v/>
      </c>
      <c r="O80" s="9">
        <f>IF(OR(A80="K",A80="DST"),"",N80)</f>
        <v/>
      </c>
      <c r="P80" s="6">
        <f>IF(O80="","",COUNTIF($O$3:$O$232,"&gt;"&amp;O80)+COUNTIF($O$3:O80,O80))</f>
        <v/>
      </c>
      <c r="Q80">
        <f>IF(A80="DST",IF(F80&lt;=GateSize,DstStart-1+F80,NSkill+2*GateSize+F80-GateSize),IF(A80="K",IF(F80&lt;=GateSize,KStart-1+F80,NSkill+GateSize+NDst+F80-GateSize),IF(P80&lt;=DstStart-1,P80,P80+2*GateSize)))</f>
        <v/>
      </c>
      <c r="R80" s="4">
        <f>'LIVE SOURCE'!E80</f>
        <v/>
      </c>
      <c r="S80" s="4">
        <f>R80-Q80</f>
        <v/>
      </c>
      <c r="T80">
        <f>'LIVE SOURCE'!F80</f>
        <v/>
      </c>
      <c r="U80" s="4">
        <f>MAX(40,E80-IF(T80="A",6,IF(T80="B",9,12)))</f>
        <v/>
      </c>
      <c r="V80" s="4">
        <f>E80</f>
        <v/>
      </c>
      <c r="W80" s="4">
        <f>MIN(100,E80+IF(T80="A",6,IF(T80="B",9,12)))</f>
        <v/>
      </c>
      <c r="X80">
        <f>'LIVE SOURCE'!G80</f>
        <v/>
      </c>
      <c r="Y80">
        <f>IF(INDEX('Draft Board'!$J$3:$J$232,Q80)="","Available",INDEX('Draft Board'!$J$3:$J$232,Q80))</f>
        <v/>
      </c>
      <c r="Z80">
        <f>IF(Y80&lt;&gt;"Available","",1+COUNTIFS($Y$3:$Y$232,"Available",$Q$3:$Q$232,"&lt;"&amp;Q80))</f>
        <v/>
      </c>
    </row>
    <row r="81">
      <c r="A81">
        <f>'LIVE SOURCE'!A81</f>
        <v/>
      </c>
      <c r="B81">
        <f>'LIVE SOURCE'!B81</f>
        <v/>
      </c>
      <c r="C81" s="4">
        <f>'LIVE SOURCE'!D81</f>
        <v/>
      </c>
      <c r="D81" s="4">
        <f>'Manual Adjustments'!G81</f>
        <v/>
      </c>
      <c r="E81" s="4">
        <f>MAX(40,MIN(100,C81+D81))</f>
        <v/>
      </c>
      <c r="F81">
        <f>COUNTIFS($A$3:$A$232,A81,$E$3:$E$232,"&gt;"&amp;E81)+COUNTIFS($A$3:A81,A81,$E$3:E81,E81)</f>
        <v/>
      </c>
      <c r="G81" s="4">
        <f>ROUND(INDEX('League Config'!$K$4:$K$9,MATCH(A81,'League Config'!$E$4:$E$9,0))*E81+INDEX('League Config'!$L$4:$L$9,MATCH(A81,'League Config'!$E$4:$E$9,0)),1)</f>
        <v/>
      </c>
      <c r="H81">
        <f>INDEX('League Config'!$H$4:$H$9,MATCH(A81,'League Config'!$E$4:$E$9,0))</f>
        <v/>
      </c>
      <c r="I81" s="4">
        <f>INDEX('League Config'!$I$4:$I$9,MATCH(A81,'League Config'!$E$4:$E$9,0))</f>
        <v/>
      </c>
      <c r="J81" s="4">
        <f>ROUND(G81-I81,1)</f>
        <v/>
      </c>
      <c r="K81" s="4">
        <f>MAX(0,MIN(100,50+J81*0.6))</f>
        <v/>
      </c>
      <c r="L81" s="4">
        <f>MIN(100,MAX(0,(1-(F81-1)/(H81*1.5))*100*INDEX('League Config'!$J$4:$J$9,MATCH(A81,'League Config'!$E$4:$E$9,0))))</f>
        <v/>
      </c>
      <c r="M81">
        <f>IF(A81="K",'League Config'!$B$14,IF(A81="DST",'League Config'!$B$15,IF(A81="QB",'League Config'!$B$16,0)))</f>
        <v/>
      </c>
      <c r="N81" s="4">
        <f>MIN(100,MAX(0,0.55*E81+0.3*K81+0.15*L81-M81))</f>
        <v/>
      </c>
      <c r="O81" s="9">
        <f>IF(OR(A81="K",A81="DST"),"",N81)</f>
        <v/>
      </c>
      <c r="P81" s="6">
        <f>IF(O81="","",COUNTIF($O$3:$O$232,"&gt;"&amp;O81)+COUNTIF($O$3:O81,O81))</f>
        <v/>
      </c>
      <c r="Q81">
        <f>IF(A81="DST",IF(F81&lt;=GateSize,DstStart-1+F81,NSkill+2*GateSize+F81-GateSize),IF(A81="K",IF(F81&lt;=GateSize,KStart-1+F81,NSkill+GateSize+NDst+F81-GateSize),IF(P81&lt;=DstStart-1,P81,P81+2*GateSize)))</f>
        <v/>
      </c>
      <c r="R81" s="4">
        <f>'LIVE SOURCE'!E81</f>
        <v/>
      </c>
      <c r="S81" s="4">
        <f>R81-Q81</f>
        <v/>
      </c>
      <c r="T81">
        <f>'LIVE SOURCE'!F81</f>
        <v/>
      </c>
      <c r="U81" s="4">
        <f>MAX(40,E81-IF(T81="A",6,IF(T81="B",9,12)))</f>
        <v/>
      </c>
      <c r="V81" s="4">
        <f>E81</f>
        <v/>
      </c>
      <c r="W81" s="4">
        <f>MIN(100,E81+IF(T81="A",6,IF(T81="B",9,12)))</f>
        <v/>
      </c>
      <c r="X81">
        <f>'LIVE SOURCE'!G81</f>
        <v/>
      </c>
      <c r="Y81">
        <f>IF(INDEX('Draft Board'!$J$3:$J$232,Q81)="","Available",INDEX('Draft Board'!$J$3:$J$232,Q81))</f>
        <v/>
      </c>
      <c r="Z81">
        <f>IF(Y81&lt;&gt;"Available","",1+COUNTIFS($Y$3:$Y$232,"Available",$Q$3:$Q$232,"&lt;"&amp;Q81))</f>
        <v/>
      </c>
    </row>
    <row r="82">
      <c r="A82">
        <f>'LIVE SOURCE'!A82</f>
        <v/>
      </c>
      <c r="B82">
        <f>'LIVE SOURCE'!B82</f>
        <v/>
      </c>
      <c r="C82" s="4">
        <f>'LIVE SOURCE'!D82</f>
        <v/>
      </c>
      <c r="D82" s="4">
        <f>'Manual Adjustments'!G82</f>
        <v/>
      </c>
      <c r="E82" s="4">
        <f>MAX(40,MIN(100,C82+D82))</f>
        <v/>
      </c>
      <c r="F82">
        <f>COUNTIFS($A$3:$A$232,A82,$E$3:$E$232,"&gt;"&amp;E82)+COUNTIFS($A$3:A82,A82,$E$3:E82,E82)</f>
        <v/>
      </c>
      <c r="G82" s="4">
        <f>ROUND(INDEX('League Config'!$K$4:$K$9,MATCH(A82,'League Config'!$E$4:$E$9,0))*E82+INDEX('League Config'!$L$4:$L$9,MATCH(A82,'League Config'!$E$4:$E$9,0)),1)</f>
        <v/>
      </c>
      <c r="H82">
        <f>INDEX('League Config'!$H$4:$H$9,MATCH(A82,'League Config'!$E$4:$E$9,0))</f>
        <v/>
      </c>
      <c r="I82" s="4">
        <f>INDEX('League Config'!$I$4:$I$9,MATCH(A82,'League Config'!$E$4:$E$9,0))</f>
        <v/>
      </c>
      <c r="J82" s="4">
        <f>ROUND(G82-I82,1)</f>
        <v/>
      </c>
      <c r="K82" s="4">
        <f>MAX(0,MIN(100,50+J82*0.6))</f>
        <v/>
      </c>
      <c r="L82" s="4">
        <f>MIN(100,MAX(0,(1-(F82-1)/(H82*1.5))*100*INDEX('League Config'!$J$4:$J$9,MATCH(A82,'League Config'!$E$4:$E$9,0))))</f>
        <v/>
      </c>
      <c r="M82">
        <f>IF(A82="K",'League Config'!$B$14,IF(A82="DST",'League Config'!$B$15,IF(A82="QB",'League Config'!$B$16,0)))</f>
        <v/>
      </c>
      <c r="N82" s="4">
        <f>MIN(100,MAX(0,0.55*E82+0.3*K82+0.15*L82-M82))</f>
        <v/>
      </c>
      <c r="O82" s="9">
        <f>IF(OR(A82="K",A82="DST"),"",N82)</f>
        <v/>
      </c>
      <c r="P82" s="6">
        <f>IF(O82="","",COUNTIF($O$3:$O$232,"&gt;"&amp;O82)+COUNTIF($O$3:O82,O82))</f>
        <v/>
      </c>
      <c r="Q82">
        <f>IF(A82="DST",IF(F82&lt;=GateSize,DstStart-1+F82,NSkill+2*GateSize+F82-GateSize),IF(A82="K",IF(F82&lt;=GateSize,KStart-1+F82,NSkill+GateSize+NDst+F82-GateSize),IF(P82&lt;=DstStart-1,P82,P82+2*GateSize)))</f>
        <v/>
      </c>
      <c r="R82" s="4">
        <f>'LIVE SOURCE'!E82</f>
        <v/>
      </c>
      <c r="S82" s="4">
        <f>R82-Q82</f>
        <v/>
      </c>
      <c r="T82">
        <f>'LIVE SOURCE'!F82</f>
        <v/>
      </c>
      <c r="U82" s="4">
        <f>MAX(40,E82-IF(T82="A",6,IF(T82="B",9,12)))</f>
        <v/>
      </c>
      <c r="V82" s="4">
        <f>E82</f>
        <v/>
      </c>
      <c r="W82" s="4">
        <f>MIN(100,E82+IF(T82="A",6,IF(T82="B",9,12)))</f>
        <v/>
      </c>
      <c r="X82">
        <f>'LIVE SOURCE'!G82</f>
        <v/>
      </c>
      <c r="Y82">
        <f>IF(INDEX('Draft Board'!$J$3:$J$232,Q82)="","Available",INDEX('Draft Board'!$J$3:$J$232,Q82))</f>
        <v/>
      </c>
      <c r="Z82">
        <f>IF(Y82&lt;&gt;"Available","",1+COUNTIFS($Y$3:$Y$232,"Available",$Q$3:$Q$232,"&lt;"&amp;Q82))</f>
        <v/>
      </c>
    </row>
    <row r="83">
      <c r="A83">
        <f>'LIVE SOURCE'!A83</f>
        <v/>
      </c>
      <c r="B83">
        <f>'LIVE SOURCE'!B83</f>
        <v/>
      </c>
      <c r="C83" s="4">
        <f>'LIVE SOURCE'!D83</f>
        <v/>
      </c>
      <c r="D83" s="4">
        <f>'Manual Adjustments'!G83</f>
        <v/>
      </c>
      <c r="E83" s="4">
        <f>MAX(40,MIN(100,C83+D83))</f>
        <v/>
      </c>
      <c r="F83">
        <f>COUNTIFS($A$3:$A$232,A83,$E$3:$E$232,"&gt;"&amp;E83)+COUNTIFS($A$3:A83,A83,$E$3:E83,E83)</f>
        <v/>
      </c>
      <c r="G83" s="4">
        <f>ROUND(INDEX('League Config'!$K$4:$K$9,MATCH(A83,'League Config'!$E$4:$E$9,0))*E83+INDEX('League Config'!$L$4:$L$9,MATCH(A83,'League Config'!$E$4:$E$9,0)),1)</f>
        <v/>
      </c>
      <c r="H83">
        <f>INDEX('League Config'!$H$4:$H$9,MATCH(A83,'League Config'!$E$4:$E$9,0))</f>
        <v/>
      </c>
      <c r="I83" s="4">
        <f>INDEX('League Config'!$I$4:$I$9,MATCH(A83,'League Config'!$E$4:$E$9,0))</f>
        <v/>
      </c>
      <c r="J83" s="4">
        <f>ROUND(G83-I83,1)</f>
        <v/>
      </c>
      <c r="K83" s="4">
        <f>MAX(0,MIN(100,50+J83*0.6))</f>
        <v/>
      </c>
      <c r="L83" s="4">
        <f>MIN(100,MAX(0,(1-(F83-1)/(H83*1.5))*100*INDEX('League Config'!$J$4:$J$9,MATCH(A83,'League Config'!$E$4:$E$9,0))))</f>
        <v/>
      </c>
      <c r="M83">
        <f>IF(A83="K",'League Config'!$B$14,IF(A83="DST",'League Config'!$B$15,IF(A83="QB",'League Config'!$B$16,0)))</f>
        <v/>
      </c>
      <c r="N83" s="4">
        <f>MIN(100,MAX(0,0.55*E83+0.3*K83+0.15*L83-M83))</f>
        <v/>
      </c>
      <c r="O83" s="9">
        <f>IF(OR(A83="K",A83="DST"),"",N83)</f>
        <v/>
      </c>
      <c r="P83" s="6">
        <f>IF(O83="","",COUNTIF($O$3:$O$232,"&gt;"&amp;O83)+COUNTIF($O$3:O83,O83))</f>
        <v/>
      </c>
      <c r="Q83">
        <f>IF(A83="DST",IF(F83&lt;=GateSize,DstStart-1+F83,NSkill+2*GateSize+F83-GateSize),IF(A83="K",IF(F83&lt;=GateSize,KStart-1+F83,NSkill+GateSize+NDst+F83-GateSize),IF(P83&lt;=DstStart-1,P83,P83+2*GateSize)))</f>
        <v/>
      </c>
      <c r="R83" s="4">
        <f>'LIVE SOURCE'!E83</f>
        <v/>
      </c>
      <c r="S83" s="4">
        <f>R83-Q83</f>
        <v/>
      </c>
      <c r="T83">
        <f>'LIVE SOURCE'!F83</f>
        <v/>
      </c>
      <c r="U83" s="4">
        <f>MAX(40,E83-IF(T83="A",6,IF(T83="B",9,12)))</f>
        <v/>
      </c>
      <c r="V83" s="4">
        <f>E83</f>
        <v/>
      </c>
      <c r="W83" s="4">
        <f>MIN(100,E83+IF(T83="A",6,IF(T83="B",9,12)))</f>
        <v/>
      </c>
      <c r="X83">
        <f>'LIVE SOURCE'!G83</f>
        <v/>
      </c>
      <c r="Y83">
        <f>IF(INDEX('Draft Board'!$J$3:$J$232,Q83)="","Available",INDEX('Draft Board'!$J$3:$J$232,Q83))</f>
        <v/>
      </c>
      <c r="Z83">
        <f>IF(Y83&lt;&gt;"Available","",1+COUNTIFS($Y$3:$Y$232,"Available",$Q$3:$Q$232,"&lt;"&amp;Q83))</f>
        <v/>
      </c>
    </row>
    <row r="84">
      <c r="A84">
        <f>'LIVE SOURCE'!A84</f>
        <v/>
      </c>
      <c r="B84">
        <f>'LIVE SOURCE'!B84</f>
        <v/>
      </c>
      <c r="C84" s="4">
        <f>'LIVE SOURCE'!D84</f>
        <v/>
      </c>
      <c r="D84" s="4">
        <f>'Manual Adjustments'!G84</f>
        <v/>
      </c>
      <c r="E84" s="4">
        <f>MAX(40,MIN(100,C84+D84))</f>
        <v/>
      </c>
      <c r="F84">
        <f>COUNTIFS($A$3:$A$232,A84,$E$3:$E$232,"&gt;"&amp;E84)+COUNTIFS($A$3:A84,A84,$E$3:E84,E84)</f>
        <v/>
      </c>
      <c r="G84" s="4">
        <f>ROUND(INDEX('League Config'!$K$4:$K$9,MATCH(A84,'League Config'!$E$4:$E$9,0))*E84+INDEX('League Config'!$L$4:$L$9,MATCH(A84,'League Config'!$E$4:$E$9,0)),1)</f>
        <v/>
      </c>
      <c r="H84">
        <f>INDEX('League Config'!$H$4:$H$9,MATCH(A84,'League Config'!$E$4:$E$9,0))</f>
        <v/>
      </c>
      <c r="I84" s="4">
        <f>INDEX('League Config'!$I$4:$I$9,MATCH(A84,'League Config'!$E$4:$E$9,0))</f>
        <v/>
      </c>
      <c r="J84" s="4">
        <f>ROUND(G84-I84,1)</f>
        <v/>
      </c>
      <c r="K84" s="4">
        <f>MAX(0,MIN(100,50+J84*0.6))</f>
        <v/>
      </c>
      <c r="L84" s="4">
        <f>MIN(100,MAX(0,(1-(F84-1)/(H84*1.5))*100*INDEX('League Config'!$J$4:$J$9,MATCH(A84,'League Config'!$E$4:$E$9,0))))</f>
        <v/>
      </c>
      <c r="M84">
        <f>IF(A84="K",'League Config'!$B$14,IF(A84="DST",'League Config'!$B$15,IF(A84="QB",'League Config'!$B$16,0)))</f>
        <v/>
      </c>
      <c r="N84" s="4">
        <f>MIN(100,MAX(0,0.55*E84+0.3*K84+0.15*L84-M84))</f>
        <v/>
      </c>
      <c r="O84" s="9">
        <f>IF(OR(A84="K",A84="DST"),"",N84)</f>
        <v/>
      </c>
      <c r="P84" s="6">
        <f>IF(O84="","",COUNTIF($O$3:$O$232,"&gt;"&amp;O84)+COUNTIF($O$3:O84,O84))</f>
        <v/>
      </c>
      <c r="Q84">
        <f>IF(A84="DST",IF(F84&lt;=GateSize,DstStart-1+F84,NSkill+2*GateSize+F84-GateSize),IF(A84="K",IF(F84&lt;=GateSize,KStart-1+F84,NSkill+GateSize+NDst+F84-GateSize),IF(P84&lt;=DstStart-1,P84,P84+2*GateSize)))</f>
        <v/>
      </c>
      <c r="R84" s="4">
        <f>'LIVE SOURCE'!E84</f>
        <v/>
      </c>
      <c r="S84" s="4">
        <f>R84-Q84</f>
        <v/>
      </c>
      <c r="T84">
        <f>'LIVE SOURCE'!F84</f>
        <v/>
      </c>
      <c r="U84" s="4">
        <f>MAX(40,E84-IF(T84="A",6,IF(T84="B",9,12)))</f>
        <v/>
      </c>
      <c r="V84" s="4">
        <f>E84</f>
        <v/>
      </c>
      <c r="W84" s="4">
        <f>MIN(100,E84+IF(T84="A",6,IF(T84="B",9,12)))</f>
        <v/>
      </c>
      <c r="X84">
        <f>'LIVE SOURCE'!G84</f>
        <v/>
      </c>
      <c r="Y84">
        <f>IF(INDEX('Draft Board'!$J$3:$J$232,Q84)="","Available",INDEX('Draft Board'!$J$3:$J$232,Q84))</f>
        <v/>
      </c>
      <c r="Z84">
        <f>IF(Y84&lt;&gt;"Available","",1+COUNTIFS($Y$3:$Y$232,"Available",$Q$3:$Q$232,"&lt;"&amp;Q84))</f>
        <v/>
      </c>
    </row>
    <row r="85">
      <c r="A85">
        <f>'LIVE SOURCE'!A85</f>
        <v/>
      </c>
      <c r="B85">
        <f>'LIVE SOURCE'!B85</f>
        <v/>
      </c>
      <c r="C85" s="4">
        <f>'LIVE SOURCE'!D85</f>
        <v/>
      </c>
      <c r="D85" s="4">
        <f>'Manual Adjustments'!G85</f>
        <v/>
      </c>
      <c r="E85" s="4">
        <f>MAX(40,MIN(100,C85+D85))</f>
        <v/>
      </c>
      <c r="F85">
        <f>COUNTIFS($A$3:$A$232,A85,$E$3:$E$232,"&gt;"&amp;E85)+COUNTIFS($A$3:A85,A85,$E$3:E85,E85)</f>
        <v/>
      </c>
      <c r="G85" s="4">
        <f>ROUND(INDEX('League Config'!$K$4:$K$9,MATCH(A85,'League Config'!$E$4:$E$9,0))*E85+INDEX('League Config'!$L$4:$L$9,MATCH(A85,'League Config'!$E$4:$E$9,0)),1)</f>
        <v/>
      </c>
      <c r="H85">
        <f>INDEX('League Config'!$H$4:$H$9,MATCH(A85,'League Config'!$E$4:$E$9,0))</f>
        <v/>
      </c>
      <c r="I85" s="4">
        <f>INDEX('League Config'!$I$4:$I$9,MATCH(A85,'League Config'!$E$4:$E$9,0))</f>
        <v/>
      </c>
      <c r="J85" s="4">
        <f>ROUND(G85-I85,1)</f>
        <v/>
      </c>
      <c r="K85" s="4">
        <f>MAX(0,MIN(100,50+J85*0.6))</f>
        <v/>
      </c>
      <c r="L85" s="4">
        <f>MIN(100,MAX(0,(1-(F85-1)/(H85*1.5))*100*INDEX('League Config'!$J$4:$J$9,MATCH(A85,'League Config'!$E$4:$E$9,0))))</f>
        <v/>
      </c>
      <c r="M85">
        <f>IF(A85="K",'League Config'!$B$14,IF(A85="DST",'League Config'!$B$15,IF(A85="QB",'League Config'!$B$16,0)))</f>
        <v/>
      </c>
      <c r="N85" s="4">
        <f>MIN(100,MAX(0,0.55*E85+0.3*K85+0.15*L85-M85))</f>
        <v/>
      </c>
      <c r="O85" s="9">
        <f>IF(OR(A85="K",A85="DST"),"",N85)</f>
        <v/>
      </c>
      <c r="P85" s="6">
        <f>IF(O85="","",COUNTIF($O$3:$O$232,"&gt;"&amp;O85)+COUNTIF($O$3:O85,O85))</f>
        <v/>
      </c>
      <c r="Q85">
        <f>IF(A85="DST",IF(F85&lt;=GateSize,DstStart-1+F85,NSkill+2*GateSize+F85-GateSize),IF(A85="K",IF(F85&lt;=GateSize,KStart-1+F85,NSkill+GateSize+NDst+F85-GateSize),IF(P85&lt;=DstStart-1,P85,P85+2*GateSize)))</f>
        <v/>
      </c>
      <c r="R85" s="4">
        <f>'LIVE SOURCE'!E85</f>
        <v/>
      </c>
      <c r="S85" s="4">
        <f>R85-Q85</f>
        <v/>
      </c>
      <c r="T85">
        <f>'LIVE SOURCE'!F85</f>
        <v/>
      </c>
      <c r="U85" s="4">
        <f>MAX(40,E85-IF(T85="A",6,IF(T85="B",9,12)))</f>
        <v/>
      </c>
      <c r="V85" s="4">
        <f>E85</f>
        <v/>
      </c>
      <c r="W85" s="4">
        <f>MIN(100,E85+IF(T85="A",6,IF(T85="B",9,12)))</f>
        <v/>
      </c>
      <c r="X85">
        <f>'LIVE SOURCE'!G85</f>
        <v/>
      </c>
      <c r="Y85">
        <f>IF(INDEX('Draft Board'!$J$3:$J$232,Q85)="","Available",INDEX('Draft Board'!$J$3:$J$232,Q85))</f>
        <v/>
      </c>
      <c r="Z85">
        <f>IF(Y85&lt;&gt;"Available","",1+COUNTIFS($Y$3:$Y$232,"Available",$Q$3:$Q$232,"&lt;"&amp;Q85))</f>
        <v/>
      </c>
    </row>
    <row r="86">
      <c r="A86">
        <f>'LIVE SOURCE'!A86</f>
        <v/>
      </c>
      <c r="B86">
        <f>'LIVE SOURCE'!B86</f>
        <v/>
      </c>
      <c r="C86" s="4">
        <f>'LIVE SOURCE'!D86</f>
        <v/>
      </c>
      <c r="D86" s="4">
        <f>'Manual Adjustments'!G86</f>
        <v/>
      </c>
      <c r="E86" s="4">
        <f>MAX(40,MIN(100,C86+D86))</f>
        <v/>
      </c>
      <c r="F86">
        <f>COUNTIFS($A$3:$A$232,A86,$E$3:$E$232,"&gt;"&amp;E86)+COUNTIFS($A$3:A86,A86,$E$3:E86,E86)</f>
        <v/>
      </c>
      <c r="G86" s="4">
        <f>ROUND(INDEX('League Config'!$K$4:$K$9,MATCH(A86,'League Config'!$E$4:$E$9,0))*E86+INDEX('League Config'!$L$4:$L$9,MATCH(A86,'League Config'!$E$4:$E$9,0)),1)</f>
        <v/>
      </c>
      <c r="H86">
        <f>INDEX('League Config'!$H$4:$H$9,MATCH(A86,'League Config'!$E$4:$E$9,0))</f>
        <v/>
      </c>
      <c r="I86" s="4">
        <f>INDEX('League Config'!$I$4:$I$9,MATCH(A86,'League Config'!$E$4:$E$9,0))</f>
        <v/>
      </c>
      <c r="J86" s="4">
        <f>ROUND(G86-I86,1)</f>
        <v/>
      </c>
      <c r="K86" s="4">
        <f>MAX(0,MIN(100,50+J86*0.6))</f>
        <v/>
      </c>
      <c r="L86" s="4">
        <f>MIN(100,MAX(0,(1-(F86-1)/(H86*1.5))*100*INDEX('League Config'!$J$4:$J$9,MATCH(A86,'League Config'!$E$4:$E$9,0))))</f>
        <v/>
      </c>
      <c r="M86">
        <f>IF(A86="K",'League Config'!$B$14,IF(A86="DST",'League Config'!$B$15,IF(A86="QB",'League Config'!$B$16,0)))</f>
        <v/>
      </c>
      <c r="N86" s="4">
        <f>MIN(100,MAX(0,0.55*E86+0.3*K86+0.15*L86-M86))</f>
        <v/>
      </c>
      <c r="O86" s="9">
        <f>IF(OR(A86="K",A86="DST"),"",N86)</f>
        <v/>
      </c>
      <c r="P86" s="6">
        <f>IF(O86="","",COUNTIF($O$3:$O$232,"&gt;"&amp;O86)+COUNTIF($O$3:O86,O86))</f>
        <v/>
      </c>
      <c r="Q86">
        <f>IF(A86="DST",IF(F86&lt;=GateSize,DstStart-1+F86,NSkill+2*GateSize+F86-GateSize),IF(A86="K",IF(F86&lt;=GateSize,KStart-1+F86,NSkill+GateSize+NDst+F86-GateSize),IF(P86&lt;=DstStart-1,P86,P86+2*GateSize)))</f>
        <v/>
      </c>
      <c r="R86" s="4">
        <f>'LIVE SOURCE'!E86</f>
        <v/>
      </c>
      <c r="S86" s="4">
        <f>R86-Q86</f>
        <v/>
      </c>
      <c r="T86">
        <f>'LIVE SOURCE'!F86</f>
        <v/>
      </c>
      <c r="U86" s="4">
        <f>MAX(40,E86-IF(T86="A",6,IF(T86="B",9,12)))</f>
        <v/>
      </c>
      <c r="V86" s="4">
        <f>E86</f>
        <v/>
      </c>
      <c r="W86" s="4">
        <f>MIN(100,E86+IF(T86="A",6,IF(T86="B",9,12)))</f>
        <v/>
      </c>
      <c r="X86">
        <f>'LIVE SOURCE'!G86</f>
        <v/>
      </c>
      <c r="Y86">
        <f>IF(INDEX('Draft Board'!$J$3:$J$232,Q86)="","Available",INDEX('Draft Board'!$J$3:$J$232,Q86))</f>
        <v/>
      </c>
      <c r="Z86">
        <f>IF(Y86&lt;&gt;"Available","",1+COUNTIFS($Y$3:$Y$232,"Available",$Q$3:$Q$232,"&lt;"&amp;Q86))</f>
        <v/>
      </c>
    </row>
    <row r="87">
      <c r="A87">
        <f>'LIVE SOURCE'!A87</f>
        <v/>
      </c>
      <c r="B87">
        <f>'LIVE SOURCE'!B87</f>
        <v/>
      </c>
      <c r="C87" s="4">
        <f>'LIVE SOURCE'!D87</f>
        <v/>
      </c>
      <c r="D87" s="4">
        <f>'Manual Adjustments'!G87</f>
        <v/>
      </c>
      <c r="E87" s="4">
        <f>MAX(40,MIN(100,C87+D87))</f>
        <v/>
      </c>
      <c r="F87">
        <f>COUNTIFS($A$3:$A$232,A87,$E$3:$E$232,"&gt;"&amp;E87)+COUNTIFS($A$3:A87,A87,$E$3:E87,E87)</f>
        <v/>
      </c>
      <c r="G87" s="4">
        <f>ROUND(INDEX('League Config'!$K$4:$K$9,MATCH(A87,'League Config'!$E$4:$E$9,0))*E87+INDEX('League Config'!$L$4:$L$9,MATCH(A87,'League Config'!$E$4:$E$9,0)),1)</f>
        <v/>
      </c>
      <c r="H87">
        <f>INDEX('League Config'!$H$4:$H$9,MATCH(A87,'League Config'!$E$4:$E$9,0))</f>
        <v/>
      </c>
      <c r="I87" s="4">
        <f>INDEX('League Config'!$I$4:$I$9,MATCH(A87,'League Config'!$E$4:$E$9,0))</f>
        <v/>
      </c>
      <c r="J87" s="4">
        <f>ROUND(G87-I87,1)</f>
        <v/>
      </c>
      <c r="K87" s="4">
        <f>MAX(0,MIN(100,50+J87*0.6))</f>
        <v/>
      </c>
      <c r="L87" s="4">
        <f>MIN(100,MAX(0,(1-(F87-1)/(H87*1.5))*100*INDEX('League Config'!$J$4:$J$9,MATCH(A87,'League Config'!$E$4:$E$9,0))))</f>
        <v/>
      </c>
      <c r="M87">
        <f>IF(A87="K",'League Config'!$B$14,IF(A87="DST",'League Config'!$B$15,IF(A87="QB",'League Config'!$B$16,0)))</f>
        <v/>
      </c>
      <c r="N87" s="4">
        <f>MIN(100,MAX(0,0.55*E87+0.3*K87+0.15*L87-M87))</f>
        <v/>
      </c>
      <c r="O87" s="9">
        <f>IF(OR(A87="K",A87="DST"),"",N87)</f>
        <v/>
      </c>
      <c r="P87" s="6">
        <f>IF(O87="","",COUNTIF($O$3:$O$232,"&gt;"&amp;O87)+COUNTIF($O$3:O87,O87))</f>
        <v/>
      </c>
      <c r="Q87">
        <f>IF(A87="DST",IF(F87&lt;=GateSize,DstStart-1+F87,NSkill+2*GateSize+F87-GateSize),IF(A87="K",IF(F87&lt;=GateSize,KStart-1+F87,NSkill+GateSize+NDst+F87-GateSize),IF(P87&lt;=DstStart-1,P87,P87+2*GateSize)))</f>
        <v/>
      </c>
      <c r="R87" s="4">
        <f>'LIVE SOURCE'!E87</f>
        <v/>
      </c>
      <c r="S87" s="4">
        <f>R87-Q87</f>
        <v/>
      </c>
      <c r="T87">
        <f>'LIVE SOURCE'!F87</f>
        <v/>
      </c>
      <c r="U87" s="4">
        <f>MAX(40,E87-IF(T87="A",6,IF(T87="B",9,12)))</f>
        <v/>
      </c>
      <c r="V87" s="4">
        <f>E87</f>
        <v/>
      </c>
      <c r="W87" s="4">
        <f>MIN(100,E87+IF(T87="A",6,IF(T87="B",9,12)))</f>
        <v/>
      </c>
      <c r="X87">
        <f>'LIVE SOURCE'!G87</f>
        <v/>
      </c>
      <c r="Y87">
        <f>IF(INDEX('Draft Board'!$J$3:$J$232,Q87)="","Available",INDEX('Draft Board'!$J$3:$J$232,Q87))</f>
        <v/>
      </c>
      <c r="Z87">
        <f>IF(Y87&lt;&gt;"Available","",1+COUNTIFS($Y$3:$Y$232,"Available",$Q$3:$Q$232,"&lt;"&amp;Q87))</f>
        <v/>
      </c>
    </row>
    <row r="88">
      <c r="A88">
        <f>'LIVE SOURCE'!A88</f>
        <v/>
      </c>
      <c r="B88">
        <f>'LIVE SOURCE'!B88</f>
        <v/>
      </c>
      <c r="C88" s="4">
        <f>'LIVE SOURCE'!D88</f>
        <v/>
      </c>
      <c r="D88" s="4">
        <f>'Manual Adjustments'!G88</f>
        <v/>
      </c>
      <c r="E88" s="4">
        <f>MAX(40,MIN(100,C88+D88))</f>
        <v/>
      </c>
      <c r="F88">
        <f>COUNTIFS($A$3:$A$232,A88,$E$3:$E$232,"&gt;"&amp;E88)+COUNTIFS($A$3:A88,A88,$E$3:E88,E88)</f>
        <v/>
      </c>
      <c r="G88" s="4">
        <f>ROUND(INDEX('League Config'!$K$4:$K$9,MATCH(A88,'League Config'!$E$4:$E$9,0))*E88+INDEX('League Config'!$L$4:$L$9,MATCH(A88,'League Config'!$E$4:$E$9,0)),1)</f>
        <v/>
      </c>
      <c r="H88">
        <f>INDEX('League Config'!$H$4:$H$9,MATCH(A88,'League Config'!$E$4:$E$9,0))</f>
        <v/>
      </c>
      <c r="I88" s="4">
        <f>INDEX('League Config'!$I$4:$I$9,MATCH(A88,'League Config'!$E$4:$E$9,0))</f>
        <v/>
      </c>
      <c r="J88" s="4">
        <f>ROUND(G88-I88,1)</f>
        <v/>
      </c>
      <c r="K88" s="4">
        <f>MAX(0,MIN(100,50+J88*0.6))</f>
        <v/>
      </c>
      <c r="L88" s="4">
        <f>MIN(100,MAX(0,(1-(F88-1)/(H88*1.5))*100*INDEX('League Config'!$J$4:$J$9,MATCH(A88,'League Config'!$E$4:$E$9,0))))</f>
        <v/>
      </c>
      <c r="M88">
        <f>IF(A88="K",'League Config'!$B$14,IF(A88="DST",'League Config'!$B$15,IF(A88="QB",'League Config'!$B$16,0)))</f>
        <v/>
      </c>
      <c r="N88" s="4">
        <f>MIN(100,MAX(0,0.55*E88+0.3*K88+0.15*L88-M88))</f>
        <v/>
      </c>
      <c r="O88" s="9">
        <f>IF(OR(A88="K",A88="DST"),"",N88)</f>
        <v/>
      </c>
      <c r="P88" s="6">
        <f>IF(O88="","",COUNTIF($O$3:$O$232,"&gt;"&amp;O88)+COUNTIF($O$3:O88,O88))</f>
        <v/>
      </c>
      <c r="Q88">
        <f>IF(A88="DST",IF(F88&lt;=GateSize,DstStart-1+F88,NSkill+2*GateSize+F88-GateSize),IF(A88="K",IF(F88&lt;=GateSize,KStart-1+F88,NSkill+GateSize+NDst+F88-GateSize),IF(P88&lt;=DstStart-1,P88,P88+2*GateSize)))</f>
        <v/>
      </c>
      <c r="R88" s="4">
        <f>'LIVE SOURCE'!E88</f>
        <v/>
      </c>
      <c r="S88" s="4">
        <f>R88-Q88</f>
        <v/>
      </c>
      <c r="T88">
        <f>'LIVE SOURCE'!F88</f>
        <v/>
      </c>
      <c r="U88" s="4">
        <f>MAX(40,E88-IF(T88="A",6,IF(T88="B",9,12)))</f>
        <v/>
      </c>
      <c r="V88" s="4">
        <f>E88</f>
        <v/>
      </c>
      <c r="W88" s="4">
        <f>MIN(100,E88+IF(T88="A",6,IF(T88="B",9,12)))</f>
        <v/>
      </c>
      <c r="X88">
        <f>'LIVE SOURCE'!G88</f>
        <v/>
      </c>
      <c r="Y88">
        <f>IF(INDEX('Draft Board'!$J$3:$J$232,Q88)="","Available",INDEX('Draft Board'!$J$3:$J$232,Q88))</f>
        <v/>
      </c>
      <c r="Z88">
        <f>IF(Y88&lt;&gt;"Available","",1+COUNTIFS($Y$3:$Y$232,"Available",$Q$3:$Q$232,"&lt;"&amp;Q88))</f>
        <v/>
      </c>
    </row>
    <row r="89">
      <c r="A89">
        <f>'LIVE SOURCE'!A89</f>
        <v/>
      </c>
      <c r="B89">
        <f>'LIVE SOURCE'!B89</f>
        <v/>
      </c>
      <c r="C89" s="4">
        <f>'LIVE SOURCE'!D89</f>
        <v/>
      </c>
      <c r="D89" s="4">
        <f>'Manual Adjustments'!G89</f>
        <v/>
      </c>
      <c r="E89" s="4">
        <f>MAX(40,MIN(100,C89+D89))</f>
        <v/>
      </c>
      <c r="F89">
        <f>COUNTIFS($A$3:$A$232,A89,$E$3:$E$232,"&gt;"&amp;E89)+COUNTIFS($A$3:A89,A89,$E$3:E89,E89)</f>
        <v/>
      </c>
      <c r="G89" s="4">
        <f>ROUND(INDEX('League Config'!$K$4:$K$9,MATCH(A89,'League Config'!$E$4:$E$9,0))*E89+INDEX('League Config'!$L$4:$L$9,MATCH(A89,'League Config'!$E$4:$E$9,0)),1)</f>
        <v/>
      </c>
      <c r="H89">
        <f>INDEX('League Config'!$H$4:$H$9,MATCH(A89,'League Config'!$E$4:$E$9,0))</f>
        <v/>
      </c>
      <c r="I89" s="4">
        <f>INDEX('League Config'!$I$4:$I$9,MATCH(A89,'League Config'!$E$4:$E$9,0))</f>
        <v/>
      </c>
      <c r="J89" s="4">
        <f>ROUND(G89-I89,1)</f>
        <v/>
      </c>
      <c r="K89" s="4">
        <f>MAX(0,MIN(100,50+J89*0.6))</f>
        <v/>
      </c>
      <c r="L89" s="4">
        <f>MIN(100,MAX(0,(1-(F89-1)/(H89*1.5))*100*INDEX('League Config'!$J$4:$J$9,MATCH(A89,'League Config'!$E$4:$E$9,0))))</f>
        <v/>
      </c>
      <c r="M89">
        <f>IF(A89="K",'League Config'!$B$14,IF(A89="DST",'League Config'!$B$15,IF(A89="QB",'League Config'!$B$16,0)))</f>
        <v/>
      </c>
      <c r="N89" s="4">
        <f>MIN(100,MAX(0,0.55*E89+0.3*K89+0.15*L89-M89))</f>
        <v/>
      </c>
      <c r="O89" s="9">
        <f>IF(OR(A89="K",A89="DST"),"",N89)</f>
        <v/>
      </c>
      <c r="P89" s="6">
        <f>IF(O89="","",COUNTIF($O$3:$O$232,"&gt;"&amp;O89)+COUNTIF($O$3:O89,O89))</f>
        <v/>
      </c>
      <c r="Q89">
        <f>IF(A89="DST",IF(F89&lt;=GateSize,DstStart-1+F89,NSkill+2*GateSize+F89-GateSize),IF(A89="K",IF(F89&lt;=GateSize,KStart-1+F89,NSkill+GateSize+NDst+F89-GateSize),IF(P89&lt;=DstStart-1,P89,P89+2*GateSize)))</f>
        <v/>
      </c>
      <c r="R89" s="4">
        <f>'LIVE SOURCE'!E89</f>
        <v/>
      </c>
      <c r="S89" s="4">
        <f>R89-Q89</f>
        <v/>
      </c>
      <c r="T89">
        <f>'LIVE SOURCE'!F89</f>
        <v/>
      </c>
      <c r="U89" s="4">
        <f>MAX(40,E89-IF(T89="A",6,IF(T89="B",9,12)))</f>
        <v/>
      </c>
      <c r="V89" s="4">
        <f>E89</f>
        <v/>
      </c>
      <c r="W89" s="4">
        <f>MIN(100,E89+IF(T89="A",6,IF(T89="B",9,12)))</f>
        <v/>
      </c>
      <c r="X89">
        <f>'LIVE SOURCE'!G89</f>
        <v/>
      </c>
      <c r="Y89">
        <f>IF(INDEX('Draft Board'!$J$3:$J$232,Q89)="","Available",INDEX('Draft Board'!$J$3:$J$232,Q89))</f>
        <v/>
      </c>
      <c r="Z89">
        <f>IF(Y89&lt;&gt;"Available","",1+COUNTIFS($Y$3:$Y$232,"Available",$Q$3:$Q$232,"&lt;"&amp;Q89))</f>
        <v/>
      </c>
    </row>
    <row r="90">
      <c r="A90">
        <f>'LIVE SOURCE'!A90</f>
        <v/>
      </c>
      <c r="B90">
        <f>'LIVE SOURCE'!B90</f>
        <v/>
      </c>
      <c r="C90" s="4">
        <f>'LIVE SOURCE'!D90</f>
        <v/>
      </c>
      <c r="D90" s="4">
        <f>'Manual Adjustments'!G90</f>
        <v/>
      </c>
      <c r="E90" s="4">
        <f>MAX(40,MIN(100,C90+D90))</f>
        <v/>
      </c>
      <c r="F90">
        <f>COUNTIFS($A$3:$A$232,A90,$E$3:$E$232,"&gt;"&amp;E90)+COUNTIFS($A$3:A90,A90,$E$3:E90,E90)</f>
        <v/>
      </c>
      <c r="G90" s="4">
        <f>ROUND(INDEX('League Config'!$K$4:$K$9,MATCH(A90,'League Config'!$E$4:$E$9,0))*E90+INDEX('League Config'!$L$4:$L$9,MATCH(A90,'League Config'!$E$4:$E$9,0)),1)</f>
        <v/>
      </c>
      <c r="H90">
        <f>INDEX('League Config'!$H$4:$H$9,MATCH(A90,'League Config'!$E$4:$E$9,0))</f>
        <v/>
      </c>
      <c r="I90" s="4">
        <f>INDEX('League Config'!$I$4:$I$9,MATCH(A90,'League Config'!$E$4:$E$9,0))</f>
        <v/>
      </c>
      <c r="J90" s="4">
        <f>ROUND(G90-I90,1)</f>
        <v/>
      </c>
      <c r="K90" s="4">
        <f>MAX(0,MIN(100,50+J90*0.6))</f>
        <v/>
      </c>
      <c r="L90" s="4">
        <f>MIN(100,MAX(0,(1-(F90-1)/(H90*1.5))*100*INDEX('League Config'!$J$4:$J$9,MATCH(A90,'League Config'!$E$4:$E$9,0))))</f>
        <v/>
      </c>
      <c r="M90">
        <f>IF(A90="K",'League Config'!$B$14,IF(A90="DST",'League Config'!$B$15,IF(A90="QB",'League Config'!$B$16,0)))</f>
        <v/>
      </c>
      <c r="N90" s="4">
        <f>MIN(100,MAX(0,0.55*E90+0.3*K90+0.15*L90-M90))</f>
        <v/>
      </c>
      <c r="O90" s="9">
        <f>IF(OR(A90="K",A90="DST"),"",N90)</f>
        <v/>
      </c>
      <c r="P90" s="6">
        <f>IF(O90="","",COUNTIF($O$3:$O$232,"&gt;"&amp;O90)+COUNTIF($O$3:O90,O90))</f>
        <v/>
      </c>
      <c r="Q90">
        <f>IF(A90="DST",IF(F90&lt;=GateSize,DstStart-1+F90,NSkill+2*GateSize+F90-GateSize),IF(A90="K",IF(F90&lt;=GateSize,KStart-1+F90,NSkill+GateSize+NDst+F90-GateSize),IF(P90&lt;=DstStart-1,P90,P90+2*GateSize)))</f>
        <v/>
      </c>
      <c r="R90" s="4">
        <f>'LIVE SOURCE'!E90</f>
        <v/>
      </c>
      <c r="S90" s="4">
        <f>R90-Q90</f>
        <v/>
      </c>
      <c r="T90">
        <f>'LIVE SOURCE'!F90</f>
        <v/>
      </c>
      <c r="U90" s="4">
        <f>MAX(40,E90-IF(T90="A",6,IF(T90="B",9,12)))</f>
        <v/>
      </c>
      <c r="V90" s="4">
        <f>E90</f>
        <v/>
      </c>
      <c r="W90" s="4">
        <f>MIN(100,E90+IF(T90="A",6,IF(T90="B",9,12)))</f>
        <v/>
      </c>
      <c r="X90">
        <f>'LIVE SOURCE'!G90</f>
        <v/>
      </c>
      <c r="Y90">
        <f>IF(INDEX('Draft Board'!$J$3:$J$232,Q90)="","Available",INDEX('Draft Board'!$J$3:$J$232,Q90))</f>
        <v/>
      </c>
      <c r="Z90">
        <f>IF(Y90&lt;&gt;"Available","",1+COUNTIFS($Y$3:$Y$232,"Available",$Q$3:$Q$232,"&lt;"&amp;Q90))</f>
        <v/>
      </c>
    </row>
    <row r="91">
      <c r="A91">
        <f>'LIVE SOURCE'!A91</f>
        <v/>
      </c>
      <c r="B91">
        <f>'LIVE SOURCE'!B91</f>
        <v/>
      </c>
      <c r="C91" s="4">
        <f>'LIVE SOURCE'!D91</f>
        <v/>
      </c>
      <c r="D91" s="4">
        <f>'Manual Adjustments'!G91</f>
        <v/>
      </c>
      <c r="E91" s="4">
        <f>MAX(40,MIN(100,C91+D91))</f>
        <v/>
      </c>
      <c r="F91">
        <f>COUNTIFS($A$3:$A$232,A91,$E$3:$E$232,"&gt;"&amp;E91)+COUNTIFS($A$3:A91,A91,$E$3:E91,E91)</f>
        <v/>
      </c>
      <c r="G91" s="4">
        <f>ROUND(INDEX('League Config'!$K$4:$K$9,MATCH(A91,'League Config'!$E$4:$E$9,0))*E91+INDEX('League Config'!$L$4:$L$9,MATCH(A91,'League Config'!$E$4:$E$9,0)),1)</f>
        <v/>
      </c>
      <c r="H91">
        <f>INDEX('League Config'!$H$4:$H$9,MATCH(A91,'League Config'!$E$4:$E$9,0))</f>
        <v/>
      </c>
      <c r="I91" s="4">
        <f>INDEX('League Config'!$I$4:$I$9,MATCH(A91,'League Config'!$E$4:$E$9,0))</f>
        <v/>
      </c>
      <c r="J91" s="4">
        <f>ROUND(G91-I91,1)</f>
        <v/>
      </c>
      <c r="K91" s="4">
        <f>MAX(0,MIN(100,50+J91*0.6))</f>
        <v/>
      </c>
      <c r="L91" s="4">
        <f>MIN(100,MAX(0,(1-(F91-1)/(H91*1.5))*100*INDEX('League Config'!$J$4:$J$9,MATCH(A91,'League Config'!$E$4:$E$9,0))))</f>
        <v/>
      </c>
      <c r="M91">
        <f>IF(A91="K",'League Config'!$B$14,IF(A91="DST",'League Config'!$B$15,IF(A91="QB",'League Config'!$B$16,0)))</f>
        <v/>
      </c>
      <c r="N91" s="4">
        <f>MIN(100,MAX(0,0.55*E91+0.3*K91+0.15*L91-M91))</f>
        <v/>
      </c>
      <c r="O91" s="9">
        <f>IF(OR(A91="K",A91="DST"),"",N91)</f>
        <v/>
      </c>
      <c r="P91" s="6">
        <f>IF(O91="","",COUNTIF($O$3:$O$232,"&gt;"&amp;O91)+COUNTIF($O$3:O91,O91))</f>
        <v/>
      </c>
      <c r="Q91">
        <f>IF(A91="DST",IF(F91&lt;=GateSize,DstStart-1+F91,NSkill+2*GateSize+F91-GateSize),IF(A91="K",IF(F91&lt;=GateSize,KStart-1+F91,NSkill+GateSize+NDst+F91-GateSize),IF(P91&lt;=DstStart-1,P91,P91+2*GateSize)))</f>
        <v/>
      </c>
      <c r="R91" s="4">
        <f>'LIVE SOURCE'!E91</f>
        <v/>
      </c>
      <c r="S91" s="4">
        <f>R91-Q91</f>
        <v/>
      </c>
      <c r="T91">
        <f>'LIVE SOURCE'!F91</f>
        <v/>
      </c>
      <c r="U91" s="4">
        <f>MAX(40,E91-IF(T91="A",6,IF(T91="B",9,12)))</f>
        <v/>
      </c>
      <c r="V91" s="4">
        <f>E91</f>
        <v/>
      </c>
      <c r="W91" s="4">
        <f>MIN(100,E91+IF(T91="A",6,IF(T91="B",9,12)))</f>
        <v/>
      </c>
      <c r="X91">
        <f>'LIVE SOURCE'!G91</f>
        <v/>
      </c>
      <c r="Y91">
        <f>IF(INDEX('Draft Board'!$J$3:$J$232,Q91)="","Available",INDEX('Draft Board'!$J$3:$J$232,Q91))</f>
        <v/>
      </c>
      <c r="Z91">
        <f>IF(Y91&lt;&gt;"Available","",1+COUNTIFS($Y$3:$Y$232,"Available",$Q$3:$Q$232,"&lt;"&amp;Q91))</f>
        <v/>
      </c>
    </row>
    <row r="92">
      <c r="A92">
        <f>'LIVE SOURCE'!A92</f>
        <v/>
      </c>
      <c r="B92">
        <f>'LIVE SOURCE'!B92</f>
        <v/>
      </c>
      <c r="C92" s="4">
        <f>'LIVE SOURCE'!D92</f>
        <v/>
      </c>
      <c r="D92" s="4">
        <f>'Manual Adjustments'!G92</f>
        <v/>
      </c>
      <c r="E92" s="4">
        <f>MAX(40,MIN(100,C92+D92))</f>
        <v/>
      </c>
      <c r="F92">
        <f>COUNTIFS($A$3:$A$232,A92,$E$3:$E$232,"&gt;"&amp;E92)+COUNTIFS($A$3:A92,A92,$E$3:E92,E92)</f>
        <v/>
      </c>
      <c r="G92" s="4">
        <f>ROUND(INDEX('League Config'!$K$4:$K$9,MATCH(A92,'League Config'!$E$4:$E$9,0))*E92+INDEX('League Config'!$L$4:$L$9,MATCH(A92,'League Config'!$E$4:$E$9,0)),1)</f>
        <v/>
      </c>
      <c r="H92">
        <f>INDEX('League Config'!$H$4:$H$9,MATCH(A92,'League Config'!$E$4:$E$9,0))</f>
        <v/>
      </c>
      <c r="I92" s="4">
        <f>INDEX('League Config'!$I$4:$I$9,MATCH(A92,'League Config'!$E$4:$E$9,0))</f>
        <v/>
      </c>
      <c r="J92" s="4">
        <f>ROUND(G92-I92,1)</f>
        <v/>
      </c>
      <c r="K92" s="4">
        <f>MAX(0,MIN(100,50+J92*0.6))</f>
        <v/>
      </c>
      <c r="L92" s="4">
        <f>MIN(100,MAX(0,(1-(F92-1)/(H92*1.5))*100*INDEX('League Config'!$J$4:$J$9,MATCH(A92,'League Config'!$E$4:$E$9,0))))</f>
        <v/>
      </c>
      <c r="M92">
        <f>IF(A92="K",'League Config'!$B$14,IF(A92="DST",'League Config'!$B$15,IF(A92="QB",'League Config'!$B$16,0)))</f>
        <v/>
      </c>
      <c r="N92" s="4">
        <f>MIN(100,MAX(0,0.55*E92+0.3*K92+0.15*L92-M92))</f>
        <v/>
      </c>
      <c r="O92" s="9">
        <f>IF(OR(A92="K",A92="DST"),"",N92)</f>
        <v/>
      </c>
      <c r="P92" s="6">
        <f>IF(O92="","",COUNTIF($O$3:$O$232,"&gt;"&amp;O92)+COUNTIF($O$3:O92,O92))</f>
        <v/>
      </c>
      <c r="Q92">
        <f>IF(A92="DST",IF(F92&lt;=GateSize,DstStart-1+F92,NSkill+2*GateSize+F92-GateSize),IF(A92="K",IF(F92&lt;=GateSize,KStart-1+F92,NSkill+GateSize+NDst+F92-GateSize),IF(P92&lt;=DstStart-1,P92,P92+2*GateSize)))</f>
        <v/>
      </c>
      <c r="R92" s="4">
        <f>'LIVE SOURCE'!E92</f>
        <v/>
      </c>
      <c r="S92" s="4">
        <f>R92-Q92</f>
        <v/>
      </c>
      <c r="T92">
        <f>'LIVE SOURCE'!F92</f>
        <v/>
      </c>
      <c r="U92" s="4">
        <f>MAX(40,E92-IF(T92="A",6,IF(T92="B",9,12)))</f>
        <v/>
      </c>
      <c r="V92" s="4">
        <f>E92</f>
        <v/>
      </c>
      <c r="W92" s="4">
        <f>MIN(100,E92+IF(T92="A",6,IF(T92="B",9,12)))</f>
        <v/>
      </c>
      <c r="X92">
        <f>'LIVE SOURCE'!G92</f>
        <v/>
      </c>
      <c r="Y92">
        <f>IF(INDEX('Draft Board'!$J$3:$J$232,Q92)="","Available",INDEX('Draft Board'!$J$3:$J$232,Q92))</f>
        <v/>
      </c>
      <c r="Z92">
        <f>IF(Y92&lt;&gt;"Available","",1+COUNTIFS($Y$3:$Y$232,"Available",$Q$3:$Q$232,"&lt;"&amp;Q92))</f>
        <v/>
      </c>
    </row>
    <row r="93">
      <c r="A93">
        <f>'LIVE SOURCE'!A93</f>
        <v/>
      </c>
      <c r="B93">
        <f>'LIVE SOURCE'!B93</f>
        <v/>
      </c>
      <c r="C93" s="4">
        <f>'LIVE SOURCE'!D93</f>
        <v/>
      </c>
      <c r="D93" s="4">
        <f>'Manual Adjustments'!G93</f>
        <v/>
      </c>
      <c r="E93" s="4">
        <f>MAX(40,MIN(100,C93+D93))</f>
        <v/>
      </c>
      <c r="F93">
        <f>COUNTIFS($A$3:$A$232,A93,$E$3:$E$232,"&gt;"&amp;E93)+COUNTIFS($A$3:A93,A93,$E$3:E93,E93)</f>
        <v/>
      </c>
      <c r="G93" s="4">
        <f>ROUND(INDEX('League Config'!$K$4:$K$9,MATCH(A93,'League Config'!$E$4:$E$9,0))*E93+INDEX('League Config'!$L$4:$L$9,MATCH(A93,'League Config'!$E$4:$E$9,0)),1)</f>
        <v/>
      </c>
      <c r="H93">
        <f>INDEX('League Config'!$H$4:$H$9,MATCH(A93,'League Config'!$E$4:$E$9,0))</f>
        <v/>
      </c>
      <c r="I93" s="4">
        <f>INDEX('League Config'!$I$4:$I$9,MATCH(A93,'League Config'!$E$4:$E$9,0))</f>
        <v/>
      </c>
      <c r="J93" s="4">
        <f>ROUND(G93-I93,1)</f>
        <v/>
      </c>
      <c r="K93" s="4">
        <f>MAX(0,MIN(100,50+J93*0.6))</f>
        <v/>
      </c>
      <c r="L93" s="4">
        <f>MIN(100,MAX(0,(1-(F93-1)/(H93*1.5))*100*INDEX('League Config'!$J$4:$J$9,MATCH(A93,'League Config'!$E$4:$E$9,0))))</f>
        <v/>
      </c>
      <c r="M93">
        <f>IF(A93="K",'League Config'!$B$14,IF(A93="DST",'League Config'!$B$15,IF(A93="QB",'League Config'!$B$16,0)))</f>
        <v/>
      </c>
      <c r="N93" s="4">
        <f>MIN(100,MAX(0,0.55*E93+0.3*K93+0.15*L93-M93))</f>
        <v/>
      </c>
      <c r="O93" s="9">
        <f>IF(OR(A93="K",A93="DST"),"",N93)</f>
        <v/>
      </c>
      <c r="P93" s="6">
        <f>IF(O93="","",COUNTIF($O$3:$O$232,"&gt;"&amp;O93)+COUNTIF($O$3:O93,O93))</f>
        <v/>
      </c>
      <c r="Q93">
        <f>IF(A93="DST",IF(F93&lt;=GateSize,DstStart-1+F93,NSkill+2*GateSize+F93-GateSize),IF(A93="K",IF(F93&lt;=GateSize,KStart-1+F93,NSkill+GateSize+NDst+F93-GateSize),IF(P93&lt;=DstStart-1,P93,P93+2*GateSize)))</f>
        <v/>
      </c>
      <c r="R93" s="4">
        <f>'LIVE SOURCE'!E93</f>
        <v/>
      </c>
      <c r="S93" s="4">
        <f>R93-Q93</f>
        <v/>
      </c>
      <c r="T93">
        <f>'LIVE SOURCE'!F93</f>
        <v/>
      </c>
      <c r="U93" s="4">
        <f>MAX(40,E93-IF(T93="A",6,IF(T93="B",9,12)))</f>
        <v/>
      </c>
      <c r="V93" s="4">
        <f>E93</f>
        <v/>
      </c>
      <c r="W93" s="4">
        <f>MIN(100,E93+IF(T93="A",6,IF(T93="B",9,12)))</f>
        <v/>
      </c>
      <c r="X93">
        <f>'LIVE SOURCE'!G93</f>
        <v/>
      </c>
      <c r="Y93">
        <f>IF(INDEX('Draft Board'!$J$3:$J$232,Q93)="","Available",INDEX('Draft Board'!$J$3:$J$232,Q93))</f>
        <v/>
      </c>
      <c r="Z93">
        <f>IF(Y93&lt;&gt;"Available","",1+COUNTIFS($Y$3:$Y$232,"Available",$Q$3:$Q$232,"&lt;"&amp;Q93))</f>
        <v/>
      </c>
    </row>
    <row r="94">
      <c r="A94">
        <f>'LIVE SOURCE'!A94</f>
        <v/>
      </c>
      <c r="B94">
        <f>'LIVE SOURCE'!B94</f>
        <v/>
      </c>
      <c r="C94" s="4">
        <f>'LIVE SOURCE'!D94</f>
        <v/>
      </c>
      <c r="D94" s="4">
        <f>'Manual Adjustments'!G94</f>
        <v/>
      </c>
      <c r="E94" s="4">
        <f>MAX(40,MIN(100,C94+D94))</f>
        <v/>
      </c>
      <c r="F94">
        <f>COUNTIFS($A$3:$A$232,A94,$E$3:$E$232,"&gt;"&amp;E94)+COUNTIFS($A$3:A94,A94,$E$3:E94,E94)</f>
        <v/>
      </c>
      <c r="G94" s="4">
        <f>ROUND(INDEX('League Config'!$K$4:$K$9,MATCH(A94,'League Config'!$E$4:$E$9,0))*E94+INDEX('League Config'!$L$4:$L$9,MATCH(A94,'League Config'!$E$4:$E$9,0)),1)</f>
        <v/>
      </c>
      <c r="H94">
        <f>INDEX('League Config'!$H$4:$H$9,MATCH(A94,'League Config'!$E$4:$E$9,0))</f>
        <v/>
      </c>
      <c r="I94" s="4">
        <f>INDEX('League Config'!$I$4:$I$9,MATCH(A94,'League Config'!$E$4:$E$9,0))</f>
        <v/>
      </c>
      <c r="J94" s="4">
        <f>ROUND(G94-I94,1)</f>
        <v/>
      </c>
      <c r="K94" s="4">
        <f>MAX(0,MIN(100,50+J94*0.6))</f>
        <v/>
      </c>
      <c r="L94" s="4">
        <f>MIN(100,MAX(0,(1-(F94-1)/(H94*1.5))*100*INDEX('League Config'!$J$4:$J$9,MATCH(A94,'League Config'!$E$4:$E$9,0))))</f>
        <v/>
      </c>
      <c r="M94">
        <f>IF(A94="K",'League Config'!$B$14,IF(A94="DST",'League Config'!$B$15,IF(A94="QB",'League Config'!$B$16,0)))</f>
        <v/>
      </c>
      <c r="N94" s="4">
        <f>MIN(100,MAX(0,0.55*E94+0.3*K94+0.15*L94-M94))</f>
        <v/>
      </c>
      <c r="O94" s="9">
        <f>IF(OR(A94="K",A94="DST"),"",N94)</f>
        <v/>
      </c>
      <c r="P94" s="6">
        <f>IF(O94="","",COUNTIF($O$3:$O$232,"&gt;"&amp;O94)+COUNTIF($O$3:O94,O94))</f>
        <v/>
      </c>
      <c r="Q94">
        <f>IF(A94="DST",IF(F94&lt;=GateSize,DstStart-1+F94,NSkill+2*GateSize+F94-GateSize),IF(A94="K",IF(F94&lt;=GateSize,KStart-1+F94,NSkill+GateSize+NDst+F94-GateSize),IF(P94&lt;=DstStart-1,P94,P94+2*GateSize)))</f>
        <v/>
      </c>
      <c r="R94" s="4">
        <f>'LIVE SOURCE'!E94</f>
        <v/>
      </c>
      <c r="S94" s="4">
        <f>R94-Q94</f>
        <v/>
      </c>
      <c r="T94">
        <f>'LIVE SOURCE'!F94</f>
        <v/>
      </c>
      <c r="U94" s="4">
        <f>MAX(40,E94-IF(T94="A",6,IF(T94="B",9,12)))</f>
        <v/>
      </c>
      <c r="V94" s="4">
        <f>E94</f>
        <v/>
      </c>
      <c r="W94" s="4">
        <f>MIN(100,E94+IF(T94="A",6,IF(T94="B",9,12)))</f>
        <v/>
      </c>
      <c r="X94">
        <f>'LIVE SOURCE'!G94</f>
        <v/>
      </c>
      <c r="Y94">
        <f>IF(INDEX('Draft Board'!$J$3:$J$232,Q94)="","Available",INDEX('Draft Board'!$J$3:$J$232,Q94))</f>
        <v/>
      </c>
      <c r="Z94">
        <f>IF(Y94&lt;&gt;"Available","",1+COUNTIFS($Y$3:$Y$232,"Available",$Q$3:$Q$232,"&lt;"&amp;Q94))</f>
        <v/>
      </c>
    </row>
    <row r="95">
      <c r="A95">
        <f>'LIVE SOURCE'!A95</f>
        <v/>
      </c>
      <c r="B95">
        <f>'LIVE SOURCE'!B95</f>
        <v/>
      </c>
      <c r="C95" s="4">
        <f>'LIVE SOURCE'!D95</f>
        <v/>
      </c>
      <c r="D95" s="4">
        <f>'Manual Adjustments'!G95</f>
        <v/>
      </c>
      <c r="E95" s="4">
        <f>MAX(40,MIN(100,C95+D95))</f>
        <v/>
      </c>
      <c r="F95">
        <f>COUNTIFS($A$3:$A$232,A95,$E$3:$E$232,"&gt;"&amp;E95)+COUNTIFS($A$3:A95,A95,$E$3:E95,E95)</f>
        <v/>
      </c>
      <c r="G95" s="4">
        <f>ROUND(INDEX('League Config'!$K$4:$K$9,MATCH(A95,'League Config'!$E$4:$E$9,0))*E95+INDEX('League Config'!$L$4:$L$9,MATCH(A95,'League Config'!$E$4:$E$9,0)),1)</f>
        <v/>
      </c>
      <c r="H95">
        <f>INDEX('League Config'!$H$4:$H$9,MATCH(A95,'League Config'!$E$4:$E$9,0))</f>
        <v/>
      </c>
      <c r="I95" s="4">
        <f>INDEX('League Config'!$I$4:$I$9,MATCH(A95,'League Config'!$E$4:$E$9,0))</f>
        <v/>
      </c>
      <c r="J95" s="4">
        <f>ROUND(G95-I95,1)</f>
        <v/>
      </c>
      <c r="K95" s="4">
        <f>MAX(0,MIN(100,50+J95*0.6))</f>
        <v/>
      </c>
      <c r="L95" s="4">
        <f>MIN(100,MAX(0,(1-(F95-1)/(H95*1.5))*100*INDEX('League Config'!$J$4:$J$9,MATCH(A95,'League Config'!$E$4:$E$9,0))))</f>
        <v/>
      </c>
      <c r="M95">
        <f>IF(A95="K",'League Config'!$B$14,IF(A95="DST",'League Config'!$B$15,IF(A95="QB",'League Config'!$B$16,0)))</f>
        <v/>
      </c>
      <c r="N95" s="4">
        <f>MIN(100,MAX(0,0.55*E95+0.3*K95+0.15*L95-M95))</f>
        <v/>
      </c>
      <c r="O95" s="9">
        <f>IF(OR(A95="K",A95="DST"),"",N95)</f>
        <v/>
      </c>
      <c r="P95" s="6">
        <f>IF(O95="","",COUNTIF($O$3:$O$232,"&gt;"&amp;O95)+COUNTIF($O$3:O95,O95))</f>
        <v/>
      </c>
      <c r="Q95">
        <f>IF(A95="DST",IF(F95&lt;=GateSize,DstStart-1+F95,NSkill+2*GateSize+F95-GateSize),IF(A95="K",IF(F95&lt;=GateSize,KStart-1+F95,NSkill+GateSize+NDst+F95-GateSize),IF(P95&lt;=DstStart-1,P95,P95+2*GateSize)))</f>
        <v/>
      </c>
      <c r="R95" s="4">
        <f>'LIVE SOURCE'!E95</f>
        <v/>
      </c>
      <c r="S95" s="4">
        <f>R95-Q95</f>
        <v/>
      </c>
      <c r="T95">
        <f>'LIVE SOURCE'!F95</f>
        <v/>
      </c>
      <c r="U95" s="4">
        <f>MAX(40,E95-IF(T95="A",6,IF(T95="B",9,12)))</f>
        <v/>
      </c>
      <c r="V95" s="4">
        <f>E95</f>
        <v/>
      </c>
      <c r="W95" s="4">
        <f>MIN(100,E95+IF(T95="A",6,IF(T95="B",9,12)))</f>
        <v/>
      </c>
      <c r="X95">
        <f>'LIVE SOURCE'!G95</f>
        <v/>
      </c>
      <c r="Y95">
        <f>IF(INDEX('Draft Board'!$J$3:$J$232,Q95)="","Available",INDEX('Draft Board'!$J$3:$J$232,Q95))</f>
        <v/>
      </c>
      <c r="Z95">
        <f>IF(Y95&lt;&gt;"Available","",1+COUNTIFS($Y$3:$Y$232,"Available",$Q$3:$Q$232,"&lt;"&amp;Q95))</f>
        <v/>
      </c>
    </row>
    <row r="96">
      <c r="A96">
        <f>'LIVE SOURCE'!A96</f>
        <v/>
      </c>
      <c r="B96">
        <f>'LIVE SOURCE'!B96</f>
        <v/>
      </c>
      <c r="C96" s="4">
        <f>'LIVE SOURCE'!D96</f>
        <v/>
      </c>
      <c r="D96" s="4">
        <f>'Manual Adjustments'!G96</f>
        <v/>
      </c>
      <c r="E96" s="4">
        <f>MAX(40,MIN(100,C96+D96))</f>
        <v/>
      </c>
      <c r="F96">
        <f>COUNTIFS($A$3:$A$232,A96,$E$3:$E$232,"&gt;"&amp;E96)+COUNTIFS($A$3:A96,A96,$E$3:E96,E96)</f>
        <v/>
      </c>
      <c r="G96" s="4">
        <f>ROUND(INDEX('League Config'!$K$4:$K$9,MATCH(A96,'League Config'!$E$4:$E$9,0))*E96+INDEX('League Config'!$L$4:$L$9,MATCH(A96,'League Config'!$E$4:$E$9,0)),1)</f>
        <v/>
      </c>
      <c r="H96">
        <f>INDEX('League Config'!$H$4:$H$9,MATCH(A96,'League Config'!$E$4:$E$9,0))</f>
        <v/>
      </c>
      <c r="I96" s="4">
        <f>INDEX('League Config'!$I$4:$I$9,MATCH(A96,'League Config'!$E$4:$E$9,0))</f>
        <v/>
      </c>
      <c r="J96" s="4">
        <f>ROUND(G96-I96,1)</f>
        <v/>
      </c>
      <c r="K96" s="4">
        <f>MAX(0,MIN(100,50+J96*0.6))</f>
        <v/>
      </c>
      <c r="L96" s="4">
        <f>MIN(100,MAX(0,(1-(F96-1)/(H96*1.5))*100*INDEX('League Config'!$J$4:$J$9,MATCH(A96,'League Config'!$E$4:$E$9,0))))</f>
        <v/>
      </c>
      <c r="M96">
        <f>IF(A96="K",'League Config'!$B$14,IF(A96="DST",'League Config'!$B$15,IF(A96="QB",'League Config'!$B$16,0)))</f>
        <v/>
      </c>
      <c r="N96" s="4">
        <f>MIN(100,MAX(0,0.55*E96+0.3*K96+0.15*L96-M96))</f>
        <v/>
      </c>
      <c r="O96" s="9">
        <f>IF(OR(A96="K",A96="DST"),"",N96)</f>
        <v/>
      </c>
      <c r="P96" s="6">
        <f>IF(O96="","",COUNTIF($O$3:$O$232,"&gt;"&amp;O96)+COUNTIF($O$3:O96,O96))</f>
        <v/>
      </c>
      <c r="Q96">
        <f>IF(A96="DST",IF(F96&lt;=GateSize,DstStart-1+F96,NSkill+2*GateSize+F96-GateSize),IF(A96="K",IF(F96&lt;=GateSize,KStart-1+F96,NSkill+GateSize+NDst+F96-GateSize),IF(P96&lt;=DstStart-1,P96,P96+2*GateSize)))</f>
        <v/>
      </c>
      <c r="R96" s="4">
        <f>'LIVE SOURCE'!E96</f>
        <v/>
      </c>
      <c r="S96" s="4">
        <f>R96-Q96</f>
        <v/>
      </c>
      <c r="T96">
        <f>'LIVE SOURCE'!F96</f>
        <v/>
      </c>
      <c r="U96" s="4">
        <f>MAX(40,E96-IF(T96="A",6,IF(T96="B",9,12)))</f>
        <v/>
      </c>
      <c r="V96" s="4">
        <f>E96</f>
        <v/>
      </c>
      <c r="W96" s="4">
        <f>MIN(100,E96+IF(T96="A",6,IF(T96="B",9,12)))</f>
        <v/>
      </c>
      <c r="X96">
        <f>'LIVE SOURCE'!G96</f>
        <v/>
      </c>
      <c r="Y96">
        <f>IF(INDEX('Draft Board'!$J$3:$J$232,Q96)="","Available",INDEX('Draft Board'!$J$3:$J$232,Q96))</f>
        <v/>
      </c>
      <c r="Z96">
        <f>IF(Y96&lt;&gt;"Available","",1+COUNTIFS($Y$3:$Y$232,"Available",$Q$3:$Q$232,"&lt;"&amp;Q96))</f>
        <v/>
      </c>
    </row>
    <row r="97">
      <c r="A97">
        <f>'LIVE SOURCE'!A97</f>
        <v/>
      </c>
      <c r="B97">
        <f>'LIVE SOURCE'!B97</f>
        <v/>
      </c>
      <c r="C97" s="4">
        <f>'LIVE SOURCE'!D97</f>
        <v/>
      </c>
      <c r="D97" s="4">
        <f>'Manual Adjustments'!G97</f>
        <v/>
      </c>
      <c r="E97" s="4">
        <f>MAX(40,MIN(100,C97+D97))</f>
        <v/>
      </c>
      <c r="F97">
        <f>COUNTIFS($A$3:$A$232,A97,$E$3:$E$232,"&gt;"&amp;E97)+COUNTIFS($A$3:A97,A97,$E$3:E97,E97)</f>
        <v/>
      </c>
      <c r="G97" s="4">
        <f>ROUND(INDEX('League Config'!$K$4:$K$9,MATCH(A97,'League Config'!$E$4:$E$9,0))*E97+INDEX('League Config'!$L$4:$L$9,MATCH(A97,'League Config'!$E$4:$E$9,0)),1)</f>
        <v/>
      </c>
      <c r="H97">
        <f>INDEX('League Config'!$H$4:$H$9,MATCH(A97,'League Config'!$E$4:$E$9,0))</f>
        <v/>
      </c>
      <c r="I97" s="4">
        <f>INDEX('League Config'!$I$4:$I$9,MATCH(A97,'League Config'!$E$4:$E$9,0))</f>
        <v/>
      </c>
      <c r="J97" s="4">
        <f>ROUND(G97-I97,1)</f>
        <v/>
      </c>
      <c r="K97" s="4">
        <f>MAX(0,MIN(100,50+J97*0.6))</f>
        <v/>
      </c>
      <c r="L97" s="4">
        <f>MIN(100,MAX(0,(1-(F97-1)/(H97*1.5))*100*INDEX('League Config'!$J$4:$J$9,MATCH(A97,'League Config'!$E$4:$E$9,0))))</f>
        <v/>
      </c>
      <c r="M97">
        <f>IF(A97="K",'League Config'!$B$14,IF(A97="DST",'League Config'!$B$15,IF(A97="QB",'League Config'!$B$16,0)))</f>
        <v/>
      </c>
      <c r="N97" s="4">
        <f>MIN(100,MAX(0,0.55*E97+0.3*K97+0.15*L97-M97))</f>
        <v/>
      </c>
      <c r="O97" s="9">
        <f>IF(OR(A97="K",A97="DST"),"",N97)</f>
        <v/>
      </c>
      <c r="P97" s="6">
        <f>IF(O97="","",COUNTIF($O$3:$O$232,"&gt;"&amp;O97)+COUNTIF($O$3:O97,O97))</f>
        <v/>
      </c>
      <c r="Q97">
        <f>IF(A97="DST",IF(F97&lt;=GateSize,DstStart-1+F97,NSkill+2*GateSize+F97-GateSize),IF(A97="K",IF(F97&lt;=GateSize,KStart-1+F97,NSkill+GateSize+NDst+F97-GateSize),IF(P97&lt;=DstStart-1,P97,P97+2*GateSize)))</f>
        <v/>
      </c>
      <c r="R97" s="4">
        <f>'LIVE SOURCE'!E97</f>
        <v/>
      </c>
      <c r="S97" s="4">
        <f>R97-Q97</f>
        <v/>
      </c>
      <c r="T97">
        <f>'LIVE SOURCE'!F97</f>
        <v/>
      </c>
      <c r="U97" s="4">
        <f>MAX(40,E97-IF(T97="A",6,IF(T97="B",9,12)))</f>
        <v/>
      </c>
      <c r="V97" s="4">
        <f>E97</f>
        <v/>
      </c>
      <c r="W97" s="4">
        <f>MIN(100,E97+IF(T97="A",6,IF(T97="B",9,12)))</f>
        <v/>
      </c>
      <c r="X97">
        <f>'LIVE SOURCE'!G97</f>
        <v/>
      </c>
      <c r="Y97">
        <f>IF(INDEX('Draft Board'!$J$3:$J$232,Q97)="","Available",INDEX('Draft Board'!$J$3:$J$232,Q97))</f>
        <v/>
      </c>
      <c r="Z97">
        <f>IF(Y97&lt;&gt;"Available","",1+COUNTIFS($Y$3:$Y$232,"Available",$Q$3:$Q$232,"&lt;"&amp;Q97))</f>
        <v/>
      </c>
    </row>
    <row r="98">
      <c r="A98">
        <f>'LIVE SOURCE'!A98</f>
        <v/>
      </c>
      <c r="B98">
        <f>'LIVE SOURCE'!B98</f>
        <v/>
      </c>
      <c r="C98" s="4">
        <f>'LIVE SOURCE'!D98</f>
        <v/>
      </c>
      <c r="D98" s="4">
        <f>'Manual Adjustments'!G98</f>
        <v/>
      </c>
      <c r="E98" s="4">
        <f>MAX(40,MIN(100,C98+D98))</f>
        <v/>
      </c>
      <c r="F98">
        <f>COUNTIFS($A$3:$A$232,A98,$E$3:$E$232,"&gt;"&amp;E98)+COUNTIFS($A$3:A98,A98,$E$3:E98,E98)</f>
        <v/>
      </c>
      <c r="G98" s="4">
        <f>ROUND(INDEX('League Config'!$K$4:$K$9,MATCH(A98,'League Config'!$E$4:$E$9,0))*E98+INDEX('League Config'!$L$4:$L$9,MATCH(A98,'League Config'!$E$4:$E$9,0)),1)</f>
        <v/>
      </c>
      <c r="H98">
        <f>INDEX('League Config'!$H$4:$H$9,MATCH(A98,'League Config'!$E$4:$E$9,0))</f>
        <v/>
      </c>
      <c r="I98" s="4">
        <f>INDEX('League Config'!$I$4:$I$9,MATCH(A98,'League Config'!$E$4:$E$9,0))</f>
        <v/>
      </c>
      <c r="J98" s="4">
        <f>ROUND(G98-I98,1)</f>
        <v/>
      </c>
      <c r="K98" s="4">
        <f>MAX(0,MIN(100,50+J98*0.6))</f>
        <v/>
      </c>
      <c r="L98" s="4">
        <f>MIN(100,MAX(0,(1-(F98-1)/(H98*1.5))*100*INDEX('League Config'!$J$4:$J$9,MATCH(A98,'League Config'!$E$4:$E$9,0))))</f>
        <v/>
      </c>
      <c r="M98">
        <f>IF(A98="K",'League Config'!$B$14,IF(A98="DST",'League Config'!$B$15,IF(A98="QB",'League Config'!$B$16,0)))</f>
        <v/>
      </c>
      <c r="N98" s="4">
        <f>MIN(100,MAX(0,0.55*E98+0.3*K98+0.15*L98-M98))</f>
        <v/>
      </c>
      <c r="O98" s="9">
        <f>IF(OR(A98="K",A98="DST"),"",N98)</f>
        <v/>
      </c>
      <c r="P98" s="6">
        <f>IF(O98="","",COUNTIF($O$3:$O$232,"&gt;"&amp;O98)+COUNTIF($O$3:O98,O98))</f>
        <v/>
      </c>
      <c r="Q98">
        <f>IF(A98="DST",IF(F98&lt;=GateSize,DstStart-1+F98,NSkill+2*GateSize+F98-GateSize),IF(A98="K",IF(F98&lt;=GateSize,KStart-1+F98,NSkill+GateSize+NDst+F98-GateSize),IF(P98&lt;=DstStart-1,P98,P98+2*GateSize)))</f>
        <v/>
      </c>
      <c r="R98" s="4">
        <f>'LIVE SOURCE'!E98</f>
        <v/>
      </c>
      <c r="S98" s="4">
        <f>R98-Q98</f>
        <v/>
      </c>
      <c r="T98">
        <f>'LIVE SOURCE'!F98</f>
        <v/>
      </c>
      <c r="U98" s="4">
        <f>MAX(40,E98-IF(T98="A",6,IF(T98="B",9,12)))</f>
        <v/>
      </c>
      <c r="V98" s="4">
        <f>E98</f>
        <v/>
      </c>
      <c r="W98" s="4">
        <f>MIN(100,E98+IF(T98="A",6,IF(T98="B",9,12)))</f>
        <v/>
      </c>
      <c r="X98">
        <f>'LIVE SOURCE'!G98</f>
        <v/>
      </c>
      <c r="Y98">
        <f>IF(INDEX('Draft Board'!$J$3:$J$232,Q98)="","Available",INDEX('Draft Board'!$J$3:$J$232,Q98))</f>
        <v/>
      </c>
      <c r="Z98">
        <f>IF(Y98&lt;&gt;"Available","",1+COUNTIFS($Y$3:$Y$232,"Available",$Q$3:$Q$232,"&lt;"&amp;Q98))</f>
        <v/>
      </c>
    </row>
    <row r="99">
      <c r="A99">
        <f>'LIVE SOURCE'!A99</f>
        <v/>
      </c>
      <c r="B99">
        <f>'LIVE SOURCE'!B99</f>
        <v/>
      </c>
      <c r="C99" s="4">
        <f>'LIVE SOURCE'!D99</f>
        <v/>
      </c>
      <c r="D99" s="4">
        <f>'Manual Adjustments'!G99</f>
        <v/>
      </c>
      <c r="E99" s="4">
        <f>MAX(40,MIN(100,C99+D99))</f>
        <v/>
      </c>
      <c r="F99">
        <f>COUNTIFS($A$3:$A$232,A99,$E$3:$E$232,"&gt;"&amp;E99)+COUNTIFS($A$3:A99,A99,$E$3:E99,E99)</f>
        <v/>
      </c>
      <c r="G99" s="4">
        <f>ROUND(INDEX('League Config'!$K$4:$K$9,MATCH(A99,'League Config'!$E$4:$E$9,0))*E99+INDEX('League Config'!$L$4:$L$9,MATCH(A99,'League Config'!$E$4:$E$9,0)),1)</f>
        <v/>
      </c>
      <c r="H99">
        <f>INDEX('League Config'!$H$4:$H$9,MATCH(A99,'League Config'!$E$4:$E$9,0))</f>
        <v/>
      </c>
      <c r="I99" s="4">
        <f>INDEX('League Config'!$I$4:$I$9,MATCH(A99,'League Config'!$E$4:$E$9,0))</f>
        <v/>
      </c>
      <c r="J99" s="4">
        <f>ROUND(G99-I99,1)</f>
        <v/>
      </c>
      <c r="K99" s="4">
        <f>MAX(0,MIN(100,50+J99*0.6))</f>
        <v/>
      </c>
      <c r="L99" s="4">
        <f>MIN(100,MAX(0,(1-(F99-1)/(H99*1.5))*100*INDEX('League Config'!$J$4:$J$9,MATCH(A99,'League Config'!$E$4:$E$9,0))))</f>
        <v/>
      </c>
      <c r="M99">
        <f>IF(A99="K",'League Config'!$B$14,IF(A99="DST",'League Config'!$B$15,IF(A99="QB",'League Config'!$B$16,0)))</f>
        <v/>
      </c>
      <c r="N99" s="4">
        <f>MIN(100,MAX(0,0.55*E99+0.3*K99+0.15*L99-M99))</f>
        <v/>
      </c>
      <c r="O99" s="9">
        <f>IF(OR(A99="K",A99="DST"),"",N99)</f>
        <v/>
      </c>
      <c r="P99" s="6">
        <f>IF(O99="","",COUNTIF($O$3:$O$232,"&gt;"&amp;O99)+COUNTIF($O$3:O99,O99))</f>
        <v/>
      </c>
      <c r="Q99">
        <f>IF(A99="DST",IF(F99&lt;=GateSize,DstStart-1+F99,NSkill+2*GateSize+F99-GateSize),IF(A99="K",IF(F99&lt;=GateSize,KStart-1+F99,NSkill+GateSize+NDst+F99-GateSize),IF(P99&lt;=DstStart-1,P99,P99+2*GateSize)))</f>
        <v/>
      </c>
      <c r="R99" s="4">
        <f>'LIVE SOURCE'!E99</f>
        <v/>
      </c>
      <c r="S99" s="4">
        <f>R99-Q99</f>
        <v/>
      </c>
      <c r="T99">
        <f>'LIVE SOURCE'!F99</f>
        <v/>
      </c>
      <c r="U99" s="4">
        <f>MAX(40,E99-IF(T99="A",6,IF(T99="B",9,12)))</f>
        <v/>
      </c>
      <c r="V99" s="4">
        <f>E99</f>
        <v/>
      </c>
      <c r="W99" s="4">
        <f>MIN(100,E99+IF(T99="A",6,IF(T99="B",9,12)))</f>
        <v/>
      </c>
      <c r="X99">
        <f>'LIVE SOURCE'!G99</f>
        <v/>
      </c>
      <c r="Y99">
        <f>IF(INDEX('Draft Board'!$J$3:$J$232,Q99)="","Available",INDEX('Draft Board'!$J$3:$J$232,Q99))</f>
        <v/>
      </c>
      <c r="Z99">
        <f>IF(Y99&lt;&gt;"Available","",1+COUNTIFS($Y$3:$Y$232,"Available",$Q$3:$Q$232,"&lt;"&amp;Q99))</f>
        <v/>
      </c>
    </row>
    <row r="100">
      <c r="A100">
        <f>'LIVE SOURCE'!A100</f>
        <v/>
      </c>
      <c r="B100">
        <f>'LIVE SOURCE'!B100</f>
        <v/>
      </c>
      <c r="C100" s="4">
        <f>'LIVE SOURCE'!D100</f>
        <v/>
      </c>
      <c r="D100" s="4">
        <f>'Manual Adjustments'!G100</f>
        <v/>
      </c>
      <c r="E100" s="4">
        <f>MAX(40,MIN(100,C100+D100))</f>
        <v/>
      </c>
      <c r="F100">
        <f>COUNTIFS($A$3:$A$232,A100,$E$3:$E$232,"&gt;"&amp;E100)+COUNTIFS($A$3:A100,A100,$E$3:E100,E100)</f>
        <v/>
      </c>
      <c r="G100" s="4">
        <f>ROUND(INDEX('League Config'!$K$4:$K$9,MATCH(A100,'League Config'!$E$4:$E$9,0))*E100+INDEX('League Config'!$L$4:$L$9,MATCH(A100,'League Config'!$E$4:$E$9,0)),1)</f>
        <v/>
      </c>
      <c r="H100">
        <f>INDEX('League Config'!$H$4:$H$9,MATCH(A100,'League Config'!$E$4:$E$9,0))</f>
        <v/>
      </c>
      <c r="I100" s="4">
        <f>INDEX('League Config'!$I$4:$I$9,MATCH(A100,'League Config'!$E$4:$E$9,0))</f>
        <v/>
      </c>
      <c r="J100" s="4">
        <f>ROUND(G100-I100,1)</f>
        <v/>
      </c>
      <c r="K100" s="4">
        <f>MAX(0,MIN(100,50+J100*0.6))</f>
        <v/>
      </c>
      <c r="L100" s="4">
        <f>MIN(100,MAX(0,(1-(F100-1)/(H100*1.5))*100*INDEX('League Config'!$J$4:$J$9,MATCH(A100,'League Config'!$E$4:$E$9,0))))</f>
        <v/>
      </c>
      <c r="M100">
        <f>IF(A100="K",'League Config'!$B$14,IF(A100="DST",'League Config'!$B$15,IF(A100="QB",'League Config'!$B$16,0)))</f>
        <v/>
      </c>
      <c r="N100" s="4">
        <f>MIN(100,MAX(0,0.55*E100+0.3*K100+0.15*L100-M100))</f>
        <v/>
      </c>
      <c r="O100" s="9">
        <f>IF(OR(A100="K",A100="DST"),"",N100)</f>
        <v/>
      </c>
      <c r="P100" s="6">
        <f>IF(O100="","",COUNTIF($O$3:$O$232,"&gt;"&amp;O100)+COUNTIF($O$3:O100,O100))</f>
        <v/>
      </c>
      <c r="Q100">
        <f>IF(A100="DST",IF(F100&lt;=GateSize,DstStart-1+F100,NSkill+2*GateSize+F100-GateSize),IF(A100="K",IF(F100&lt;=GateSize,KStart-1+F100,NSkill+GateSize+NDst+F100-GateSize),IF(P100&lt;=DstStart-1,P100,P100+2*GateSize)))</f>
        <v/>
      </c>
      <c r="R100" s="4">
        <f>'LIVE SOURCE'!E100</f>
        <v/>
      </c>
      <c r="S100" s="4">
        <f>R100-Q100</f>
        <v/>
      </c>
      <c r="T100">
        <f>'LIVE SOURCE'!F100</f>
        <v/>
      </c>
      <c r="U100" s="4">
        <f>MAX(40,E100-IF(T100="A",6,IF(T100="B",9,12)))</f>
        <v/>
      </c>
      <c r="V100" s="4">
        <f>E100</f>
        <v/>
      </c>
      <c r="W100" s="4">
        <f>MIN(100,E100+IF(T100="A",6,IF(T100="B",9,12)))</f>
        <v/>
      </c>
      <c r="X100">
        <f>'LIVE SOURCE'!G100</f>
        <v/>
      </c>
      <c r="Y100">
        <f>IF(INDEX('Draft Board'!$J$3:$J$232,Q100)="","Available",INDEX('Draft Board'!$J$3:$J$232,Q100))</f>
        <v/>
      </c>
      <c r="Z100">
        <f>IF(Y100&lt;&gt;"Available","",1+COUNTIFS($Y$3:$Y$232,"Available",$Q$3:$Q$232,"&lt;"&amp;Q100))</f>
        <v/>
      </c>
    </row>
    <row r="101">
      <c r="A101">
        <f>'LIVE SOURCE'!A101</f>
        <v/>
      </c>
      <c r="B101">
        <f>'LIVE SOURCE'!B101</f>
        <v/>
      </c>
      <c r="C101" s="4">
        <f>'LIVE SOURCE'!D101</f>
        <v/>
      </c>
      <c r="D101" s="4">
        <f>'Manual Adjustments'!G101</f>
        <v/>
      </c>
      <c r="E101" s="4">
        <f>MAX(40,MIN(100,C101+D101))</f>
        <v/>
      </c>
      <c r="F101">
        <f>COUNTIFS($A$3:$A$232,A101,$E$3:$E$232,"&gt;"&amp;E101)+COUNTIFS($A$3:A101,A101,$E$3:E101,E101)</f>
        <v/>
      </c>
      <c r="G101" s="4">
        <f>ROUND(INDEX('League Config'!$K$4:$K$9,MATCH(A101,'League Config'!$E$4:$E$9,0))*E101+INDEX('League Config'!$L$4:$L$9,MATCH(A101,'League Config'!$E$4:$E$9,0)),1)</f>
        <v/>
      </c>
      <c r="H101">
        <f>INDEX('League Config'!$H$4:$H$9,MATCH(A101,'League Config'!$E$4:$E$9,0))</f>
        <v/>
      </c>
      <c r="I101" s="4">
        <f>INDEX('League Config'!$I$4:$I$9,MATCH(A101,'League Config'!$E$4:$E$9,0))</f>
        <v/>
      </c>
      <c r="J101" s="4">
        <f>ROUND(G101-I101,1)</f>
        <v/>
      </c>
      <c r="K101" s="4">
        <f>MAX(0,MIN(100,50+J101*0.6))</f>
        <v/>
      </c>
      <c r="L101" s="4">
        <f>MIN(100,MAX(0,(1-(F101-1)/(H101*1.5))*100*INDEX('League Config'!$J$4:$J$9,MATCH(A101,'League Config'!$E$4:$E$9,0))))</f>
        <v/>
      </c>
      <c r="M101">
        <f>IF(A101="K",'League Config'!$B$14,IF(A101="DST",'League Config'!$B$15,IF(A101="QB",'League Config'!$B$16,0)))</f>
        <v/>
      </c>
      <c r="N101" s="4">
        <f>MIN(100,MAX(0,0.55*E101+0.3*K101+0.15*L101-M101))</f>
        <v/>
      </c>
      <c r="O101" s="9">
        <f>IF(OR(A101="K",A101="DST"),"",N101)</f>
        <v/>
      </c>
      <c r="P101" s="6">
        <f>IF(O101="","",COUNTIF($O$3:$O$232,"&gt;"&amp;O101)+COUNTIF($O$3:O101,O101))</f>
        <v/>
      </c>
      <c r="Q101">
        <f>IF(A101="DST",IF(F101&lt;=GateSize,DstStart-1+F101,NSkill+2*GateSize+F101-GateSize),IF(A101="K",IF(F101&lt;=GateSize,KStart-1+F101,NSkill+GateSize+NDst+F101-GateSize),IF(P101&lt;=DstStart-1,P101,P101+2*GateSize)))</f>
        <v/>
      </c>
      <c r="R101" s="4">
        <f>'LIVE SOURCE'!E101</f>
        <v/>
      </c>
      <c r="S101" s="4">
        <f>R101-Q101</f>
        <v/>
      </c>
      <c r="T101">
        <f>'LIVE SOURCE'!F101</f>
        <v/>
      </c>
      <c r="U101" s="4">
        <f>MAX(40,E101-IF(T101="A",6,IF(T101="B",9,12)))</f>
        <v/>
      </c>
      <c r="V101" s="4">
        <f>E101</f>
        <v/>
      </c>
      <c r="W101" s="4">
        <f>MIN(100,E101+IF(T101="A",6,IF(T101="B",9,12)))</f>
        <v/>
      </c>
      <c r="X101">
        <f>'LIVE SOURCE'!G101</f>
        <v/>
      </c>
      <c r="Y101">
        <f>IF(INDEX('Draft Board'!$J$3:$J$232,Q101)="","Available",INDEX('Draft Board'!$J$3:$J$232,Q101))</f>
        <v/>
      </c>
      <c r="Z101">
        <f>IF(Y101&lt;&gt;"Available","",1+COUNTIFS($Y$3:$Y$232,"Available",$Q$3:$Q$232,"&lt;"&amp;Q101))</f>
        <v/>
      </c>
    </row>
    <row r="102">
      <c r="A102">
        <f>'LIVE SOURCE'!A102</f>
        <v/>
      </c>
      <c r="B102">
        <f>'LIVE SOURCE'!B102</f>
        <v/>
      </c>
      <c r="C102" s="4">
        <f>'LIVE SOURCE'!D102</f>
        <v/>
      </c>
      <c r="D102" s="4">
        <f>'Manual Adjustments'!G102</f>
        <v/>
      </c>
      <c r="E102" s="4">
        <f>MAX(40,MIN(100,C102+D102))</f>
        <v/>
      </c>
      <c r="F102">
        <f>COUNTIFS($A$3:$A$232,A102,$E$3:$E$232,"&gt;"&amp;E102)+COUNTIFS($A$3:A102,A102,$E$3:E102,E102)</f>
        <v/>
      </c>
      <c r="G102" s="4">
        <f>ROUND(INDEX('League Config'!$K$4:$K$9,MATCH(A102,'League Config'!$E$4:$E$9,0))*E102+INDEX('League Config'!$L$4:$L$9,MATCH(A102,'League Config'!$E$4:$E$9,0)),1)</f>
        <v/>
      </c>
      <c r="H102">
        <f>INDEX('League Config'!$H$4:$H$9,MATCH(A102,'League Config'!$E$4:$E$9,0))</f>
        <v/>
      </c>
      <c r="I102" s="4">
        <f>INDEX('League Config'!$I$4:$I$9,MATCH(A102,'League Config'!$E$4:$E$9,0))</f>
        <v/>
      </c>
      <c r="J102" s="4">
        <f>ROUND(G102-I102,1)</f>
        <v/>
      </c>
      <c r="K102" s="4">
        <f>MAX(0,MIN(100,50+J102*0.6))</f>
        <v/>
      </c>
      <c r="L102" s="4">
        <f>MIN(100,MAX(0,(1-(F102-1)/(H102*1.5))*100*INDEX('League Config'!$J$4:$J$9,MATCH(A102,'League Config'!$E$4:$E$9,0))))</f>
        <v/>
      </c>
      <c r="M102">
        <f>IF(A102="K",'League Config'!$B$14,IF(A102="DST",'League Config'!$B$15,IF(A102="QB",'League Config'!$B$16,0)))</f>
        <v/>
      </c>
      <c r="N102" s="4">
        <f>MIN(100,MAX(0,0.55*E102+0.3*K102+0.15*L102-M102))</f>
        <v/>
      </c>
      <c r="O102" s="9">
        <f>IF(OR(A102="K",A102="DST"),"",N102)</f>
        <v/>
      </c>
      <c r="P102" s="6">
        <f>IF(O102="","",COUNTIF($O$3:$O$232,"&gt;"&amp;O102)+COUNTIF($O$3:O102,O102))</f>
        <v/>
      </c>
      <c r="Q102">
        <f>IF(A102="DST",IF(F102&lt;=GateSize,DstStart-1+F102,NSkill+2*GateSize+F102-GateSize),IF(A102="K",IF(F102&lt;=GateSize,KStart-1+F102,NSkill+GateSize+NDst+F102-GateSize),IF(P102&lt;=DstStart-1,P102,P102+2*GateSize)))</f>
        <v/>
      </c>
      <c r="R102" s="4">
        <f>'LIVE SOURCE'!E102</f>
        <v/>
      </c>
      <c r="S102" s="4">
        <f>R102-Q102</f>
        <v/>
      </c>
      <c r="T102">
        <f>'LIVE SOURCE'!F102</f>
        <v/>
      </c>
      <c r="U102" s="4">
        <f>MAX(40,E102-IF(T102="A",6,IF(T102="B",9,12)))</f>
        <v/>
      </c>
      <c r="V102" s="4">
        <f>E102</f>
        <v/>
      </c>
      <c r="W102" s="4">
        <f>MIN(100,E102+IF(T102="A",6,IF(T102="B",9,12)))</f>
        <v/>
      </c>
      <c r="X102">
        <f>'LIVE SOURCE'!G102</f>
        <v/>
      </c>
      <c r="Y102">
        <f>IF(INDEX('Draft Board'!$J$3:$J$232,Q102)="","Available",INDEX('Draft Board'!$J$3:$J$232,Q102))</f>
        <v/>
      </c>
      <c r="Z102">
        <f>IF(Y102&lt;&gt;"Available","",1+COUNTIFS($Y$3:$Y$232,"Available",$Q$3:$Q$232,"&lt;"&amp;Q102))</f>
        <v/>
      </c>
    </row>
    <row r="103">
      <c r="A103">
        <f>'LIVE SOURCE'!A103</f>
        <v/>
      </c>
      <c r="B103">
        <f>'LIVE SOURCE'!B103</f>
        <v/>
      </c>
      <c r="C103" s="4">
        <f>'LIVE SOURCE'!D103</f>
        <v/>
      </c>
      <c r="D103" s="4">
        <f>'Manual Adjustments'!G103</f>
        <v/>
      </c>
      <c r="E103" s="4">
        <f>MAX(40,MIN(100,C103+D103))</f>
        <v/>
      </c>
      <c r="F103">
        <f>COUNTIFS($A$3:$A$232,A103,$E$3:$E$232,"&gt;"&amp;E103)+COUNTIFS($A$3:A103,A103,$E$3:E103,E103)</f>
        <v/>
      </c>
      <c r="G103" s="4">
        <f>ROUND(INDEX('League Config'!$K$4:$K$9,MATCH(A103,'League Config'!$E$4:$E$9,0))*E103+INDEX('League Config'!$L$4:$L$9,MATCH(A103,'League Config'!$E$4:$E$9,0)),1)</f>
        <v/>
      </c>
      <c r="H103">
        <f>INDEX('League Config'!$H$4:$H$9,MATCH(A103,'League Config'!$E$4:$E$9,0))</f>
        <v/>
      </c>
      <c r="I103" s="4">
        <f>INDEX('League Config'!$I$4:$I$9,MATCH(A103,'League Config'!$E$4:$E$9,0))</f>
        <v/>
      </c>
      <c r="J103" s="4">
        <f>ROUND(G103-I103,1)</f>
        <v/>
      </c>
      <c r="K103" s="4">
        <f>MAX(0,MIN(100,50+J103*0.6))</f>
        <v/>
      </c>
      <c r="L103" s="4">
        <f>MIN(100,MAX(0,(1-(F103-1)/(H103*1.5))*100*INDEX('League Config'!$J$4:$J$9,MATCH(A103,'League Config'!$E$4:$E$9,0))))</f>
        <v/>
      </c>
      <c r="M103">
        <f>IF(A103="K",'League Config'!$B$14,IF(A103="DST",'League Config'!$B$15,IF(A103="QB",'League Config'!$B$16,0)))</f>
        <v/>
      </c>
      <c r="N103" s="4">
        <f>MIN(100,MAX(0,0.55*E103+0.3*K103+0.15*L103-M103))</f>
        <v/>
      </c>
      <c r="O103" s="9">
        <f>IF(OR(A103="K",A103="DST"),"",N103)</f>
        <v/>
      </c>
      <c r="P103" s="6">
        <f>IF(O103="","",COUNTIF($O$3:$O$232,"&gt;"&amp;O103)+COUNTIF($O$3:O103,O103))</f>
        <v/>
      </c>
      <c r="Q103">
        <f>IF(A103="DST",IF(F103&lt;=GateSize,DstStart-1+F103,NSkill+2*GateSize+F103-GateSize),IF(A103="K",IF(F103&lt;=GateSize,KStart-1+F103,NSkill+GateSize+NDst+F103-GateSize),IF(P103&lt;=DstStart-1,P103,P103+2*GateSize)))</f>
        <v/>
      </c>
      <c r="R103" s="4">
        <f>'LIVE SOURCE'!E103</f>
        <v/>
      </c>
      <c r="S103" s="4">
        <f>R103-Q103</f>
        <v/>
      </c>
      <c r="T103">
        <f>'LIVE SOURCE'!F103</f>
        <v/>
      </c>
      <c r="U103" s="4">
        <f>MAX(40,E103-IF(T103="A",6,IF(T103="B",9,12)))</f>
        <v/>
      </c>
      <c r="V103" s="4">
        <f>E103</f>
        <v/>
      </c>
      <c r="W103" s="4">
        <f>MIN(100,E103+IF(T103="A",6,IF(T103="B",9,12)))</f>
        <v/>
      </c>
      <c r="X103">
        <f>'LIVE SOURCE'!G103</f>
        <v/>
      </c>
      <c r="Y103">
        <f>IF(INDEX('Draft Board'!$J$3:$J$232,Q103)="","Available",INDEX('Draft Board'!$J$3:$J$232,Q103))</f>
        <v/>
      </c>
      <c r="Z103">
        <f>IF(Y103&lt;&gt;"Available","",1+COUNTIFS($Y$3:$Y$232,"Available",$Q$3:$Q$232,"&lt;"&amp;Q103))</f>
        <v/>
      </c>
    </row>
    <row r="104">
      <c r="A104">
        <f>'LIVE SOURCE'!A104</f>
        <v/>
      </c>
      <c r="B104">
        <f>'LIVE SOURCE'!B104</f>
        <v/>
      </c>
      <c r="C104" s="4">
        <f>'LIVE SOURCE'!D104</f>
        <v/>
      </c>
      <c r="D104" s="4">
        <f>'Manual Adjustments'!G104</f>
        <v/>
      </c>
      <c r="E104" s="4">
        <f>MAX(40,MIN(100,C104+D104))</f>
        <v/>
      </c>
      <c r="F104">
        <f>COUNTIFS($A$3:$A$232,A104,$E$3:$E$232,"&gt;"&amp;E104)+COUNTIFS($A$3:A104,A104,$E$3:E104,E104)</f>
        <v/>
      </c>
      <c r="G104" s="4">
        <f>ROUND(INDEX('League Config'!$K$4:$K$9,MATCH(A104,'League Config'!$E$4:$E$9,0))*E104+INDEX('League Config'!$L$4:$L$9,MATCH(A104,'League Config'!$E$4:$E$9,0)),1)</f>
        <v/>
      </c>
      <c r="H104">
        <f>INDEX('League Config'!$H$4:$H$9,MATCH(A104,'League Config'!$E$4:$E$9,0))</f>
        <v/>
      </c>
      <c r="I104" s="4">
        <f>INDEX('League Config'!$I$4:$I$9,MATCH(A104,'League Config'!$E$4:$E$9,0))</f>
        <v/>
      </c>
      <c r="J104" s="4">
        <f>ROUND(G104-I104,1)</f>
        <v/>
      </c>
      <c r="K104" s="4">
        <f>MAX(0,MIN(100,50+J104*0.6))</f>
        <v/>
      </c>
      <c r="L104" s="4">
        <f>MIN(100,MAX(0,(1-(F104-1)/(H104*1.5))*100*INDEX('League Config'!$J$4:$J$9,MATCH(A104,'League Config'!$E$4:$E$9,0))))</f>
        <v/>
      </c>
      <c r="M104">
        <f>IF(A104="K",'League Config'!$B$14,IF(A104="DST",'League Config'!$B$15,IF(A104="QB",'League Config'!$B$16,0)))</f>
        <v/>
      </c>
      <c r="N104" s="4">
        <f>MIN(100,MAX(0,0.55*E104+0.3*K104+0.15*L104-M104))</f>
        <v/>
      </c>
      <c r="O104" s="9">
        <f>IF(OR(A104="K",A104="DST"),"",N104)</f>
        <v/>
      </c>
      <c r="P104" s="6">
        <f>IF(O104="","",COUNTIF($O$3:$O$232,"&gt;"&amp;O104)+COUNTIF($O$3:O104,O104))</f>
        <v/>
      </c>
      <c r="Q104">
        <f>IF(A104="DST",IF(F104&lt;=GateSize,DstStart-1+F104,NSkill+2*GateSize+F104-GateSize),IF(A104="K",IF(F104&lt;=GateSize,KStart-1+F104,NSkill+GateSize+NDst+F104-GateSize),IF(P104&lt;=DstStart-1,P104,P104+2*GateSize)))</f>
        <v/>
      </c>
      <c r="R104" s="4">
        <f>'LIVE SOURCE'!E104</f>
        <v/>
      </c>
      <c r="S104" s="4">
        <f>R104-Q104</f>
        <v/>
      </c>
      <c r="T104">
        <f>'LIVE SOURCE'!F104</f>
        <v/>
      </c>
      <c r="U104" s="4">
        <f>MAX(40,E104-IF(T104="A",6,IF(T104="B",9,12)))</f>
        <v/>
      </c>
      <c r="V104" s="4">
        <f>E104</f>
        <v/>
      </c>
      <c r="W104" s="4">
        <f>MIN(100,E104+IF(T104="A",6,IF(T104="B",9,12)))</f>
        <v/>
      </c>
      <c r="X104">
        <f>'LIVE SOURCE'!G104</f>
        <v/>
      </c>
      <c r="Y104">
        <f>IF(INDEX('Draft Board'!$J$3:$J$232,Q104)="","Available",INDEX('Draft Board'!$J$3:$J$232,Q104))</f>
        <v/>
      </c>
      <c r="Z104">
        <f>IF(Y104&lt;&gt;"Available","",1+COUNTIFS($Y$3:$Y$232,"Available",$Q$3:$Q$232,"&lt;"&amp;Q104))</f>
        <v/>
      </c>
    </row>
    <row r="105">
      <c r="A105">
        <f>'LIVE SOURCE'!A105</f>
        <v/>
      </c>
      <c r="B105">
        <f>'LIVE SOURCE'!B105</f>
        <v/>
      </c>
      <c r="C105" s="4">
        <f>'LIVE SOURCE'!D105</f>
        <v/>
      </c>
      <c r="D105" s="4">
        <f>'Manual Adjustments'!G105</f>
        <v/>
      </c>
      <c r="E105" s="4">
        <f>MAX(40,MIN(100,C105+D105))</f>
        <v/>
      </c>
      <c r="F105">
        <f>COUNTIFS($A$3:$A$232,A105,$E$3:$E$232,"&gt;"&amp;E105)+COUNTIFS($A$3:A105,A105,$E$3:E105,E105)</f>
        <v/>
      </c>
      <c r="G105" s="4">
        <f>ROUND(INDEX('League Config'!$K$4:$K$9,MATCH(A105,'League Config'!$E$4:$E$9,0))*E105+INDEX('League Config'!$L$4:$L$9,MATCH(A105,'League Config'!$E$4:$E$9,0)),1)</f>
        <v/>
      </c>
      <c r="H105">
        <f>INDEX('League Config'!$H$4:$H$9,MATCH(A105,'League Config'!$E$4:$E$9,0))</f>
        <v/>
      </c>
      <c r="I105" s="4">
        <f>INDEX('League Config'!$I$4:$I$9,MATCH(A105,'League Config'!$E$4:$E$9,0))</f>
        <v/>
      </c>
      <c r="J105" s="4">
        <f>ROUND(G105-I105,1)</f>
        <v/>
      </c>
      <c r="K105" s="4">
        <f>MAX(0,MIN(100,50+J105*0.6))</f>
        <v/>
      </c>
      <c r="L105" s="4">
        <f>MIN(100,MAX(0,(1-(F105-1)/(H105*1.5))*100*INDEX('League Config'!$J$4:$J$9,MATCH(A105,'League Config'!$E$4:$E$9,0))))</f>
        <v/>
      </c>
      <c r="M105">
        <f>IF(A105="K",'League Config'!$B$14,IF(A105="DST",'League Config'!$B$15,IF(A105="QB",'League Config'!$B$16,0)))</f>
        <v/>
      </c>
      <c r="N105" s="4">
        <f>MIN(100,MAX(0,0.55*E105+0.3*K105+0.15*L105-M105))</f>
        <v/>
      </c>
      <c r="O105" s="9">
        <f>IF(OR(A105="K",A105="DST"),"",N105)</f>
        <v/>
      </c>
      <c r="P105" s="6">
        <f>IF(O105="","",COUNTIF($O$3:$O$232,"&gt;"&amp;O105)+COUNTIF($O$3:O105,O105))</f>
        <v/>
      </c>
      <c r="Q105">
        <f>IF(A105="DST",IF(F105&lt;=GateSize,DstStart-1+F105,NSkill+2*GateSize+F105-GateSize),IF(A105="K",IF(F105&lt;=GateSize,KStart-1+F105,NSkill+GateSize+NDst+F105-GateSize),IF(P105&lt;=DstStart-1,P105,P105+2*GateSize)))</f>
        <v/>
      </c>
      <c r="R105" s="4">
        <f>'LIVE SOURCE'!E105</f>
        <v/>
      </c>
      <c r="S105" s="4">
        <f>R105-Q105</f>
        <v/>
      </c>
      <c r="T105">
        <f>'LIVE SOURCE'!F105</f>
        <v/>
      </c>
      <c r="U105" s="4">
        <f>MAX(40,E105-IF(T105="A",6,IF(T105="B",9,12)))</f>
        <v/>
      </c>
      <c r="V105" s="4">
        <f>E105</f>
        <v/>
      </c>
      <c r="W105" s="4">
        <f>MIN(100,E105+IF(T105="A",6,IF(T105="B",9,12)))</f>
        <v/>
      </c>
      <c r="X105">
        <f>'LIVE SOURCE'!G105</f>
        <v/>
      </c>
      <c r="Y105">
        <f>IF(INDEX('Draft Board'!$J$3:$J$232,Q105)="","Available",INDEX('Draft Board'!$J$3:$J$232,Q105))</f>
        <v/>
      </c>
      <c r="Z105">
        <f>IF(Y105&lt;&gt;"Available","",1+COUNTIFS($Y$3:$Y$232,"Available",$Q$3:$Q$232,"&lt;"&amp;Q105))</f>
        <v/>
      </c>
    </row>
    <row r="106">
      <c r="A106">
        <f>'LIVE SOURCE'!A106</f>
        <v/>
      </c>
      <c r="B106">
        <f>'LIVE SOURCE'!B106</f>
        <v/>
      </c>
      <c r="C106" s="4">
        <f>'LIVE SOURCE'!D106</f>
        <v/>
      </c>
      <c r="D106" s="4">
        <f>'Manual Adjustments'!G106</f>
        <v/>
      </c>
      <c r="E106" s="4">
        <f>MAX(40,MIN(100,C106+D106))</f>
        <v/>
      </c>
      <c r="F106">
        <f>COUNTIFS($A$3:$A$232,A106,$E$3:$E$232,"&gt;"&amp;E106)+COUNTIFS($A$3:A106,A106,$E$3:E106,E106)</f>
        <v/>
      </c>
      <c r="G106" s="4">
        <f>ROUND(INDEX('League Config'!$K$4:$K$9,MATCH(A106,'League Config'!$E$4:$E$9,0))*E106+INDEX('League Config'!$L$4:$L$9,MATCH(A106,'League Config'!$E$4:$E$9,0)),1)</f>
        <v/>
      </c>
      <c r="H106">
        <f>INDEX('League Config'!$H$4:$H$9,MATCH(A106,'League Config'!$E$4:$E$9,0))</f>
        <v/>
      </c>
      <c r="I106" s="4">
        <f>INDEX('League Config'!$I$4:$I$9,MATCH(A106,'League Config'!$E$4:$E$9,0))</f>
        <v/>
      </c>
      <c r="J106" s="4">
        <f>ROUND(G106-I106,1)</f>
        <v/>
      </c>
      <c r="K106" s="4">
        <f>MAX(0,MIN(100,50+J106*0.6))</f>
        <v/>
      </c>
      <c r="L106" s="4">
        <f>MIN(100,MAX(0,(1-(F106-1)/(H106*1.5))*100*INDEX('League Config'!$J$4:$J$9,MATCH(A106,'League Config'!$E$4:$E$9,0))))</f>
        <v/>
      </c>
      <c r="M106">
        <f>IF(A106="K",'League Config'!$B$14,IF(A106="DST",'League Config'!$B$15,IF(A106="QB",'League Config'!$B$16,0)))</f>
        <v/>
      </c>
      <c r="N106" s="4">
        <f>MIN(100,MAX(0,0.55*E106+0.3*K106+0.15*L106-M106))</f>
        <v/>
      </c>
      <c r="O106" s="9">
        <f>IF(OR(A106="K",A106="DST"),"",N106)</f>
        <v/>
      </c>
      <c r="P106" s="6">
        <f>IF(O106="","",COUNTIF($O$3:$O$232,"&gt;"&amp;O106)+COUNTIF($O$3:O106,O106))</f>
        <v/>
      </c>
      <c r="Q106">
        <f>IF(A106="DST",IF(F106&lt;=GateSize,DstStart-1+F106,NSkill+2*GateSize+F106-GateSize),IF(A106="K",IF(F106&lt;=GateSize,KStart-1+F106,NSkill+GateSize+NDst+F106-GateSize),IF(P106&lt;=DstStart-1,P106,P106+2*GateSize)))</f>
        <v/>
      </c>
      <c r="R106" s="4">
        <f>'LIVE SOURCE'!E106</f>
        <v/>
      </c>
      <c r="S106" s="4">
        <f>R106-Q106</f>
        <v/>
      </c>
      <c r="T106">
        <f>'LIVE SOURCE'!F106</f>
        <v/>
      </c>
      <c r="U106" s="4">
        <f>MAX(40,E106-IF(T106="A",6,IF(T106="B",9,12)))</f>
        <v/>
      </c>
      <c r="V106" s="4">
        <f>E106</f>
        <v/>
      </c>
      <c r="W106" s="4">
        <f>MIN(100,E106+IF(T106="A",6,IF(T106="B",9,12)))</f>
        <v/>
      </c>
      <c r="X106">
        <f>'LIVE SOURCE'!G106</f>
        <v/>
      </c>
      <c r="Y106">
        <f>IF(INDEX('Draft Board'!$J$3:$J$232,Q106)="","Available",INDEX('Draft Board'!$J$3:$J$232,Q106))</f>
        <v/>
      </c>
      <c r="Z106">
        <f>IF(Y106&lt;&gt;"Available","",1+COUNTIFS($Y$3:$Y$232,"Available",$Q$3:$Q$232,"&lt;"&amp;Q106))</f>
        <v/>
      </c>
    </row>
    <row r="107">
      <c r="A107">
        <f>'LIVE SOURCE'!A107</f>
        <v/>
      </c>
      <c r="B107">
        <f>'LIVE SOURCE'!B107</f>
        <v/>
      </c>
      <c r="C107" s="4">
        <f>'LIVE SOURCE'!D107</f>
        <v/>
      </c>
      <c r="D107" s="4">
        <f>'Manual Adjustments'!G107</f>
        <v/>
      </c>
      <c r="E107" s="4">
        <f>MAX(40,MIN(100,C107+D107))</f>
        <v/>
      </c>
      <c r="F107">
        <f>COUNTIFS($A$3:$A$232,A107,$E$3:$E$232,"&gt;"&amp;E107)+COUNTIFS($A$3:A107,A107,$E$3:E107,E107)</f>
        <v/>
      </c>
      <c r="G107" s="4">
        <f>ROUND(INDEX('League Config'!$K$4:$K$9,MATCH(A107,'League Config'!$E$4:$E$9,0))*E107+INDEX('League Config'!$L$4:$L$9,MATCH(A107,'League Config'!$E$4:$E$9,0)),1)</f>
        <v/>
      </c>
      <c r="H107">
        <f>INDEX('League Config'!$H$4:$H$9,MATCH(A107,'League Config'!$E$4:$E$9,0))</f>
        <v/>
      </c>
      <c r="I107" s="4">
        <f>INDEX('League Config'!$I$4:$I$9,MATCH(A107,'League Config'!$E$4:$E$9,0))</f>
        <v/>
      </c>
      <c r="J107" s="4">
        <f>ROUND(G107-I107,1)</f>
        <v/>
      </c>
      <c r="K107" s="4">
        <f>MAX(0,MIN(100,50+J107*0.6))</f>
        <v/>
      </c>
      <c r="L107" s="4">
        <f>MIN(100,MAX(0,(1-(F107-1)/(H107*1.5))*100*INDEX('League Config'!$J$4:$J$9,MATCH(A107,'League Config'!$E$4:$E$9,0))))</f>
        <v/>
      </c>
      <c r="M107">
        <f>IF(A107="K",'League Config'!$B$14,IF(A107="DST",'League Config'!$B$15,IF(A107="QB",'League Config'!$B$16,0)))</f>
        <v/>
      </c>
      <c r="N107" s="4">
        <f>MIN(100,MAX(0,0.55*E107+0.3*K107+0.15*L107-M107))</f>
        <v/>
      </c>
      <c r="O107" s="9">
        <f>IF(OR(A107="K",A107="DST"),"",N107)</f>
        <v/>
      </c>
      <c r="P107" s="6">
        <f>IF(O107="","",COUNTIF($O$3:$O$232,"&gt;"&amp;O107)+COUNTIF($O$3:O107,O107))</f>
        <v/>
      </c>
      <c r="Q107">
        <f>IF(A107="DST",IF(F107&lt;=GateSize,DstStart-1+F107,NSkill+2*GateSize+F107-GateSize),IF(A107="K",IF(F107&lt;=GateSize,KStart-1+F107,NSkill+GateSize+NDst+F107-GateSize),IF(P107&lt;=DstStart-1,P107,P107+2*GateSize)))</f>
        <v/>
      </c>
      <c r="R107" s="4">
        <f>'LIVE SOURCE'!E107</f>
        <v/>
      </c>
      <c r="S107" s="4">
        <f>R107-Q107</f>
        <v/>
      </c>
      <c r="T107">
        <f>'LIVE SOURCE'!F107</f>
        <v/>
      </c>
      <c r="U107" s="4">
        <f>MAX(40,E107-IF(T107="A",6,IF(T107="B",9,12)))</f>
        <v/>
      </c>
      <c r="V107" s="4">
        <f>E107</f>
        <v/>
      </c>
      <c r="W107" s="4">
        <f>MIN(100,E107+IF(T107="A",6,IF(T107="B",9,12)))</f>
        <v/>
      </c>
      <c r="X107">
        <f>'LIVE SOURCE'!G107</f>
        <v/>
      </c>
      <c r="Y107">
        <f>IF(INDEX('Draft Board'!$J$3:$J$232,Q107)="","Available",INDEX('Draft Board'!$J$3:$J$232,Q107))</f>
        <v/>
      </c>
      <c r="Z107">
        <f>IF(Y107&lt;&gt;"Available","",1+COUNTIFS($Y$3:$Y$232,"Available",$Q$3:$Q$232,"&lt;"&amp;Q107))</f>
        <v/>
      </c>
    </row>
    <row r="108">
      <c r="A108">
        <f>'LIVE SOURCE'!A108</f>
        <v/>
      </c>
      <c r="B108">
        <f>'LIVE SOURCE'!B108</f>
        <v/>
      </c>
      <c r="C108" s="4">
        <f>'LIVE SOURCE'!D108</f>
        <v/>
      </c>
      <c r="D108" s="4">
        <f>'Manual Adjustments'!G108</f>
        <v/>
      </c>
      <c r="E108" s="4">
        <f>MAX(40,MIN(100,C108+D108))</f>
        <v/>
      </c>
      <c r="F108">
        <f>COUNTIFS($A$3:$A$232,A108,$E$3:$E$232,"&gt;"&amp;E108)+COUNTIFS($A$3:A108,A108,$E$3:E108,E108)</f>
        <v/>
      </c>
      <c r="G108" s="4">
        <f>ROUND(INDEX('League Config'!$K$4:$K$9,MATCH(A108,'League Config'!$E$4:$E$9,0))*E108+INDEX('League Config'!$L$4:$L$9,MATCH(A108,'League Config'!$E$4:$E$9,0)),1)</f>
        <v/>
      </c>
      <c r="H108">
        <f>INDEX('League Config'!$H$4:$H$9,MATCH(A108,'League Config'!$E$4:$E$9,0))</f>
        <v/>
      </c>
      <c r="I108" s="4">
        <f>INDEX('League Config'!$I$4:$I$9,MATCH(A108,'League Config'!$E$4:$E$9,0))</f>
        <v/>
      </c>
      <c r="J108" s="4">
        <f>ROUND(G108-I108,1)</f>
        <v/>
      </c>
      <c r="K108" s="4">
        <f>MAX(0,MIN(100,50+J108*0.6))</f>
        <v/>
      </c>
      <c r="L108" s="4">
        <f>MIN(100,MAX(0,(1-(F108-1)/(H108*1.5))*100*INDEX('League Config'!$J$4:$J$9,MATCH(A108,'League Config'!$E$4:$E$9,0))))</f>
        <v/>
      </c>
      <c r="M108">
        <f>IF(A108="K",'League Config'!$B$14,IF(A108="DST",'League Config'!$B$15,IF(A108="QB",'League Config'!$B$16,0)))</f>
        <v/>
      </c>
      <c r="N108" s="4">
        <f>MIN(100,MAX(0,0.55*E108+0.3*K108+0.15*L108-M108))</f>
        <v/>
      </c>
      <c r="O108" s="9">
        <f>IF(OR(A108="K",A108="DST"),"",N108)</f>
        <v/>
      </c>
      <c r="P108" s="6">
        <f>IF(O108="","",COUNTIF($O$3:$O$232,"&gt;"&amp;O108)+COUNTIF($O$3:O108,O108))</f>
        <v/>
      </c>
      <c r="Q108">
        <f>IF(A108="DST",IF(F108&lt;=GateSize,DstStart-1+F108,NSkill+2*GateSize+F108-GateSize),IF(A108="K",IF(F108&lt;=GateSize,KStart-1+F108,NSkill+GateSize+NDst+F108-GateSize),IF(P108&lt;=DstStart-1,P108,P108+2*GateSize)))</f>
        <v/>
      </c>
      <c r="R108" s="4">
        <f>'LIVE SOURCE'!E108</f>
        <v/>
      </c>
      <c r="S108" s="4">
        <f>R108-Q108</f>
        <v/>
      </c>
      <c r="T108">
        <f>'LIVE SOURCE'!F108</f>
        <v/>
      </c>
      <c r="U108" s="4">
        <f>MAX(40,E108-IF(T108="A",6,IF(T108="B",9,12)))</f>
        <v/>
      </c>
      <c r="V108" s="4">
        <f>E108</f>
        <v/>
      </c>
      <c r="W108" s="4">
        <f>MIN(100,E108+IF(T108="A",6,IF(T108="B",9,12)))</f>
        <v/>
      </c>
      <c r="X108">
        <f>'LIVE SOURCE'!G108</f>
        <v/>
      </c>
      <c r="Y108">
        <f>IF(INDEX('Draft Board'!$J$3:$J$232,Q108)="","Available",INDEX('Draft Board'!$J$3:$J$232,Q108))</f>
        <v/>
      </c>
      <c r="Z108">
        <f>IF(Y108&lt;&gt;"Available","",1+COUNTIFS($Y$3:$Y$232,"Available",$Q$3:$Q$232,"&lt;"&amp;Q108))</f>
        <v/>
      </c>
    </row>
    <row r="109">
      <c r="A109">
        <f>'LIVE SOURCE'!A109</f>
        <v/>
      </c>
      <c r="B109">
        <f>'LIVE SOURCE'!B109</f>
        <v/>
      </c>
      <c r="C109" s="4">
        <f>'LIVE SOURCE'!D109</f>
        <v/>
      </c>
      <c r="D109" s="4">
        <f>'Manual Adjustments'!G109</f>
        <v/>
      </c>
      <c r="E109" s="4">
        <f>MAX(40,MIN(100,C109+D109))</f>
        <v/>
      </c>
      <c r="F109">
        <f>COUNTIFS($A$3:$A$232,A109,$E$3:$E$232,"&gt;"&amp;E109)+COUNTIFS($A$3:A109,A109,$E$3:E109,E109)</f>
        <v/>
      </c>
      <c r="G109" s="4">
        <f>ROUND(INDEX('League Config'!$K$4:$K$9,MATCH(A109,'League Config'!$E$4:$E$9,0))*E109+INDEX('League Config'!$L$4:$L$9,MATCH(A109,'League Config'!$E$4:$E$9,0)),1)</f>
        <v/>
      </c>
      <c r="H109">
        <f>INDEX('League Config'!$H$4:$H$9,MATCH(A109,'League Config'!$E$4:$E$9,0))</f>
        <v/>
      </c>
      <c r="I109" s="4">
        <f>INDEX('League Config'!$I$4:$I$9,MATCH(A109,'League Config'!$E$4:$E$9,0))</f>
        <v/>
      </c>
      <c r="J109" s="4">
        <f>ROUND(G109-I109,1)</f>
        <v/>
      </c>
      <c r="K109" s="4">
        <f>MAX(0,MIN(100,50+J109*0.6))</f>
        <v/>
      </c>
      <c r="L109" s="4">
        <f>MIN(100,MAX(0,(1-(F109-1)/(H109*1.5))*100*INDEX('League Config'!$J$4:$J$9,MATCH(A109,'League Config'!$E$4:$E$9,0))))</f>
        <v/>
      </c>
      <c r="M109">
        <f>IF(A109="K",'League Config'!$B$14,IF(A109="DST",'League Config'!$B$15,IF(A109="QB",'League Config'!$B$16,0)))</f>
        <v/>
      </c>
      <c r="N109" s="4">
        <f>MIN(100,MAX(0,0.55*E109+0.3*K109+0.15*L109-M109))</f>
        <v/>
      </c>
      <c r="O109" s="9">
        <f>IF(OR(A109="K",A109="DST"),"",N109)</f>
        <v/>
      </c>
      <c r="P109" s="6">
        <f>IF(O109="","",COUNTIF($O$3:$O$232,"&gt;"&amp;O109)+COUNTIF($O$3:O109,O109))</f>
        <v/>
      </c>
      <c r="Q109">
        <f>IF(A109="DST",IF(F109&lt;=GateSize,DstStart-1+F109,NSkill+2*GateSize+F109-GateSize),IF(A109="K",IF(F109&lt;=GateSize,KStart-1+F109,NSkill+GateSize+NDst+F109-GateSize),IF(P109&lt;=DstStart-1,P109,P109+2*GateSize)))</f>
        <v/>
      </c>
      <c r="R109" s="4">
        <f>'LIVE SOURCE'!E109</f>
        <v/>
      </c>
      <c r="S109" s="4">
        <f>R109-Q109</f>
        <v/>
      </c>
      <c r="T109">
        <f>'LIVE SOURCE'!F109</f>
        <v/>
      </c>
      <c r="U109" s="4">
        <f>MAX(40,E109-IF(T109="A",6,IF(T109="B",9,12)))</f>
        <v/>
      </c>
      <c r="V109" s="4">
        <f>E109</f>
        <v/>
      </c>
      <c r="W109" s="4">
        <f>MIN(100,E109+IF(T109="A",6,IF(T109="B",9,12)))</f>
        <v/>
      </c>
      <c r="X109">
        <f>'LIVE SOURCE'!G109</f>
        <v/>
      </c>
      <c r="Y109">
        <f>IF(INDEX('Draft Board'!$J$3:$J$232,Q109)="","Available",INDEX('Draft Board'!$J$3:$J$232,Q109))</f>
        <v/>
      </c>
      <c r="Z109">
        <f>IF(Y109&lt;&gt;"Available","",1+COUNTIFS($Y$3:$Y$232,"Available",$Q$3:$Q$232,"&lt;"&amp;Q109))</f>
        <v/>
      </c>
    </row>
    <row r="110">
      <c r="A110">
        <f>'LIVE SOURCE'!A110</f>
        <v/>
      </c>
      <c r="B110">
        <f>'LIVE SOURCE'!B110</f>
        <v/>
      </c>
      <c r="C110" s="4">
        <f>'LIVE SOURCE'!D110</f>
        <v/>
      </c>
      <c r="D110" s="4">
        <f>'Manual Adjustments'!G110</f>
        <v/>
      </c>
      <c r="E110" s="4">
        <f>MAX(40,MIN(100,C110+D110))</f>
        <v/>
      </c>
      <c r="F110">
        <f>COUNTIFS($A$3:$A$232,A110,$E$3:$E$232,"&gt;"&amp;E110)+COUNTIFS($A$3:A110,A110,$E$3:E110,E110)</f>
        <v/>
      </c>
      <c r="G110" s="4">
        <f>ROUND(INDEX('League Config'!$K$4:$K$9,MATCH(A110,'League Config'!$E$4:$E$9,0))*E110+INDEX('League Config'!$L$4:$L$9,MATCH(A110,'League Config'!$E$4:$E$9,0)),1)</f>
        <v/>
      </c>
      <c r="H110">
        <f>INDEX('League Config'!$H$4:$H$9,MATCH(A110,'League Config'!$E$4:$E$9,0))</f>
        <v/>
      </c>
      <c r="I110" s="4">
        <f>INDEX('League Config'!$I$4:$I$9,MATCH(A110,'League Config'!$E$4:$E$9,0))</f>
        <v/>
      </c>
      <c r="J110" s="4">
        <f>ROUND(G110-I110,1)</f>
        <v/>
      </c>
      <c r="K110" s="4">
        <f>MAX(0,MIN(100,50+J110*0.6))</f>
        <v/>
      </c>
      <c r="L110" s="4">
        <f>MIN(100,MAX(0,(1-(F110-1)/(H110*1.5))*100*INDEX('League Config'!$J$4:$J$9,MATCH(A110,'League Config'!$E$4:$E$9,0))))</f>
        <v/>
      </c>
      <c r="M110">
        <f>IF(A110="K",'League Config'!$B$14,IF(A110="DST",'League Config'!$B$15,IF(A110="QB",'League Config'!$B$16,0)))</f>
        <v/>
      </c>
      <c r="N110" s="4">
        <f>MIN(100,MAX(0,0.55*E110+0.3*K110+0.15*L110-M110))</f>
        <v/>
      </c>
      <c r="O110" s="9">
        <f>IF(OR(A110="K",A110="DST"),"",N110)</f>
        <v/>
      </c>
      <c r="P110" s="6">
        <f>IF(O110="","",COUNTIF($O$3:$O$232,"&gt;"&amp;O110)+COUNTIF($O$3:O110,O110))</f>
        <v/>
      </c>
      <c r="Q110">
        <f>IF(A110="DST",IF(F110&lt;=GateSize,DstStart-1+F110,NSkill+2*GateSize+F110-GateSize),IF(A110="K",IF(F110&lt;=GateSize,KStart-1+F110,NSkill+GateSize+NDst+F110-GateSize),IF(P110&lt;=DstStart-1,P110,P110+2*GateSize)))</f>
        <v/>
      </c>
      <c r="R110" s="4">
        <f>'LIVE SOURCE'!E110</f>
        <v/>
      </c>
      <c r="S110" s="4">
        <f>R110-Q110</f>
        <v/>
      </c>
      <c r="T110">
        <f>'LIVE SOURCE'!F110</f>
        <v/>
      </c>
      <c r="U110" s="4">
        <f>MAX(40,E110-IF(T110="A",6,IF(T110="B",9,12)))</f>
        <v/>
      </c>
      <c r="V110" s="4">
        <f>E110</f>
        <v/>
      </c>
      <c r="W110" s="4">
        <f>MIN(100,E110+IF(T110="A",6,IF(T110="B",9,12)))</f>
        <v/>
      </c>
      <c r="X110">
        <f>'LIVE SOURCE'!G110</f>
        <v/>
      </c>
      <c r="Y110">
        <f>IF(INDEX('Draft Board'!$J$3:$J$232,Q110)="","Available",INDEX('Draft Board'!$J$3:$J$232,Q110))</f>
        <v/>
      </c>
      <c r="Z110">
        <f>IF(Y110&lt;&gt;"Available","",1+COUNTIFS($Y$3:$Y$232,"Available",$Q$3:$Q$232,"&lt;"&amp;Q110))</f>
        <v/>
      </c>
    </row>
    <row r="111">
      <c r="A111">
        <f>'LIVE SOURCE'!A111</f>
        <v/>
      </c>
      <c r="B111">
        <f>'LIVE SOURCE'!B111</f>
        <v/>
      </c>
      <c r="C111" s="4">
        <f>'LIVE SOURCE'!D111</f>
        <v/>
      </c>
      <c r="D111" s="4">
        <f>'Manual Adjustments'!G111</f>
        <v/>
      </c>
      <c r="E111" s="4">
        <f>MAX(40,MIN(100,C111+D111))</f>
        <v/>
      </c>
      <c r="F111">
        <f>COUNTIFS($A$3:$A$232,A111,$E$3:$E$232,"&gt;"&amp;E111)+COUNTIFS($A$3:A111,A111,$E$3:E111,E111)</f>
        <v/>
      </c>
      <c r="G111" s="4">
        <f>ROUND(INDEX('League Config'!$K$4:$K$9,MATCH(A111,'League Config'!$E$4:$E$9,0))*E111+INDEX('League Config'!$L$4:$L$9,MATCH(A111,'League Config'!$E$4:$E$9,0)),1)</f>
        <v/>
      </c>
      <c r="H111">
        <f>INDEX('League Config'!$H$4:$H$9,MATCH(A111,'League Config'!$E$4:$E$9,0))</f>
        <v/>
      </c>
      <c r="I111" s="4">
        <f>INDEX('League Config'!$I$4:$I$9,MATCH(A111,'League Config'!$E$4:$E$9,0))</f>
        <v/>
      </c>
      <c r="J111" s="4">
        <f>ROUND(G111-I111,1)</f>
        <v/>
      </c>
      <c r="K111" s="4">
        <f>MAX(0,MIN(100,50+J111*0.6))</f>
        <v/>
      </c>
      <c r="L111" s="4">
        <f>MIN(100,MAX(0,(1-(F111-1)/(H111*1.5))*100*INDEX('League Config'!$J$4:$J$9,MATCH(A111,'League Config'!$E$4:$E$9,0))))</f>
        <v/>
      </c>
      <c r="M111">
        <f>IF(A111="K",'League Config'!$B$14,IF(A111="DST",'League Config'!$B$15,IF(A111="QB",'League Config'!$B$16,0)))</f>
        <v/>
      </c>
      <c r="N111" s="4">
        <f>MIN(100,MAX(0,0.55*E111+0.3*K111+0.15*L111-M111))</f>
        <v/>
      </c>
      <c r="O111" s="9">
        <f>IF(OR(A111="K",A111="DST"),"",N111)</f>
        <v/>
      </c>
      <c r="P111" s="6">
        <f>IF(O111="","",COUNTIF($O$3:$O$232,"&gt;"&amp;O111)+COUNTIF($O$3:O111,O111))</f>
        <v/>
      </c>
      <c r="Q111">
        <f>IF(A111="DST",IF(F111&lt;=GateSize,DstStart-1+F111,NSkill+2*GateSize+F111-GateSize),IF(A111="K",IF(F111&lt;=GateSize,KStart-1+F111,NSkill+GateSize+NDst+F111-GateSize),IF(P111&lt;=DstStart-1,P111,P111+2*GateSize)))</f>
        <v/>
      </c>
      <c r="R111" s="4">
        <f>'LIVE SOURCE'!E111</f>
        <v/>
      </c>
      <c r="S111" s="4">
        <f>R111-Q111</f>
        <v/>
      </c>
      <c r="T111">
        <f>'LIVE SOURCE'!F111</f>
        <v/>
      </c>
      <c r="U111" s="4">
        <f>MAX(40,E111-IF(T111="A",6,IF(T111="B",9,12)))</f>
        <v/>
      </c>
      <c r="V111" s="4">
        <f>E111</f>
        <v/>
      </c>
      <c r="W111" s="4">
        <f>MIN(100,E111+IF(T111="A",6,IF(T111="B",9,12)))</f>
        <v/>
      </c>
      <c r="X111">
        <f>'LIVE SOURCE'!G111</f>
        <v/>
      </c>
      <c r="Y111">
        <f>IF(INDEX('Draft Board'!$J$3:$J$232,Q111)="","Available",INDEX('Draft Board'!$J$3:$J$232,Q111))</f>
        <v/>
      </c>
      <c r="Z111">
        <f>IF(Y111&lt;&gt;"Available","",1+COUNTIFS($Y$3:$Y$232,"Available",$Q$3:$Q$232,"&lt;"&amp;Q111))</f>
        <v/>
      </c>
    </row>
    <row r="112">
      <c r="A112">
        <f>'LIVE SOURCE'!A112</f>
        <v/>
      </c>
      <c r="B112">
        <f>'LIVE SOURCE'!B112</f>
        <v/>
      </c>
      <c r="C112" s="4">
        <f>'LIVE SOURCE'!D112</f>
        <v/>
      </c>
      <c r="D112" s="4">
        <f>'Manual Adjustments'!G112</f>
        <v/>
      </c>
      <c r="E112" s="4">
        <f>MAX(40,MIN(100,C112+D112))</f>
        <v/>
      </c>
      <c r="F112">
        <f>COUNTIFS($A$3:$A$232,A112,$E$3:$E$232,"&gt;"&amp;E112)+COUNTIFS($A$3:A112,A112,$E$3:E112,E112)</f>
        <v/>
      </c>
      <c r="G112" s="4">
        <f>ROUND(INDEX('League Config'!$K$4:$K$9,MATCH(A112,'League Config'!$E$4:$E$9,0))*E112+INDEX('League Config'!$L$4:$L$9,MATCH(A112,'League Config'!$E$4:$E$9,0)),1)</f>
        <v/>
      </c>
      <c r="H112">
        <f>INDEX('League Config'!$H$4:$H$9,MATCH(A112,'League Config'!$E$4:$E$9,0))</f>
        <v/>
      </c>
      <c r="I112" s="4">
        <f>INDEX('League Config'!$I$4:$I$9,MATCH(A112,'League Config'!$E$4:$E$9,0))</f>
        <v/>
      </c>
      <c r="J112" s="4">
        <f>ROUND(G112-I112,1)</f>
        <v/>
      </c>
      <c r="K112" s="4">
        <f>MAX(0,MIN(100,50+J112*0.6))</f>
        <v/>
      </c>
      <c r="L112" s="4">
        <f>MIN(100,MAX(0,(1-(F112-1)/(H112*1.5))*100*INDEX('League Config'!$J$4:$J$9,MATCH(A112,'League Config'!$E$4:$E$9,0))))</f>
        <v/>
      </c>
      <c r="M112">
        <f>IF(A112="K",'League Config'!$B$14,IF(A112="DST",'League Config'!$B$15,IF(A112="QB",'League Config'!$B$16,0)))</f>
        <v/>
      </c>
      <c r="N112" s="4">
        <f>MIN(100,MAX(0,0.55*E112+0.3*K112+0.15*L112-M112))</f>
        <v/>
      </c>
      <c r="O112" s="9">
        <f>IF(OR(A112="K",A112="DST"),"",N112)</f>
        <v/>
      </c>
      <c r="P112" s="6">
        <f>IF(O112="","",COUNTIF($O$3:$O$232,"&gt;"&amp;O112)+COUNTIF($O$3:O112,O112))</f>
        <v/>
      </c>
      <c r="Q112">
        <f>IF(A112="DST",IF(F112&lt;=GateSize,DstStart-1+F112,NSkill+2*GateSize+F112-GateSize),IF(A112="K",IF(F112&lt;=GateSize,KStart-1+F112,NSkill+GateSize+NDst+F112-GateSize),IF(P112&lt;=DstStart-1,P112,P112+2*GateSize)))</f>
        <v/>
      </c>
      <c r="R112" s="4">
        <f>'LIVE SOURCE'!E112</f>
        <v/>
      </c>
      <c r="S112" s="4">
        <f>R112-Q112</f>
        <v/>
      </c>
      <c r="T112">
        <f>'LIVE SOURCE'!F112</f>
        <v/>
      </c>
      <c r="U112" s="4">
        <f>MAX(40,E112-IF(T112="A",6,IF(T112="B",9,12)))</f>
        <v/>
      </c>
      <c r="V112" s="4">
        <f>E112</f>
        <v/>
      </c>
      <c r="W112" s="4">
        <f>MIN(100,E112+IF(T112="A",6,IF(T112="B",9,12)))</f>
        <v/>
      </c>
      <c r="X112">
        <f>'LIVE SOURCE'!G112</f>
        <v/>
      </c>
      <c r="Y112">
        <f>IF(INDEX('Draft Board'!$J$3:$J$232,Q112)="","Available",INDEX('Draft Board'!$J$3:$J$232,Q112))</f>
        <v/>
      </c>
      <c r="Z112">
        <f>IF(Y112&lt;&gt;"Available","",1+COUNTIFS($Y$3:$Y$232,"Available",$Q$3:$Q$232,"&lt;"&amp;Q112))</f>
        <v/>
      </c>
    </row>
    <row r="113">
      <c r="A113">
        <f>'LIVE SOURCE'!A113</f>
        <v/>
      </c>
      <c r="B113">
        <f>'LIVE SOURCE'!B113</f>
        <v/>
      </c>
      <c r="C113" s="4">
        <f>'LIVE SOURCE'!D113</f>
        <v/>
      </c>
      <c r="D113" s="4">
        <f>'Manual Adjustments'!G113</f>
        <v/>
      </c>
      <c r="E113" s="4">
        <f>MAX(40,MIN(100,C113+D113))</f>
        <v/>
      </c>
      <c r="F113">
        <f>COUNTIFS($A$3:$A$232,A113,$E$3:$E$232,"&gt;"&amp;E113)+COUNTIFS($A$3:A113,A113,$E$3:E113,E113)</f>
        <v/>
      </c>
      <c r="G113" s="4">
        <f>ROUND(INDEX('League Config'!$K$4:$K$9,MATCH(A113,'League Config'!$E$4:$E$9,0))*E113+INDEX('League Config'!$L$4:$L$9,MATCH(A113,'League Config'!$E$4:$E$9,0)),1)</f>
        <v/>
      </c>
      <c r="H113">
        <f>INDEX('League Config'!$H$4:$H$9,MATCH(A113,'League Config'!$E$4:$E$9,0))</f>
        <v/>
      </c>
      <c r="I113" s="4">
        <f>INDEX('League Config'!$I$4:$I$9,MATCH(A113,'League Config'!$E$4:$E$9,0))</f>
        <v/>
      </c>
      <c r="J113" s="4">
        <f>ROUND(G113-I113,1)</f>
        <v/>
      </c>
      <c r="K113" s="4">
        <f>MAX(0,MIN(100,50+J113*0.6))</f>
        <v/>
      </c>
      <c r="L113" s="4">
        <f>MIN(100,MAX(0,(1-(F113-1)/(H113*1.5))*100*INDEX('League Config'!$J$4:$J$9,MATCH(A113,'League Config'!$E$4:$E$9,0))))</f>
        <v/>
      </c>
      <c r="M113">
        <f>IF(A113="K",'League Config'!$B$14,IF(A113="DST",'League Config'!$B$15,IF(A113="QB",'League Config'!$B$16,0)))</f>
        <v/>
      </c>
      <c r="N113" s="4">
        <f>MIN(100,MAX(0,0.55*E113+0.3*K113+0.15*L113-M113))</f>
        <v/>
      </c>
      <c r="O113" s="9">
        <f>IF(OR(A113="K",A113="DST"),"",N113)</f>
        <v/>
      </c>
      <c r="P113" s="6">
        <f>IF(O113="","",COUNTIF($O$3:$O$232,"&gt;"&amp;O113)+COUNTIF($O$3:O113,O113))</f>
        <v/>
      </c>
      <c r="Q113">
        <f>IF(A113="DST",IF(F113&lt;=GateSize,DstStart-1+F113,NSkill+2*GateSize+F113-GateSize),IF(A113="K",IF(F113&lt;=GateSize,KStart-1+F113,NSkill+GateSize+NDst+F113-GateSize),IF(P113&lt;=DstStart-1,P113,P113+2*GateSize)))</f>
        <v/>
      </c>
      <c r="R113" s="4">
        <f>'LIVE SOURCE'!E113</f>
        <v/>
      </c>
      <c r="S113" s="4">
        <f>R113-Q113</f>
        <v/>
      </c>
      <c r="T113">
        <f>'LIVE SOURCE'!F113</f>
        <v/>
      </c>
      <c r="U113" s="4">
        <f>MAX(40,E113-IF(T113="A",6,IF(T113="B",9,12)))</f>
        <v/>
      </c>
      <c r="V113" s="4">
        <f>E113</f>
        <v/>
      </c>
      <c r="W113" s="4">
        <f>MIN(100,E113+IF(T113="A",6,IF(T113="B",9,12)))</f>
        <v/>
      </c>
      <c r="X113">
        <f>'LIVE SOURCE'!G113</f>
        <v/>
      </c>
      <c r="Y113">
        <f>IF(INDEX('Draft Board'!$J$3:$J$232,Q113)="","Available",INDEX('Draft Board'!$J$3:$J$232,Q113))</f>
        <v/>
      </c>
      <c r="Z113">
        <f>IF(Y113&lt;&gt;"Available","",1+COUNTIFS($Y$3:$Y$232,"Available",$Q$3:$Q$232,"&lt;"&amp;Q113))</f>
        <v/>
      </c>
    </row>
    <row r="114">
      <c r="A114">
        <f>'LIVE SOURCE'!A114</f>
        <v/>
      </c>
      <c r="B114">
        <f>'LIVE SOURCE'!B114</f>
        <v/>
      </c>
      <c r="C114" s="4">
        <f>'LIVE SOURCE'!D114</f>
        <v/>
      </c>
      <c r="D114" s="4">
        <f>'Manual Adjustments'!G114</f>
        <v/>
      </c>
      <c r="E114" s="4">
        <f>MAX(40,MIN(100,C114+D114))</f>
        <v/>
      </c>
      <c r="F114">
        <f>COUNTIFS($A$3:$A$232,A114,$E$3:$E$232,"&gt;"&amp;E114)+COUNTIFS($A$3:A114,A114,$E$3:E114,E114)</f>
        <v/>
      </c>
      <c r="G114" s="4">
        <f>ROUND(INDEX('League Config'!$K$4:$K$9,MATCH(A114,'League Config'!$E$4:$E$9,0))*E114+INDEX('League Config'!$L$4:$L$9,MATCH(A114,'League Config'!$E$4:$E$9,0)),1)</f>
        <v/>
      </c>
      <c r="H114">
        <f>INDEX('League Config'!$H$4:$H$9,MATCH(A114,'League Config'!$E$4:$E$9,0))</f>
        <v/>
      </c>
      <c r="I114" s="4">
        <f>INDEX('League Config'!$I$4:$I$9,MATCH(A114,'League Config'!$E$4:$E$9,0))</f>
        <v/>
      </c>
      <c r="J114" s="4">
        <f>ROUND(G114-I114,1)</f>
        <v/>
      </c>
      <c r="K114" s="4">
        <f>MAX(0,MIN(100,50+J114*0.6))</f>
        <v/>
      </c>
      <c r="L114" s="4">
        <f>MIN(100,MAX(0,(1-(F114-1)/(H114*1.5))*100*INDEX('League Config'!$J$4:$J$9,MATCH(A114,'League Config'!$E$4:$E$9,0))))</f>
        <v/>
      </c>
      <c r="M114">
        <f>IF(A114="K",'League Config'!$B$14,IF(A114="DST",'League Config'!$B$15,IF(A114="QB",'League Config'!$B$16,0)))</f>
        <v/>
      </c>
      <c r="N114" s="4">
        <f>MIN(100,MAX(0,0.55*E114+0.3*K114+0.15*L114-M114))</f>
        <v/>
      </c>
      <c r="O114" s="9">
        <f>IF(OR(A114="K",A114="DST"),"",N114)</f>
        <v/>
      </c>
      <c r="P114" s="6">
        <f>IF(O114="","",COUNTIF($O$3:$O$232,"&gt;"&amp;O114)+COUNTIF($O$3:O114,O114))</f>
        <v/>
      </c>
      <c r="Q114">
        <f>IF(A114="DST",IF(F114&lt;=GateSize,DstStart-1+F114,NSkill+2*GateSize+F114-GateSize),IF(A114="K",IF(F114&lt;=GateSize,KStart-1+F114,NSkill+GateSize+NDst+F114-GateSize),IF(P114&lt;=DstStart-1,P114,P114+2*GateSize)))</f>
        <v/>
      </c>
      <c r="R114" s="4">
        <f>'LIVE SOURCE'!E114</f>
        <v/>
      </c>
      <c r="S114" s="4">
        <f>R114-Q114</f>
        <v/>
      </c>
      <c r="T114">
        <f>'LIVE SOURCE'!F114</f>
        <v/>
      </c>
      <c r="U114" s="4">
        <f>MAX(40,E114-IF(T114="A",6,IF(T114="B",9,12)))</f>
        <v/>
      </c>
      <c r="V114" s="4">
        <f>E114</f>
        <v/>
      </c>
      <c r="W114" s="4">
        <f>MIN(100,E114+IF(T114="A",6,IF(T114="B",9,12)))</f>
        <v/>
      </c>
      <c r="X114">
        <f>'LIVE SOURCE'!G114</f>
        <v/>
      </c>
      <c r="Y114">
        <f>IF(INDEX('Draft Board'!$J$3:$J$232,Q114)="","Available",INDEX('Draft Board'!$J$3:$J$232,Q114))</f>
        <v/>
      </c>
      <c r="Z114">
        <f>IF(Y114&lt;&gt;"Available","",1+COUNTIFS($Y$3:$Y$232,"Available",$Q$3:$Q$232,"&lt;"&amp;Q114))</f>
        <v/>
      </c>
    </row>
    <row r="115">
      <c r="A115">
        <f>'LIVE SOURCE'!A115</f>
        <v/>
      </c>
      <c r="B115">
        <f>'LIVE SOURCE'!B115</f>
        <v/>
      </c>
      <c r="C115" s="4">
        <f>'LIVE SOURCE'!D115</f>
        <v/>
      </c>
      <c r="D115" s="4">
        <f>'Manual Adjustments'!G115</f>
        <v/>
      </c>
      <c r="E115" s="4">
        <f>MAX(40,MIN(100,C115+D115))</f>
        <v/>
      </c>
      <c r="F115">
        <f>COUNTIFS($A$3:$A$232,A115,$E$3:$E$232,"&gt;"&amp;E115)+COUNTIFS($A$3:A115,A115,$E$3:E115,E115)</f>
        <v/>
      </c>
      <c r="G115" s="4">
        <f>ROUND(INDEX('League Config'!$K$4:$K$9,MATCH(A115,'League Config'!$E$4:$E$9,0))*E115+INDEX('League Config'!$L$4:$L$9,MATCH(A115,'League Config'!$E$4:$E$9,0)),1)</f>
        <v/>
      </c>
      <c r="H115">
        <f>INDEX('League Config'!$H$4:$H$9,MATCH(A115,'League Config'!$E$4:$E$9,0))</f>
        <v/>
      </c>
      <c r="I115" s="4">
        <f>INDEX('League Config'!$I$4:$I$9,MATCH(A115,'League Config'!$E$4:$E$9,0))</f>
        <v/>
      </c>
      <c r="J115" s="4">
        <f>ROUND(G115-I115,1)</f>
        <v/>
      </c>
      <c r="K115" s="4">
        <f>MAX(0,MIN(100,50+J115*0.6))</f>
        <v/>
      </c>
      <c r="L115" s="4">
        <f>MIN(100,MAX(0,(1-(F115-1)/(H115*1.5))*100*INDEX('League Config'!$J$4:$J$9,MATCH(A115,'League Config'!$E$4:$E$9,0))))</f>
        <v/>
      </c>
      <c r="M115">
        <f>IF(A115="K",'League Config'!$B$14,IF(A115="DST",'League Config'!$B$15,IF(A115="QB",'League Config'!$B$16,0)))</f>
        <v/>
      </c>
      <c r="N115" s="4">
        <f>MIN(100,MAX(0,0.55*E115+0.3*K115+0.15*L115-M115))</f>
        <v/>
      </c>
      <c r="O115" s="9">
        <f>IF(OR(A115="K",A115="DST"),"",N115)</f>
        <v/>
      </c>
      <c r="P115" s="6">
        <f>IF(O115="","",COUNTIF($O$3:$O$232,"&gt;"&amp;O115)+COUNTIF($O$3:O115,O115))</f>
        <v/>
      </c>
      <c r="Q115">
        <f>IF(A115="DST",IF(F115&lt;=GateSize,DstStart-1+F115,NSkill+2*GateSize+F115-GateSize),IF(A115="K",IF(F115&lt;=GateSize,KStart-1+F115,NSkill+GateSize+NDst+F115-GateSize),IF(P115&lt;=DstStart-1,P115,P115+2*GateSize)))</f>
        <v/>
      </c>
      <c r="R115" s="4">
        <f>'LIVE SOURCE'!E115</f>
        <v/>
      </c>
      <c r="S115" s="4">
        <f>R115-Q115</f>
        <v/>
      </c>
      <c r="T115">
        <f>'LIVE SOURCE'!F115</f>
        <v/>
      </c>
      <c r="U115" s="4">
        <f>MAX(40,E115-IF(T115="A",6,IF(T115="B",9,12)))</f>
        <v/>
      </c>
      <c r="V115" s="4">
        <f>E115</f>
        <v/>
      </c>
      <c r="W115" s="4">
        <f>MIN(100,E115+IF(T115="A",6,IF(T115="B",9,12)))</f>
        <v/>
      </c>
      <c r="X115">
        <f>'LIVE SOURCE'!G115</f>
        <v/>
      </c>
      <c r="Y115">
        <f>IF(INDEX('Draft Board'!$J$3:$J$232,Q115)="","Available",INDEX('Draft Board'!$J$3:$J$232,Q115))</f>
        <v/>
      </c>
      <c r="Z115">
        <f>IF(Y115&lt;&gt;"Available","",1+COUNTIFS($Y$3:$Y$232,"Available",$Q$3:$Q$232,"&lt;"&amp;Q115))</f>
        <v/>
      </c>
    </row>
    <row r="116">
      <c r="A116">
        <f>'LIVE SOURCE'!A116</f>
        <v/>
      </c>
      <c r="B116">
        <f>'LIVE SOURCE'!B116</f>
        <v/>
      </c>
      <c r="C116" s="4">
        <f>'LIVE SOURCE'!D116</f>
        <v/>
      </c>
      <c r="D116" s="4">
        <f>'Manual Adjustments'!G116</f>
        <v/>
      </c>
      <c r="E116" s="4">
        <f>MAX(40,MIN(100,C116+D116))</f>
        <v/>
      </c>
      <c r="F116">
        <f>COUNTIFS($A$3:$A$232,A116,$E$3:$E$232,"&gt;"&amp;E116)+COUNTIFS($A$3:A116,A116,$E$3:E116,E116)</f>
        <v/>
      </c>
      <c r="G116" s="4">
        <f>ROUND(INDEX('League Config'!$K$4:$K$9,MATCH(A116,'League Config'!$E$4:$E$9,0))*E116+INDEX('League Config'!$L$4:$L$9,MATCH(A116,'League Config'!$E$4:$E$9,0)),1)</f>
        <v/>
      </c>
      <c r="H116">
        <f>INDEX('League Config'!$H$4:$H$9,MATCH(A116,'League Config'!$E$4:$E$9,0))</f>
        <v/>
      </c>
      <c r="I116" s="4">
        <f>INDEX('League Config'!$I$4:$I$9,MATCH(A116,'League Config'!$E$4:$E$9,0))</f>
        <v/>
      </c>
      <c r="J116" s="4">
        <f>ROUND(G116-I116,1)</f>
        <v/>
      </c>
      <c r="K116" s="4">
        <f>MAX(0,MIN(100,50+J116*0.6))</f>
        <v/>
      </c>
      <c r="L116" s="4">
        <f>MIN(100,MAX(0,(1-(F116-1)/(H116*1.5))*100*INDEX('League Config'!$J$4:$J$9,MATCH(A116,'League Config'!$E$4:$E$9,0))))</f>
        <v/>
      </c>
      <c r="M116">
        <f>IF(A116="K",'League Config'!$B$14,IF(A116="DST",'League Config'!$B$15,IF(A116="QB",'League Config'!$B$16,0)))</f>
        <v/>
      </c>
      <c r="N116" s="4">
        <f>MIN(100,MAX(0,0.55*E116+0.3*K116+0.15*L116-M116))</f>
        <v/>
      </c>
      <c r="O116" s="9">
        <f>IF(OR(A116="K",A116="DST"),"",N116)</f>
        <v/>
      </c>
      <c r="P116" s="6">
        <f>IF(O116="","",COUNTIF($O$3:$O$232,"&gt;"&amp;O116)+COUNTIF($O$3:O116,O116))</f>
        <v/>
      </c>
      <c r="Q116">
        <f>IF(A116="DST",IF(F116&lt;=GateSize,DstStart-1+F116,NSkill+2*GateSize+F116-GateSize),IF(A116="K",IF(F116&lt;=GateSize,KStart-1+F116,NSkill+GateSize+NDst+F116-GateSize),IF(P116&lt;=DstStart-1,P116,P116+2*GateSize)))</f>
        <v/>
      </c>
      <c r="R116" s="4">
        <f>'LIVE SOURCE'!E116</f>
        <v/>
      </c>
      <c r="S116" s="4">
        <f>R116-Q116</f>
        <v/>
      </c>
      <c r="T116">
        <f>'LIVE SOURCE'!F116</f>
        <v/>
      </c>
      <c r="U116" s="4">
        <f>MAX(40,E116-IF(T116="A",6,IF(T116="B",9,12)))</f>
        <v/>
      </c>
      <c r="V116" s="4">
        <f>E116</f>
        <v/>
      </c>
      <c r="W116" s="4">
        <f>MIN(100,E116+IF(T116="A",6,IF(T116="B",9,12)))</f>
        <v/>
      </c>
      <c r="X116">
        <f>'LIVE SOURCE'!G116</f>
        <v/>
      </c>
      <c r="Y116">
        <f>IF(INDEX('Draft Board'!$J$3:$J$232,Q116)="","Available",INDEX('Draft Board'!$J$3:$J$232,Q116))</f>
        <v/>
      </c>
      <c r="Z116">
        <f>IF(Y116&lt;&gt;"Available","",1+COUNTIFS($Y$3:$Y$232,"Available",$Q$3:$Q$232,"&lt;"&amp;Q116))</f>
        <v/>
      </c>
    </row>
    <row r="117">
      <c r="A117">
        <f>'LIVE SOURCE'!A117</f>
        <v/>
      </c>
      <c r="B117">
        <f>'LIVE SOURCE'!B117</f>
        <v/>
      </c>
      <c r="C117" s="4">
        <f>'LIVE SOURCE'!D117</f>
        <v/>
      </c>
      <c r="D117" s="4">
        <f>'Manual Adjustments'!G117</f>
        <v/>
      </c>
      <c r="E117" s="4">
        <f>MAX(40,MIN(100,C117+D117))</f>
        <v/>
      </c>
      <c r="F117">
        <f>COUNTIFS($A$3:$A$232,A117,$E$3:$E$232,"&gt;"&amp;E117)+COUNTIFS($A$3:A117,A117,$E$3:E117,E117)</f>
        <v/>
      </c>
      <c r="G117" s="4">
        <f>ROUND(INDEX('League Config'!$K$4:$K$9,MATCH(A117,'League Config'!$E$4:$E$9,0))*E117+INDEX('League Config'!$L$4:$L$9,MATCH(A117,'League Config'!$E$4:$E$9,0)),1)</f>
        <v/>
      </c>
      <c r="H117">
        <f>INDEX('League Config'!$H$4:$H$9,MATCH(A117,'League Config'!$E$4:$E$9,0))</f>
        <v/>
      </c>
      <c r="I117" s="4">
        <f>INDEX('League Config'!$I$4:$I$9,MATCH(A117,'League Config'!$E$4:$E$9,0))</f>
        <v/>
      </c>
      <c r="J117" s="4">
        <f>ROUND(G117-I117,1)</f>
        <v/>
      </c>
      <c r="K117" s="4">
        <f>MAX(0,MIN(100,50+J117*0.6))</f>
        <v/>
      </c>
      <c r="L117" s="4">
        <f>MIN(100,MAX(0,(1-(F117-1)/(H117*1.5))*100*INDEX('League Config'!$J$4:$J$9,MATCH(A117,'League Config'!$E$4:$E$9,0))))</f>
        <v/>
      </c>
      <c r="M117">
        <f>IF(A117="K",'League Config'!$B$14,IF(A117="DST",'League Config'!$B$15,IF(A117="QB",'League Config'!$B$16,0)))</f>
        <v/>
      </c>
      <c r="N117" s="4">
        <f>MIN(100,MAX(0,0.55*E117+0.3*K117+0.15*L117-M117))</f>
        <v/>
      </c>
      <c r="O117" s="9">
        <f>IF(OR(A117="K",A117="DST"),"",N117)</f>
        <v/>
      </c>
      <c r="P117" s="6">
        <f>IF(O117="","",COUNTIF($O$3:$O$232,"&gt;"&amp;O117)+COUNTIF($O$3:O117,O117))</f>
        <v/>
      </c>
      <c r="Q117">
        <f>IF(A117="DST",IF(F117&lt;=GateSize,DstStart-1+F117,NSkill+2*GateSize+F117-GateSize),IF(A117="K",IF(F117&lt;=GateSize,KStart-1+F117,NSkill+GateSize+NDst+F117-GateSize),IF(P117&lt;=DstStart-1,P117,P117+2*GateSize)))</f>
        <v/>
      </c>
      <c r="R117" s="4">
        <f>'LIVE SOURCE'!E117</f>
        <v/>
      </c>
      <c r="S117" s="4">
        <f>R117-Q117</f>
        <v/>
      </c>
      <c r="T117">
        <f>'LIVE SOURCE'!F117</f>
        <v/>
      </c>
      <c r="U117" s="4">
        <f>MAX(40,E117-IF(T117="A",6,IF(T117="B",9,12)))</f>
        <v/>
      </c>
      <c r="V117" s="4">
        <f>E117</f>
        <v/>
      </c>
      <c r="W117" s="4">
        <f>MIN(100,E117+IF(T117="A",6,IF(T117="B",9,12)))</f>
        <v/>
      </c>
      <c r="X117">
        <f>'LIVE SOURCE'!G117</f>
        <v/>
      </c>
      <c r="Y117">
        <f>IF(INDEX('Draft Board'!$J$3:$J$232,Q117)="","Available",INDEX('Draft Board'!$J$3:$J$232,Q117))</f>
        <v/>
      </c>
      <c r="Z117">
        <f>IF(Y117&lt;&gt;"Available","",1+COUNTIFS($Y$3:$Y$232,"Available",$Q$3:$Q$232,"&lt;"&amp;Q117))</f>
        <v/>
      </c>
    </row>
    <row r="118">
      <c r="A118">
        <f>'LIVE SOURCE'!A118</f>
        <v/>
      </c>
      <c r="B118">
        <f>'LIVE SOURCE'!B118</f>
        <v/>
      </c>
      <c r="C118" s="4">
        <f>'LIVE SOURCE'!D118</f>
        <v/>
      </c>
      <c r="D118" s="4">
        <f>'Manual Adjustments'!G118</f>
        <v/>
      </c>
      <c r="E118" s="4">
        <f>MAX(40,MIN(100,C118+D118))</f>
        <v/>
      </c>
      <c r="F118">
        <f>COUNTIFS($A$3:$A$232,A118,$E$3:$E$232,"&gt;"&amp;E118)+COUNTIFS($A$3:A118,A118,$E$3:E118,E118)</f>
        <v/>
      </c>
      <c r="G118" s="4">
        <f>ROUND(INDEX('League Config'!$K$4:$K$9,MATCH(A118,'League Config'!$E$4:$E$9,0))*E118+INDEX('League Config'!$L$4:$L$9,MATCH(A118,'League Config'!$E$4:$E$9,0)),1)</f>
        <v/>
      </c>
      <c r="H118">
        <f>INDEX('League Config'!$H$4:$H$9,MATCH(A118,'League Config'!$E$4:$E$9,0))</f>
        <v/>
      </c>
      <c r="I118" s="4">
        <f>INDEX('League Config'!$I$4:$I$9,MATCH(A118,'League Config'!$E$4:$E$9,0))</f>
        <v/>
      </c>
      <c r="J118" s="4">
        <f>ROUND(G118-I118,1)</f>
        <v/>
      </c>
      <c r="K118" s="4">
        <f>MAX(0,MIN(100,50+J118*0.6))</f>
        <v/>
      </c>
      <c r="L118" s="4">
        <f>MIN(100,MAX(0,(1-(F118-1)/(H118*1.5))*100*INDEX('League Config'!$J$4:$J$9,MATCH(A118,'League Config'!$E$4:$E$9,0))))</f>
        <v/>
      </c>
      <c r="M118">
        <f>IF(A118="K",'League Config'!$B$14,IF(A118="DST",'League Config'!$B$15,IF(A118="QB",'League Config'!$B$16,0)))</f>
        <v/>
      </c>
      <c r="N118" s="4">
        <f>MIN(100,MAX(0,0.55*E118+0.3*K118+0.15*L118-M118))</f>
        <v/>
      </c>
      <c r="O118" s="9">
        <f>IF(OR(A118="K",A118="DST"),"",N118)</f>
        <v/>
      </c>
      <c r="P118" s="6">
        <f>IF(O118="","",COUNTIF($O$3:$O$232,"&gt;"&amp;O118)+COUNTIF($O$3:O118,O118))</f>
        <v/>
      </c>
      <c r="Q118">
        <f>IF(A118="DST",IF(F118&lt;=GateSize,DstStart-1+F118,NSkill+2*GateSize+F118-GateSize),IF(A118="K",IF(F118&lt;=GateSize,KStart-1+F118,NSkill+GateSize+NDst+F118-GateSize),IF(P118&lt;=DstStart-1,P118,P118+2*GateSize)))</f>
        <v/>
      </c>
      <c r="R118" s="4">
        <f>'LIVE SOURCE'!E118</f>
        <v/>
      </c>
      <c r="S118" s="4">
        <f>R118-Q118</f>
        <v/>
      </c>
      <c r="T118">
        <f>'LIVE SOURCE'!F118</f>
        <v/>
      </c>
      <c r="U118" s="4">
        <f>MAX(40,E118-IF(T118="A",6,IF(T118="B",9,12)))</f>
        <v/>
      </c>
      <c r="V118" s="4">
        <f>E118</f>
        <v/>
      </c>
      <c r="W118" s="4">
        <f>MIN(100,E118+IF(T118="A",6,IF(T118="B",9,12)))</f>
        <v/>
      </c>
      <c r="X118">
        <f>'LIVE SOURCE'!G118</f>
        <v/>
      </c>
      <c r="Y118">
        <f>IF(INDEX('Draft Board'!$J$3:$J$232,Q118)="","Available",INDEX('Draft Board'!$J$3:$J$232,Q118))</f>
        <v/>
      </c>
      <c r="Z118">
        <f>IF(Y118&lt;&gt;"Available","",1+COUNTIFS($Y$3:$Y$232,"Available",$Q$3:$Q$232,"&lt;"&amp;Q118))</f>
        <v/>
      </c>
    </row>
    <row r="119">
      <c r="A119">
        <f>'LIVE SOURCE'!A119</f>
        <v/>
      </c>
      <c r="B119">
        <f>'LIVE SOURCE'!B119</f>
        <v/>
      </c>
      <c r="C119" s="4">
        <f>'LIVE SOURCE'!D119</f>
        <v/>
      </c>
      <c r="D119" s="4">
        <f>'Manual Adjustments'!G119</f>
        <v/>
      </c>
      <c r="E119" s="4">
        <f>MAX(40,MIN(100,C119+D119))</f>
        <v/>
      </c>
      <c r="F119">
        <f>COUNTIFS($A$3:$A$232,A119,$E$3:$E$232,"&gt;"&amp;E119)+COUNTIFS($A$3:A119,A119,$E$3:E119,E119)</f>
        <v/>
      </c>
      <c r="G119" s="4">
        <f>ROUND(INDEX('League Config'!$K$4:$K$9,MATCH(A119,'League Config'!$E$4:$E$9,0))*E119+INDEX('League Config'!$L$4:$L$9,MATCH(A119,'League Config'!$E$4:$E$9,0)),1)</f>
        <v/>
      </c>
      <c r="H119">
        <f>INDEX('League Config'!$H$4:$H$9,MATCH(A119,'League Config'!$E$4:$E$9,0))</f>
        <v/>
      </c>
      <c r="I119" s="4">
        <f>INDEX('League Config'!$I$4:$I$9,MATCH(A119,'League Config'!$E$4:$E$9,0))</f>
        <v/>
      </c>
      <c r="J119" s="4">
        <f>ROUND(G119-I119,1)</f>
        <v/>
      </c>
      <c r="K119" s="4">
        <f>MAX(0,MIN(100,50+J119*0.6))</f>
        <v/>
      </c>
      <c r="L119" s="4">
        <f>MIN(100,MAX(0,(1-(F119-1)/(H119*1.5))*100*INDEX('League Config'!$J$4:$J$9,MATCH(A119,'League Config'!$E$4:$E$9,0))))</f>
        <v/>
      </c>
      <c r="M119">
        <f>IF(A119="K",'League Config'!$B$14,IF(A119="DST",'League Config'!$B$15,IF(A119="QB",'League Config'!$B$16,0)))</f>
        <v/>
      </c>
      <c r="N119" s="4">
        <f>MIN(100,MAX(0,0.55*E119+0.3*K119+0.15*L119-M119))</f>
        <v/>
      </c>
      <c r="O119" s="9">
        <f>IF(OR(A119="K",A119="DST"),"",N119)</f>
        <v/>
      </c>
      <c r="P119" s="6">
        <f>IF(O119="","",COUNTIF($O$3:$O$232,"&gt;"&amp;O119)+COUNTIF($O$3:O119,O119))</f>
        <v/>
      </c>
      <c r="Q119">
        <f>IF(A119="DST",IF(F119&lt;=GateSize,DstStart-1+F119,NSkill+2*GateSize+F119-GateSize),IF(A119="K",IF(F119&lt;=GateSize,KStart-1+F119,NSkill+GateSize+NDst+F119-GateSize),IF(P119&lt;=DstStart-1,P119,P119+2*GateSize)))</f>
        <v/>
      </c>
      <c r="R119" s="4">
        <f>'LIVE SOURCE'!E119</f>
        <v/>
      </c>
      <c r="S119" s="4">
        <f>R119-Q119</f>
        <v/>
      </c>
      <c r="T119">
        <f>'LIVE SOURCE'!F119</f>
        <v/>
      </c>
      <c r="U119" s="4">
        <f>MAX(40,E119-IF(T119="A",6,IF(T119="B",9,12)))</f>
        <v/>
      </c>
      <c r="V119" s="4">
        <f>E119</f>
        <v/>
      </c>
      <c r="W119" s="4">
        <f>MIN(100,E119+IF(T119="A",6,IF(T119="B",9,12)))</f>
        <v/>
      </c>
      <c r="X119">
        <f>'LIVE SOURCE'!G119</f>
        <v/>
      </c>
      <c r="Y119">
        <f>IF(INDEX('Draft Board'!$J$3:$J$232,Q119)="","Available",INDEX('Draft Board'!$J$3:$J$232,Q119))</f>
        <v/>
      </c>
      <c r="Z119">
        <f>IF(Y119&lt;&gt;"Available","",1+COUNTIFS($Y$3:$Y$232,"Available",$Q$3:$Q$232,"&lt;"&amp;Q119))</f>
        <v/>
      </c>
    </row>
    <row r="120">
      <c r="A120">
        <f>'LIVE SOURCE'!A120</f>
        <v/>
      </c>
      <c r="B120">
        <f>'LIVE SOURCE'!B120</f>
        <v/>
      </c>
      <c r="C120" s="4">
        <f>'LIVE SOURCE'!D120</f>
        <v/>
      </c>
      <c r="D120" s="4">
        <f>'Manual Adjustments'!G120</f>
        <v/>
      </c>
      <c r="E120" s="4">
        <f>MAX(40,MIN(100,C120+D120))</f>
        <v/>
      </c>
      <c r="F120">
        <f>COUNTIFS($A$3:$A$232,A120,$E$3:$E$232,"&gt;"&amp;E120)+COUNTIFS($A$3:A120,A120,$E$3:E120,E120)</f>
        <v/>
      </c>
      <c r="G120" s="4">
        <f>ROUND(INDEX('League Config'!$K$4:$K$9,MATCH(A120,'League Config'!$E$4:$E$9,0))*E120+INDEX('League Config'!$L$4:$L$9,MATCH(A120,'League Config'!$E$4:$E$9,0)),1)</f>
        <v/>
      </c>
      <c r="H120">
        <f>INDEX('League Config'!$H$4:$H$9,MATCH(A120,'League Config'!$E$4:$E$9,0))</f>
        <v/>
      </c>
      <c r="I120" s="4">
        <f>INDEX('League Config'!$I$4:$I$9,MATCH(A120,'League Config'!$E$4:$E$9,0))</f>
        <v/>
      </c>
      <c r="J120" s="4">
        <f>ROUND(G120-I120,1)</f>
        <v/>
      </c>
      <c r="K120" s="4">
        <f>MAX(0,MIN(100,50+J120*0.6))</f>
        <v/>
      </c>
      <c r="L120" s="4">
        <f>MIN(100,MAX(0,(1-(F120-1)/(H120*1.5))*100*INDEX('League Config'!$J$4:$J$9,MATCH(A120,'League Config'!$E$4:$E$9,0))))</f>
        <v/>
      </c>
      <c r="M120">
        <f>IF(A120="K",'League Config'!$B$14,IF(A120="DST",'League Config'!$B$15,IF(A120="QB",'League Config'!$B$16,0)))</f>
        <v/>
      </c>
      <c r="N120" s="4">
        <f>MIN(100,MAX(0,0.55*E120+0.3*K120+0.15*L120-M120))</f>
        <v/>
      </c>
      <c r="O120" s="9">
        <f>IF(OR(A120="K",A120="DST"),"",N120)</f>
        <v/>
      </c>
      <c r="P120" s="6">
        <f>IF(O120="","",COUNTIF($O$3:$O$232,"&gt;"&amp;O120)+COUNTIF($O$3:O120,O120))</f>
        <v/>
      </c>
      <c r="Q120">
        <f>IF(A120="DST",IF(F120&lt;=GateSize,DstStart-1+F120,NSkill+2*GateSize+F120-GateSize),IF(A120="K",IF(F120&lt;=GateSize,KStart-1+F120,NSkill+GateSize+NDst+F120-GateSize),IF(P120&lt;=DstStart-1,P120,P120+2*GateSize)))</f>
        <v/>
      </c>
      <c r="R120" s="4">
        <f>'LIVE SOURCE'!E120</f>
        <v/>
      </c>
      <c r="S120" s="4">
        <f>R120-Q120</f>
        <v/>
      </c>
      <c r="T120">
        <f>'LIVE SOURCE'!F120</f>
        <v/>
      </c>
      <c r="U120" s="4">
        <f>MAX(40,E120-IF(T120="A",6,IF(T120="B",9,12)))</f>
        <v/>
      </c>
      <c r="V120" s="4">
        <f>E120</f>
        <v/>
      </c>
      <c r="W120" s="4">
        <f>MIN(100,E120+IF(T120="A",6,IF(T120="B",9,12)))</f>
        <v/>
      </c>
      <c r="X120">
        <f>'LIVE SOURCE'!G120</f>
        <v/>
      </c>
      <c r="Y120">
        <f>IF(INDEX('Draft Board'!$J$3:$J$232,Q120)="","Available",INDEX('Draft Board'!$J$3:$J$232,Q120))</f>
        <v/>
      </c>
      <c r="Z120">
        <f>IF(Y120&lt;&gt;"Available","",1+COUNTIFS($Y$3:$Y$232,"Available",$Q$3:$Q$232,"&lt;"&amp;Q120))</f>
        <v/>
      </c>
    </row>
    <row r="121">
      <c r="A121">
        <f>'LIVE SOURCE'!A121</f>
        <v/>
      </c>
      <c r="B121">
        <f>'LIVE SOURCE'!B121</f>
        <v/>
      </c>
      <c r="C121" s="4">
        <f>'LIVE SOURCE'!D121</f>
        <v/>
      </c>
      <c r="D121" s="4">
        <f>'Manual Adjustments'!G121</f>
        <v/>
      </c>
      <c r="E121" s="4">
        <f>MAX(40,MIN(100,C121+D121))</f>
        <v/>
      </c>
      <c r="F121">
        <f>COUNTIFS($A$3:$A$232,A121,$E$3:$E$232,"&gt;"&amp;E121)+COUNTIFS($A$3:A121,A121,$E$3:E121,E121)</f>
        <v/>
      </c>
      <c r="G121" s="4">
        <f>ROUND(INDEX('League Config'!$K$4:$K$9,MATCH(A121,'League Config'!$E$4:$E$9,0))*E121+INDEX('League Config'!$L$4:$L$9,MATCH(A121,'League Config'!$E$4:$E$9,0)),1)</f>
        <v/>
      </c>
      <c r="H121">
        <f>INDEX('League Config'!$H$4:$H$9,MATCH(A121,'League Config'!$E$4:$E$9,0))</f>
        <v/>
      </c>
      <c r="I121" s="4">
        <f>INDEX('League Config'!$I$4:$I$9,MATCH(A121,'League Config'!$E$4:$E$9,0))</f>
        <v/>
      </c>
      <c r="J121" s="4">
        <f>ROUND(G121-I121,1)</f>
        <v/>
      </c>
      <c r="K121" s="4">
        <f>MAX(0,MIN(100,50+J121*0.6))</f>
        <v/>
      </c>
      <c r="L121" s="4">
        <f>MIN(100,MAX(0,(1-(F121-1)/(H121*1.5))*100*INDEX('League Config'!$J$4:$J$9,MATCH(A121,'League Config'!$E$4:$E$9,0))))</f>
        <v/>
      </c>
      <c r="M121">
        <f>IF(A121="K",'League Config'!$B$14,IF(A121="DST",'League Config'!$B$15,IF(A121="QB",'League Config'!$B$16,0)))</f>
        <v/>
      </c>
      <c r="N121" s="4">
        <f>MIN(100,MAX(0,0.55*E121+0.3*K121+0.15*L121-M121))</f>
        <v/>
      </c>
      <c r="O121" s="9">
        <f>IF(OR(A121="K",A121="DST"),"",N121)</f>
        <v/>
      </c>
      <c r="P121" s="6">
        <f>IF(O121="","",COUNTIF($O$3:$O$232,"&gt;"&amp;O121)+COUNTIF($O$3:O121,O121))</f>
        <v/>
      </c>
      <c r="Q121">
        <f>IF(A121="DST",IF(F121&lt;=GateSize,DstStart-1+F121,NSkill+2*GateSize+F121-GateSize),IF(A121="K",IF(F121&lt;=GateSize,KStart-1+F121,NSkill+GateSize+NDst+F121-GateSize),IF(P121&lt;=DstStart-1,P121,P121+2*GateSize)))</f>
        <v/>
      </c>
      <c r="R121" s="4">
        <f>'LIVE SOURCE'!E121</f>
        <v/>
      </c>
      <c r="S121" s="4">
        <f>R121-Q121</f>
        <v/>
      </c>
      <c r="T121">
        <f>'LIVE SOURCE'!F121</f>
        <v/>
      </c>
      <c r="U121" s="4">
        <f>MAX(40,E121-IF(T121="A",6,IF(T121="B",9,12)))</f>
        <v/>
      </c>
      <c r="V121" s="4">
        <f>E121</f>
        <v/>
      </c>
      <c r="W121" s="4">
        <f>MIN(100,E121+IF(T121="A",6,IF(T121="B",9,12)))</f>
        <v/>
      </c>
      <c r="X121">
        <f>'LIVE SOURCE'!G121</f>
        <v/>
      </c>
      <c r="Y121">
        <f>IF(INDEX('Draft Board'!$J$3:$J$232,Q121)="","Available",INDEX('Draft Board'!$J$3:$J$232,Q121))</f>
        <v/>
      </c>
      <c r="Z121">
        <f>IF(Y121&lt;&gt;"Available","",1+COUNTIFS($Y$3:$Y$232,"Available",$Q$3:$Q$232,"&lt;"&amp;Q121))</f>
        <v/>
      </c>
    </row>
    <row r="122">
      <c r="A122">
        <f>'LIVE SOURCE'!A122</f>
        <v/>
      </c>
      <c r="B122">
        <f>'LIVE SOURCE'!B122</f>
        <v/>
      </c>
      <c r="C122" s="4">
        <f>'LIVE SOURCE'!D122</f>
        <v/>
      </c>
      <c r="D122" s="4">
        <f>'Manual Adjustments'!G122</f>
        <v/>
      </c>
      <c r="E122" s="4">
        <f>MAX(40,MIN(100,C122+D122))</f>
        <v/>
      </c>
      <c r="F122">
        <f>COUNTIFS($A$3:$A$232,A122,$E$3:$E$232,"&gt;"&amp;E122)+COUNTIFS($A$3:A122,A122,$E$3:E122,E122)</f>
        <v/>
      </c>
      <c r="G122" s="4">
        <f>ROUND(INDEX('League Config'!$K$4:$K$9,MATCH(A122,'League Config'!$E$4:$E$9,0))*E122+INDEX('League Config'!$L$4:$L$9,MATCH(A122,'League Config'!$E$4:$E$9,0)),1)</f>
        <v/>
      </c>
      <c r="H122">
        <f>INDEX('League Config'!$H$4:$H$9,MATCH(A122,'League Config'!$E$4:$E$9,0))</f>
        <v/>
      </c>
      <c r="I122" s="4">
        <f>INDEX('League Config'!$I$4:$I$9,MATCH(A122,'League Config'!$E$4:$E$9,0))</f>
        <v/>
      </c>
      <c r="J122" s="4">
        <f>ROUND(G122-I122,1)</f>
        <v/>
      </c>
      <c r="K122" s="4">
        <f>MAX(0,MIN(100,50+J122*0.6))</f>
        <v/>
      </c>
      <c r="L122" s="4">
        <f>MIN(100,MAX(0,(1-(F122-1)/(H122*1.5))*100*INDEX('League Config'!$J$4:$J$9,MATCH(A122,'League Config'!$E$4:$E$9,0))))</f>
        <v/>
      </c>
      <c r="M122">
        <f>IF(A122="K",'League Config'!$B$14,IF(A122="DST",'League Config'!$B$15,IF(A122="QB",'League Config'!$B$16,0)))</f>
        <v/>
      </c>
      <c r="N122" s="4">
        <f>MIN(100,MAX(0,0.55*E122+0.3*K122+0.15*L122-M122))</f>
        <v/>
      </c>
      <c r="O122" s="9">
        <f>IF(OR(A122="K",A122="DST"),"",N122)</f>
        <v/>
      </c>
      <c r="P122" s="6">
        <f>IF(O122="","",COUNTIF($O$3:$O$232,"&gt;"&amp;O122)+COUNTIF($O$3:O122,O122))</f>
        <v/>
      </c>
      <c r="Q122">
        <f>IF(A122="DST",IF(F122&lt;=GateSize,DstStart-1+F122,NSkill+2*GateSize+F122-GateSize),IF(A122="K",IF(F122&lt;=GateSize,KStart-1+F122,NSkill+GateSize+NDst+F122-GateSize),IF(P122&lt;=DstStart-1,P122,P122+2*GateSize)))</f>
        <v/>
      </c>
      <c r="R122" s="4">
        <f>'LIVE SOURCE'!E122</f>
        <v/>
      </c>
      <c r="S122" s="4">
        <f>R122-Q122</f>
        <v/>
      </c>
      <c r="T122">
        <f>'LIVE SOURCE'!F122</f>
        <v/>
      </c>
      <c r="U122" s="4">
        <f>MAX(40,E122-IF(T122="A",6,IF(T122="B",9,12)))</f>
        <v/>
      </c>
      <c r="V122" s="4">
        <f>E122</f>
        <v/>
      </c>
      <c r="W122" s="4">
        <f>MIN(100,E122+IF(T122="A",6,IF(T122="B",9,12)))</f>
        <v/>
      </c>
      <c r="X122">
        <f>'LIVE SOURCE'!G122</f>
        <v/>
      </c>
      <c r="Y122">
        <f>IF(INDEX('Draft Board'!$J$3:$J$232,Q122)="","Available",INDEX('Draft Board'!$J$3:$J$232,Q122))</f>
        <v/>
      </c>
      <c r="Z122">
        <f>IF(Y122&lt;&gt;"Available","",1+COUNTIFS($Y$3:$Y$232,"Available",$Q$3:$Q$232,"&lt;"&amp;Q122))</f>
        <v/>
      </c>
    </row>
    <row r="123">
      <c r="A123">
        <f>'LIVE SOURCE'!A123</f>
        <v/>
      </c>
      <c r="B123">
        <f>'LIVE SOURCE'!B123</f>
        <v/>
      </c>
      <c r="C123" s="4">
        <f>'LIVE SOURCE'!D123</f>
        <v/>
      </c>
      <c r="D123" s="4">
        <f>'Manual Adjustments'!G123</f>
        <v/>
      </c>
      <c r="E123" s="4">
        <f>MAX(40,MIN(100,C123+D123))</f>
        <v/>
      </c>
      <c r="F123">
        <f>COUNTIFS($A$3:$A$232,A123,$E$3:$E$232,"&gt;"&amp;E123)+COUNTIFS($A$3:A123,A123,$E$3:E123,E123)</f>
        <v/>
      </c>
      <c r="G123" s="4">
        <f>ROUND(INDEX('League Config'!$K$4:$K$9,MATCH(A123,'League Config'!$E$4:$E$9,0))*E123+INDEX('League Config'!$L$4:$L$9,MATCH(A123,'League Config'!$E$4:$E$9,0)),1)</f>
        <v/>
      </c>
      <c r="H123">
        <f>INDEX('League Config'!$H$4:$H$9,MATCH(A123,'League Config'!$E$4:$E$9,0))</f>
        <v/>
      </c>
      <c r="I123" s="4">
        <f>INDEX('League Config'!$I$4:$I$9,MATCH(A123,'League Config'!$E$4:$E$9,0))</f>
        <v/>
      </c>
      <c r="J123" s="4">
        <f>ROUND(G123-I123,1)</f>
        <v/>
      </c>
      <c r="K123" s="4">
        <f>MAX(0,MIN(100,50+J123*0.6))</f>
        <v/>
      </c>
      <c r="L123" s="4">
        <f>MIN(100,MAX(0,(1-(F123-1)/(H123*1.5))*100*INDEX('League Config'!$J$4:$J$9,MATCH(A123,'League Config'!$E$4:$E$9,0))))</f>
        <v/>
      </c>
      <c r="M123">
        <f>IF(A123="K",'League Config'!$B$14,IF(A123="DST",'League Config'!$B$15,IF(A123="QB",'League Config'!$B$16,0)))</f>
        <v/>
      </c>
      <c r="N123" s="4">
        <f>MIN(100,MAX(0,0.55*E123+0.3*K123+0.15*L123-M123))</f>
        <v/>
      </c>
      <c r="O123" s="9">
        <f>IF(OR(A123="K",A123="DST"),"",N123)</f>
        <v/>
      </c>
      <c r="P123" s="6">
        <f>IF(O123="","",COUNTIF($O$3:$O$232,"&gt;"&amp;O123)+COUNTIF($O$3:O123,O123))</f>
        <v/>
      </c>
      <c r="Q123">
        <f>IF(A123="DST",IF(F123&lt;=GateSize,DstStart-1+F123,NSkill+2*GateSize+F123-GateSize),IF(A123="K",IF(F123&lt;=GateSize,KStart-1+F123,NSkill+GateSize+NDst+F123-GateSize),IF(P123&lt;=DstStart-1,P123,P123+2*GateSize)))</f>
        <v/>
      </c>
      <c r="R123" s="4">
        <f>'LIVE SOURCE'!E123</f>
        <v/>
      </c>
      <c r="S123" s="4">
        <f>R123-Q123</f>
        <v/>
      </c>
      <c r="T123">
        <f>'LIVE SOURCE'!F123</f>
        <v/>
      </c>
      <c r="U123" s="4">
        <f>MAX(40,E123-IF(T123="A",6,IF(T123="B",9,12)))</f>
        <v/>
      </c>
      <c r="V123" s="4">
        <f>E123</f>
        <v/>
      </c>
      <c r="W123" s="4">
        <f>MIN(100,E123+IF(T123="A",6,IF(T123="B",9,12)))</f>
        <v/>
      </c>
      <c r="X123">
        <f>'LIVE SOURCE'!G123</f>
        <v/>
      </c>
      <c r="Y123">
        <f>IF(INDEX('Draft Board'!$J$3:$J$232,Q123)="","Available",INDEX('Draft Board'!$J$3:$J$232,Q123))</f>
        <v/>
      </c>
      <c r="Z123">
        <f>IF(Y123&lt;&gt;"Available","",1+COUNTIFS($Y$3:$Y$232,"Available",$Q$3:$Q$232,"&lt;"&amp;Q123))</f>
        <v/>
      </c>
    </row>
    <row r="124">
      <c r="A124">
        <f>'LIVE SOURCE'!A124</f>
        <v/>
      </c>
      <c r="B124">
        <f>'LIVE SOURCE'!B124</f>
        <v/>
      </c>
      <c r="C124" s="4">
        <f>'LIVE SOURCE'!D124</f>
        <v/>
      </c>
      <c r="D124" s="4">
        <f>'Manual Adjustments'!G124</f>
        <v/>
      </c>
      <c r="E124" s="4">
        <f>MAX(40,MIN(100,C124+D124))</f>
        <v/>
      </c>
      <c r="F124">
        <f>COUNTIFS($A$3:$A$232,A124,$E$3:$E$232,"&gt;"&amp;E124)+COUNTIFS($A$3:A124,A124,$E$3:E124,E124)</f>
        <v/>
      </c>
      <c r="G124" s="4">
        <f>ROUND(INDEX('League Config'!$K$4:$K$9,MATCH(A124,'League Config'!$E$4:$E$9,0))*E124+INDEX('League Config'!$L$4:$L$9,MATCH(A124,'League Config'!$E$4:$E$9,0)),1)</f>
        <v/>
      </c>
      <c r="H124">
        <f>INDEX('League Config'!$H$4:$H$9,MATCH(A124,'League Config'!$E$4:$E$9,0))</f>
        <v/>
      </c>
      <c r="I124" s="4">
        <f>INDEX('League Config'!$I$4:$I$9,MATCH(A124,'League Config'!$E$4:$E$9,0))</f>
        <v/>
      </c>
      <c r="J124" s="4">
        <f>ROUND(G124-I124,1)</f>
        <v/>
      </c>
      <c r="K124" s="4">
        <f>MAX(0,MIN(100,50+J124*0.6))</f>
        <v/>
      </c>
      <c r="L124" s="4">
        <f>MIN(100,MAX(0,(1-(F124-1)/(H124*1.5))*100*INDEX('League Config'!$J$4:$J$9,MATCH(A124,'League Config'!$E$4:$E$9,0))))</f>
        <v/>
      </c>
      <c r="M124">
        <f>IF(A124="K",'League Config'!$B$14,IF(A124="DST",'League Config'!$B$15,IF(A124="QB",'League Config'!$B$16,0)))</f>
        <v/>
      </c>
      <c r="N124" s="4">
        <f>MIN(100,MAX(0,0.55*E124+0.3*K124+0.15*L124-M124))</f>
        <v/>
      </c>
      <c r="O124" s="9">
        <f>IF(OR(A124="K",A124="DST"),"",N124)</f>
        <v/>
      </c>
      <c r="P124" s="6">
        <f>IF(O124="","",COUNTIF($O$3:$O$232,"&gt;"&amp;O124)+COUNTIF($O$3:O124,O124))</f>
        <v/>
      </c>
      <c r="Q124">
        <f>IF(A124="DST",IF(F124&lt;=GateSize,DstStart-1+F124,NSkill+2*GateSize+F124-GateSize),IF(A124="K",IF(F124&lt;=GateSize,KStart-1+F124,NSkill+GateSize+NDst+F124-GateSize),IF(P124&lt;=DstStart-1,P124,P124+2*GateSize)))</f>
        <v/>
      </c>
      <c r="R124" s="4">
        <f>'LIVE SOURCE'!E124</f>
        <v/>
      </c>
      <c r="S124" s="4">
        <f>R124-Q124</f>
        <v/>
      </c>
      <c r="T124">
        <f>'LIVE SOURCE'!F124</f>
        <v/>
      </c>
      <c r="U124" s="4">
        <f>MAX(40,E124-IF(T124="A",6,IF(T124="B",9,12)))</f>
        <v/>
      </c>
      <c r="V124" s="4">
        <f>E124</f>
        <v/>
      </c>
      <c r="W124" s="4">
        <f>MIN(100,E124+IF(T124="A",6,IF(T124="B",9,12)))</f>
        <v/>
      </c>
      <c r="X124">
        <f>'LIVE SOURCE'!G124</f>
        <v/>
      </c>
      <c r="Y124">
        <f>IF(INDEX('Draft Board'!$J$3:$J$232,Q124)="","Available",INDEX('Draft Board'!$J$3:$J$232,Q124))</f>
        <v/>
      </c>
      <c r="Z124">
        <f>IF(Y124&lt;&gt;"Available","",1+COUNTIFS($Y$3:$Y$232,"Available",$Q$3:$Q$232,"&lt;"&amp;Q124))</f>
        <v/>
      </c>
    </row>
    <row r="125">
      <c r="A125">
        <f>'LIVE SOURCE'!A125</f>
        <v/>
      </c>
      <c r="B125">
        <f>'LIVE SOURCE'!B125</f>
        <v/>
      </c>
      <c r="C125" s="4">
        <f>'LIVE SOURCE'!D125</f>
        <v/>
      </c>
      <c r="D125" s="4">
        <f>'Manual Adjustments'!G125</f>
        <v/>
      </c>
      <c r="E125" s="4">
        <f>MAX(40,MIN(100,C125+D125))</f>
        <v/>
      </c>
      <c r="F125">
        <f>COUNTIFS($A$3:$A$232,A125,$E$3:$E$232,"&gt;"&amp;E125)+COUNTIFS($A$3:A125,A125,$E$3:E125,E125)</f>
        <v/>
      </c>
      <c r="G125" s="4">
        <f>ROUND(INDEX('League Config'!$K$4:$K$9,MATCH(A125,'League Config'!$E$4:$E$9,0))*E125+INDEX('League Config'!$L$4:$L$9,MATCH(A125,'League Config'!$E$4:$E$9,0)),1)</f>
        <v/>
      </c>
      <c r="H125">
        <f>INDEX('League Config'!$H$4:$H$9,MATCH(A125,'League Config'!$E$4:$E$9,0))</f>
        <v/>
      </c>
      <c r="I125" s="4">
        <f>INDEX('League Config'!$I$4:$I$9,MATCH(A125,'League Config'!$E$4:$E$9,0))</f>
        <v/>
      </c>
      <c r="J125" s="4">
        <f>ROUND(G125-I125,1)</f>
        <v/>
      </c>
      <c r="K125" s="4">
        <f>MAX(0,MIN(100,50+J125*0.6))</f>
        <v/>
      </c>
      <c r="L125" s="4">
        <f>MIN(100,MAX(0,(1-(F125-1)/(H125*1.5))*100*INDEX('League Config'!$J$4:$J$9,MATCH(A125,'League Config'!$E$4:$E$9,0))))</f>
        <v/>
      </c>
      <c r="M125">
        <f>IF(A125="K",'League Config'!$B$14,IF(A125="DST",'League Config'!$B$15,IF(A125="QB",'League Config'!$B$16,0)))</f>
        <v/>
      </c>
      <c r="N125" s="4">
        <f>MIN(100,MAX(0,0.55*E125+0.3*K125+0.15*L125-M125))</f>
        <v/>
      </c>
      <c r="O125" s="9">
        <f>IF(OR(A125="K",A125="DST"),"",N125)</f>
        <v/>
      </c>
      <c r="P125" s="6">
        <f>IF(O125="","",COUNTIF($O$3:$O$232,"&gt;"&amp;O125)+COUNTIF($O$3:O125,O125))</f>
        <v/>
      </c>
      <c r="Q125">
        <f>IF(A125="DST",IF(F125&lt;=GateSize,DstStart-1+F125,NSkill+2*GateSize+F125-GateSize),IF(A125="K",IF(F125&lt;=GateSize,KStart-1+F125,NSkill+GateSize+NDst+F125-GateSize),IF(P125&lt;=DstStart-1,P125,P125+2*GateSize)))</f>
        <v/>
      </c>
      <c r="R125" s="4">
        <f>'LIVE SOURCE'!E125</f>
        <v/>
      </c>
      <c r="S125" s="4">
        <f>R125-Q125</f>
        <v/>
      </c>
      <c r="T125">
        <f>'LIVE SOURCE'!F125</f>
        <v/>
      </c>
      <c r="U125" s="4">
        <f>MAX(40,E125-IF(T125="A",6,IF(T125="B",9,12)))</f>
        <v/>
      </c>
      <c r="V125" s="4">
        <f>E125</f>
        <v/>
      </c>
      <c r="W125" s="4">
        <f>MIN(100,E125+IF(T125="A",6,IF(T125="B",9,12)))</f>
        <v/>
      </c>
      <c r="X125">
        <f>'LIVE SOURCE'!G125</f>
        <v/>
      </c>
      <c r="Y125">
        <f>IF(INDEX('Draft Board'!$J$3:$J$232,Q125)="","Available",INDEX('Draft Board'!$J$3:$J$232,Q125))</f>
        <v/>
      </c>
      <c r="Z125">
        <f>IF(Y125&lt;&gt;"Available","",1+COUNTIFS($Y$3:$Y$232,"Available",$Q$3:$Q$232,"&lt;"&amp;Q125))</f>
        <v/>
      </c>
    </row>
    <row r="126">
      <c r="A126">
        <f>'LIVE SOURCE'!A126</f>
        <v/>
      </c>
      <c r="B126">
        <f>'LIVE SOURCE'!B126</f>
        <v/>
      </c>
      <c r="C126" s="4">
        <f>'LIVE SOURCE'!D126</f>
        <v/>
      </c>
      <c r="D126" s="4">
        <f>'Manual Adjustments'!G126</f>
        <v/>
      </c>
      <c r="E126" s="4">
        <f>MAX(40,MIN(100,C126+D126))</f>
        <v/>
      </c>
      <c r="F126">
        <f>COUNTIFS($A$3:$A$232,A126,$E$3:$E$232,"&gt;"&amp;E126)+COUNTIFS($A$3:A126,A126,$E$3:E126,E126)</f>
        <v/>
      </c>
      <c r="G126" s="4">
        <f>ROUND(INDEX('League Config'!$K$4:$K$9,MATCH(A126,'League Config'!$E$4:$E$9,0))*E126+INDEX('League Config'!$L$4:$L$9,MATCH(A126,'League Config'!$E$4:$E$9,0)),1)</f>
        <v/>
      </c>
      <c r="H126">
        <f>INDEX('League Config'!$H$4:$H$9,MATCH(A126,'League Config'!$E$4:$E$9,0))</f>
        <v/>
      </c>
      <c r="I126" s="4">
        <f>INDEX('League Config'!$I$4:$I$9,MATCH(A126,'League Config'!$E$4:$E$9,0))</f>
        <v/>
      </c>
      <c r="J126" s="4">
        <f>ROUND(G126-I126,1)</f>
        <v/>
      </c>
      <c r="K126" s="4">
        <f>MAX(0,MIN(100,50+J126*0.6))</f>
        <v/>
      </c>
      <c r="L126" s="4">
        <f>MIN(100,MAX(0,(1-(F126-1)/(H126*1.5))*100*INDEX('League Config'!$J$4:$J$9,MATCH(A126,'League Config'!$E$4:$E$9,0))))</f>
        <v/>
      </c>
      <c r="M126">
        <f>IF(A126="K",'League Config'!$B$14,IF(A126="DST",'League Config'!$B$15,IF(A126="QB",'League Config'!$B$16,0)))</f>
        <v/>
      </c>
      <c r="N126" s="4">
        <f>MIN(100,MAX(0,0.55*E126+0.3*K126+0.15*L126-M126))</f>
        <v/>
      </c>
      <c r="O126" s="9">
        <f>IF(OR(A126="K",A126="DST"),"",N126)</f>
        <v/>
      </c>
      <c r="P126" s="6">
        <f>IF(O126="","",COUNTIF($O$3:$O$232,"&gt;"&amp;O126)+COUNTIF($O$3:O126,O126))</f>
        <v/>
      </c>
      <c r="Q126">
        <f>IF(A126="DST",IF(F126&lt;=GateSize,DstStart-1+F126,NSkill+2*GateSize+F126-GateSize),IF(A126="K",IF(F126&lt;=GateSize,KStart-1+F126,NSkill+GateSize+NDst+F126-GateSize),IF(P126&lt;=DstStart-1,P126,P126+2*GateSize)))</f>
        <v/>
      </c>
      <c r="R126" s="4">
        <f>'LIVE SOURCE'!E126</f>
        <v/>
      </c>
      <c r="S126" s="4">
        <f>R126-Q126</f>
        <v/>
      </c>
      <c r="T126">
        <f>'LIVE SOURCE'!F126</f>
        <v/>
      </c>
      <c r="U126" s="4">
        <f>MAX(40,E126-IF(T126="A",6,IF(T126="B",9,12)))</f>
        <v/>
      </c>
      <c r="V126" s="4">
        <f>E126</f>
        <v/>
      </c>
      <c r="W126" s="4">
        <f>MIN(100,E126+IF(T126="A",6,IF(T126="B",9,12)))</f>
        <v/>
      </c>
      <c r="X126">
        <f>'LIVE SOURCE'!G126</f>
        <v/>
      </c>
      <c r="Y126">
        <f>IF(INDEX('Draft Board'!$J$3:$J$232,Q126)="","Available",INDEX('Draft Board'!$J$3:$J$232,Q126))</f>
        <v/>
      </c>
      <c r="Z126">
        <f>IF(Y126&lt;&gt;"Available","",1+COUNTIFS($Y$3:$Y$232,"Available",$Q$3:$Q$232,"&lt;"&amp;Q126))</f>
        <v/>
      </c>
    </row>
    <row r="127">
      <c r="A127">
        <f>'LIVE SOURCE'!A127</f>
        <v/>
      </c>
      <c r="B127">
        <f>'LIVE SOURCE'!B127</f>
        <v/>
      </c>
      <c r="C127" s="4">
        <f>'LIVE SOURCE'!D127</f>
        <v/>
      </c>
      <c r="D127" s="4">
        <f>'Manual Adjustments'!G127</f>
        <v/>
      </c>
      <c r="E127" s="4">
        <f>MAX(40,MIN(100,C127+D127))</f>
        <v/>
      </c>
      <c r="F127">
        <f>COUNTIFS($A$3:$A$232,A127,$E$3:$E$232,"&gt;"&amp;E127)+COUNTIFS($A$3:A127,A127,$E$3:E127,E127)</f>
        <v/>
      </c>
      <c r="G127" s="4">
        <f>ROUND(INDEX('League Config'!$K$4:$K$9,MATCH(A127,'League Config'!$E$4:$E$9,0))*E127+INDEX('League Config'!$L$4:$L$9,MATCH(A127,'League Config'!$E$4:$E$9,0)),1)</f>
        <v/>
      </c>
      <c r="H127">
        <f>INDEX('League Config'!$H$4:$H$9,MATCH(A127,'League Config'!$E$4:$E$9,0))</f>
        <v/>
      </c>
      <c r="I127" s="4">
        <f>INDEX('League Config'!$I$4:$I$9,MATCH(A127,'League Config'!$E$4:$E$9,0))</f>
        <v/>
      </c>
      <c r="J127" s="4">
        <f>ROUND(G127-I127,1)</f>
        <v/>
      </c>
      <c r="K127" s="4">
        <f>MAX(0,MIN(100,50+J127*0.6))</f>
        <v/>
      </c>
      <c r="L127" s="4">
        <f>MIN(100,MAX(0,(1-(F127-1)/(H127*1.5))*100*INDEX('League Config'!$J$4:$J$9,MATCH(A127,'League Config'!$E$4:$E$9,0))))</f>
        <v/>
      </c>
      <c r="M127">
        <f>IF(A127="K",'League Config'!$B$14,IF(A127="DST",'League Config'!$B$15,IF(A127="QB",'League Config'!$B$16,0)))</f>
        <v/>
      </c>
      <c r="N127" s="4">
        <f>MIN(100,MAX(0,0.55*E127+0.3*K127+0.15*L127-M127))</f>
        <v/>
      </c>
      <c r="O127" s="9">
        <f>IF(OR(A127="K",A127="DST"),"",N127)</f>
        <v/>
      </c>
      <c r="P127" s="6">
        <f>IF(O127="","",COUNTIF($O$3:$O$232,"&gt;"&amp;O127)+COUNTIF($O$3:O127,O127))</f>
        <v/>
      </c>
      <c r="Q127">
        <f>IF(A127="DST",IF(F127&lt;=GateSize,DstStart-1+F127,NSkill+2*GateSize+F127-GateSize),IF(A127="K",IF(F127&lt;=GateSize,KStart-1+F127,NSkill+GateSize+NDst+F127-GateSize),IF(P127&lt;=DstStart-1,P127,P127+2*GateSize)))</f>
        <v/>
      </c>
      <c r="R127" s="4">
        <f>'LIVE SOURCE'!E127</f>
        <v/>
      </c>
      <c r="S127" s="4">
        <f>R127-Q127</f>
        <v/>
      </c>
      <c r="T127">
        <f>'LIVE SOURCE'!F127</f>
        <v/>
      </c>
      <c r="U127" s="4">
        <f>MAX(40,E127-IF(T127="A",6,IF(T127="B",9,12)))</f>
        <v/>
      </c>
      <c r="V127" s="4">
        <f>E127</f>
        <v/>
      </c>
      <c r="W127" s="4">
        <f>MIN(100,E127+IF(T127="A",6,IF(T127="B",9,12)))</f>
        <v/>
      </c>
      <c r="X127">
        <f>'LIVE SOURCE'!G127</f>
        <v/>
      </c>
      <c r="Y127">
        <f>IF(INDEX('Draft Board'!$J$3:$J$232,Q127)="","Available",INDEX('Draft Board'!$J$3:$J$232,Q127))</f>
        <v/>
      </c>
      <c r="Z127">
        <f>IF(Y127&lt;&gt;"Available","",1+COUNTIFS($Y$3:$Y$232,"Available",$Q$3:$Q$232,"&lt;"&amp;Q127))</f>
        <v/>
      </c>
    </row>
    <row r="128">
      <c r="A128">
        <f>'LIVE SOURCE'!A128</f>
        <v/>
      </c>
      <c r="B128">
        <f>'LIVE SOURCE'!B128</f>
        <v/>
      </c>
      <c r="C128" s="4">
        <f>'LIVE SOURCE'!D128</f>
        <v/>
      </c>
      <c r="D128" s="4">
        <f>'Manual Adjustments'!G128</f>
        <v/>
      </c>
      <c r="E128" s="4">
        <f>MAX(40,MIN(100,C128+D128))</f>
        <v/>
      </c>
      <c r="F128">
        <f>COUNTIFS($A$3:$A$232,A128,$E$3:$E$232,"&gt;"&amp;E128)+COUNTIFS($A$3:A128,A128,$E$3:E128,E128)</f>
        <v/>
      </c>
      <c r="G128" s="4">
        <f>ROUND(INDEX('League Config'!$K$4:$K$9,MATCH(A128,'League Config'!$E$4:$E$9,0))*E128+INDEX('League Config'!$L$4:$L$9,MATCH(A128,'League Config'!$E$4:$E$9,0)),1)</f>
        <v/>
      </c>
      <c r="H128">
        <f>INDEX('League Config'!$H$4:$H$9,MATCH(A128,'League Config'!$E$4:$E$9,0))</f>
        <v/>
      </c>
      <c r="I128" s="4">
        <f>INDEX('League Config'!$I$4:$I$9,MATCH(A128,'League Config'!$E$4:$E$9,0))</f>
        <v/>
      </c>
      <c r="J128" s="4">
        <f>ROUND(G128-I128,1)</f>
        <v/>
      </c>
      <c r="K128" s="4">
        <f>MAX(0,MIN(100,50+J128*0.6))</f>
        <v/>
      </c>
      <c r="L128" s="4">
        <f>MIN(100,MAX(0,(1-(F128-1)/(H128*1.5))*100*INDEX('League Config'!$J$4:$J$9,MATCH(A128,'League Config'!$E$4:$E$9,0))))</f>
        <v/>
      </c>
      <c r="M128">
        <f>IF(A128="K",'League Config'!$B$14,IF(A128="DST",'League Config'!$B$15,IF(A128="QB",'League Config'!$B$16,0)))</f>
        <v/>
      </c>
      <c r="N128" s="4">
        <f>MIN(100,MAX(0,0.55*E128+0.3*K128+0.15*L128-M128))</f>
        <v/>
      </c>
      <c r="O128" s="9">
        <f>IF(OR(A128="K",A128="DST"),"",N128)</f>
        <v/>
      </c>
      <c r="P128" s="6">
        <f>IF(O128="","",COUNTIF($O$3:$O$232,"&gt;"&amp;O128)+COUNTIF($O$3:O128,O128))</f>
        <v/>
      </c>
      <c r="Q128">
        <f>IF(A128="DST",IF(F128&lt;=GateSize,DstStart-1+F128,NSkill+2*GateSize+F128-GateSize),IF(A128="K",IF(F128&lt;=GateSize,KStart-1+F128,NSkill+GateSize+NDst+F128-GateSize),IF(P128&lt;=DstStart-1,P128,P128+2*GateSize)))</f>
        <v/>
      </c>
      <c r="R128" s="4">
        <f>'LIVE SOURCE'!E128</f>
        <v/>
      </c>
      <c r="S128" s="4">
        <f>R128-Q128</f>
        <v/>
      </c>
      <c r="T128">
        <f>'LIVE SOURCE'!F128</f>
        <v/>
      </c>
      <c r="U128" s="4">
        <f>MAX(40,E128-IF(T128="A",6,IF(T128="B",9,12)))</f>
        <v/>
      </c>
      <c r="V128" s="4">
        <f>E128</f>
        <v/>
      </c>
      <c r="W128" s="4">
        <f>MIN(100,E128+IF(T128="A",6,IF(T128="B",9,12)))</f>
        <v/>
      </c>
      <c r="X128">
        <f>'LIVE SOURCE'!G128</f>
        <v/>
      </c>
      <c r="Y128">
        <f>IF(INDEX('Draft Board'!$J$3:$J$232,Q128)="","Available",INDEX('Draft Board'!$J$3:$J$232,Q128))</f>
        <v/>
      </c>
      <c r="Z128">
        <f>IF(Y128&lt;&gt;"Available","",1+COUNTIFS($Y$3:$Y$232,"Available",$Q$3:$Q$232,"&lt;"&amp;Q128))</f>
        <v/>
      </c>
    </row>
    <row r="129">
      <c r="A129">
        <f>'LIVE SOURCE'!A129</f>
        <v/>
      </c>
      <c r="B129">
        <f>'LIVE SOURCE'!B129</f>
        <v/>
      </c>
      <c r="C129" s="4">
        <f>'LIVE SOURCE'!D129</f>
        <v/>
      </c>
      <c r="D129" s="4">
        <f>'Manual Adjustments'!G129</f>
        <v/>
      </c>
      <c r="E129" s="4">
        <f>MAX(40,MIN(100,C129+D129))</f>
        <v/>
      </c>
      <c r="F129">
        <f>COUNTIFS($A$3:$A$232,A129,$E$3:$E$232,"&gt;"&amp;E129)+COUNTIFS($A$3:A129,A129,$E$3:E129,E129)</f>
        <v/>
      </c>
      <c r="G129" s="4">
        <f>ROUND(INDEX('League Config'!$K$4:$K$9,MATCH(A129,'League Config'!$E$4:$E$9,0))*E129+INDEX('League Config'!$L$4:$L$9,MATCH(A129,'League Config'!$E$4:$E$9,0)),1)</f>
        <v/>
      </c>
      <c r="H129">
        <f>INDEX('League Config'!$H$4:$H$9,MATCH(A129,'League Config'!$E$4:$E$9,0))</f>
        <v/>
      </c>
      <c r="I129" s="4">
        <f>INDEX('League Config'!$I$4:$I$9,MATCH(A129,'League Config'!$E$4:$E$9,0))</f>
        <v/>
      </c>
      <c r="J129" s="4">
        <f>ROUND(G129-I129,1)</f>
        <v/>
      </c>
      <c r="K129" s="4">
        <f>MAX(0,MIN(100,50+J129*0.6))</f>
        <v/>
      </c>
      <c r="L129" s="4">
        <f>MIN(100,MAX(0,(1-(F129-1)/(H129*1.5))*100*INDEX('League Config'!$J$4:$J$9,MATCH(A129,'League Config'!$E$4:$E$9,0))))</f>
        <v/>
      </c>
      <c r="M129">
        <f>IF(A129="K",'League Config'!$B$14,IF(A129="DST",'League Config'!$B$15,IF(A129="QB",'League Config'!$B$16,0)))</f>
        <v/>
      </c>
      <c r="N129" s="4">
        <f>MIN(100,MAX(0,0.55*E129+0.3*K129+0.15*L129-M129))</f>
        <v/>
      </c>
      <c r="O129" s="9">
        <f>IF(OR(A129="K",A129="DST"),"",N129)</f>
        <v/>
      </c>
      <c r="P129" s="6">
        <f>IF(O129="","",COUNTIF($O$3:$O$232,"&gt;"&amp;O129)+COUNTIF($O$3:O129,O129))</f>
        <v/>
      </c>
      <c r="Q129">
        <f>IF(A129="DST",IF(F129&lt;=GateSize,DstStart-1+F129,NSkill+2*GateSize+F129-GateSize),IF(A129="K",IF(F129&lt;=GateSize,KStart-1+F129,NSkill+GateSize+NDst+F129-GateSize),IF(P129&lt;=DstStart-1,P129,P129+2*GateSize)))</f>
        <v/>
      </c>
      <c r="R129" s="4">
        <f>'LIVE SOURCE'!E129</f>
        <v/>
      </c>
      <c r="S129" s="4">
        <f>R129-Q129</f>
        <v/>
      </c>
      <c r="T129">
        <f>'LIVE SOURCE'!F129</f>
        <v/>
      </c>
      <c r="U129" s="4">
        <f>MAX(40,E129-IF(T129="A",6,IF(T129="B",9,12)))</f>
        <v/>
      </c>
      <c r="V129" s="4">
        <f>E129</f>
        <v/>
      </c>
      <c r="W129" s="4">
        <f>MIN(100,E129+IF(T129="A",6,IF(T129="B",9,12)))</f>
        <v/>
      </c>
      <c r="X129">
        <f>'LIVE SOURCE'!G129</f>
        <v/>
      </c>
      <c r="Y129">
        <f>IF(INDEX('Draft Board'!$J$3:$J$232,Q129)="","Available",INDEX('Draft Board'!$J$3:$J$232,Q129))</f>
        <v/>
      </c>
      <c r="Z129">
        <f>IF(Y129&lt;&gt;"Available","",1+COUNTIFS($Y$3:$Y$232,"Available",$Q$3:$Q$232,"&lt;"&amp;Q129))</f>
        <v/>
      </c>
    </row>
    <row r="130">
      <c r="A130">
        <f>'LIVE SOURCE'!A130</f>
        <v/>
      </c>
      <c r="B130">
        <f>'LIVE SOURCE'!B130</f>
        <v/>
      </c>
      <c r="C130" s="4">
        <f>'LIVE SOURCE'!D130</f>
        <v/>
      </c>
      <c r="D130" s="4">
        <f>'Manual Adjustments'!G130</f>
        <v/>
      </c>
      <c r="E130" s="4">
        <f>MAX(40,MIN(100,C130+D130))</f>
        <v/>
      </c>
      <c r="F130">
        <f>COUNTIFS($A$3:$A$232,A130,$E$3:$E$232,"&gt;"&amp;E130)+COUNTIFS($A$3:A130,A130,$E$3:E130,E130)</f>
        <v/>
      </c>
      <c r="G130" s="4">
        <f>ROUND(INDEX('League Config'!$K$4:$K$9,MATCH(A130,'League Config'!$E$4:$E$9,0))*E130+INDEX('League Config'!$L$4:$L$9,MATCH(A130,'League Config'!$E$4:$E$9,0)),1)</f>
        <v/>
      </c>
      <c r="H130">
        <f>INDEX('League Config'!$H$4:$H$9,MATCH(A130,'League Config'!$E$4:$E$9,0))</f>
        <v/>
      </c>
      <c r="I130" s="4">
        <f>INDEX('League Config'!$I$4:$I$9,MATCH(A130,'League Config'!$E$4:$E$9,0))</f>
        <v/>
      </c>
      <c r="J130" s="4">
        <f>ROUND(G130-I130,1)</f>
        <v/>
      </c>
      <c r="K130" s="4">
        <f>MAX(0,MIN(100,50+J130*0.6))</f>
        <v/>
      </c>
      <c r="L130" s="4">
        <f>MIN(100,MAX(0,(1-(F130-1)/(H130*1.5))*100*INDEX('League Config'!$J$4:$J$9,MATCH(A130,'League Config'!$E$4:$E$9,0))))</f>
        <v/>
      </c>
      <c r="M130">
        <f>IF(A130="K",'League Config'!$B$14,IF(A130="DST",'League Config'!$B$15,IF(A130="QB",'League Config'!$B$16,0)))</f>
        <v/>
      </c>
      <c r="N130" s="4">
        <f>MIN(100,MAX(0,0.55*E130+0.3*K130+0.15*L130-M130))</f>
        <v/>
      </c>
      <c r="O130" s="9">
        <f>IF(OR(A130="K",A130="DST"),"",N130)</f>
        <v/>
      </c>
      <c r="P130" s="6">
        <f>IF(O130="","",COUNTIF($O$3:$O$232,"&gt;"&amp;O130)+COUNTIF($O$3:O130,O130))</f>
        <v/>
      </c>
      <c r="Q130">
        <f>IF(A130="DST",IF(F130&lt;=GateSize,DstStart-1+F130,NSkill+2*GateSize+F130-GateSize),IF(A130="K",IF(F130&lt;=GateSize,KStart-1+F130,NSkill+GateSize+NDst+F130-GateSize),IF(P130&lt;=DstStart-1,P130,P130+2*GateSize)))</f>
        <v/>
      </c>
      <c r="R130" s="4">
        <f>'LIVE SOURCE'!E130</f>
        <v/>
      </c>
      <c r="S130" s="4">
        <f>R130-Q130</f>
        <v/>
      </c>
      <c r="T130">
        <f>'LIVE SOURCE'!F130</f>
        <v/>
      </c>
      <c r="U130" s="4">
        <f>MAX(40,E130-IF(T130="A",6,IF(T130="B",9,12)))</f>
        <v/>
      </c>
      <c r="V130" s="4">
        <f>E130</f>
        <v/>
      </c>
      <c r="W130" s="4">
        <f>MIN(100,E130+IF(T130="A",6,IF(T130="B",9,12)))</f>
        <v/>
      </c>
      <c r="X130">
        <f>'LIVE SOURCE'!G130</f>
        <v/>
      </c>
      <c r="Y130">
        <f>IF(INDEX('Draft Board'!$J$3:$J$232,Q130)="","Available",INDEX('Draft Board'!$J$3:$J$232,Q130))</f>
        <v/>
      </c>
      <c r="Z130">
        <f>IF(Y130&lt;&gt;"Available","",1+COUNTIFS($Y$3:$Y$232,"Available",$Q$3:$Q$232,"&lt;"&amp;Q130))</f>
        <v/>
      </c>
    </row>
    <row r="131">
      <c r="A131">
        <f>'LIVE SOURCE'!A131</f>
        <v/>
      </c>
      <c r="B131">
        <f>'LIVE SOURCE'!B131</f>
        <v/>
      </c>
      <c r="C131" s="4">
        <f>'LIVE SOURCE'!D131</f>
        <v/>
      </c>
      <c r="D131" s="4">
        <f>'Manual Adjustments'!G131</f>
        <v/>
      </c>
      <c r="E131" s="4">
        <f>MAX(40,MIN(100,C131+D131))</f>
        <v/>
      </c>
      <c r="F131">
        <f>COUNTIFS($A$3:$A$232,A131,$E$3:$E$232,"&gt;"&amp;E131)+COUNTIFS($A$3:A131,A131,$E$3:E131,E131)</f>
        <v/>
      </c>
      <c r="G131" s="4">
        <f>ROUND(INDEX('League Config'!$K$4:$K$9,MATCH(A131,'League Config'!$E$4:$E$9,0))*E131+INDEX('League Config'!$L$4:$L$9,MATCH(A131,'League Config'!$E$4:$E$9,0)),1)</f>
        <v/>
      </c>
      <c r="H131">
        <f>INDEX('League Config'!$H$4:$H$9,MATCH(A131,'League Config'!$E$4:$E$9,0))</f>
        <v/>
      </c>
      <c r="I131" s="4">
        <f>INDEX('League Config'!$I$4:$I$9,MATCH(A131,'League Config'!$E$4:$E$9,0))</f>
        <v/>
      </c>
      <c r="J131" s="4">
        <f>ROUND(G131-I131,1)</f>
        <v/>
      </c>
      <c r="K131" s="4">
        <f>MAX(0,MIN(100,50+J131*0.6))</f>
        <v/>
      </c>
      <c r="L131" s="4">
        <f>MIN(100,MAX(0,(1-(F131-1)/(H131*1.5))*100*INDEX('League Config'!$J$4:$J$9,MATCH(A131,'League Config'!$E$4:$E$9,0))))</f>
        <v/>
      </c>
      <c r="M131">
        <f>IF(A131="K",'League Config'!$B$14,IF(A131="DST",'League Config'!$B$15,IF(A131="QB",'League Config'!$B$16,0)))</f>
        <v/>
      </c>
      <c r="N131" s="4">
        <f>MIN(100,MAX(0,0.55*E131+0.3*K131+0.15*L131-M131))</f>
        <v/>
      </c>
      <c r="O131" s="9">
        <f>IF(OR(A131="K",A131="DST"),"",N131)</f>
        <v/>
      </c>
      <c r="P131" s="6">
        <f>IF(O131="","",COUNTIF($O$3:$O$232,"&gt;"&amp;O131)+COUNTIF($O$3:O131,O131))</f>
        <v/>
      </c>
      <c r="Q131">
        <f>IF(A131="DST",IF(F131&lt;=GateSize,DstStart-1+F131,NSkill+2*GateSize+F131-GateSize),IF(A131="K",IF(F131&lt;=GateSize,KStart-1+F131,NSkill+GateSize+NDst+F131-GateSize),IF(P131&lt;=DstStart-1,P131,P131+2*GateSize)))</f>
        <v/>
      </c>
      <c r="R131" s="4">
        <f>'LIVE SOURCE'!E131</f>
        <v/>
      </c>
      <c r="S131" s="4">
        <f>R131-Q131</f>
        <v/>
      </c>
      <c r="T131">
        <f>'LIVE SOURCE'!F131</f>
        <v/>
      </c>
      <c r="U131" s="4">
        <f>MAX(40,E131-IF(T131="A",6,IF(T131="B",9,12)))</f>
        <v/>
      </c>
      <c r="V131" s="4">
        <f>E131</f>
        <v/>
      </c>
      <c r="W131" s="4">
        <f>MIN(100,E131+IF(T131="A",6,IF(T131="B",9,12)))</f>
        <v/>
      </c>
      <c r="X131">
        <f>'LIVE SOURCE'!G131</f>
        <v/>
      </c>
      <c r="Y131">
        <f>IF(INDEX('Draft Board'!$J$3:$J$232,Q131)="","Available",INDEX('Draft Board'!$J$3:$J$232,Q131))</f>
        <v/>
      </c>
      <c r="Z131">
        <f>IF(Y131&lt;&gt;"Available","",1+COUNTIFS($Y$3:$Y$232,"Available",$Q$3:$Q$232,"&lt;"&amp;Q131))</f>
        <v/>
      </c>
    </row>
    <row r="132">
      <c r="A132">
        <f>'LIVE SOURCE'!A132</f>
        <v/>
      </c>
      <c r="B132">
        <f>'LIVE SOURCE'!B132</f>
        <v/>
      </c>
      <c r="C132" s="4">
        <f>'LIVE SOURCE'!D132</f>
        <v/>
      </c>
      <c r="D132" s="4">
        <f>'Manual Adjustments'!G132</f>
        <v/>
      </c>
      <c r="E132" s="4">
        <f>MAX(40,MIN(100,C132+D132))</f>
        <v/>
      </c>
      <c r="F132">
        <f>COUNTIFS($A$3:$A$232,A132,$E$3:$E$232,"&gt;"&amp;E132)+COUNTIFS($A$3:A132,A132,$E$3:E132,E132)</f>
        <v/>
      </c>
      <c r="G132" s="4">
        <f>ROUND(INDEX('League Config'!$K$4:$K$9,MATCH(A132,'League Config'!$E$4:$E$9,0))*E132+INDEX('League Config'!$L$4:$L$9,MATCH(A132,'League Config'!$E$4:$E$9,0)),1)</f>
        <v/>
      </c>
      <c r="H132">
        <f>INDEX('League Config'!$H$4:$H$9,MATCH(A132,'League Config'!$E$4:$E$9,0))</f>
        <v/>
      </c>
      <c r="I132" s="4">
        <f>INDEX('League Config'!$I$4:$I$9,MATCH(A132,'League Config'!$E$4:$E$9,0))</f>
        <v/>
      </c>
      <c r="J132" s="4">
        <f>ROUND(G132-I132,1)</f>
        <v/>
      </c>
      <c r="K132" s="4">
        <f>MAX(0,MIN(100,50+J132*0.6))</f>
        <v/>
      </c>
      <c r="L132" s="4">
        <f>MIN(100,MAX(0,(1-(F132-1)/(H132*1.5))*100*INDEX('League Config'!$J$4:$J$9,MATCH(A132,'League Config'!$E$4:$E$9,0))))</f>
        <v/>
      </c>
      <c r="M132">
        <f>IF(A132="K",'League Config'!$B$14,IF(A132="DST",'League Config'!$B$15,IF(A132="QB",'League Config'!$B$16,0)))</f>
        <v/>
      </c>
      <c r="N132" s="4">
        <f>MIN(100,MAX(0,0.55*E132+0.3*K132+0.15*L132-M132))</f>
        <v/>
      </c>
      <c r="O132" s="9">
        <f>IF(OR(A132="K",A132="DST"),"",N132)</f>
        <v/>
      </c>
      <c r="P132" s="6">
        <f>IF(O132="","",COUNTIF($O$3:$O$232,"&gt;"&amp;O132)+COUNTIF($O$3:O132,O132))</f>
        <v/>
      </c>
      <c r="Q132">
        <f>IF(A132="DST",IF(F132&lt;=GateSize,DstStart-1+F132,NSkill+2*GateSize+F132-GateSize),IF(A132="K",IF(F132&lt;=GateSize,KStart-1+F132,NSkill+GateSize+NDst+F132-GateSize),IF(P132&lt;=DstStart-1,P132,P132+2*GateSize)))</f>
        <v/>
      </c>
      <c r="R132" s="4">
        <f>'LIVE SOURCE'!E132</f>
        <v/>
      </c>
      <c r="S132" s="4">
        <f>R132-Q132</f>
        <v/>
      </c>
      <c r="T132">
        <f>'LIVE SOURCE'!F132</f>
        <v/>
      </c>
      <c r="U132" s="4">
        <f>MAX(40,E132-IF(T132="A",6,IF(T132="B",9,12)))</f>
        <v/>
      </c>
      <c r="V132" s="4">
        <f>E132</f>
        <v/>
      </c>
      <c r="W132" s="4">
        <f>MIN(100,E132+IF(T132="A",6,IF(T132="B",9,12)))</f>
        <v/>
      </c>
      <c r="X132">
        <f>'LIVE SOURCE'!G132</f>
        <v/>
      </c>
      <c r="Y132">
        <f>IF(INDEX('Draft Board'!$J$3:$J$232,Q132)="","Available",INDEX('Draft Board'!$J$3:$J$232,Q132))</f>
        <v/>
      </c>
      <c r="Z132">
        <f>IF(Y132&lt;&gt;"Available","",1+COUNTIFS($Y$3:$Y$232,"Available",$Q$3:$Q$232,"&lt;"&amp;Q132))</f>
        <v/>
      </c>
    </row>
    <row r="133">
      <c r="A133">
        <f>'LIVE SOURCE'!A133</f>
        <v/>
      </c>
      <c r="B133">
        <f>'LIVE SOURCE'!B133</f>
        <v/>
      </c>
      <c r="C133" s="4">
        <f>'LIVE SOURCE'!D133</f>
        <v/>
      </c>
      <c r="D133" s="4">
        <f>'Manual Adjustments'!G133</f>
        <v/>
      </c>
      <c r="E133" s="4">
        <f>MAX(40,MIN(100,C133+D133))</f>
        <v/>
      </c>
      <c r="F133">
        <f>COUNTIFS($A$3:$A$232,A133,$E$3:$E$232,"&gt;"&amp;E133)+COUNTIFS($A$3:A133,A133,$E$3:E133,E133)</f>
        <v/>
      </c>
      <c r="G133" s="4">
        <f>ROUND(INDEX('League Config'!$K$4:$K$9,MATCH(A133,'League Config'!$E$4:$E$9,0))*E133+INDEX('League Config'!$L$4:$L$9,MATCH(A133,'League Config'!$E$4:$E$9,0)),1)</f>
        <v/>
      </c>
      <c r="H133">
        <f>INDEX('League Config'!$H$4:$H$9,MATCH(A133,'League Config'!$E$4:$E$9,0))</f>
        <v/>
      </c>
      <c r="I133" s="4">
        <f>INDEX('League Config'!$I$4:$I$9,MATCH(A133,'League Config'!$E$4:$E$9,0))</f>
        <v/>
      </c>
      <c r="J133" s="4">
        <f>ROUND(G133-I133,1)</f>
        <v/>
      </c>
      <c r="K133" s="4">
        <f>MAX(0,MIN(100,50+J133*0.6))</f>
        <v/>
      </c>
      <c r="L133" s="4">
        <f>MIN(100,MAX(0,(1-(F133-1)/(H133*1.5))*100*INDEX('League Config'!$J$4:$J$9,MATCH(A133,'League Config'!$E$4:$E$9,0))))</f>
        <v/>
      </c>
      <c r="M133">
        <f>IF(A133="K",'League Config'!$B$14,IF(A133="DST",'League Config'!$B$15,IF(A133="QB",'League Config'!$B$16,0)))</f>
        <v/>
      </c>
      <c r="N133" s="4">
        <f>MIN(100,MAX(0,0.55*E133+0.3*K133+0.15*L133-M133))</f>
        <v/>
      </c>
      <c r="O133" s="9">
        <f>IF(OR(A133="K",A133="DST"),"",N133)</f>
        <v/>
      </c>
      <c r="P133" s="6">
        <f>IF(O133="","",COUNTIF($O$3:$O$232,"&gt;"&amp;O133)+COUNTIF($O$3:O133,O133))</f>
        <v/>
      </c>
      <c r="Q133">
        <f>IF(A133="DST",IF(F133&lt;=GateSize,DstStart-1+F133,NSkill+2*GateSize+F133-GateSize),IF(A133="K",IF(F133&lt;=GateSize,KStart-1+F133,NSkill+GateSize+NDst+F133-GateSize),IF(P133&lt;=DstStart-1,P133,P133+2*GateSize)))</f>
        <v/>
      </c>
      <c r="R133" s="4">
        <f>'LIVE SOURCE'!E133</f>
        <v/>
      </c>
      <c r="S133" s="4">
        <f>R133-Q133</f>
        <v/>
      </c>
      <c r="T133">
        <f>'LIVE SOURCE'!F133</f>
        <v/>
      </c>
      <c r="U133" s="4">
        <f>MAX(40,E133-IF(T133="A",6,IF(T133="B",9,12)))</f>
        <v/>
      </c>
      <c r="V133" s="4">
        <f>E133</f>
        <v/>
      </c>
      <c r="W133" s="4">
        <f>MIN(100,E133+IF(T133="A",6,IF(T133="B",9,12)))</f>
        <v/>
      </c>
      <c r="X133">
        <f>'LIVE SOURCE'!G133</f>
        <v/>
      </c>
      <c r="Y133">
        <f>IF(INDEX('Draft Board'!$J$3:$J$232,Q133)="","Available",INDEX('Draft Board'!$J$3:$J$232,Q133))</f>
        <v/>
      </c>
      <c r="Z133">
        <f>IF(Y133&lt;&gt;"Available","",1+COUNTIFS($Y$3:$Y$232,"Available",$Q$3:$Q$232,"&lt;"&amp;Q133))</f>
        <v/>
      </c>
    </row>
    <row r="134">
      <c r="A134">
        <f>'LIVE SOURCE'!A134</f>
        <v/>
      </c>
      <c r="B134">
        <f>'LIVE SOURCE'!B134</f>
        <v/>
      </c>
      <c r="C134" s="4">
        <f>'LIVE SOURCE'!D134</f>
        <v/>
      </c>
      <c r="D134" s="4">
        <f>'Manual Adjustments'!G134</f>
        <v/>
      </c>
      <c r="E134" s="4">
        <f>MAX(40,MIN(100,C134+D134))</f>
        <v/>
      </c>
      <c r="F134">
        <f>COUNTIFS($A$3:$A$232,A134,$E$3:$E$232,"&gt;"&amp;E134)+COUNTIFS($A$3:A134,A134,$E$3:E134,E134)</f>
        <v/>
      </c>
      <c r="G134" s="4">
        <f>ROUND(INDEX('League Config'!$K$4:$K$9,MATCH(A134,'League Config'!$E$4:$E$9,0))*E134+INDEX('League Config'!$L$4:$L$9,MATCH(A134,'League Config'!$E$4:$E$9,0)),1)</f>
        <v/>
      </c>
      <c r="H134">
        <f>INDEX('League Config'!$H$4:$H$9,MATCH(A134,'League Config'!$E$4:$E$9,0))</f>
        <v/>
      </c>
      <c r="I134" s="4">
        <f>INDEX('League Config'!$I$4:$I$9,MATCH(A134,'League Config'!$E$4:$E$9,0))</f>
        <v/>
      </c>
      <c r="J134" s="4">
        <f>ROUND(G134-I134,1)</f>
        <v/>
      </c>
      <c r="K134" s="4">
        <f>MAX(0,MIN(100,50+J134*0.6))</f>
        <v/>
      </c>
      <c r="L134" s="4">
        <f>MIN(100,MAX(0,(1-(F134-1)/(H134*1.5))*100*INDEX('League Config'!$J$4:$J$9,MATCH(A134,'League Config'!$E$4:$E$9,0))))</f>
        <v/>
      </c>
      <c r="M134">
        <f>IF(A134="K",'League Config'!$B$14,IF(A134="DST",'League Config'!$B$15,IF(A134="QB",'League Config'!$B$16,0)))</f>
        <v/>
      </c>
      <c r="N134" s="4">
        <f>MIN(100,MAX(0,0.55*E134+0.3*K134+0.15*L134-M134))</f>
        <v/>
      </c>
      <c r="O134" s="9">
        <f>IF(OR(A134="K",A134="DST"),"",N134)</f>
        <v/>
      </c>
      <c r="P134" s="6">
        <f>IF(O134="","",COUNTIF($O$3:$O$232,"&gt;"&amp;O134)+COUNTIF($O$3:O134,O134))</f>
        <v/>
      </c>
      <c r="Q134">
        <f>IF(A134="DST",IF(F134&lt;=GateSize,DstStart-1+F134,NSkill+2*GateSize+F134-GateSize),IF(A134="K",IF(F134&lt;=GateSize,KStart-1+F134,NSkill+GateSize+NDst+F134-GateSize),IF(P134&lt;=DstStart-1,P134,P134+2*GateSize)))</f>
        <v/>
      </c>
      <c r="R134" s="4">
        <f>'LIVE SOURCE'!E134</f>
        <v/>
      </c>
      <c r="S134" s="4">
        <f>R134-Q134</f>
        <v/>
      </c>
      <c r="T134">
        <f>'LIVE SOURCE'!F134</f>
        <v/>
      </c>
      <c r="U134" s="4">
        <f>MAX(40,E134-IF(T134="A",6,IF(T134="B",9,12)))</f>
        <v/>
      </c>
      <c r="V134" s="4">
        <f>E134</f>
        <v/>
      </c>
      <c r="W134" s="4">
        <f>MIN(100,E134+IF(T134="A",6,IF(T134="B",9,12)))</f>
        <v/>
      </c>
      <c r="X134">
        <f>'LIVE SOURCE'!G134</f>
        <v/>
      </c>
      <c r="Y134">
        <f>IF(INDEX('Draft Board'!$J$3:$J$232,Q134)="","Available",INDEX('Draft Board'!$J$3:$J$232,Q134))</f>
        <v/>
      </c>
      <c r="Z134">
        <f>IF(Y134&lt;&gt;"Available","",1+COUNTIFS($Y$3:$Y$232,"Available",$Q$3:$Q$232,"&lt;"&amp;Q134))</f>
        <v/>
      </c>
    </row>
    <row r="135">
      <c r="A135">
        <f>'LIVE SOURCE'!A135</f>
        <v/>
      </c>
      <c r="B135">
        <f>'LIVE SOURCE'!B135</f>
        <v/>
      </c>
      <c r="C135" s="4">
        <f>'LIVE SOURCE'!D135</f>
        <v/>
      </c>
      <c r="D135" s="4">
        <f>'Manual Adjustments'!G135</f>
        <v/>
      </c>
      <c r="E135" s="4">
        <f>MAX(40,MIN(100,C135+D135))</f>
        <v/>
      </c>
      <c r="F135">
        <f>COUNTIFS($A$3:$A$232,A135,$E$3:$E$232,"&gt;"&amp;E135)+COUNTIFS($A$3:A135,A135,$E$3:E135,E135)</f>
        <v/>
      </c>
      <c r="G135" s="4">
        <f>ROUND(INDEX('League Config'!$K$4:$K$9,MATCH(A135,'League Config'!$E$4:$E$9,0))*E135+INDEX('League Config'!$L$4:$L$9,MATCH(A135,'League Config'!$E$4:$E$9,0)),1)</f>
        <v/>
      </c>
      <c r="H135">
        <f>INDEX('League Config'!$H$4:$H$9,MATCH(A135,'League Config'!$E$4:$E$9,0))</f>
        <v/>
      </c>
      <c r="I135" s="4">
        <f>INDEX('League Config'!$I$4:$I$9,MATCH(A135,'League Config'!$E$4:$E$9,0))</f>
        <v/>
      </c>
      <c r="J135" s="4">
        <f>ROUND(G135-I135,1)</f>
        <v/>
      </c>
      <c r="K135" s="4">
        <f>MAX(0,MIN(100,50+J135*0.6))</f>
        <v/>
      </c>
      <c r="L135" s="4">
        <f>MIN(100,MAX(0,(1-(F135-1)/(H135*1.5))*100*INDEX('League Config'!$J$4:$J$9,MATCH(A135,'League Config'!$E$4:$E$9,0))))</f>
        <v/>
      </c>
      <c r="M135">
        <f>IF(A135="K",'League Config'!$B$14,IF(A135="DST",'League Config'!$B$15,IF(A135="QB",'League Config'!$B$16,0)))</f>
        <v/>
      </c>
      <c r="N135" s="4">
        <f>MIN(100,MAX(0,0.55*E135+0.3*K135+0.15*L135-M135))</f>
        <v/>
      </c>
      <c r="O135" s="9">
        <f>IF(OR(A135="K",A135="DST"),"",N135)</f>
        <v/>
      </c>
      <c r="P135" s="6">
        <f>IF(O135="","",COUNTIF($O$3:$O$232,"&gt;"&amp;O135)+COUNTIF($O$3:O135,O135))</f>
        <v/>
      </c>
      <c r="Q135">
        <f>IF(A135="DST",IF(F135&lt;=GateSize,DstStart-1+F135,NSkill+2*GateSize+F135-GateSize),IF(A135="K",IF(F135&lt;=GateSize,KStart-1+F135,NSkill+GateSize+NDst+F135-GateSize),IF(P135&lt;=DstStart-1,P135,P135+2*GateSize)))</f>
        <v/>
      </c>
      <c r="R135" s="4">
        <f>'LIVE SOURCE'!E135</f>
        <v/>
      </c>
      <c r="S135" s="4">
        <f>R135-Q135</f>
        <v/>
      </c>
      <c r="T135">
        <f>'LIVE SOURCE'!F135</f>
        <v/>
      </c>
      <c r="U135" s="4">
        <f>MAX(40,E135-IF(T135="A",6,IF(T135="B",9,12)))</f>
        <v/>
      </c>
      <c r="V135" s="4">
        <f>E135</f>
        <v/>
      </c>
      <c r="W135" s="4">
        <f>MIN(100,E135+IF(T135="A",6,IF(T135="B",9,12)))</f>
        <v/>
      </c>
      <c r="X135">
        <f>'LIVE SOURCE'!G135</f>
        <v/>
      </c>
      <c r="Y135">
        <f>IF(INDEX('Draft Board'!$J$3:$J$232,Q135)="","Available",INDEX('Draft Board'!$J$3:$J$232,Q135))</f>
        <v/>
      </c>
      <c r="Z135">
        <f>IF(Y135&lt;&gt;"Available","",1+COUNTIFS($Y$3:$Y$232,"Available",$Q$3:$Q$232,"&lt;"&amp;Q135))</f>
        <v/>
      </c>
    </row>
    <row r="136">
      <c r="A136">
        <f>'LIVE SOURCE'!A136</f>
        <v/>
      </c>
      <c r="B136">
        <f>'LIVE SOURCE'!B136</f>
        <v/>
      </c>
      <c r="C136" s="4">
        <f>'LIVE SOURCE'!D136</f>
        <v/>
      </c>
      <c r="D136" s="4">
        <f>'Manual Adjustments'!G136</f>
        <v/>
      </c>
      <c r="E136" s="4">
        <f>MAX(40,MIN(100,C136+D136))</f>
        <v/>
      </c>
      <c r="F136">
        <f>COUNTIFS($A$3:$A$232,A136,$E$3:$E$232,"&gt;"&amp;E136)+COUNTIFS($A$3:A136,A136,$E$3:E136,E136)</f>
        <v/>
      </c>
      <c r="G136" s="4">
        <f>ROUND(INDEX('League Config'!$K$4:$K$9,MATCH(A136,'League Config'!$E$4:$E$9,0))*E136+INDEX('League Config'!$L$4:$L$9,MATCH(A136,'League Config'!$E$4:$E$9,0)),1)</f>
        <v/>
      </c>
      <c r="H136">
        <f>INDEX('League Config'!$H$4:$H$9,MATCH(A136,'League Config'!$E$4:$E$9,0))</f>
        <v/>
      </c>
      <c r="I136" s="4">
        <f>INDEX('League Config'!$I$4:$I$9,MATCH(A136,'League Config'!$E$4:$E$9,0))</f>
        <v/>
      </c>
      <c r="J136" s="4">
        <f>ROUND(G136-I136,1)</f>
        <v/>
      </c>
      <c r="K136" s="4">
        <f>MAX(0,MIN(100,50+J136*0.6))</f>
        <v/>
      </c>
      <c r="L136" s="4">
        <f>MIN(100,MAX(0,(1-(F136-1)/(H136*1.5))*100*INDEX('League Config'!$J$4:$J$9,MATCH(A136,'League Config'!$E$4:$E$9,0))))</f>
        <v/>
      </c>
      <c r="M136">
        <f>IF(A136="K",'League Config'!$B$14,IF(A136="DST",'League Config'!$B$15,IF(A136="QB",'League Config'!$B$16,0)))</f>
        <v/>
      </c>
      <c r="N136" s="4">
        <f>MIN(100,MAX(0,0.55*E136+0.3*K136+0.15*L136-M136))</f>
        <v/>
      </c>
      <c r="O136" s="9">
        <f>IF(OR(A136="K",A136="DST"),"",N136)</f>
        <v/>
      </c>
      <c r="P136" s="6">
        <f>IF(O136="","",COUNTIF($O$3:$O$232,"&gt;"&amp;O136)+COUNTIF($O$3:O136,O136))</f>
        <v/>
      </c>
      <c r="Q136">
        <f>IF(A136="DST",IF(F136&lt;=GateSize,DstStart-1+F136,NSkill+2*GateSize+F136-GateSize),IF(A136="K",IF(F136&lt;=GateSize,KStart-1+F136,NSkill+GateSize+NDst+F136-GateSize),IF(P136&lt;=DstStart-1,P136,P136+2*GateSize)))</f>
        <v/>
      </c>
      <c r="R136" s="4">
        <f>'LIVE SOURCE'!E136</f>
        <v/>
      </c>
      <c r="S136" s="4">
        <f>R136-Q136</f>
        <v/>
      </c>
      <c r="T136">
        <f>'LIVE SOURCE'!F136</f>
        <v/>
      </c>
      <c r="U136" s="4">
        <f>MAX(40,E136-IF(T136="A",6,IF(T136="B",9,12)))</f>
        <v/>
      </c>
      <c r="V136" s="4">
        <f>E136</f>
        <v/>
      </c>
      <c r="W136" s="4">
        <f>MIN(100,E136+IF(T136="A",6,IF(T136="B",9,12)))</f>
        <v/>
      </c>
      <c r="X136">
        <f>'LIVE SOURCE'!G136</f>
        <v/>
      </c>
      <c r="Y136">
        <f>IF(INDEX('Draft Board'!$J$3:$J$232,Q136)="","Available",INDEX('Draft Board'!$J$3:$J$232,Q136))</f>
        <v/>
      </c>
      <c r="Z136">
        <f>IF(Y136&lt;&gt;"Available","",1+COUNTIFS($Y$3:$Y$232,"Available",$Q$3:$Q$232,"&lt;"&amp;Q136))</f>
        <v/>
      </c>
    </row>
    <row r="137">
      <c r="A137">
        <f>'LIVE SOURCE'!A137</f>
        <v/>
      </c>
      <c r="B137">
        <f>'LIVE SOURCE'!B137</f>
        <v/>
      </c>
      <c r="C137" s="4">
        <f>'LIVE SOURCE'!D137</f>
        <v/>
      </c>
      <c r="D137" s="4">
        <f>'Manual Adjustments'!G137</f>
        <v/>
      </c>
      <c r="E137" s="4">
        <f>MAX(40,MIN(100,C137+D137))</f>
        <v/>
      </c>
      <c r="F137">
        <f>COUNTIFS($A$3:$A$232,A137,$E$3:$E$232,"&gt;"&amp;E137)+COUNTIFS($A$3:A137,A137,$E$3:E137,E137)</f>
        <v/>
      </c>
      <c r="G137" s="4">
        <f>ROUND(INDEX('League Config'!$K$4:$K$9,MATCH(A137,'League Config'!$E$4:$E$9,0))*E137+INDEX('League Config'!$L$4:$L$9,MATCH(A137,'League Config'!$E$4:$E$9,0)),1)</f>
        <v/>
      </c>
      <c r="H137">
        <f>INDEX('League Config'!$H$4:$H$9,MATCH(A137,'League Config'!$E$4:$E$9,0))</f>
        <v/>
      </c>
      <c r="I137" s="4">
        <f>INDEX('League Config'!$I$4:$I$9,MATCH(A137,'League Config'!$E$4:$E$9,0))</f>
        <v/>
      </c>
      <c r="J137" s="4">
        <f>ROUND(G137-I137,1)</f>
        <v/>
      </c>
      <c r="K137" s="4">
        <f>MAX(0,MIN(100,50+J137*0.6))</f>
        <v/>
      </c>
      <c r="L137" s="4">
        <f>MIN(100,MAX(0,(1-(F137-1)/(H137*1.5))*100*INDEX('League Config'!$J$4:$J$9,MATCH(A137,'League Config'!$E$4:$E$9,0))))</f>
        <v/>
      </c>
      <c r="M137">
        <f>IF(A137="K",'League Config'!$B$14,IF(A137="DST",'League Config'!$B$15,IF(A137="QB",'League Config'!$B$16,0)))</f>
        <v/>
      </c>
      <c r="N137" s="4">
        <f>MIN(100,MAX(0,0.55*E137+0.3*K137+0.15*L137-M137))</f>
        <v/>
      </c>
      <c r="O137" s="9">
        <f>IF(OR(A137="K",A137="DST"),"",N137)</f>
        <v/>
      </c>
      <c r="P137" s="6">
        <f>IF(O137="","",COUNTIF($O$3:$O$232,"&gt;"&amp;O137)+COUNTIF($O$3:O137,O137))</f>
        <v/>
      </c>
      <c r="Q137">
        <f>IF(A137="DST",IF(F137&lt;=GateSize,DstStart-1+F137,NSkill+2*GateSize+F137-GateSize),IF(A137="K",IF(F137&lt;=GateSize,KStart-1+F137,NSkill+GateSize+NDst+F137-GateSize),IF(P137&lt;=DstStart-1,P137,P137+2*GateSize)))</f>
        <v/>
      </c>
      <c r="R137" s="4">
        <f>'LIVE SOURCE'!E137</f>
        <v/>
      </c>
      <c r="S137" s="4">
        <f>R137-Q137</f>
        <v/>
      </c>
      <c r="T137">
        <f>'LIVE SOURCE'!F137</f>
        <v/>
      </c>
      <c r="U137" s="4">
        <f>MAX(40,E137-IF(T137="A",6,IF(T137="B",9,12)))</f>
        <v/>
      </c>
      <c r="V137" s="4">
        <f>E137</f>
        <v/>
      </c>
      <c r="W137" s="4">
        <f>MIN(100,E137+IF(T137="A",6,IF(T137="B",9,12)))</f>
        <v/>
      </c>
      <c r="X137">
        <f>'LIVE SOURCE'!G137</f>
        <v/>
      </c>
      <c r="Y137">
        <f>IF(INDEX('Draft Board'!$J$3:$J$232,Q137)="","Available",INDEX('Draft Board'!$J$3:$J$232,Q137))</f>
        <v/>
      </c>
      <c r="Z137">
        <f>IF(Y137&lt;&gt;"Available","",1+COUNTIFS($Y$3:$Y$232,"Available",$Q$3:$Q$232,"&lt;"&amp;Q137))</f>
        <v/>
      </c>
    </row>
    <row r="138">
      <c r="A138">
        <f>'LIVE SOURCE'!A138</f>
        <v/>
      </c>
      <c r="B138">
        <f>'LIVE SOURCE'!B138</f>
        <v/>
      </c>
      <c r="C138" s="4">
        <f>'LIVE SOURCE'!D138</f>
        <v/>
      </c>
      <c r="D138" s="4">
        <f>'Manual Adjustments'!G138</f>
        <v/>
      </c>
      <c r="E138" s="4">
        <f>MAX(40,MIN(100,C138+D138))</f>
        <v/>
      </c>
      <c r="F138">
        <f>COUNTIFS($A$3:$A$232,A138,$E$3:$E$232,"&gt;"&amp;E138)+COUNTIFS($A$3:A138,A138,$E$3:E138,E138)</f>
        <v/>
      </c>
      <c r="G138" s="4">
        <f>ROUND(INDEX('League Config'!$K$4:$K$9,MATCH(A138,'League Config'!$E$4:$E$9,0))*E138+INDEX('League Config'!$L$4:$L$9,MATCH(A138,'League Config'!$E$4:$E$9,0)),1)</f>
        <v/>
      </c>
      <c r="H138">
        <f>INDEX('League Config'!$H$4:$H$9,MATCH(A138,'League Config'!$E$4:$E$9,0))</f>
        <v/>
      </c>
      <c r="I138" s="4">
        <f>INDEX('League Config'!$I$4:$I$9,MATCH(A138,'League Config'!$E$4:$E$9,0))</f>
        <v/>
      </c>
      <c r="J138" s="4">
        <f>ROUND(G138-I138,1)</f>
        <v/>
      </c>
      <c r="K138" s="4">
        <f>MAX(0,MIN(100,50+J138*0.6))</f>
        <v/>
      </c>
      <c r="L138" s="4">
        <f>MIN(100,MAX(0,(1-(F138-1)/(H138*1.5))*100*INDEX('League Config'!$J$4:$J$9,MATCH(A138,'League Config'!$E$4:$E$9,0))))</f>
        <v/>
      </c>
      <c r="M138">
        <f>IF(A138="K",'League Config'!$B$14,IF(A138="DST",'League Config'!$B$15,IF(A138="QB",'League Config'!$B$16,0)))</f>
        <v/>
      </c>
      <c r="N138" s="4">
        <f>MIN(100,MAX(0,0.55*E138+0.3*K138+0.15*L138-M138))</f>
        <v/>
      </c>
      <c r="O138" s="9">
        <f>IF(OR(A138="K",A138="DST"),"",N138)</f>
        <v/>
      </c>
      <c r="P138" s="6">
        <f>IF(O138="","",COUNTIF($O$3:$O$232,"&gt;"&amp;O138)+COUNTIF($O$3:O138,O138))</f>
        <v/>
      </c>
      <c r="Q138">
        <f>IF(A138="DST",IF(F138&lt;=GateSize,DstStart-1+F138,NSkill+2*GateSize+F138-GateSize),IF(A138="K",IF(F138&lt;=GateSize,KStart-1+F138,NSkill+GateSize+NDst+F138-GateSize),IF(P138&lt;=DstStart-1,P138,P138+2*GateSize)))</f>
        <v/>
      </c>
      <c r="R138" s="4">
        <f>'LIVE SOURCE'!E138</f>
        <v/>
      </c>
      <c r="S138" s="4">
        <f>R138-Q138</f>
        <v/>
      </c>
      <c r="T138">
        <f>'LIVE SOURCE'!F138</f>
        <v/>
      </c>
      <c r="U138" s="4">
        <f>MAX(40,E138-IF(T138="A",6,IF(T138="B",9,12)))</f>
        <v/>
      </c>
      <c r="V138" s="4">
        <f>E138</f>
        <v/>
      </c>
      <c r="W138" s="4">
        <f>MIN(100,E138+IF(T138="A",6,IF(T138="B",9,12)))</f>
        <v/>
      </c>
      <c r="X138">
        <f>'LIVE SOURCE'!G138</f>
        <v/>
      </c>
      <c r="Y138">
        <f>IF(INDEX('Draft Board'!$J$3:$J$232,Q138)="","Available",INDEX('Draft Board'!$J$3:$J$232,Q138))</f>
        <v/>
      </c>
      <c r="Z138">
        <f>IF(Y138&lt;&gt;"Available","",1+COUNTIFS($Y$3:$Y$232,"Available",$Q$3:$Q$232,"&lt;"&amp;Q138))</f>
        <v/>
      </c>
    </row>
    <row r="139">
      <c r="A139">
        <f>'LIVE SOURCE'!A139</f>
        <v/>
      </c>
      <c r="B139">
        <f>'LIVE SOURCE'!B139</f>
        <v/>
      </c>
      <c r="C139" s="4">
        <f>'LIVE SOURCE'!D139</f>
        <v/>
      </c>
      <c r="D139" s="4">
        <f>'Manual Adjustments'!G139</f>
        <v/>
      </c>
      <c r="E139" s="4">
        <f>MAX(40,MIN(100,C139+D139))</f>
        <v/>
      </c>
      <c r="F139">
        <f>COUNTIFS($A$3:$A$232,A139,$E$3:$E$232,"&gt;"&amp;E139)+COUNTIFS($A$3:A139,A139,$E$3:E139,E139)</f>
        <v/>
      </c>
      <c r="G139" s="4">
        <f>ROUND(INDEX('League Config'!$K$4:$K$9,MATCH(A139,'League Config'!$E$4:$E$9,0))*E139+INDEX('League Config'!$L$4:$L$9,MATCH(A139,'League Config'!$E$4:$E$9,0)),1)</f>
        <v/>
      </c>
      <c r="H139">
        <f>INDEX('League Config'!$H$4:$H$9,MATCH(A139,'League Config'!$E$4:$E$9,0))</f>
        <v/>
      </c>
      <c r="I139" s="4">
        <f>INDEX('League Config'!$I$4:$I$9,MATCH(A139,'League Config'!$E$4:$E$9,0))</f>
        <v/>
      </c>
      <c r="J139" s="4">
        <f>ROUND(G139-I139,1)</f>
        <v/>
      </c>
      <c r="K139" s="4">
        <f>MAX(0,MIN(100,50+J139*0.6))</f>
        <v/>
      </c>
      <c r="L139" s="4">
        <f>MIN(100,MAX(0,(1-(F139-1)/(H139*1.5))*100*INDEX('League Config'!$J$4:$J$9,MATCH(A139,'League Config'!$E$4:$E$9,0))))</f>
        <v/>
      </c>
      <c r="M139">
        <f>IF(A139="K",'League Config'!$B$14,IF(A139="DST",'League Config'!$B$15,IF(A139="QB",'League Config'!$B$16,0)))</f>
        <v/>
      </c>
      <c r="N139" s="4">
        <f>MIN(100,MAX(0,0.55*E139+0.3*K139+0.15*L139-M139))</f>
        <v/>
      </c>
      <c r="O139" s="9">
        <f>IF(OR(A139="K",A139="DST"),"",N139)</f>
        <v/>
      </c>
      <c r="P139" s="6">
        <f>IF(O139="","",COUNTIF($O$3:$O$232,"&gt;"&amp;O139)+COUNTIF($O$3:O139,O139))</f>
        <v/>
      </c>
      <c r="Q139">
        <f>IF(A139="DST",IF(F139&lt;=GateSize,DstStart-1+F139,NSkill+2*GateSize+F139-GateSize),IF(A139="K",IF(F139&lt;=GateSize,KStart-1+F139,NSkill+GateSize+NDst+F139-GateSize),IF(P139&lt;=DstStart-1,P139,P139+2*GateSize)))</f>
        <v/>
      </c>
      <c r="R139" s="4">
        <f>'LIVE SOURCE'!E139</f>
        <v/>
      </c>
      <c r="S139" s="4">
        <f>R139-Q139</f>
        <v/>
      </c>
      <c r="T139">
        <f>'LIVE SOURCE'!F139</f>
        <v/>
      </c>
      <c r="U139" s="4">
        <f>MAX(40,E139-IF(T139="A",6,IF(T139="B",9,12)))</f>
        <v/>
      </c>
      <c r="V139" s="4">
        <f>E139</f>
        <v/>
      </c>
      <c r="W139" s="4">
        <f>MIN(100,E139+IF(T139="A",6,IF(T139="B",9,12)))</f>
        <v/>
      </c>
      <c r="X139">
        <f>'LIVE SOURCE'!G139</f>
        <v/>
      </c>
      <c r="Y139">
        <f>IF(INDEX('Draft Board'!$J$3:$J$232,Q139)="","Available",INDEX('Draft Board'!$J$3:$J$232,Q139))</f>
        <v/>
      </c>
      <c r="Z139">
        <f>IF(Y139&lt;&gt;"Available","",1+COUNTIFS($Y$3:$Y$232,"Available",$Q$3:$Q$232,"&lt;"&amp;Q139))</f>
        <v/>
      </c>
    </row>
    <row r="140">
      <c r="A140">
        <f>'LIVE SOURCE'!A140</f>
        <v/>
      </c>
      <c r="B140">
        <f>'LIVE SOURCE'!B140</f>
        <v/>
      </c>
      <c r="C140" s="4">
        <f>'LIVE SOURCE'!D140</f>
        <v/>
      </c>
      <c r="D140" s="4">
        <f>'Manual Adjustments'!G140</f>
        <v/>
      </c>
      <c r="E140" s="4">
        <f>MAX(40,MIN(100,C140+D140))</f>
        <v/>
      </c>
      <c r="F140">
        <f>COUNTIFS($A$3:$A$232,A140,$E$3:$E$232,"&gt;"&amp;E140)+COUNTIFS($A$3:A140,A140,$E$3:E140,E140)</f>
        <v/>
      </c>
      <c r="G140" s="4">
        <f>ROUND(INDEX('League Config'!$K$4:$K$9,MATCH(A140,'League Config'!$E$4:$E$9,0))*E140+INDEX('League Config'!$L$4:$L$9,MATCH(A140,'League Config'!$E$4:$E$9,0)),1)</f>
        <v/>
      </c>
      <c r="H140">
        <f>INDEX('League Config'!$H$4:$H$9,MATCH(A140,'League Config'!$E$4:$E$9,0))</f>
        <v/>
      </c>
      <c r="I140" s="4">
        <f>INDEX('League Config'!$I$4:$I$9,MATCH(A140,'League Config'!$E$4:$E$9,0))</f>
        <v/>
      </c>
      <c r="J140" s="4">
        <f>ROUND(G140-I140,1)</f>
        <v/>
      </c>
      <c r="K140" s="4">
        <f>MAX(0,MIN(100,50+J140*0.6))</f>
        <v/>
      </c>
      <c r="L140" s="4">
        <f>MIN(100,MAX(0,(1-(F140-1)/(H140*1.5))*100*INDEX('League Config'!$J$4:$J$9,MATCH(A140,'League Config'!$E$4:$E$9,0))))</f>
        <v/>
      </c>
      <c r="M140">
        <f>IF(A140="K",'League Config'!$B$14,IF(A140="DST",'League Config'!$B$15,IF(A140="QB",'League Config'!$B$16,0)))</f>
        <v/>
      </c>
      <c r="N140" s="4">
        <f>MIN(100,MAX(0,0.55*E140+0.3*K140+0.15*L140-M140))</f>
        <v/>
      </c>
      <c r="O140" s="9">
        <f>IF(OR(A140="K",A140="DST"),"",N140)</f>
        <v/>
      </c>
      <c r="P140" s="6">
        <f>IF(O140="","",COUNTIF($O$3:$O$232,"&gt;"&amp;O140)+COUNTIF($O$3:O140,O140))</f>
        <v/>
      </c>
      <c r="Q140">
        <f>IF(A140="DST",IF(F140&lt;=GateSize,DstStart-1+F140,NSkill+2*GateSize+F140-GateSize),IF(A140="K",IF(F140&lt;=GateSize,KStart-1+F140,NSkill+GateSize+NDst+F140-GateSize),IF(P140&lt;=DstStart-1,P140,P140+2*GateSize)))</f>
        <v/>
      </c>
      <c r="R140" s="4">
        <f>'LIVE SOURCE'!E140</f>
        <v/>
      </c>
      <c r="S140" s="4">
        <f>R140-Q140</f>
        <v/>
      </c>
      <c r="T140">
        <f>'LIVE SOURCE'!F140</f>
        <v/>
      </c>
      <c r="U140" s="4">
        <f>MAX(40,E140-IF(T140="A",6,IF(T140="B",9,12)))</f>
        <v/>
      </c>
      <c r="V140" s="4">
        <f>E140</f>
        <v/>
      </c>
      <c r="W140" s="4">
        <f>MIN(100,E140+IF(T140="A",6,IF(T140="B",9,12)))</f>
        <v/>
      </c>
      <c r="X140">
        <f>'LIVE SOURCE'!G140</f>
        <v/>
      </c>
      <c r="Y140">
        <f>IF(INDEX('Draft Board'!$J$3:$J$232,Q140)="","Available",INDEX('Draft Board'!$J$3:$J$232,Q140))</f>
        <v/>
      </c>
      <c r="Z140">
        <f>IF(Y140&lt;&gt;"Available","",1+COUNTIFS($Y$3:$Y$232,"Available",$Q$3:$Q$232,"&lt;"&amp;Q140))</f>
        <v/>
      </c>
    </row>
    <row r="141">
      <c r="A141">
        <f>'LIVE SOURCE'!A141</f>
        <v/>
      </c>
      <c r="B141">
        <f>'LIVE SOURCE'!B141</f>
        <v/>
      </c>
      <c r="C141" s="4">
        <f>'LIVE SOURCE'!D141</f>
        <v/>
      </c>
      <c r="D141" s="4">
        <f>'Manual Adjustments'!G141</f>
        <v/>
      </c>
      <c r="E141" s="4">
        <f>MAX(40,MIN(100,C141+D141))</f>
        <v/>
      </c>
      <c r="F141">
        <f>COUNTIFS($A$3:$A$232,A141,$E$3:$E$232,"&gt;"&amp;E141)+COUNTIFS($A$3:A141,A141,$E$3:E141,E141)</f>
        <v/>
      </c>
      <c r="G141" s="4">
        <f>ROUND(INDEX('League Config'!$K$4:$K$9,MATCH(A141,'League Config'!$E$4:$E$9,0))*E141+INDEX('League Config'!$L$4:$L$9,MATCH(A141,'League Config'!$E$4:$E$9,0)),1)</f>
        <v/>
      </c>
      <c r="H141">
        <f>INDEX('League Config'!$H$4:$H$9,MATCH(A141,'League Config'!$E$4:$E$9,0))</f>
        <v/>
      </c>
      <c r="I141" s="4">
        <f>INDEX('League Config'!$I$4:$I$9,MATCH(A141,'League Config'!$E$4:$E$9,0))</f>
        <v/>
      </c>
      <c r="J141" s="4">
        <f>ROUND(G141-I141,1)</f>
        <v/>
      </c>
      <c r="K141" s="4">
        <f>MAX(0,MIN(100,50+J141*0.6))</f>
        <v/>
      </c>
      <c r="L141" s="4">
        <f>MIN(100,MAX(0,(1-(F141-1)/(H141*1.5))*100*INDEX('League Config'!$J$4:$J$9,MATCH(A141,'League Config'!$E$4:$E$9,0))))</f>
        <v/>
      </c>
      <c r="M141">
        <f>IF(A141="K",'League Config'!$B$14,IF(A141="DST",'League Config'!$B$15,IF(A141="QB",'League Config'!$B$16,0)))</f>
        <v/>
      </c>
      <c r="N141" s="4">
        <f>MIN(100,MAX(0,0.55*E141+0.3*K141+0.15*L141-M141))</f>
        <v/>
      </c>
      <c r="O141" s="9">
        <f>IF(OR(A141="K",A141="DST"),"",N141)</f>
        <v/>
      </c>
      <c r="P141" s="6">
        <f>IF(O141="","",COUNTIF($O$3:$O$232,"&gt;"&amp;O141)+COUNTIF($O$3:O141,O141))</f>
        <v/>
      </c>
      <c r="Q141">
        <f>IF(A141="DST",IF(F141&lt;=GateSize,DstStart-1+F141,NSkill+2*GateSize+F141-GateSize),IF(A141="K",IF(F141&lt;=GateSize,KStart-1+F141,NSkill+GateSize+NDst+F141-GateSize),IF(P141&lt;=DstStart-1,P141,P141+2*GateSize)))</f>
        <v/>
      </c>
      <c r="R141" s="4">
        <f>'LIVE SOURCE'!E141</f>
        <v/>
      </c>
      <c r="S141" s="4">
        <f>R141-Q141</f>
        <v/>
      </c>
      <c r="T141">
        <f>'LIVE SOURCE'!F141</f>
        <v/>
      </c>
      <c r="U141" s="4">
        <f>MAX(40,E141-IF(T141="A",6,IF(T141="B",9,12)))</f>
        <v/>
      </c>
      <c r="V141" s="4">
        <f>E141</f>
        <v/>
      </c>
      <c r="W141" s="4">
        <f>MIN(100,E141+IF(T141="A",6,IF(T141="B",9,12)))</f>
        <v/>
      </c>
      <c r="X141">
        <f>'LIVE SOURCE'!G141</f>
        <v/>
      </c>
      <c r="Y141">
        <f>IF(INDEX('Draft Board'!$J$3:$J$232,Q141)="","Available",INDEX('Draft Board'!$J$3:$J$232,Q141))</f>
        <v/>
      </c>
      <c r="Z141">
        <f>IF(Y141&lt;&gt;"Available","",1+COUNTIFS($Y$3:$Y$232,"Available",$Q$3:$Q$232,"&lt;"&amp;Q141))</f>
        <v/>
      </c>
    </row>
    <row r="142">
      <c r="A142">
        <f>'LIVE SOURCE'!A142</f>
        <v/>
      </c>
      <c r="B142">
        <f>'LIVE SOURCE'!B142</f>
        <v/>
      </c>
      <c r="C142" s="4">
        <f>'LIVE SOURCE'!D142</f>
        <v/>
      </c>
      <c r="D142" s="4">
        <f>'Manual Adjustments'!G142</f>
        <v/>
      </c>
      <c r="E142" s="4">
        <f>MAX(40,MIN(100,C142+D142))</f>
        <v/>
      </c>
      <c r="F142">
        <f>COUNTIFS($A$3:$A$232,A142,$E$3:$E$232,"&gt;"&amp;E142)+COUNTIFS($A$3:A142,A142,$E$3:E142,E142)</f>
        <v/>
      </c>
      <c r="G142" s="4">
        <f>ROUND(INDEX('League Config'!$K$4:$K$9,MATCH(A142,'League Config'!$E$4:$E$9,0))*E142+INDEX('League Config'!$L$4:$L$9,MATCH(A142,'League Config'!$E$4:$E$9,0)),1)</f>
        <v/>
      </c>
      <c r="H142">
        <f>INDEX('League Config'!$H$4:$H$9,MATCH(A142,'League Config'!$E$4:$E$9,0))</f>
        <v/>
      </c>
      <c r="I142" s="4">
        <f>INDEX('League Config'!$I$4:$I$9,MATCH(A142,'League Config'!$E$4:$E$9,0))</f>
        <v/>
      </c>
      <c r="J142" s="4">
        <f>ROUND(G142-I142,1)</f>
        <v/>
      </c>
      <c r="K142" s="4">
        <f>MAX(0,MIN(100,50+J142*0.6))</f>
        <v/>
      </c>
      <c r="L142" s="4">
        <f>MIN(100,MAX(0,(1-(F142-1)/(H142*1.5))*100*INDEX('League Config'!$J$4:$J$9,MATCH(A142,'League Config'!$E$4:$E$9,0))))</f>
        <v/>
      </c>
      <c r="M142">
        <f>IF(A142="K",'League Config'!$B$14,IF(A142="DST",'League Config'!$B$15,IF(A142="QB",'League Config'!$B$16,0)))</f>
        <v/>
      </c>
      <c r="N142" s="4">
        <f>MIN(100,MAX(0,0.55*E142+0.3*K142+0.15*L142-M142))</f>
        <v/>
      </c>
      <c r="O142" s="9">
        <f>IF(OR(A142="K",A142="DST"),"",N142)</f>
        <v/>
      </c>
      <c r="P142" s="6">
        <f>IF(O142="","",COUNTIF($O$3:$O$232,"&gt;"&amp;O142)+COUNTIF($O$3:O142,O142))</f>
        <v/>
      </c>
      <c r="Q142">
        <f>IF(A142="DST",IF(F142&lt;=GateSize,DstStart-1+F142,NSkill+2*GateSize+F142-GateSize),IF(A142="K",IF(F142&lt;=GateSize,KStart-1+F142,NSkill+GateSize+NDst+F142-GateSize),IF(P142&lt;=DstStart-1,P142,P142+2*GateSize)))</f>
        <v/>
      </c>
      <c r="R142" s="4">
        <f>'LIVE SOURCE'!E142</f>
        <v/>
      </c>
      <c r="S142" s="4">
        <f>R142-Q142</f>
        <v/>
      </c>
      <c r="T142">
        <f>'LIVE SOURCE'!F142</f>
        <v/>
      </c>
      <c r="U142" s="4">
        <f>MAX(40,E142-IF(T142="A",6,IF(T142="B",9,12)))</f>
        <v/>
      </c>
      <c r="V142" s="4">
        <f>E142</f>
        <v/>
      </c>
      <c r="W142" s="4">
        <f>MIN(100,E142+IF(T142="A",6,IF(T142="B",9,12)))</f>
        <v/>
      </c>
      <c r="X142">
        <f>'LIVE SOURCE'!G142</f>
        <v/>
      </c>
      <c r="Y142">
        <f>IF(INDEX('Draft Board'!$J$3:$J$232,Q142)="","Available",INDEX('Draft Board'!$J$3:$J$232,Q142))</f>
        <v/>
      </c>
      <c r="Z142">
        <f>IF(Y142&lt;&gt;"Available","",1+COUNTIFS($Y$3:$Y$232,"Available",$Q$3:$Q$232,"&lt;"&amp;Q142))</f>
        <v/>
      </c>
    </row>
    <row r="143">
      <c r="A143">
        <f>'LIVE SOURCE'!A143</f>
        <v/>
      </c>
      <c r="B143">
        <f>'LIVE SOURCE'!B143</f>
        <v/>
      </c>
      <c r="C143" s="4">
        <f>'LIVE SOURCE'!D143</f>
        <v/>
      </c>
      <c r="D143" s="4">
        <f>'Manual Adjustments'!G143</f>
        <v/>
      </c>
      <c r="E143" s="4">
        <f>MAX(40,MIN(100,C143+D143))</f>
        <v/>
      </c>
      <c r="F143">
        <f>COUNTIFS($A$3:$A$232,A143,$E$3:$E$232,"&gt;"&amp;E143)+COUNTIFS($A$3:A143,A143,$E$3:E143,E143)</f>
        <v/>
      </c>
      <c r="G143" s="4">
        <f>ROUND(INDEX('League Config'!$K$4:$K$9,MATCH(A143,'League Config'!$E$4:$E$9,0))*E143+INDEX('League Config'!$L$4:$L$9,MATCH(A143,'League Config'!$E$4:$E$9,0)),1)</f>
        <v/>
      </c>
      <c r="H143">
        <f>INDEX('League Config'!$H$4:$H$9,MATCH(A143,'League Config'!$E$4:$E$9,0))</f>
        <v/>
      </c>
      <c r="I143" s="4">
        <f>INDEX('League Config'!$I$4:$I$9,MATCH(A143,'League Config'!$E$4:$E$9,0))</f>
        <v/>
      </c>
      <c r="J143" s="4">
        <f>ROUND(G143-I143,1)</f>
        <v/>
      </c>
      <c r="K143" s="4">
        <f>MAX(0,MIN(100,50+J143*0.6))</f>
        <v/>
      </c>
      <c r="L143" s="4">
        <f>MIN(100,MAX(0,(1-(F143-1)/(H143*1.5))*100*INDEX('League Config'!$J$4:$J$9,MATCH(A143,'League Config'!$E$4:$E$9,0))))</f>
        <v/>
      </c>
      <c r="M143">
        <f>IF(A143="K",'League Config'!$B$14,IF(A143="DST",'League Config'!$B$15,IF(A143="QB",'League Config'!$B$16,0)))</f>
        <v/>
      </c>
      <c r="N143" s="4">
        <f>MIN(100,MAX(0,0.55*E143+0.3*K143+0.15*L143-M143))</f>
        <v/>
      </c>
      <c r="O143" s="9">
        <f>IF(OR(A143="K",A143="DST"),"",N143)</f>
        <v/>
      </c>
      <c r="P143" s="6">
        <f>IF(O143="","",COUNTIF($O$3:$O$232,"&gt;"&amp;O143)+COUNTIF($O$3:O143,O143))</f>
        <v/>
      </c>
      <c r="Q143">
        <f>IF(A143="DST",IF(F143&lt;=GateSize,DstStart-1+F143,NSkill+2*GateSize+F143-GateSize),IF(A143="K",IF(F143&lt;=GateSize,KStart-1+F143,NSkill+GateSize+NDst+F143-GateSize),IF(P143&lt;=DstStart-1,P143,P143+2*GateSize)))</f>
        <v/>
      </c>
      <c r="R143" s="4">
        <f>'LIVE SOURCE'!E143</f>
        <v/>
      </c>
      <c r="S143" s="4">
        <f>R143-Q143</f>
        <v/>
      </c>
      <c r="T143">
        <f>'LIVE SOURCE'!F143</f>
        <v/>
      </c>
      <c r="U143" s="4">
        <f>MAX(40,E143-IF(T143="A",6,IF(T143="B",9,12)))</f>
        <v/>
      </c>
      <c r="V143" s="4">
        <f>E143</f>
        <v/>
      </c>
      <c r="W143" s="4">
        <f>MIN(100,E143+IF(T143="A",6,IF(T143="B",9,12)))</f>
        <v/>
      </c>
      <c r="X143">
        <f>'LIVE SOURCE'!G143</f>
        <v/>
      </c>
      <c r="Y143">
        <f>IF(INDEX('Draft Board'!$J$3:$J$232,Q143)="","Available",INDEX('Draft Board'!$J$3:$J$232,Q143))</f>
        <v/>
      </c>
      <c r="Z143">
        <f>IF(Y143&lt;&gt;"Available","",1+COUNTIFS($Y$3:$Y$232,"Available",$Q$3:$Q$232,"&lt;"&amp;Q143))</f>
        <v/>
      </c>
    </row>
    <row r="144">
      <c r="A144">
        <f>'LIVE SOURCE'!A144</f>
        <v/>
      </c>
      <c r="B144">
        <f>'LIVE SOURCE'!B144</f>
        <v/>
      </c>
      <c r="C144" s="4">
        <f>'LIVE SOURCE'!D144</f>
        <v/>
      </c>
      <c r="D144" s="4">
        <f>'Manual Adjustments'!G144</f>
        <v/>
      </c>
      <c r="E144" s="4">
        <f>MAX(40,MIN(100,C144+D144))</f>
        <v/>
      </c>
      <c r="F144">
        <f>COUNTIFS($A$3:$A$232,A144,$E$3:$E$232,"&gt;"&amp;E144)+COUNTIFS($A$3:A144,A144,$E$3:E144,E144)</f>
        <v/>
      </c>
      <c r="G144" s="4">
        <f>ROUND(INDEX('League Config'!$K$4:$K$9,MATCH(A144,'League Config'!$E$4:$E$9,0))*E144+INDEX('League Config'!$L$4:$L$9,MATCH(A144,'League Config'!$E$4:$E$9,0)),1)</f>
        <v/>
      </c>
      <c r="H144">
        <f>INDEX('League Config'!$H$4:$H$9,MATCH(A144,'League Config'!$E$4:$E$9,0))</f>
        <v/>
      </c>
      <c r="I144" s="4">
        <f>INDEX('League Config'!$I$4:$I$9,MATCH(A144,'League Config'!$E$4:$E$9,0))</f>
        <v/>
      </c>
      <c r="J144" s="4">
        <f>ROUND(G144-I144,1)</f>
        <v/>
      </c>
      <c r="K144" s="4">
        <f>MAX(0,MIN(100,50+J144*0.6))</f>
        <v/>
      </c>
      <c r="L144" s="4">
        <f>MIN(100,MAX(0,(1-(F144-1)/(H144*1.5))*100*INDEX('League Config'!$J$4:$J$9,MATCH(A144,'League Config'!$E$4:$E$9,0))))</f>
        <v/>
      </c>
      <c r="M144">
        <f>IF(A144="K",'League Config'!$B$14,IF(A144="DST",'League Config'!$B$15,IF(A144="QB",'League Config'!$B$16,0)))</f>
        <v/>
      </c>
      <c r="N144" s="4">
        <f>MIN(100,MAX(0,0.55*E144+0.3*K144+0.15*L144-M144))</f>
        <v/>
      </c>
      <c r="O144" s="9">
        <f>IF(OR(A144="K",A144="DST"),"",N144)</f>
        <v/>
      </c>
      <c r="P144" s="6">
        <f>IF(O144="","",COUNTIF($O$3:$O$232,"&gt;"&amp;O144)+COUNTIF($O$3:O144,O144))</f>
        <v/>
      </c>
      <c r="Q144">
        <f>IF(A144="DST",IF(F144&lt;=GateSize,DstStart-1+F144,NSkill+2*GateSize+F144-GateSize),IF(A144="K",IF(F144&lt;=GateSize,KStart-1+F144,NSkill+GateSize+NDst+F144-GateSize),IF(P144&lt;=DstStart-1,P144,P144+2*GateSize)))</f>
        <v/>
      </c>
      <c r="R144" s="4">
        <f>'LIVE SOURCE'!E144</f>
        <v/>
      </c>
      <c r="S144" s="4">
        <f>R144-Q144</f>
        <v/>
      </c>
      <c r="T144">
        <f>'LIVE SOURCE'!F144</f>
        <v/>
      </c>
      <c r="U144" s="4">
        <f>MAX(40,E144-IF(T144="A",6,IF(T144="B",9,12)))</f>
        <v/>
      </c>
      <c r="V144" s="4">
        <f>E144</f>
        <v/>
      </c>
      <c r="W144" s="4">
        <f>MIN(100,E144+IF(T144="A",6,IF(T144="B",9,12)))</f>
        <v/>
      </c>
      <c r="X144">
        <f>'LIVE SOURCE'!G144</f>
        <v/>
      </c>
      <c r="Y144">
        <f>IF(INDEX('Draft Board'!$J$3:$J$232,Q144)="","Available",INDEX('Draft Board'!$J$3:$J$232,Q144))</f>
        <v/>
      </c>
      <c r="Z144">
        <f>IF(Y144&lt;&gt;"Available","",1+COUNTIFS($Y$3:$Y$232,"Available",$Q$3:$Q$232,"&lt;"&amp;Q144))</f>
        <v/>
      </c>
    </row>
    <row r="145">
      <c r="A145">
        <f>'LIVE SOURCE'!A145</f>
        <v/>
      </c>
      <c r="B145">
        <f>'LIVE SOURCE'!B145</f>
        <v/>
      </c>
      <c r="C145" s="4">
        <f>'LIVE SOURCE'!D145</f>
        <v/>
      </c>
      <c r="D145" s="4">
        <f>'Manual Adjustments'!G145</f>
        <v/>
      </c>
      <c r="E145" s="4">
        <f>MAX(40,MIN(100,C145+D145))</f>
        <v/>
      </c>
      <c r="F145">
        <f>COUNTIFS($A$3:$A$232,A145,$E$3:$E$232,"&gt;"&amp;E145)+COUNTIFS($A$3:A145,A145,$E$3:E145,E145)</f>
        <v/>
      </c>
      <c r="G145" s="4">
        <f>ROUND(INDEX('League Config'!$K$4:$K$9,MATCH(A145,'League Config'!$E$4:$E$9,0))*E145+INDEX('League Config'!$L$4:$L$9,MATCH(A145,'League Config'!$E$4:$E$9,0)),1)</f>
        <v/>
      </c>
      <c r="H145">
        <f>INDEX('League Config'!$H$4:$H$9,MATCH(A145,'League Config'!$E$4:$E$9,0))</f>
        <v/>
      </c>
      <c r="I145" s="4">
        <f>INDEX('League Config'!$I$4:$I$9,MATCH(A145,'League Config'!$E$4:$E$9,0))</f>
        <v/>
      </c>
      <c r="J145" s="4">
        <f>ROUND(G145-I145,1)</f>
        <v/>
      </c>
      <c r="K145" s="4">
        <f>MAX(0,MIN(100,50+J145*0.6))</f>
        <v/>
      </c>
      <c r="L145" s="4">
        <f>MIN(100,MAX(0,(1-(F145-1)/(H145*1.5))*100*INDEX('League Config'!$J$4:$J$9,MATCH(A145,'League Config'!$E$4:$E$9,0))))</f>
        <v/>
      </c>
      <c r="M145">
        <f>IF(A145="K",'League Config'!$B$14,IF(A145="DST",'League Config'!$B$15,IF(A145="QB",'League Config'!$B$16,0)))</f>
        <v/>
      </c>
      <c r="N145" s="4">
        <f>MIN(100,MAX(0,0.55*E145+0.3*K145+0.15*L145-M145))</f>
        <v/>
      </c>
      <c r="O145" s="9">
        <f>IF(OR(A145="K",A145="DST"),"",N145)</f>
        <v/>
      </c>
      <c r="P145" s="6">
        <f>IF(O145="","",COUNTIF($O$3:$O$232,"&gt;"&amp;O145)+COUNTIF($O$3:O145,O145))</f>
        <v/>
      </c>
      <c r="Q145">
        <f>IF(A145="DST",IF(F145&lt;=GateSize,DstStart-1+F145,NSkill+2*GateSize+F145-GateSize),IF(A145="K",IF(F145&lt;=GateSize,KStart-1+F145,NSkill+GateSize+NDst+F145-GateSize),IF(P145&lt;=DstStart-1,P145,P145+2*GateSize)))</f>
        <v/>
      </c>
      <c r="R145" s="4">
        <f>'LIVE SOURCE'!E145</f>
        <v/>
      </c>
      <c r="S145" s="4">
        <f>R145-Q145</f>
        <v/>
      </c>
      <c r="T145">
        <f>'LIVE SOURCE'!F145</f>
        <v/>
      </c>
      <c r="U145" s="4">
        <f>MAX(40,E145-IF(T145="A",6,IF(T145="B",9,12)))</f>
        <v/>
      </c>
      <c r="V145" s="4">
        <f>E145</f>
        <v/>
      </c>
      <c r="W145" s="4">
        <f>MIN(100,E145+IF(T145="A",6,IF(T145="B",9,12)))</f>
        <v/>
      </c>
      <c r="X145">
        <f>'LIVE SOURCE'!G145</f>
        <v/>
      </c>
      <c r="Y145">
        <f>IF(INDEX('Draft Board'!$J$3:$J$232,Q145)="","Available",INDEX('Draft Board'!$J$3:$J$232,Q145))</f>
        <v/>
      </c>
      <c r="Z145">
        <f>IF(Y145&lt;&gt;"Available","",1+COUNTIFS($Y$3:$Y$232,"Available",$Q$3:$Q$232,"&lt;"&amp;Q145))</f>
        <v/>
      </c>
    </row>
    <row r="146">
      <c r="A146">
        <f>'LIVE SOURCE'!A146</f>
        <v/>
      </c>
      <c r="B146">
        <f>'LIVE SOURCE'!B146</f>
        <v/>
      </c>
      <c r="C146" s="4">
        <f>'LIVE SOURCE'!D146</f>
        <v/>
      </c>
      <c r="D146" s="4">
        <f>'Manual Adjustments'!G146</f>
        <v/>
      </c>
      <c r="E146" s="4">
        <f>MAX(40,MIN(100,C146+D146))</f>
        <v/>
      </c>
      <c r="F146">
        <f>COUNTIFS($A$3:$A$232,A146,$E$3:$E$232,"&gt;"&amp;E146)+COUNTIFS($A$3:A146,A146,$E$3:E146,E146)</f>
        <v/>
      </c>
      <c r="G146" s="4">
        <f>ROUND(INDEX('League Config'!$K$4:$K$9,MATCH(A146,'League Config'!$E$4:$E$9,0))*E146+INDEX('League Config'!$L$4:$L$9,MATCH(A146,'League Config'!$E$4:$E$9,0)),1)</f>
        <v/>
      </c>
      <c r="H146">
        <f>INDEX('League Config'!$H$4:$H$9,MATCH(A146,'League Config'!$E$4:$E$9,0))</f>
        <v/>
      </c>
      <c r="I146" s="4">
        <f>INDEX('League Config'!$I$4:$I$9,MATCH(A146,'League Config'!$E$4:$E$9,0))</f>
        <v/>
      </c>
      <c r="J146" s="4">
        <f>ROUND(G146-I146,1)</f>
        <v/>
      </c>
      <c r="K146" s="4">
        <f>MAX(0,MIN(100,50+J146*0.6))</f>
        <v/>
      </c>
      <c r="L146" s="4">
        <f>MIN(100,MAX(0,(1-(F146-1)/(H146*1.5))*100*INDEX('League Config'!$J$4:$J$9,MATCH(A146,'League Config'!$E$4:$E$9,0))))</f>
        <v/>
      </c>
      <c r="M146">
        <f>IF(A146="K",'League Config'!$B$14,IF(A146="DST",'League Config'!$B$15,IF(A146="QB",'League Config'!$B$16,0)))</f>
        <v/>
      </c>
      <c r="N146" s="4">
        <f>MIN(100,MAX(0,0.55*E146+0.3*K146+0.15*L146-M146))</f>
        <v/>
      </c>
      <c r="O146" s="9">
        <f>IF(OR(A146="K",A146="DST"),"",N146)</f>
        <v/>
      </c>
      <c r="P146" s="6">
        <f>IF(O146="","",COUNTIF($O$3:$O$232,"&gt;"&amp;O146)+COUNTIF($O$3:O146,O146))</f>
        <v/>
      </c>
      <c r="Q146">
        <f>IF(A146="DST",IF(F146&lt;=GateSize,DstStart-1+F146,NSkill+2*GateSize+F146-GateSize),IF(A146="K",IF(F146&lt;=GateSize,KStart-1+F146,NSkill+GateSize+NDst+F146-GateSize),IF(P146&lt;=DstStart-1,P146,P146+2*GateSize)))</f>
        <v/>
      </c>
      <c r="R146" s="4">
        <f>'LIVE SOURCE'!E146</f>
        <v/>
      </c>
      <c r="S146" s="4">
        <f>R146-Q146</f>
        <v/>
      </c>
      <c r="T146">
        <f>'LIVE SOURCE'!F146</f>
        <v/>
      </c>
      <c r="U146" s="4">
        <f>MAX(40,E146-IF(T146="A",6,IF(T146="B",9,12)))</f>
        <v/>
      </c>
      <c r="V146" s="4">
        <f>E146</f>
        <v/>
      </c>
      <c r="W146" s="4">
        <f>MIN(100,E146+IF(T146="A",6,IF(T146="B",9,12)))</f>
        <v/>
      </c>
      <c r="X146">
        <f>'LIVE SOURCE'!G146</f>
        <v/>
      </c>
      <c r="Y146">
        <f>IF(INDEX('Draft Board'!$J$3:$J$232,Q146)="","Available",INDEX('Draft Board'!$J$3:$J$232,Q146))</f>
        <v/>
      </c>
      <c r="Z146">
        <f>IF(Y146&lt;&gt;"Available","",1+COUNTIFS($Y$3:$Y$232,"Available",$Q$3:$Q$232,"&lt;"&amp;Q146))</f>
        <v/>
      </c>
    </row>
    <row r="147">
      <c r="A147">
        <f>'LIVE SOURCE'!A147</f>
        <v/>
      </c>
      <c r="B147">
        <f>'LIVE SOURCE'!B147</f>
        <v/>
      </c>
      <c r="C147" s="4">
        <f>'LIVE SOURCE'!D147</f>
        <v/>
      </c>
      <c r="D147" s="4">
        <f>'Manual Adjustments'!G147</f>
        <v/>
      </c>
      <c r="E147" s="4">
        <f>MAX(40,MIN(100,C147+D147))</f>
        <v/>
      </c>
      <c r="F147">
        <f>COUNTIFS($A$3:$A$232,A147,$E$3:$E$232,"&gt;"&amp;E147)+COUNTIFS($A$3:A147,A147,$E$3:E147,E147)</f>
        <v/>
      </c>
      <c r="G147" s="4">
        <f>ROUND(INDEX('League Config'!$K$4:$K$9,MATCH(A147,'League Config'!$E$4:$E$9,0))*E147+INDEX('League Config'!$L$4:$L$9,MATCH(A147,'League Config'!$E$4:$E$9,0)),1)</f>
        <v/>
      </c>
      <c r="H147">
        <f>INDEX('League Config'!$H$4:$H$9,MATCH(A147,'League Config'!$E$4:$E$9,0))</f>
        <v/>
      </c>
      <c r="I147" s="4">
        <f>INDEX('League Config'!$I$4:$I$9,MATCH(A147,'League Config'!$E$4:$E$9,0))</f>
        <v/>
      </c>
      <c r="J147" s="4">
        <f>ROUND(G147-I147,1)</f>
        <v/>
      </c>
      <c r="K147" s="4">
        <f>MAX(0,MIN(100,50+J147*0.6))</f>
        <v/>
      </c>
      <c r="L147" s="4">
        <f>MIN(100,MAX(0,(1-(F147-1)/(H147*1.5))*100*INDEX('League Config'!$J$4:$J$9,MATCH(A147,'League Config'!$E$4:$E$9,0))))</f>
        <v/>
      </c>
      <c r="M147">
        <f>IF(A147="K",'League Config'!$B$14,IF(A147="DST",'League Config'!$B$15,IF(A147="QB",'League Config'!$B$16,0)))</f>
        <v/>
      </c>
      <c r="N147" s="4">
        <f>MIN(100,MAX(0,0.55*E147+0.3*K147+0.15*L147-M147))</f>
        <v/>
      </c>
      <c r="O147" s="9">
        <f>IF(OR(A147="K",A147="DST"),"",N147)</f>
        <v/>
      </c>
      <c r="P147" s="6">
        <f>IF(O147="","",COUNTIF($O$3:$O$232,"&gt;"&amp;O147)+COUNTIF($O$3:O147,O147))</f>
        <v/>
      </c>
      <c r="Q147">
        <f>IF(A147="DST",IF(F147&lt;=GateSize,DstStart-1+F147,NSkill+2*GateSize+F147-GateSize),IF(A147="K",IF(F147&lt;=GateSize,KStart-1+F147,NSkill+GateSize+NDst+F147-GateSize),IF(P147&lt;=DstStart-1,P147,P147+2*GateSize)))</f>
        <v/>
      </c>
      <c r="R147" s="4">
        <f>'LIVE SOURCE'!E147</f>
        <v/>
      </c>
      <c r="S147" s="4">
        <f>R147-Q147</f>
        <v/>
      </c>
      <c r="T147">
        <f>'LIVE SOURCE'!F147</f>
        <v/>
      </c>
      <c r="U147" s="4">
        <f>MAX(40,E147-IF(T147="A",6,IF(T147="B",9,12)))</f>
        <v/>
      </c>
      <c r="V147" s="4">
        <f>E147</f>
        <v/>
      </c>
      <c r="W147" s="4">
        <f>MIN(100,E147+IF(T147="A",6,IF(T147="B",9,12)))</f>
        <v/>
      </c>
      <c r="X147">
        <f>'LIVE SOURCE'!G147</f>
        <v/>
      </c>
      <c r="Y147">
        <f>IF(INDEX('Draft Board'!$J$3:$J$232,Q147)="","Available",INDEX('Draft Board'!$J$3:$J$232,Q147))</f>
        <v/>
      </c>
      <c r="Z147">
        <f>IF(Y147&lt;&gt;"Available","",1+COUNTIFS($Y$3:$Y$232,"Available",$Q$3:$Q$232,"&lt;"&amp;Q147))</f>
        <v/>
      </c>
    </row>
    <row r="148">
      <c r="A148">
        <f>'LIVE SOURCE'!A148</f>
        <v/>
      </c>
      <c r="B148">
        <f>'LIVE SOURCE'!B148</f>
        <v/>
      </c>
      <c r="C148" s="4">
        <f>'LIVE SOURCE'!D148</f>
        <v/>
      </c>
      <c r="D148" s="4">
        <f>'Manual Adjustments'!G148</f>
        <v/>
      </c>
      <c r="E148" s="4">
        <f>MAX(40,MIN(100,C148+D148))</f>
        <v/>
      </c>
      <c r="F148">
        <f>COUNTIFS($A$3:$A$232,A148,$E$3:$E$232,"&gt;"&amp;E148)+COUNTIFS($A$3:A148,A148,$E$3:E148,E148)</f>
        <v/>
      </c>
      <c r="G148" s="4">
        <f>ROUND(INDEX('League Config'!$K$4:$K$9,MATCH(A148,'League Config'!$E$4:$E$9,0))*E148+INDEX('League Config'!$L$4:$L$9,MATCH(A148,'League Config'!$E$4:$E$9,0)),1)</f>
        <v/>
      </c>
      <c r="H148">
        <f>INDEX('League Config'!$H$4:$H$9,MATCH(A148,'League Config'!$E$4:$E$9,0))</f>
        <v/>
      </c>
      <c r="I148" s="4">
        <f>INDEX('League Config'!$I$4:$I$9,MATCH(A148,'League Config'!$E$4:$E$9,0))</f>
        <v/>
      </c>
      <c r="J148" s="4">
        <f>ROUND(G148-I148,1)</f>
        <v/>
      </c>
      <c r="K148" s="4">
        <f>MAX(0,MIN(100,50+J148*0.6))</f>
        <v/>
      </c>
      <c r="L148" s="4">
        <f>MIN(100,MAX(0,(1-(F148-1)/(H148*1.5))*100*INDEX('League Config'!$J$4:$J$9,MATCH(A148,'League Config'!$E$4:$E$9,0))))</f>
        <v/>
      </c>
      <c r="M148">
        <f>IF(A148="K",'League Config'!$B$14,IF(A148="DST",'League Config'!$B$15,IF(A148="QB",'League Config'!$B$16,0)))</f>
        <v/>
      </c>
      <c r="N148" s="4">
        <f>MIN(100,MAX(0,0.55*E148+0.3*K148+0.15*L148-M148))</f>
        <v/>
      </c>
      <c r="O148" s="9">
        <f>IF(OR(A148="K",A148="DST"),"",N148)</f>
        <v/>
      </c>
      <c r="P148" s="6">
        <f>IF(O148="","",COUNTIF($O$3:$O$232,"&gt;"&amp;O148)+COUNTIF($O$3:O148,O148))</f>
        <v/>
      </c>
      <c r="Q148">
        <f>IF(A148="DST",IF(F148&lt;=GateSize,DstStart-1+F148,NSkill+2*GateSize+F148-GateSize),IF(A148="K",IF(F148&lt;=GateSize,KStart-1+F148,NSkill+GateSize+NDst+F148-GateSize),IF(P148&lt;=DstStart-1,P148,P148+2*GateSize)))</f>
        <v/>
      </c>
      <c r="R148" s="4">
        <f>'LIVE SOURCE'!E148</f>
        <v/>
      </c>
      <c r="S148" s="4">
        <f>R148-Q148</f>
        <v/>
      </c>
      <c r="T148">
        <f>'LIVE SOURCE'!F148</f>
        <v/>
      </c>
      <c r="U148" s="4">
        <f>MAX(40,E148-IF(T148="A",6,IF(T148="B",9,12)))</f>
        <v/>
      </c>
      <c r="V148" s="4">
        <f>E148</f>
        <v/>
      </c>
      <c r="W148" s="4">
        <f>MIN(100,E148+IF(T148="A",6,IF(T148="B",9,12)))</f>
        <v/>
      </c>
      <c r="X148">
        <f>'LIVE SOURCE'!G148</f>
        <v/>
      </c>
      <c r="Y148">
        <f>IF(INDEX('Draft Board'!$J$3:$J$232,Q148)="","Available",INDEX('Draft Board'!$J$3:$J$232,Q148))</f>
        <v/>
      </c>
      <c r="Z148">
        <f>IF(Y148&lt;&gt;"Available","",1+COUNTIFS($Y$3:$Y$232,"Available",$Q$3:$Q$232,"&lt;"&amp;Q148))</f>
        <v/>
      </c>
    </row>
    <row r="149">
      <c r="A149">
        <f>'LIVE SOURCE'!A149</f>
        <v/>
      </c>
      <c r="B149">
        <f>'LIVE SOURCE'!B149</f>
        <v/>
      </c>
      <c r="C149" s="4">
        <f>'LIVE SOURCE'!D149</f>
        <v/>
      </c>
      <c r="D149" s="4">
        <f>'Manual Adjustments'!G149</f>
        <v/>
      </c>
      <c r="E149" s="4">
        <f>MAX(40,MIN(100,C149+D149))</f>
        <v/>
      </c>
      <c r="F149">
        <f>COUNTIFS($A$3:$A$232,A149,$E$3:$E$232,"&gt;"&amp;E149)+COUNTIFS($A$3:A149,A149,$E$3:E149,E149)</f>
        <v/>
      </c>
      <c r="G149" s="4">
        <f>ROUND(INDEX('League Config'!$K$4:$K$9,MATCH(A149,'League Config'!$E$4:$E$9,0))*E149+INDEX('League Config'!$L$4:$L$9,MATCH(A149,'League Config'!$E$4:$E$9,0)),1)</f>
        <v/>
      </c>
      <c r="H149">
        <f>INDEX('League Config'!$H$4:$H$9,MATCH(A149,'League Config'!$E$4:$E$9,0))</f>
        <v/>
      </c>
      <c r="I149" s="4">
        <f>INDEX('League Config'!$I$4:$I$9,MATCH(A149,'League Config'!$E$4:$E$9,0))</f>
        <v/>
      </c>
      <c r="J149" s="4">
        <f>ROUND(G149-I149,1)</f>
        <v/>
      </c>
      <c r="K149" s="4">
        <f>MAX(0,MIN(100,50+J149*0.6))</f>
        <v/>
      </c>
      <c r="L149" s="4">
        <f>MIN(100,MAX(0,(1-(F149-1)/(H149*1.5))*100*INDEX('League Config'!$J$4:$J$9,MATCH(A149,'League Config'!$E$4:$E$9,0))))</f>
        <v/>
      </c>
      <c r="M149">
        <f>IF(A149="K",'League Config'!$B$14,IF(A149="DST",'League Config'!$B$15,IF(A149="QB",'League Config'!$B$16,0)))</f>
        <v/>
      </c>
      <c r="N149" s="4">
        <f>MIN(100,MAX(0,0.55*E149+0.3*K149+0.15*L149-M149))</f>
        <v/>
      </c>
      <c r="O149" s="9">
        <f>IF(OR(A149="K",A149="DST"),"",N149)</f>
        <v/>
      </c>
      <c r="P149" s="6">
        <f>IF(O149="","",COUNTIF($O$3:$O$232,"&gt;"&amp;O149)+COUNTIF($O$3:O149,O149))</f>
        <v/>
      </c>
      <c r="Q149">
        <f>IF(A149="DST",IF(F149&lt;=GateSize,DstStart-1+F149,NSkill+2*GateSize+F149-GateSize),IF(A149="K",IF(F149&lt;=GateSize,KStart-1+F149,NSkill+GateSize+NDst+F149-GateSize),IF(P149&lt;=DstStart-1,P149,P149+2*GateSize)))</f>
        <v/>
      </c>
      <c r="R149" s="4">
        <f>'LIVE SOURCE'!E149</f>
        <v/>
      </c>
      <c r="S149" s="4">
        <f>R149-Q149</f>
        <v/>
      </c>
      <c r="T149">
        <f>'LIVE SOURCE'!F149</f>
        <v/>
      </c>
      <c r="U149" s="4">
        <f>MAX(40,E149-IF(T149="A",6,IF(T149="B",9,12)))</f>
        <v/>
      </c>
      <c r="V149" s="4">
        <f>E149</f>
        <v/>
      </c>
      <c r="W149" s="4">
        <f>MIN(100,E149+IF(T149="A",6,IF(T149="B",9,12)))</f>
        <v/>
      </c>
      <c r="X149">
        <f>'LIVE SOURCE'!G149</f>
        <v/>
      </c>
      <c r="Y149">
        <f>IF(INDEX('Draft Board'!$J$3:$J$232,Q149)="","Available",INDEX('Draft Board'!$J$3:$J$232,Q149))</f>
        <v/>
      </c>
      <c r="Z149">
        <f>IF(Y149&lt;&gt;"Available","",1+COUNTIFS($Y$3:$Y$232,"Available",$Q$3:$Q$232,"&lt;"&amp;Q149))</f>
        <v/>
      </c>
    </row>
    <row r="150">
      <c r="A150">
        <f>'LIVE SOURCE'!A150</f>
        <v/>
      </c>
      <c r="B150">
        <f>'LIVE SOURCE'!B150</f>
        <v/>
      </c>
      <c r="C150" s="4">
        <f>'LIVE SOURCE'!D150</f>
        <v/>
      </c>
      <c r="D150" s="4">
        <f>'Manual Adjustments'!G150</f>
        <v/>
      </c>
      <c r="E150" s="4">
        <f>MAX(40,MIN(100,C150+D150))</f>
        <v/>
      </c>
      <c r="F150">
        <f>COUNTIFS($A$3:$A$232,A150,$E$3:$E$232,"&gt;"&amp;E150)+COUNTIFS($A$3:A150,A150,$E$3:E150,E150)</f>
        <v/>
      </c>
      <c r="G150" s="4">
        <f>ROUND(INDEX('League Config'!$K$4:$K$9,MATCH(A150,'League Config'!$E$4:$E$9,0))*E150+INDEX('League Config'!$L$4:$L$9,MATCH(A150,'League Config'!$E$4:$E$9,0)),1)</f>
        <v/>
      </c>
      <c r="H150">
        <f>INDEX('League Config'!$H$4:$H$9,MATCH(A150,'League Config'!$E$4:$E$9,0))</f>
        <v/>
      </c>
      <c r="I150" s="4">
        <f>INDEX('League Config'!$I$4:$I$9,MATCH(A150,'League Config'!$E$4:$E$9,0))</f>
        <v/>
      </c>
      <c r="J150" s="4">
        <f>ROUND(G150-I150,1)</f>
        <v/>
      </c>
      <c r="K150" s="4">
        <f>MAX(0,MIN(100,50+J150*0.6))</f>
        <v/>
      </c>
      <c r="L150" s="4">
        <f>MIN(100,MAX(0,(1-(F150-1)/(H150*1.5))*100*INDEX('League Config'!$J$4:$J$9,MATCH(A150,'League Config'!$E$4:$E$9,0))))</f>
        <v/>
      </c>
      <c r="M150">
        <f>IF(A150="K",'League Config'!$B$14,IF(A150="DST",'League Config'!$B$15,IF(A150="QB",'League Config'!$B$16,0)))</f>
        <v/>
      </c>
      <c r="N150" s="4">
        <f>MIN(100,MAX(0,0.55*E150+0.3*K150+0.15*L150-M150))</f>
        <v/>
      </c>
      <c r="O150" s="9">
        <f>IF(OR(A150="K",A150="DST"),"",N150)</f>
        <v/>
      </c>
      <c r="P150" s="6">
        <f>IF(O150="","",COUNTIF($O$3:$O$232,"&gt;"&amp;O150)+COUNTIF($O$3:O150,O150))</f>
        <v/>
      </c>
      <c r="Q150">
        <f>IF(A150="DST",IF(F150&lt;=GateSize,DstStart-1+F150,NSkill+2*GateSize+F150-GateSize),IF(A150="K",IF(F150&lt;=GateSize,KStart-1+F150,NSkill+GateSize+NDst+F150-GateSize),IF(P150&lt;=DstStart-1,P150,P150+2*GateSize)))</f>
        <v/>
      </c>
      <c r="R150" s="4">
        <f>'LIVE SOURCE'!E150</f>
        <v/>
      </c>
      <c r="S150" s="4">
        <f>R150-Q150</f>
        <v/>
      </c>
      <c r="T150">
        <f>'LIVE SOURCE'!F150</f>
        <v/>
      </c>
      <c r="U150" s="4">
        <f>MAX(40,E150-IF(T150="A",6,IF(T150="B",9,12)))</f>
        <v/>
      </c>
      <c r="V150" s="4">
        <f>E150</f>
        <v/>
      </c>
      <c r="W150" s="4">
        <f>MIN(100,E150+IF(T150="A",6,IF(T150="B",9,12)))</f>
        <v/>
      </c>
      <c r="X150">
        <f>'LIVE SOURCE'!G150</f>
        <v/>
      </c>
      <c r="Y150">
        <f>IF(INDEX('Draft Board'!$J$3:$J$232,Q150)="","Available",INDEX('Draft Board'!$J$3:$J$232,Q150))</f>
        <v/>
      </c>
      <c r="Z150">
        <f>IF(Y150&lt;&gt;"Available","",1+COUNTIFS($Y$3:$Y$232,"Available",$Q$3:$Q$232,"&lt;"&amp;Q150))</f>
        <v/>
      </c>
    </row>
    <row r="151">
      <c r="A151">
        <f>'LIVE SOURCE'!A151</f>
        <v/>
      </c>
      <c r="B151">
        <f>'LIVE SOURCE'!B151</f>
        <v/>
      </c>
      <c r="C151" s="4">
        <f>'LIVE SOURCE'!D151</f>
        <v/>
      </c>
      <c r="D151" s="4">
        <f>'Manual Adjustments'!G151</f>
        <v/>
      </c>
      <c r="E151" s="4">
        <f>MAX(40,MIN(100,C151+D151))</f>
        <v/>
      </c>
      <c r="F151">
        <f>COUNTIFS($A$3:$A$232,A151,$E$3:$E$232,"&gt;"&amp;E151)+COUNTIFS($A$3:A151,A151,$E$3:E151,E151)</f>
        <v/>
      </c>
      <c r="G151" s="4">
        <f>ROUND(INDEX('League Config'!$K$4:$K$9,MATCH(A151,'League Config'!$E$4:$E$9,0))*E151+INDEX('League Config'!$L$4:$L$9,MATCH(A151,'League Config'!$E$4:$E$9,0)),1)</f>
        <v/>
      </c>
      <c r="H151">
        <f>INDEX('League Config'!$H$4:$H$9,MATCH(A151,'League Config'!$E$4:$E$9,0))</f>
        <v/>
      </c>
      <c r="I151" s="4">
        <f>INDEX('League Config'!$I$4:$I$9,MATCH(A151,'League Config'!$E$4:$E$9,0))</f>
        <v/>
      </c>
      <c r="J151" s="4">
        <f>ROUND(G151-I151,1)</f>
        <v/>
      </c>
      <c r="K151" s="4">
        <f>MAX(0,MIN(100,50+J151*0.6))</f>
        <v/>
      </c>
      <c r="L151" s="4">
        <f>MIN(100,MAX(0,(1-(F151-1)/(H151*1.5))*100*INDEX('League Config'!$J$4:$J$9,MATCH(A151,'League Config'!$E$4:$E$9,0))))</f>
        <v/>
      </c>
      <c r="M151">
        <f>IF(A151="K",'League Config'!$B$14,IF(A151="DST",'League Config'!$B$15,IF(A151="QB",'League Config'!$B$16,0)))</f>
        <v/>
      </c>
      <c r="N151" s="4">
        <f>MIN(100,MAX(0,0.55*E151+0.3*K151+0.15*L151-M151))</f>
        <v/>
      </c>
      <c r="O151" s="9">
        <f>IF(OR(A151="K",A151="DST"),"",N151)</f>
        <v/>
      </c>
      <c r="P151" s="6">
        <f>IF(O151="","",COUNTIF($O$3:$O$232,"&gt;"&amp;O151)+COUNTIF($O$3:O151,O151))</f>
        <v/>
      </c>
      <c r="Q151">
        <f>IF(A151="DST",IF(F151&lt;=GateSize,DstStart-1+F151,NSkill+2*GateSize+F151-GateSize),IF(A151="K",IF(F151&lt;=GateSize,KStart-1+F151,NSkill+GateSize+NDst+F151-GateSize),IF(P151&lt;=DstStart-1,P151,P151+2*GateSize)))</f>
        <v/>
      </c>
      <c r="R151" s="4">
        <f>'LIVE SOURCE'!E151</f>
        <v/>
      </c>
      <c r="S151" s="4">
        <f>R151-Q151</f>
        <v/>
      </c>
      <c r="T151">
        <f>'LIVE SOURCE'!F151</f>
        <v/>
      </c>
      <c r="U151" s="4">
        <f>MAX(40,E151-IF(T151="A",6,IF(T151="B",9,12)))</f>
        <v/>
      </c>
      <c r="V151" s="4">
        <f>E151</f>
        <v/>
      </c>
      <c r="W151" s="4">
        <f>MIN(100,E151+IF(T151="A",6,IF(T151="B",9,12)))</f>
        <v/>
      </c>
      <c r="X151">
        <f>'LIVE SOURCE'!G151</f>
        <v/>
      </c>
      <c r="Y151">
        <f>IF(INDEX('Draft Board'!$J$3:$J$232,Q151)="","Available",INDEX('Draft Board'!$J$3:$J$232,Q151))</f>
        <v/>
      </c>
      <c r="Z151">
        <f>IF(Y151&lt;&gt;"Available","",1+COUNTIFS($Y$3:$Y$232,"Available",$Q$3:$Q$232,"&lt;"&amp;Q151))</f>
        <v/>
      </c>
    </row>
    <row r="152">
      <c r="A152">
        <f>'LIVE SOURCE'!A152</f>
        <v/>
      </c>
      <c r="B152">
        <f>'LIVE SOURCE'!B152</f>
        <v/>
      </c>
      <c r="C152" s="4">
        <f>'LIVE SOURCE'!D152</f>
        <v/>
      </c>
      <c r="D152" s="4">
        <f>'Manual Adjustments'!G152</f>
        <v/>
      </c>
      <c r="E152" s="4">
        <f>MAX(40,MIN(100,C152+D152))</f>
        <v/>
      </c>
      <c r="F152">
        <f>COUNTIFS($A$3:$A$232,A152,$E$3:$E$232,"&gt;"&amp;E152)+COUNTIFS($A$3:A152,A152,$E$3:E152,E152)</f>
        <v/>
      </c>
      <c r="G152" s="4">
        <f>ROUND(INDEX('League Config'!$K$4:$K$9,MATCH(A152,'League Config'!$E$4:$E$9,0))*E152+INDEX('League Config'!$L$4:$L$9,MATCH(A152,'League Config'!$E$4:$E$9,0)),1)</f>
        <v/>
      </c>
      <c r="H152">
        <f>INDEX('League Config'!$H$4:$H$9,MATCH(A152,'League Config'!$E$4:$E$9,0))</f>
        <v/>
      </c>
      <c r="I152" s="4">
        <f>INDEX('League Config'!$I$4:$I$9,MATCH(A152,'League Config'!$E$4:$E$9,0))</f>
        <v/>
      </c>
      <c r="J152" s="4">
        <f>ROUND(G152-I152,1)</f>
        <v/>
      </c>
      <c r="K152" s="4">
        <f>MAX(0,MIN(100,50+J152*0.6))</f>
        <v/>
      </c>
      <c r="L152" s="4">
        <f>MIN(100,MAX(0,(1-(F152-1)/(H152*1.5))*100*INDEX('League Config'!$J$4:$J$9,MATCH(A152,'League Config'!$E$4:$E$9,0))))</f>
        <v/>
      </c>
      <c r="M152">
        <f>IF(A152="K",'League Config'!$B$14,IF(A152="DST",'League Config'!$B$15,IF(A152="QB",'League Config'!$B$16,0)))</f>
        <v/>
      </c>
      <c r="N152" s="4">
        <f>MIN(100,MAX(0,0.55*E152+0.3*K152+0.15*L152-M152))</f>
        <v/>
      </c>
      <c r="O152" s="9">
        <f>IF(OR(A152="K",A152="DST"),"",N152)</f>
        <v/>
      </c>
      <c r="P152" s="6">
        <f>IF(O152="","",COUNTIF($O$3:$O$232,"&gt;"&amp;O152)+COUNTIF($O$3:O152,O152))</f>
        <v/>
      </c>
      <c r="Q152">
        <f>IF(A152="DST",IF(F152&lt;=GateSize,DstStart-1+F152,NSkill+2*GateSize+F152-GateSize),IF(A152="K",IF(F152&lt;=GateSize,KStart-1+F152,NSkill+GateSize+NDst+F152-GateSize),IF(P152&lt;=DstStart-1,P152,P152+2*GateSize)))</f>
        <v/>
      </c>
      <c r="R152" s="4">
        <f>'LIVE SOURCE'!E152</f>
        <v/>
      </c>
      <c r="S152" s="4">
        <f>R152-Q152</f>
        <v/>
      </c>
      <c r="T152">
        <f>'LIVE SOURCE'!F152</f>
        <v/>
      </c>
      <c r="U152" s="4">
        <f>MAX(40,E152-IF(T152="A",6,IF(T152="B",9,12)))</f>
        <v/>
      </c>
      <c r="V152" s="4">
        <f>E152</f>
        <v/>
      </c>
      <c r="W152" s="4">
        <f>MIN(100,E152+IF(T152="A",6,IF(T152="B",9,12)))</f>
        <v/>
      </c>
      <c r="X152">
        <f>'LIVE SOURCE'!G152</f>
        <v/>
      </c>
      <c r="Y152">
        <f>IF(INDEX('Draft Board'!$J$3:$J$232,Q152)="","Available",INDEX('Draft Board'!$J$3:$J$232,Q152))</f>
        <v/>
      </c>
      <c r="Z152">
        <f>IF(Y152&lt;&gt;"Available","",1+COUNTIFS($Y$3:$Y$232,"Available",$Q$3:$Q$232,"&lt;"&amp;Q152))</f>
        <v/>
      </c>
    </row>
    <row r="153">
      <c r="A153">
        <f>'LIVE SOURCE'!A153</f>
        <v/>
      </c>
      <c r="B153">
        <f>'LIVE SOURCE'!B153</f>
        <v/>
      </c>
      <c r="C153" s="4">
        <f>'LIVE SOURCE'!D153</f>
        <v/>
      </c>
      <c r="D153" s="4">
        <f>'Manual Adjustments'!G153</f>
        <v/>
      </c>
      <c r="E153" s="4">
        <f>MAX(40,MIN(100,C153+D153))</f>
        <v/>
      </c>
      <c r="F153">
        <f>COUNTIFS($A$3:$A$232,A153,$E$3:$E$232,"&gt;"&amp;E153)+COUNTIFS($A$3:A153,A153,$E$3:E153,E153)</f>
        <v/>
      </c>
      <c r="G153" s="4">
        <f>ROUND(INDEX('League Config'!$K$4:$K$9,MATCH(A153,'League Config'!$E$4:$E$9,0))*E153+INDEX('League Config'!$L$4:$L$9,MATCH(A153,'League Config'!$E$4:$E$9,0)),1)</f>
        <v/>
      </c>
      <c r="H153">
        <f>INDEX('League Config'!$H$4:$H$9,MATCH(A153,'League Config'!$E$4:$E$9,0))</f>
        <v/>
      </c>
      <c r="I153" s="4">
        <f>INDEX('League Config'!$I$4:$I$9,MATCH(A153,'League Config'!$E$4:$E$9,0))</f>
        <v/>
      </c>
      <c r="J153" s="4">
        <f>ROUND(G153-I153,1)</f>
        <v/>
      </c>
      <c r="K153" s="4">
        <f>MAX(0,MIN(100,50+J153*0.6))</f>
        <v/>
      </c>
      <c r="L153" s="4">
        <f>MIN(100,MAX(0,(1-(F153-1)/(H153*1.5))*100*INDEX('League Config'!$J$4:$J$9,MATCH(A153,'League Config'!$E$4:$E$9,0))))</f>
        <v/>
      </c>
      <c r="M153">
        <f>IF(A153="K",'League Config'!$B$14,IF(A153="DST",'League Config'!$B$15,IF(A153="QB",'League Config'!$B$16,0)))</f>
        <v/>
      </c>
      <c r="N153" s="4">
        <f>MIN(100,MAX(0,0.55*E153+0.3*K153+0.15*L153-M153))</f>
        <v/>
      </c>
      <c r="O153" s="9">
        <f>IF(OR(A153="K",A153="DST"),"",N153)</f>
        <v/>
      </c>
      <c r="P153" s="6">
        <f>IF(O153="","",COUNTIF($O$3:$O$232,"&gt;"&amp;O153)+COUNTIF($O$3:O153,O153))</f>
        <v/>
      </c>
      <c r="Q153">
        <f>IF(A153="DST",IF(F153&lt;=GateSize,DstStart-1+F153,NSkill+2*GateSize+F153-GateSize),IF(A153="K",IF(F153&lt;=GateSize,KStart-1+F153,NSkill+GateSize+NDst+F153-GateSize),IF(P153&lt;=DstStart-1,P153,P153+2*GateSize)))</f>
        <v/>
      </c>
      <c r="R153" s="4">
        <f>'LIVE SOURCE'!E153</f>
        <v/>
      </c>
      <c r="S153" s="4">
        <f>R153-Q153</f>
        <v/>
      </c>
      <c r="T153">
        <f>'LIVE SOURCE'!F153</f>
        <v/>
      </c>
      <c r="U153" s="4">
        <f>MAX(40,E153-IF(T153="A",6,IF(T153="B",9,12)))</f>
        <v/>
      </c>
      <c r="V153" s="4">
        <f>E153</f>
        <v/>
      </c>
      <c r="W153" s="4">
        <f>MIN(100,E153+IF(T153="A",6,IF(T153="B",9,12)))</f>
        <v/>
      </c>
      <c r="X153">
        <f>'LIVE SOURCE'!G153</f>
        <v/>
      </c>
      <c r="Y153">
        <f>IF(INDEX('Draft Board'!$J$3:$J$232,Q153)="","Available",INDEX('Draft Board'!$J$3:$J$232,Q153))</f>
        <v/>
      </c>
      <c r="Z153">
        <f>IF(Y153&lt;&gt;"Available","",1+COUNTIFS($Y$3:$Y$232,"Available",$Q$3:$Q$232,"&lt;"&amp;Q153))</f>
        <v/>
      </c>
    </row>
    <row r="154">
      <c r="A154">
        <f>'LIVE SOURCE'!A154</f>
        <v/>
      </c>
      <c r="B154">
        <f>'LIVE SOURCE'!B154</f>
        <v/>
      </c>
      <c r="C154" s="4">
        <f>'LIVE SOURCE'!D154</f>
        <v/>
      </c>
      <c r="D154" s="4">
        <f>'Manual Adjustments'!G154</f>
        <v/>
      </c>
      <c r="E154" s="4">
        <f>MAX(40,MIN(100,C154+D154))</f>
        <v/>
      </c>
      <c r="F154">
        <f>COUNTIFS($A$3:$A$232,A154,$E$3:$E$232,"&gt;"&amp;E154)+COUNTIFS($A$3:A154,A154,$E$3:E154,E154)</f>
        <v/>
      </c>
      <c r="G154" s="4">
        <f>ROUND(INDEX('League Config'!$K$4:$K$9,MATCH(A154,'League Config'!$E$4:$E$9,0))*E154+INDEX('League Config'!$L$4:$L$9,MATCH(A154,'League Config'!$E$4:$E$9,0)),1)</f>
        <v/>
      </c>
      <c r="H154">
        <f>INDEX('League Config'!$H$4:$H$9,MATCH(A154,'League Config'!$E$4:$E$9,0))</f>
        <v/>
      </c>
      <c r="I154" s="4">
        <f>INDEX('League Config'!$I$4:$I$9,MATCH(A154,'League Config'!$E$4:$E$9,0))</f>
        <v/>
      </c>
      <c r="J154" s="4">
        <f>ROUND(G154-I154,1)</f>
        <v/>
      </c>
      <c r="K154" s="4">
        <f>MAX(0,MIN(100,50+J154*0.6))</f>
        <v/>
      </c>
      <c r="L154" s="4">
        <f>MIN(100,MAX(0,(1-(F154-1)/(H154*1.5))*100*INDEX('League Config'!$J$4:$J$9,MATCH(A154,'League Config'!$E$4:$E$9,0))))</f>
        <v/>
      </c>
      <c r="M154">
        <f>IF(A154="K",'League Config'!$B$14,IF(A154="DST",'League Config'!$B$15,IF(A154="QB",'League Config'!$B$16,0)))</f>
        <v/>
      </c>
      <c r="N154" s="4">
        <f>MIN(100,MAX(0,0.55*E154+0.3*K154+0.15*L154-M154))</f>
        <v/>
      </c>
      <c r="O154" s="9">
        <f>IF(OR(A154="K",A154="DST"),"",N154)</f>
        <v/>
      </c>
      <c r="P154" s="6">
        <f>IF(O154="","",COUNTIF($O$3:$O$232,"&gt;"&amp;O154)+COUNTIF($O$3:O154,O154))</f>
        <v/>
      </c>
      <c r="Q154">
        <f>IF(A154="DST",IF(F154&lt;=GateSize,DstStart-1+F154,NSkill+2*GateSize+F154-GateSize),IF(A154="K",IF(F154&lt;=GateSize,KStart-1+F154,NSkill+GateSize+NDst+F154-GateSize),IF(P154&lt;=DstStart-1,P154,P154+2*GateSize)))</f>
        <v/>
      </c>
      <c r="R154" s="4">
        <f>'LIVE SOURCE'!E154</f>
        <v/>
      </c>
      <c r="S154" s="4">
        <f>R154-Q154</f>
        <v/>
      </c>
      <c r="T154">
        <f>'LIVE SOURCE'!F154</f>
        <v/>
      </c>
      <c r="U154" s="4">
        <f>MAX(40,E154-IF(T154="A",6,IF(T154="B",9,12)))</f>
        <v/>
      </c>
      <c r="V154" s="4">
        <f>E154</f>
        <v/>
      </c>
      <c r="W154" s="4">
        <f>MIN(100,E154+IF(T154="A",6,IF(T154="B",9,12)))</f>
        <v/>
      </c>
      <c r="X154">
        <f>'LIVE SOURCE'!G154</f>
        <v/>
      </c>
      <c r="Y154">
        <f>IF(INDEX('Draft Board'!$J$3:$J$232,Q154)="","Available",INDEX('Draft Board'!$J$3:$J$232,Q154))</f>
        <v/>
      </c>
      <c r="Z154">
        <f>IF(Y154&lt;&gt;"Available","",1+COUNTIFS($Y$3:$Y$232,"Available",$Q$3:$Q$232,"&lt;"&amp;Q154))</f>
        <v/>
      </c>
    </row>
    <row r="155">
      <c r="A155">
        <f>'LIVE SOURCE'!A155</f>
        <v/>
      </c>
      <c r="B155">
        <f>'LIVE SOURCE'!B155</f>
        <v/>
      </c>
      <c r="C155" s="4">
        <f>'LIVE SOURCE'!D155</f>
        <v/>
      </c>
      <c r="D155" s="4">
        <f>'Manual Adjustments'!G155</f>
        <v/>
      </c>
      <c r="E155" s="4">
        <f>MAX(40,MIN(100,C155+D155))</f>
        <v/>
      </c>
      <c r="F155">
        <f>COUNTIFS($A$3:$A$232,A155,$E$3:$E$232,"&gt;"&amp;E155)+COUNTIFS($A$3:A155,A155,$E$3:E155,E155)</f>
        <v/>
      </c>
      <c r="G155" s="4">
        <f>ROUND(INDEX('League Config'!$K$4:$K$9,MATCH(A155,'League Config'!$E$4:$E$9,0))*E155+INDEX('League Config'!$L$4:$L$9,MATCH(A155,'League Config'!$E$4:$E$9,0)),1)</f>
        <v/>
      </c>
      <c r="H155">
        <f>INDEX('League Config'!$H$4:$H$9,MATCH(A155,'League Config'!$E$4:$E$9,0))</f>
        <v/>
      </c>
      <c r="I155" s="4">
        <f>INDEX('League Config'!$I$4:$I$9,MATCH(A155,'League Config'!$E$4:$E$9,0))</f>
        <v/>
      </c>
      <c r="J155" s="4">
        <f>ROUND(G155-I155,1)</f>
        <v/>
      </c>
      <c r="K155" s="4">
        <f>MAX(0,MIN(100,50+J155*0.6))</f>
        <v/>
      </c>
      <c r="L155" s="4">
        <f>MIN(100,MAX(0,(1-(F155-1)/(H155*1.5))*100*INDEX('League Config'!$J$4:$J$9,MATCH(A155,'League Config'!$E$4:$E$9,0))))</f>
        <v/>
      </c>
      <c r="M155">
        <f>IF(A155="K",'League Config'!$B$14,IF(A155="DST",'League Config'!$B$15,IF(A155="QB",'League Config'!$B$16,0)))</f>
        <v/>
      </c>
      <c r="N155" s="4">
        <f>MIN(100,MAX(0,0.55*E155+0.3*K155+0.15*L155-M155))</f>
        <v/>
      </c>
      <c r="O155" s="9">
        <f>IF(OR(A155="K",A155="DST"),"",N155)</f>
        <v/>
      </c>
      <c r="P155" s="6">
        <f>IF(O155="","",COUNTIF($O$3:$O$232,"&gt;"&amp;O155)+COUNTIF($O$3:O155,O155))</f>
        <v/>
      </c>
      <c r="Q155">
        <f>IF(A155="DST",IF(F155&lt;=GateSize,DstStart-1+F155,NSkill+2*GateSize+F155-GateSize),IF(A155="K",IF(F155&lt;=GateSize,KStart-1+F155,NSkill+GateSize+NDst+F155-GateSize),IF(P155&lt;=DstStart-1,P155,P155+2*GateSize)))</f>
        <v/>
      </c>
      <c r="R155" s="4">
        <f>'LIVE SOURCE'!E155</f>
        <v/>
      </c>
      <c r="S155" s="4">
        <f>R155-Q155</f>
        <v/>
      </c>
      <c r="T155">
        <f>'LIVE SOURCE'!F155</f>
        <v/>
      </c>
      <c r="U155" s="4">
        <f>MAX(40,E155-IF(T155="A",6,IF(T155="B",9,12)))</f>
        <v/>
      </c>
      <c r="V155" s="4">
        <f>E155</f>
        <v/>
      </c>
      <c r="W155" s="4">
        <f>MIN(100,E155+IF(T155="A",6,IF(T155="B",9,12)))</f>
        <v/>
      </c>
      <c r="X155">
        <f>'LIVE SOURCE'!G155</f>
        <v/>
      </c>
      <c r="Y155">
        <f>IF(INDEX('Draft Board'!$J$3:$J$232,Q155)="","Available",INDEX('Draft Board'!$J$3:$J$232,Q155))</f>
        <v/>
      </c>
      <c r="Z155">
        <f>IF(Y155&lt;&gt;"Available","",1+COUNTIFS($Y$3:$Y$232,"Available",$Q$3:$Q$232,"&lt;"&amp;Q155))</f>
        <v/>
      </c>
    </row>
    <row r="156">
      <c r="A156">
        <f>'LIVE SOURCE'!A156</f>
        <v/>
      </c>
      <c r="B156">
        <f>'LIVE SOURCE'!B156</f>
        <v/>
      </c>
      <c r="C156" s="4">
        <f>'LIVE SOURCE'!D156</f>
        <v/>
      </c>
      <c r="D156" s="4">
        <f>'Manual Adjustments'!G156</f>
        <v/>
      </c>
      <c r="E156" s="4">
        <f>MAX(40,MIN(100,C156+D156))</f>
        <v/>
      </c>
      <c r="F156">
        <f>COUNTIFS($A$3:$A$232,A156,$E$3:$E$232,"&gt;"&amp;E156)+COUNTIFS($A$3:A156,A156,$E$3:E156,E156)</f>
        <v/>
      </c>
      <c r="G156" s="4">
        <f>ROUND(INDEX('League Config'!$K$4:$K$9,MATCH(A156,'League Config'!$E$4:$E$9,0))*E156+INDEX('League Config'!$L$4:$L$9,MATCH(A156,'League Config'!$E$4:$E$9,0)),1)</f>
        <v/>
      </c>
      <c r="H156">
        <f>INDEX('League Config'!$H$4:$H$9,MATCH(A156,'League Config'!$E$4:$E$9,0))</f>
        <v/>
      </c>
      <c r="I156" s="4">
        <f>INDEX('League Config'!$I$4:$I$9,MATCH(A156,'League Config'!$E$4:$E$9,0))</f>
        <v/>
      </c>
      <c r="J156" s="4">
        <f>ROUND(G156-I156,1)</f>
        <v/>
      </c>
      <c r="K156" s="4">
        <f>MAX(0,MIN(100,50+J156*0.6))</f>
        <v/>
      </c>
      <c r="L156" s="4">
        <f>MIN(100,MAX(0,(1-(F156-1)/(H156*1.5))*100*INDEX('League Config'!$J$4:$J$9,MATCH(A156,'League Config'!$E$4:$E$9,0))))</f>
        <v/>
      </c>
      <c r="M156">
        <f>IF(A156="K",'League Config'!$B$14,IF(A156="DST",'League Config'!$B$15,IF(A156="QB",'League Config'!$B$16,0)))</f>
        <v/>
      </c>
      <c r="N156" s="4">
        <f>MIN(100,MAX(0,0.55*E156+0.3*K156+0.15*L156-M156))</f>
        <v/>
      </c>
      <c r="O156" s="9">
        <f>IF(OR(A156="K",A156="DST"),"",N156)</f>
        <v/>
      </c>
      <c r="P156" s="6">
        <f>IF(O156="","",COUNTIF($O$3:$O$232,"&gt;"&amp;O156)+COUNTIF($O$3:O156,O156))</f>
        <v/>
      </c>
      <c r="Q156">
        <f>IF(A156="DST",IF(F156&lt;=GateSize,DstStart-1+F156,NSkill+2*GateSize+F156-GateSize),IF(A156="K",IF(F156&lt;=GateSize,KStart-1+F156,NSkill+GateSize+NDst+F156-GateSize),IF(P156&lt;=DstStart-1,P156,P156+2*GateSize)))</f>
        <v/>
      </c>
      <c r="R156" s="4">
        <f>'LIVE SOURCE'!E156</f>
        <v/>
      </c>
      <c r="S156" s="4">
        <f>R156-Q156</f>
        <v/>
      </c>
      <c r="T156">
        <f>'LIVE SOURCE'!F156</f>
        <v/>
      </c>
      <c r="U156" s="4">
        <f>MAX(40,E156-IF(T156="A",6,IF(T156="B",9,12)))</f>
        <v/>
      </c>
      <c r="V156" s="4">
        <f>E156</f>
        <v/>
      </c>
      <c r="W156" s="4">
        <f>MIN(100,E156+IF(T156="A",6,IF(T156="B",9,12)))</f>
        <v/>
      </c>
      <c r="X156">
        <f>'LIVE SOURCE'!G156</f>
        <v/>
      </c>
      <c r="Y156">
        <f>IF(INDEX('Draft Board'!$J$3:$J$232,Q156)="","Available",INDEX('Draft Board'!$J$3:$J$232,Q156))</f>
        <v/>
      </c>
      <c r="Z156">
        <f>IF(Y156&lt;&gt;"Available","",1+COUNTIFS($Y$3:$Y$232,"Available",$Q$3:$Q$232,"&lt;"&amp;Q156))</f>
        <v/>
      </c>
    </row>
    <row r="157">
      <c r="A157">
        <f>'LIVE SOURCE'!A157</f>
        <v/>
      </c>
      <c r="B157">
        <f>'LIVE SOURCE'!B157</f>
        <v/>
      </c>
      <c r="C157" s="4">
        <f>'LIVE SOURCE'!D157</f>
        <v/>
      </c>
      <c r="D157" s="4">
        <f>'Manual Adjustments'!G157</f>
        <v/>
      </c>
      <c r="E157" s="4">
        <f>MAX(40,MIN(100,C157+D157))</f>
        <v/>
      </c>
      <c r="F157">
        <f>COUNTIFS($A$3:$A$232,A157,$E$3:$E$232,"&gt;"&amp;E157)+COUNTIFS($A$3:A157,A157,$E$3:E157,E157)</f>
        <v/>
      </c>
      <c r="G157" s="4">
        <f>ROUND(INDEX('League Config'!$K$4:$K$9,MATCH(A157,'League Config'!$E$4:$E$9,0))*E157+INDEX('League Config'!$L$4:$L$9,MATCH(A157,'League Config'!$E$4:$E$9,0)),1)</f>
        <v/>
      </c>
      <c r="H157">
        <f>INDEX('League Config'!$H$4:$H$9,MATCH(A157,'League Config'!$E$4:$E$9,0))</f>
        <v/>
      </c>
      <c r="I157" s="4">
        <f>INDEX('League Config'!$I$4:$I$9,MATCH(A157,'League Config'!$E$4:$E$9,0))</f>
        <v/>
      </c>
      <c r="J157" s="4">
        <f>ROUND(G157-I157,1)</f>
        <v/>
      </c>
      <c r="K157" s="4">
        <f>MAX(0,MIN(100,50+J157*0.6))</f>
        <v/>
      </c>
      <c r="L157" s="4">
        <f>MIN(100,MAX(0,(1-(F157-1)/(H157*1.5))*100*INDEX('League Config'!$J$4:$J$9,MATCH(A157,'League Config'!$E$4:$E$9,0))))</f>
        <v/>
      </c>
      <c r="M157">
        <f>IF(A157="K",'League Config'!$B$14,IF(A157="DST",'League Config'!$B$15,IF(A157="QB",'League Config'!$B$16,0)))</f>
        <v/>
      </c>
      <c r="N157" s="4">
        <f>MIN(100,MAX(0,0.55*E157+0.3*K157+0.15*L157-M157))</f>
        <v/>
      </c>
      <c r="O157" s="9">
        <f>IF(OR(A157="K",A157="DST"),"",N157)</f>
        <v/>
      </c>
      <c r="P157" s="6">
        <f>IF(O157="","",COUNTIF($O$3:$O$232,"&gt;"&amp;O157)+COUNTIF($O$3:O157,O157))</f>
        <v/>
      </c>
      <c r="Q157">
        <f>IF(A157="DST",IF(F157&lt;=GateSize,DstStart-1+F157,NSkill+2*GateSize+F157-GateSize),IF(A157="K",IF(F157&lt;=GateSize,KStart-1+F157,NSkill+GateSize+NDst+F157-GateSize),IF(P157&lt;=DstStart-1,P157,P157+2*GateSize)))</f>
        <v/>
      </c>
      <c r="R157" s="4">
        <f>'LIVE SOURCE'!E157</f>
        <v/>
      </c>
      <c r="S157" s="4">
        <f>R157-Q157</f>
        <v/>
      </c>
      <c r="T157">
        <f>'LIVE SOURCE'!F157</f>
        <v/>
      </c>
      <c r="U157" s="4">
        <f>MAX(40,E157-IF(T157="A",6,IF(T157="B",9,12)))</f>
        <v/>
      </c>
      <c r="V157" s="4">
        <f>E157</f>
        <v/>
      </c>
      <c r="W157" s="4">
        <f>MIN(100,E157+IF(T157="A",6,IF(T157="B",9,12)))</f>
        <v/>
      </c>
      <c r="X157">
        <f>'LIVE SOURCE'!G157</f>
        <v/>
      </c>
      <c r="Y157">
        <f>IF(INDEX('Draft Board'!$J$3:$J$232,Q157)="","Available",INDEX('Draft Board'!$J$3:$J$232,Q157))</f>
        <v/>
      </c>
      <c r="Z157">
        <f>IF(Y157&lt;&gt;"Available","",1+COUNTIFS($Y$3:$Y$232,"Available",$Q$3:$Q$232,"&lt;"&amp;Q157))</f>
        <v/>
      </c>
    </row>
    <row r="158">
      <c r="A158">
        <f>'LIVE SOURCE'!A158</f>
        <v/>
      </c>
      <c r="B158">
        <f>'LIVE SOURCE'!B158</f>
        <v/>
      </c>
      <c r="C158" s="4">
        <f>'LIVE SOURCE'!D158</f>
        <v/>
      </c>
      <c r="D158" s="4">
        <f>'Manual Adjustments'!G158</f>
        <v/>
      </c>
      <c r="E158" s="4">
        <f>MAX(40,MIN(100,C158+D158))</f>
        <v/>
      </c>
      <c r="F158">
        <f>COUNTIFS($A$3:$A$232,A158,$E$3:$E$232,"&gt;"&amp;E158)+COUNTIFS($A$3:A158,A158,$E$3:E158,E158)</f>
        <v/>
      </c>
      <c r="G158" s="4">
        <f>ROUND(INDEX('League Config'!$K$4:$K$9,MATCH(A158,'League Config'!$E$4:$E$9,0))*E158+INDEX('League Config'!$L$4:$L$9,MATCH(A158,'League Config'!$E$4:$E$9,0)),1)</f>
        <v/>
      </c>
      <c r="H158">
        <f>INDEX('League Config'!$H$4:$H$9,MATCH(A158,'League Config'!$E$4:$E$9,0))</f>
        <v/>
      </c>
      <c r="I158" s="4">
        <f>INDEX('League Config'!$I$4:$I$9,MATCH(A158,'League Config'!$E$4:$E$9,0))</f>
        <v/>
      </c>
      <c r="J158" s="4">
        <f>ROUND(G158-I158,1)</f>
        <v/>
      </c>
      <c r="K158" s="4">
        <f>MAX(0,MIN(100,50+J158*0.6))</f>
        <v/>
      </c>
      <c r="L158" s="4">
        <f>MIN(100,MAX(0,(1-(F158-1)/(H158*1.5))*100*INDEX('League Config'!$J$4:$J$9,MATCH(A158,'League Config'!$E$4:$E$9,0))))</f>
        <v/>
      </c>
      <c r="M158">
        <f>IF(A158="K",'League Config'!$B$14,IF(A158="DST",'League Config'!$B$15,IF(A158="QB",'League Config'!$B$16,0)))</f>
        <v/>
      </c>
      <c r="N158" s="4">
        <f>MIN(100,MAX(0,0.55*E158+0.3*K158+0.15*L158-M158))</f>
        <v/>
      </c>
      <c r="O158" s="9">
        <f>IF(OR(A158="K",A158="DST"),"",N158)</f>
        <v/>
      </c>
      <c r="P158" s="6">
        <f>IF(O158="","",COUNTIF($O$3:$O$232,"&gt;"&amp;O158)+COUNTIF($O$3:O158,O158))</f>
        <v/>
      </c>
      <c r="Q158">
        <f>IF(A158="DST",IF(F158&lt;=GateSize,DstStart-1+F158,NSkill+2*GateSize+F158-GateSize),IF(A158="K",IF(F158&lt;=GateSize,KStart-1+F158,NSkill+GateSize+NDst+F158-GateSize),IF(P158&lt;=DstStart-1,P158,P158+2*GateSize)))</f>
        <v/>
      </c>
      <c r="R158" s="4">
        <f>'LIVE SOURCE'!E158</f>
        <v/>
      </c>
      <c r="S158" s="4">
        <f>R158-Q158</f>
        <v/>
      </c>
      <c r="T158">
        <f>'LIVE SOURCE'!F158</f>
        <v/>
      </c>
      <c r="U158" s="4">
        <f>MAX(40,E158-IF(T158="A",6,IF(T158="B",9,12)))</f>
        <v/>
      </c>
      <c r="V158" s="4">
        <f>E158</f>
        <v/>
      </c>
      <c r="W158" s="4">
        <f>MIN(100,E158+IF(T158="A",6,IF(T158="B",9,12)))</f>
        <v/>
      </c>
      <c r="X158">
        <f>'LIVE SOURCE'!G158</f>
        <v/>
      </c>
      <c r="Y158">
        <f>IF(INDEX('Draft Board'!$J$3:$J$232,Q158)="","Available",INDEX('Draft Board'!$J$3:$J$232,Q158))</f>
        <v/>
      </c>
      <c r="Z158">
        <f>IF(Y158&lt;&gt;"Available","",1+COUNTIFS($Y$3:$Y$232,"Available",$Q$3:$Q$232,"&lt;"&amp;Q158))</f>
        <v/>
      </c>
    </row>
    <row r="159">
      <c r="A159">
        <f>'LIVE SOURCE'!A159</f>
        <v/>
      </c>
      <c r="B159">
        <f>'LIVE SOURCE'!B159</f>
        <v/>
      </c>
      <c r="C159" s="4">
        <f>'LIVE SOURCE'!D159</f>
        <v/>
      </c>
      <c r="D159" s="4">
        <f>'Manual Adjustments'!G159</f>
        <v/>
      </c>
      <c r="E159" s="4">
        <f>MAX(40,MIN(100,C159+D159))</f>
        <v/>
      </c>
      <c r="F159">
        <f>COUNTIFS($A$3:$A$232,A159,$E$3:$E$232,"&gt;"&amp;E159)+COUNTIFS($A$3:A159,A159,$E$3:E159,E159)</f>
        <v/>
      </c>
      <c r="G159" s="4">
        <f>ROUND(INDEX('League Config'!$K$4:$K$9,MATCH(A159,'League Config'!$E$4:$E$9,0))*E159+INDEX('League Config'!$L$4:$L$9,MATCH(A159,'League Config'!$E$4:$E$9,0)),1)</f>
        <v/>
      </c>
      <c r="H159">
        <f>INDEX('League Config'!$H$4:$H$9,MATCH(A159,'League Config'!$E$4:$E$9,0))</f>
        <v/>
      </c>
      <c r="I159" s="4">
        <f>INDEX('League Config'!$I$4:$I$9,MATCH(A159,'League Config'!$E$4:$E$9,0))</f>
        <v/>
      </c>
      <c r="J159" s="4">
        <f>ROUND(G159-I159,1)</f>
        <v/>
      </c>
      <c r="K159" s="4">
        <f>MAX(0,MIN(100,50+J159*0.6))</f>
        <v/>
      </c>
      <c r="L159" s="4">
        <f>MIN(100,MAX(0,(1-(F159-1)/(H159*1.5))*100*INDEX('League Config'!$J$4:$J$9,MATCH(A159,'League Config'!$E$4:$E$9,0))))</f>
        <v/>
      </c>
      <c r="M159">
        <f>IF(A159="K",'League Config'!$B$14,IF(A159="DST",'League Config'!$B$15,IF(A159="QB",'League Config'!$B$16,0)))</f>
        <v/>
      </c>
      <c r="N159" s="4">
        <f>MIN(100,MAX(0,0.55*E159+0.3*K159+0.15*L159-M159))</f>
        <v/>
      </c>
      <c r="O159" s="9">
        <f>IF(OR(A159="K",A159="DST"),"",N159)</f>
        <v/>
      </c>
      <c r="P159" s="6">
        <f>IF(O159="","",COUNTIF($O$3:$O$232,"&gt;"&amp;O159)+COUNTIF($O$3:O159,O159))</f>
        <v/>
      </c>
      <c r="Q159">
        <f>IF(A159="DST",IF(F159&lt;=GateSize,DstStart-1+F159,NSkill+2*GateSize+F159-GateSize),IF(A159="K",IF(F159&lt;=GateSize,KStart-1+F159,NSkill+GateSize+NDst+F159-GateSize),IF(P159&lt;=DstStart-1,P159,P159+2*GateSize)))</f>
        <v/>
      </c>
      <c r="R159" s="4">
        <f>'LIVE SOURCE'!E159</f>
        <v/>
      </c>
      <c r="S159" s="4">
        <f>R159-Q159</f>
        <v/>
      </c>
      <c r="T159">
        <f>'LIVE SOURCE'!F159</f>
        <v/>
      </c>
      <c r="U159" s="4">
        <f>MAX(40,E159-IF(T159="A",6,IF(T159="B",9,12)))</f>
        <v/>
      </c>
      <c r="V159" s="4">
        <f>E159</f>
        <v/>
      </c>
      <c r="W159" s="4">
        <f>MIN(100,E159+IF(T159="A",6,IF(T159="B",9,12)))</f>
        <v/>
      </c>
      <c r="X159">
        <f>'LIVE SOURCE'!G159</f>
        <v/>
      </c>
      <c r="Y159">
        <f>IF(INDEX('Draft Board'!$J$3:$J$232,Q159)="","Available",INDEX('Draft Board'!$J$3:$J$232,Q159))</f>
        <v/>
      </c>
      <c r="Z159">
        <f>IF(Y159&lt;&gt;"Available","",1+COUNTIFS($Y$3:$Y$232,"Available",$Q$3:$Q$232,"&lt;"&amp;Q159))</f>
        <v/>
      </c>
    </row>
    <row r="160">
      <c r="A160">
        <f>'LIVE SOURCE'!A160</f>
        <v/>
      </c>
      <c r="B160">
        <f>'LIVE SOURCE'!B160</f>
        <v/>
      </c>
      <c r="C160" s="4">
        <f>'LIVE SOURCE'!D160</f>
        <v/>
      </c>
      <c r="D160" s="4">
        <f>'Manual Adjustments'!G160</f>
        <v/>
      </c>
      <c r="E160" s="4">
        <f>MAX(40,MIN(100,C160+D160))</f>
        <v/>
      </c>
      <c r="F160">
        <f>COUNTIFS($A$3:$A$232,A160,$E$3:$E$232,"&gt;"&amp;E160)+COUNTIFS($A$3:A160,A160,$E$3:E160,E160)</f>
        <v/>
      </c>
      <c r="G160" s="4">
        <f>ROUND(INDEX('League Config'!$K$4:$K$9,MATCH(A160,'League Config'!$E$4:$E$9,0))*E160+INDEX('League Config'!$L$4:$L$9,MATCH(A160,'League Config'!$E$4:$E$9,0)),1)</f>
        <v/>
      </c>
      <c r="H160">
        <f>INDEX('League Config'!$H$4:$H$9,MATCH(A160,'League Config'!$E$4:$E$9,0))</f>
        <v/>
      </c>
      <c r="I160" s="4">
        <f>INDEX('League Config'!$I$4:$I$9,MATCH(A160,'League Config'!$E$4:$E$9,0))</f>
        <v/>
      </c>
      <c r="J160" s="4">
        <f>ROUND(G160-I160,1)</f>
        <v/>
      </c>
      <c r="K160" s="4">
        <f>MAX(0,MIN(100,50+J160*0.6))</f>
        <v/>
      </c>
      <c r="L160" s="4">
        <f>MIN(100,MAX(0,(1-(F160-1)/(H160*1.5))*100*INDEX('League Config'!$J$4:$J$9,MATCH(A160,'League Config'!$E$4:$E$9,0))))</f>
        <v/>
      </c>
      <c r="M160">
        <f>IF(A160="K",'League Config'!$B$14,IF(A160="DST",'League Config'!$B$15,IF(A160="QB",'League Config'!$B$16,0)))</f>
        <v/>
      </c>
      <c r="N160" s="4">
        <f>MIN(100,MAX(0,0.55*E160+0.3*K160+0.15*L160-M160))</f>
        <v/>
      </c>
      <c r="O160" s="9">
        <f>IF(OR(A160="K",A160="DST"),"",N160)</f>
        <v/>
      </c>
      <c r="P160" s="6">
        <f>IF(O160="","",COUNTIF($O$3:$O$232,"&gt;"&amp;O160)+COUNTIF($O$3:O160,O160))</f>
        <v/>
      </c>
      <c r="Q160">
        <f>IF(A160="DST",IF(F160&lt;=GateSize,DstStart-1+F160,NSkill+2*GateSize+F160-GateSize),IF(A160="K",IF(F160&lt;=GateSize,KStart-1+F160,NSkill+GateSize+NDst+F160-GateSize),IF(P160&lt;=DstStart-1,P160,P160+2*GateSize)))</f>
        <v/>
      </c>
      <c r="R160" s="4">
        <f>'LIVE SOURCE'!E160</f>
        <v/>
      </c>
      <c r="S160" s="4">
        <f>R160-Q160</f>
        <v/>
      </c>
      <c r="T160">
        <f>'LIVE SOURCE'!F160</f>
        <v/>
      </c>
      <c r="U160" s="4">
        <f>MAX(40,E160-IF(T160="A",6,IF(T160="B",9,12)))</f>
        <v/>
      </c>
      <c r="V160" s="4">
        <f>E160</f>
        <v/>
      </c>
      <c r="W160" s="4">
        <f>MIN(100,E160+IF(T160="A",6,IF(T160="B",9,12)))</f>
        <v/>
      </c>
      <c r="X160">
        <f>'LIVE SOURCE'!G160</f>
        <v/>
      </c>
      <c r="Y160">
        <f>IF(INDEX('Draft Board'!$J$3:$J$232,Q160)="","Available",INDEX('Draft Board'!$J$3:$J$232,Q160))</f>
        <v/>
      </c>
      <c r="Z160">
        <f>IF(Y160&lt;&gt;"Available","",1+COUNTIFS($Y$3:$Y$232,"Available",$Q$3:$Q$232,"&lt;"&amp;Q160))</f>
        <v/>
      </c>
    </row>
    <row r="161">
      <c r="A161">
        <f>'LIVE SOURCE'!A161</f>
        <v/>
      </c>
      <c r="B161">
        <f>'LIVE SOURCE'!B161</f>
        <v/>
      </c>
      <c r="C161" s="4">
        <f>'LIVE SOURCE'!D161</f>
        <v/>
      </c>
      <c r="D161" s="4">
        <f>'Manual Adjustments'!G161</f>
        <v/>
      </c>
      <c r="E161" s="4">
        <f>MAX(40,MIN(100,C161+D161))</f>
        <v/>
      </c>
      <c r="F161">
        <f>COUNTIFS($A$3:$A$232,A161,$E$3:$E$232,"&gt;"&amp;E161)+COUNTIFS($A$3:A161,A161,$E$3:E161,E161)</f>
        <v/>
      </c>
      <c r="G161" s="4">
        <f>ROUND(INDEX('League Config'!$K$4:$K$9,MATCH(A161,'League Config'!$E$4:$E$9,0))*E161+INDEX('League Config'!$L$4:$L$9,MATCH(A161,'League Config'!$E$4:$E$9,0)),1)</f>
        <v/>
      </c>
      <c r="H161">
        <f>INDEX('League Config'!$H$4:$H$9,MATCH(A161,'League Config'!$E$4:$E$9,0))</f>
        <v/>
      </c>
      <c r="I161" s="4">
        <f>INDEX('League Config'!$I$4:$I$9,MATCH(A161,'League Config'!$E$4:$E$9,0))</f>
        <v/>
      </c>
      <c r="J161" s="4">
        <f>ROUND(G161-I161,1)</f>
        <v/>
      </c>
      <c r="K161" s="4">
        <f>MAX(0,MIN(100,50+J161*0.6))</f>
        <v/>
      </c>
      <c r="L161" s="4">
        <f>MIN(100,MAX(0,(1-(F161-1)/(H161*1.5))*100*INDEX('League Config'!$J$4:$J$9,MATCH(A161,'League Config'!$E$4:$E$9,0))))</f>
        <v/>
      </c>
      <c r="M161">
        <f>IF(A161="K",'League Config'!$B$14,IF(A161="DST",'League Config'!$B$15,IF(A161="QB",'League Config'!$B$16,0)))</f>
        <v/>
      </c>
      <c r="N161" s="4">
        <f>MIN(100,MAX(0,0.55*E161+0.3*K161+0.15*L161-M161))</f>
        <v/>
      </c>
      <c r="O161" s="9">
        <f>IF(OR(A161="K",A161="DST"),"",N161)</f>
        <v/>
      </c>
      <c r="P161" s="6">
        <f>IF(O161="","",COUNTIF($O$3:$O$232,"&gt;"&amp;O161)+COUNTIF($O$3:O161,O161))</f>
        <v/>
      </c>
      <c r="Q161">
        <f>IF(A161="DST",IF(F161&lt;=GateSize,DstStart-1+F161,NSkill+2*GateSize+F161-GateSize),IF(A161="K",IF(F161&lt;=GateSize,KStart-1+F161,NSkill+GateSize+NDst+F161-GateSize),IF(P161&lt;=DstStart-1,P161,P161+2*GateSize)))</f>
        <v/>
      </c>
      <c r="R161" s="4">
        <f>'LIVE SOURCE'!E161</f>
        <v/>
      </c>
      <c r="S161" s="4">
        <f>R161-Q161</f>
        <v/>
      </c>
      <c r="T161">
        <f>'LIVE SOURCE'!F161</f>
        <v/>
      </c>
      <c r="U161" s="4">
        <f>MAX(40,E161-IF(T161="A",6,IF(T161="B",9,12)))</f>
        <v/>
      </c>
      <c r="V161" s="4">
        <f>E161</f>
        <v/>
      </c>
      <c r="W161" s="4">
        <f>MIN(100,E161+IF(T161="A",6,IF(T161="B",9,12)))</f>
        <v/>
      </c>
      <c r="X161">
        <f>'LIVE SOURCE'!G161</f>
        <v/>
      </c>
      <c r="Y161">
        <f>IF(INDEX('Draft Board'!$J$3:$J$232,Q161)="","Available",INDEX('Draft Board'!$J$3:$J$232,Q161))</f>
        <v/>
      </c>
      <c r="Z161">
        <f>IF(Y161&lt;&gt;"Available","",1+COUNTIFS($Y$3:$Y$232,"Available",$Q$3:$Q$232,"&lt;"&amp;Q161))</f>
        <v/>
      </c>
    </row>
    <row r="162">
      <c r="A162">
        <f>'LIVE SOURCE'!A162</f>
        <v/>
      </c>
      <c r="B162">
        <f>'LIVE SOURCE'!B162</f>
        <v/>
      </c>
      <c r="C162" s="4">
        <f>'LIVE SOURCE'!D162</f>
        <v/>
      </c>
      <c r="D162" s="4">
        <f>'Manual Adjustments'!G162</f>
        <v/>
      </c>
      <c r="E162" s="4">
        <f>MAX(40,MIN(100,C162+D162))</f>
        <v/>
      </c>
      <c r="F162">
        <f>COUNTIFS($A$3:$A$232,A162,$E$3:$E$232,"&gt;"&amp;E162)+COUNTIFS($A$3:A162,A162,$E$3:E162,E162)</f>
        <v/>
      </c>
      <c r="G162" s="4">
        <f>ROUND(INDEX('League Config'!$K$4:$K$9,MATCH(A162,'League Config'!$E$4:$E$9,0))*E162+INDEX('League Config'!$L$4:$L$9,MATCH(A162,'League Config'!$E$4:$E$9,0)),1)</f>
        <v/>
      </c>
      <c r="H162">
        <f>INDEX('League Config'!$H$4:$H$9,MATCH(A162,'League Config'!$E$4:$E$9,0))</f>
        <v/>
      </c>
      <c r="I162" s="4">
        <f>INDEX('League Config'!$I$4:$I$9,MATCH(A162,'League Config'!$E$4:$E$9,0))</f>
        <v/>
      </c>
      <c r="J162" s="4">
        <f>ROUND(G162-I162,1)</f>
        <v/>
      </c>
      <c r="K162" s="4">
        <f>MAX(0,MIN(100,50+J162*0.6))</f>
        <v/>
      </c>
      <c r="L162" s="4">
        <f>MIN(100,MAX(0,(1-(F162-1)/(H162*1.5))*100*INDEX('League Config'!$J$4:$J$9,MATCH(A162,'League Config'!$E$4:$E$9,0))))</f>
        <v/>
      </c>
      <c r="M162">
        <f>IF(A162="K",'League Config'!$B$14,IF(A162="DST",'League Config'!$B$15,IF(A162="QB",'League Config'!$B$16,0)))</f>
        <v/>
      </c>
      <c r="N162" s="4">
        <f>MIN(100,MAX(0,0.55*E162+0.3*K162+0.15*L162-M162))</f>
        <v/>
      </c>
      <c r="O162" s="9">
        <f>IF(OR(A162="K",A162="DST"),"",N162)</f>
        <v/>
      </c>
      <c r="P162" s="6">
        <f>IF(O162="","",COUNTIF($O$3:$O$232,"&gt;"&amp;O162)+COUNTIF($O$3:O162,O162))</f>
        <v/>
      </c>
      <c r="Q162">
        <f>IF(A162="DST",IF(F162&lt;=GateSize,DstStart-1+F162,NSkill+2*GateSize+F162-GateSize),IF(A162="K",IF(F162&lt;=GateSize,KStart-1+F162,NSkill+GateSize+NDst+F162-GateSize),IF(P162&lt;=DstStart-1,P162,P162+2*GateSize)))</f>
        <v/>
      </c>
      <c r="R162" s="4">
        <f>'LIVE SOURCE'!E162</f>
        <v/>
      </c>
      <c r="S162" s="4">
        <f>R162-Q162</f>
        <v/>
      </c>
      <c r="T162">
        <f>'LIVE SOURCE'!F162</f>
        <v/>
      </c>
      <c r="U162" s="4">
        <f>MAX(40,E162-IF(T162="A",6,IF(T162="B",9,12)))</f>
        <v/>
      </c>
      <c r="V162" s="4">
        <f>E162</f>
        <v/>
      </c>
      <c r="W162" s="4">
        <f>MIN(100,E162+IF(T162="A",6,IF(T162="B",9,12)))</f>
        <v/>
      </c>
      <c r="X162">
        <f>'LIVE SOURCE'!G162</f>
        <v/>
      </c>
      <c r="Y162">
        <f>IF(INDEX('Draft Board'!$J$3:$J$232,Q162)="","Available",INDEX('Draft Board'!$J$3:$J$232,Q162))</f>
        <v/>
      </c>
      <c r="Z162">
        <f>IF(Y162&lt;&gt;"Available","",1+COUNTIFS($Y$3:$Y$232,"Available",$Q$3:$Q$232,"&lt;"&amp;Q162))</f>
        <v/>
      </c>
    </row>
    <row r="163">
      <c r="A163">
        <f>'LIVE SOURCE'!A163</f>
        <v/>
      </c>
      <c r="B163">
        <f>'LIVE SOURCE'!B163</f>
        <v/>
      </c>
      <c r="C163" s="4">
        <f>'LIVE SOURCE'!D163</f>
        <v/>
      </c>
      <c r="D163" s="4">
        <f>'Manual Adjustments'!G163</f>
        <v/>
      </c>
      <c r="E163" s="4">
        <f>MAX(40,MIN(100,C163+D163))</f>
        <v/>
      </c>
      <c r="F163">
        <f>COUNTIFS($A$3:$A$232,A163,$E$3:$E$232,"&gt;"&amp;E163)+COUNTIFS($A$3:A163,A163,$E$3:E163,E163)</f>
        <v/>
      </c>
      <c r="G163" s="4">
        <f>ROUND(INDEX('League Config'!$K$4:$K$9,MATCH(A163,'League Config'!$E$4:$E$9,0))*E163+INDEX('League Config'!$L$4:$L$9,MATCH(A163,'League Config'!$E$4:$E$9,0)),1)</f>
        <v/>
      </c>
      <c r="H163">
        <f>INDEX('League Config'!$H$4:$H$9,MATCH(A163,'League Config'!$E$4:$E$9,0))</f>
        <v/>
      </c>
      <c r="I163" s="4">
        <f>INDEX('League Config'!$I$4:$I$9,MATCH(A163,'League Config'!$E$4:$E$9,0))</f>
        <v/>
      </c>
      <c r="J163" s="4">
        <f>ROUND(G163-I163,1)</f>
        <v/>
      </c>
      <c r="K163" s="4">
        <f>MAX(0,MIN(100,50+J163*0.6))</f>
        <v/>
      </c>
      <c r="L163" s="4">
        <f>MIN(100,MAX(0,(1-(F163-1)/(H163*1.5))*100*INDEX('League Config'!$J$4:$J$9,MATCH(A163,'League Config'!$E$4:$E$9,0))))</f>
        <v/>
      </c>
      <c r="M163">
        <f>IF(A163="K",'League Config'!$B$14,IF(A163="DST",'League Config'!$B$15,IF(A163="QB",'League Config'!$B$16,0)))</f>
        <v/>
      </c>
      <c r="N163" s="4">
        <f>MIN(100,MAX(0,0.55*E163+0.3*K163+0.15*L163-M163))</f>
        <v/>
      </c>
      <c r="O163" s="9">
        <f>IF(OR(A163="K",A163="DST"),"",N163)</f>
        <v/>
      </c>
      <c r="P163" s="6">
        <f>IF(O163="","",COUNTIF($O$3:$O$232,"&gt;"&amp;O163)+COUNTIF($O$3:O163,O163))</f>
        <v/>
      </c>
      <c r="Q163">
        <f>IF(A163="DST",IF(F163&lt;=GateSize,DstStart-1+F163,NSkill+2*GateSize+F163-GateSize),IF(A163="K",IF(F163&lt;=GateSize,KStart-1+F163,NSkill+GateSize+NDst+F163-GateSize),IF(P163&lt;=DstStart-1,P163,P163+2*GateSize)))</f>
        <v/>
      </c>
      <c r="R163" s="4">
        <f>'LIVE SOURCE'!E163</f>
        <v/>
      </c>
      <c r="S163" s="4">
        <f>R163-Q163</f>
        <v/>
      </c>
      <c r="T163">
        <f>'LIVE SOURCE'!F163</f>
        <v/>
      </c>
      <c r="U163" s="4">
        <f>MAX(40,E163-IF(T163="A",6,IF(T163="B",9,12)))</f>
        <v/>
      </c>
      <c r="V163" s="4">
        <f>E163</f>
        <v/>
      </c>
      <c r="W163" s="4">
        <f>MIN(100,E163+IF(T163="A",6,IF(T163="B",9,12)))</f>
        <v/>
      </c>
      <c r="X163">
        <f>'LIVE SOURCE'!G163</f>
        <v/>
      </c>
      <c r="Y163">
        <f>IF(INDEX('Draft Board'!$J$3:$J$232,Q163)="","Available",INDEX('Draft Board'!$J$3:$J$232,Q163))</f>
        <v/>
      </c>
      <c r="Z163">
        <f>IF(Y163&lt;&gt;"Available","",1+COUNTIFS($Y$3:$Y$232,"Available",$Q$3:$Q$232,"&lt;"&amp;Q163))</f>
        <v/>
      </c>
    </row>
    <row r="164">
      <c r="A164">
        <f>'LIVE SOURCE'!A164</f>
        <v/>
      </c>
      <c r="B164">
        <f>'LIVE SOURCE'!B164</f>
        <v/>
      </c>
      <c r="C164" s="4">
        <f>'LIVE SOURCE'!D164</f>
        <v/>
      </c>
      <c r="D164" s="4">
        <f>'Manual Adjustments'!G164</f>
        <v/>
      </c>
      <c r="E164" s="4">
        <f>MAX(40,MIN(100,C164+D164))</f>
        <v/>
      </c>
      <c r="F164">
        <f>COUNTIFS($A$3:$A$232,A164,$E$3:$E$232,"&gt;"&amp;E164)+COUNTIFS($A$3:A164,A164,$E$3:E164,E164)</f>
        <v/>
      </c>
      <c r="G164" s="4">
        <f>ROUND(INDEX('League Config'!$K$4:$K$9,MATCH(A164,'League Config'!$E$4:$E$9,0))*E164+INDEX('League Config'!$L$4:$L$9,MATCH(A164,'League Config'!$E$4:$E$9,0)),1)</f>
        <v/>
      </c>
      <c r="H164">
        <f>INDEX('League Config'!$H$4:$H$9,MATCH(A164,'League Config'!$E$4:$E$9,0))</f>
        <v/>
      </c>
      <c r="I164" s="4">
        <f>INDEX('League Config'!$I$4:$I$9,MATCH(A164,'League Config'!$E$4:$E$9,0))</f>
        <v/>
      </c>
      <c r="J164" s="4">
        <f>ROUND(G164-I164,1)</f>
        <v/>
      </c>
      <c r="K164" s="4">
        <f>MAX(0,MIN(100,50+J164*0.6))</f>
        <v/>
      </c>
      <c r="L164" s="4">
        <f>MIN(100,MAX(0,(1-(F164-1)/(H164*1.5))*100*INDEX('League Config'!$J$4:$J$9,MATCH(A164,'League Config'!$E$4:$E$9,0))))</f>
        <v/>
      </c>
      <c r="M164">
        <f>IF(A164="K",'League Config'!$B$14,IF(A164="DST",'League Config'!$B$15,IF(A164="QB",'League Config'!$B$16,0)))</f>
        <v/>
      </c>
      <c r="N164" s="4">
        <f>MIN(100,MAX(0,0.55*E164+0.3*K164+0.15*L164-M164))</f>
        <v/>
      </c>
      <c r="O164" s="9">
        <f>IF(OR(A164="K",A164="DST"),"",N164)</f>
        <v/>
      </c>
      <c r="P164" s="6">
        <f>IF(O164="","",COUNTIF($O$3:$O$232,"&gt;"&amp;O164)+COUNTIF($O$3:O164,O164))</f>
        <v/>
      </c>
      <c r="Q164">
        <f>IF(A164="DST",IF(F164&lt;=GateSize,DstStart-1+F164,NSkill+2*GateSize+F164-GateSize),IF(A164="K",IF(F164&lt;=GateSize,KStart-1+F164,NSkill+GateSize+NDst+F164-GateSize),IF(P164&lt;=DstStart-1,P164,P164+2*GateSize)))</f>
        <v/>
      </c>
      <c r="R164" s="4">
        <f>'LIVE SOURCE'!E164</f>
        <v/>
      </c>
      <c r="S164" s="4">
        <f>R164-Q164</f>
        <v/>
      </c>
      <c r="T164">
        <f>'LIVE SOURCE'!F164</f>
        <v/>
      </c>
      <c r="U164" s="4">
        <f>MAX(40,E164-IF(T164="A",6,IF(T164="B",9,12)))</f>
        <v/>
      </c>
      <c r="V164" s="4">
        <f>E164</f>
        <v/>
      </c>
      <c r="W164" s="4">
        <f>MIN(100,E164+IF(T164="A",6,IF(T164="B",9,12)))</f>
        <v/>
      </c>
      <c r="X164">
        <f>'LIVE SOURCE'!G164</f>
        <v/>
      </c>
      <c r="Y164">
        <f>IF(INDEX('Draft Board'!$J$3:$J$232,Q164)="","Available",INDEX('Draft Board'!$J$3:$J$232,Q164))</f>
        <v/>
      </c>
      <c r="Z164">
        <f>IF(Y164&lt;&gt;"Available","",1+COUNTIFS($Y$3:$Y$232,"Available",$Q$3:$Q$232,"&lt;"&amp;Q164))</f>
        <v/>
      </c>
    </row>
    <row r="165">
      <c r="A165">
        <f>'LIVE SOURCE'!A165</f>
        <v/>
      </c>
      <c r="B165">
        <f>'LIVE SOURCE'!B165</f>
        <v/>
      </c>
      <c r="C165" s="4">
        <f>'LIVE SOURCE'!D165</f>
        <v/>
      </c>
      <c r="D165" s="4">
        <f>'Manual Adjustments'!G165</f>
        <v/>
      </c>
      <c r="E165" s="4">
        <f>MAX(40,MIN(100,C165+D165))</f>
        <v/>
      </c>
      <c r="F165">
        <f>COUNTIFS($A$3:$A$232,A165,$E$3:$E$232,"&gt;"&amp;E165)+COUNTIFS($A$3:A165,A165,$E$3:E165,E165)</f>
        <v/>
      </c>
      <c r="G165" s="4">
        <f>ROUND(INDEX('League Config'!$K$4:$K$9,MATCH(A165,'League Config'!$E$4:$E$9,0))*E165+INDEX('League Config'!$L$4:$L$9,MATCH(A165,'League Config'!$E$4:$E$9,0)),1)</f>
        <v/>
      </c>
      <c r="H165">
        <f>INDEX('League Config'!$H$4:$H$9,MATCH(A165,'League Config'!$E$4:$E$9,0))</f>
        <v/>
      </c>
      <c r="I165" s="4">
        <f>INDEX('League Config'!$I$4:$I$9,MATCH(A165,'League Config'!$E$4:$E$9,0))</f>
        <v/>
      </c>
      <c r="J165" s="4">
        <f>ROUND(G165-I165,1)</f>
        <v/>
      </c>
      <c r="K165" s="4">
        <f>MAX(0,MIN(100,50+J165*0.6))</f>
        <v/>
      </c>
      <c r="L165" s="4">
        <f>MIN(100,MAX(0,(1-(F165-1)/(H165*1.5))*100*INDEX('League Config'!$J$4:$J$9,MATCH(A165,'League Config'!$E$4:$E$9,0))))</f>
        <v/>
      </c>
      <c r="M165">
        <f>IF(A165="K",'League Config'!$B$14,IF(A165="DST",'League Config'!$B$15,IF(A165="QB",'League Config'!$B$16,0)))</f>
        <v/>
      </c>
      <c r="N165" s="4">
        <f>MIN(100,MAX(0,0.55*E165+0.3*K165+0.15*L165-M165))</f>
        <v/>
      </c>
      <c r="O165" s="9">
        <f>IF(OR(A165="K",A165="DST"),"",N165)</f>
        <v/>
      </c>
      <c r="P165" s="6">
        <f>IF(O165="","",COUNTIF($O$3:$O$232,"&gt;"&amp;O165)+COUNTIF($O$3:O165,O165))</f>
        <v/>
      </c>
      <c r="Q165">
        <f>IF(A165="DST",IF(F165&lt;=GateSize,DstStart-1+F165,NSkill+2*GateSize+F165-GateSize),IF(A165="K",IF(F165&lt;=GateSize,KStart-1+F165,NSkill+GateSize+NDst+F165-GateSize),IF(P165&lt;=DstStart-1,P165,P165+2*GateSize)))</f>
        <v/>
      </c>
      <c r="R165" s="4">
        <f>'LIVE SOURCE'!E165</f>
        <v/>
      </c>
      <c r="S165" s="4">
        <f>R165-Q165</f>
        <v/>
      </c>
      <c r="T165">
        <f>'LIVE SOURCE'!F165</f>
        <v/>
      </c>
      <c r="U165" s="4">
        <f>MAX(40,E165-IF(T165="A",6,IF(T165="B",9,12)))</f>
        <v/>
      </c>
      <c r="V165" s="4">
        <f>E165</f>
        <v/>
      </c>
      <c r="W165" s="4">
        <f>MIN(100,E165+IF(T165="A",6,IF(T165="B",9,12)))</f>
        <v/>
      </c>
      <c r="X165">
        <f>'LIVE SOURCE'!G165</f>
        <v/>
      </c>
      <c r="Y165">
        <f>IF(INDEX('Draft Board'!$J$3:$J$232,Q165)="","Available",INDEX('Draft Board'!$J$3:$J$232,Q165))</f>
        <v/>
      </c>
      <c r="Z165">
        <f>IF(Y165&lt;&gt;"Available","",1+COUNTIFS($Y$3:$Y$232,"Available",$Q$3:$Q$232,"&lt;"&amp;Q165))</f>
        <v/>
      </c>
    </row>
    <row r="166">
      <c r="A166">
        <f>'LIVE SOURCE'!A166</f>
        <v/>
      </c>
      <c r="B166">
        <f>'LIVE SOURCE'!B166</f>
        <v/>
      </c>
      <c r="C166" s="4">
        <f>'LIVE SOURCE'!D166</f>
        <v/>
      </c>
      <c r="D166" s="4">
        <f>'Manual Adjustments'!G166</f>
        <v/>
      </c>
      <c r="E166" s="4">
        <f>MAX(40,MIN(100,C166+D166))</f>
        <v/>
      </c>
      <c r="F166">
        <f>COUNTIFS($A$3:$A$232,A166,$E$3:$E$232,"&gt;"&amp;E166)+COUNTIFS($A$3:A166,A166,$E$3:E166,E166)</f>
        <v/>
      </c>
      <c r="G166" s="4">
        <f>ROUND(INDEX('League Config'!$K$4:$K$9,MATCH(A166,'League Config'!$E$4:$E$9,0))*E166+INDEX('League Config'!$L$4:$L$9,MATCH(A166,'League Config'!$E$4:$E$9,0)),1)</f>
        <v/>
      </c>
      <c r="H166">
        <f>INDEX('League Config'!$H$4:$H$9,MATCH(A166,'League Config'!$E$4:$E$9,0))</f>
        <v/>
      </c>
      <c r="I166" s="4">
        <f>INDEX('League Config'!$I$4:$I$9,MATCH(A166,'League Config'!$E$4:$E$9,0))</f>
        <v/>
      </c>
      <c r="J166" s="4">
        <f>ROUND(G166-I166,1)</f>
        <v/>
      </c>
      <c r="K166" s="4">
        <f>MAX(0,MIN(100,50+J166*0.6))</f>
        <v/>
      </c>
      <c r="L166" s="4">
        <f>MIN(100,MAX(0,(1-(F166-1)/(H166*1.5))*100*INDEX('League Config'!$J$4:$J$9,MATCH(A166,'League Config'!$E$4:$E$9,0))))</f>
        <v/>
      </c>
      <c r="M166">
        <f>IF(A166="K",'League Config'!$B$14,IF(A166="DST",'League Config'!$B$15,IF(A166="QB",'League Config'!$B$16,0)))</f>
        <v/>
      </c>
      <c r="N166" s="4">
        <f>MIN(100,MAX(0,0.55*E166+0.3*K166+0.15*L166-M166))</f>
        <v/>
      </c>
      <c r="O166" s="9">
        <f>IF(OR(A166="K",A166="DST"),"",N166)</f>
        <v/>
      </c>
      <c r="P166" s="6">
        <f>IF(O166="","",COUNTIF($O$3:$O$232,"&gt;"&amp;O166)+COUNTIF($O$3:O166,O166))</f>
        <v/>
      </c>
      <c r="Q166">
        <f>IF(A166="DST",IF(F166&lt;=GateSize,DstStart-1+F166,NSkill+2*GateSize+F166-GateSize),IF(A166="K",IF(F166&lt;=GateSize,KStart-1+F166,NSkill+GateSize+NDst+F166-GateSize),IF(P166&lt;=DstStart-1,P166,P166+2*GateSize)))</f>
        <v/>
      </c>
      <c r="R166" s="4">
        <f>'LIVE SOURCE'!E166</f>
        <v/>
      </c>
      <c r="S166" s="4">
        <f>R166-Q166</f>
        <v/>
      </c>
      <c r="T166">
        <f>'LIVE SOURCE'!F166</f>
        <v/>
      </c>
      <c r="U166" s="4">
        <f>MAX(40,E166-IF(T166="A",6,IF(T166="B",9,12)))</f>
        <v/>
      </c>
      <c r="V166" s="4">
        <f>E166</f>
        <v/>
      </c>
      <c r="W166" s="4">
        <f>MIN(100,E166+IF(T166="A",6,IF(T166="B",9,12)))</f>
        <v/>
      </c>
      <c r="X166">
        <f>'LIVE SOURCE'!G166</f>
        <v/>
      </c>
      <c r="Y166">
        <f>IF(INDEX('Draft Board'!$J$3:$J$232,Q166)="","Available",INDEX('Draft Board'!$J$3:$J$232,Q166))</f>
        <v/>
      </c>
      <c r="Z166">
        <f>IF(Y166&lt;&gt;"Available","",1+COUNTIFS($Y$3:$Y$232,"Available",$Q$3:$Q$232,"&lt;"&amp;Q166))</f>
        <v/>
      </c>
    </row>
    <row r="167">
      <c r="A167">
        <f>'LIVE SOURCE'!A167</f>
        <v/>
      </c>
      <c r="B167">
        <f>'LIVE SOURCE'!B167</f>
        <v/>
      </c>
      <c r="C167" s="4">
        <f>'LIVE SOURCE'!D167</f>
        <v/>
      </c>
      <c r="D167" s="4">
        <f>'Manual Adjustments'!G167</f>
        <v/>
      </c>
      <c r="E167" s="4">
        <f>MAX(40,MIN(100,C167+D167))</f>
        <v/>
      </c>
      <c r="F167">
        <f>COUNTIFS($A$3:$A$232,A167,$E$3:$E$232,"&gt;"&amp;E167)+COUNTIFS($A$3:A167,A167,$E$3:E167,E167)</f>
        <v/>
      </c>
      <c r="G167" s="4">
        <f>ROUND(INDEX('League Config'!$K$4:$K$9,MATCH(A167,'League Config'!$E$4:$E$9,0))*E167+INDEX('League Config'!$L$4:$L$9,MATCH(A167,'League Config'!$E$4:$E$9,0)),1)</f>
        <v/>
      </c>
      <c r="H167">
        <f>INDEX('League Config'!$H$4:$H$9,MATCH(A167,'League Config'!$E$4:$E$9,0))</f>
        <v/>
      </c>
      <c r="I167" s="4">
        <f>INDEX('League Config'!$I$4:$I$9,MATCH(A167,'League Config'!$E$4:$E$9,0))</f>
        <v/>
      </c>
      <c r="J167" s="4">
        <f>ROUND(G167-I167,1)</f>
        <v/>
      </c>
      <c r="K167" s="4">
        <f>MAX(0,MIN(100,50+J167*0.6))</f>
        <v/>
      </c>
      <c r="L167" s="4">
        <f>MIN(100,MAX(0,(1-(F167-1)/(H167*1.5))*100*INDEX('League Config'!$J$4:$J$9,MATCH(A167,'League Config'!$E$4:$E$9,0))))</f>
        <v/>
      </c>
      <c r="M167">
        <f>IF(A167="K",'League Config'!$B$14,IF(A167="DST",'League Config'!$B$15,IF(A167="QB",'League Config'!$B$16,0)))</f>
        <v/>
      </c>
      <c r="N167" s="4">
        <f>MIN(100,MAX(0,0.55*E167+0.3*K167+0.15*L167-M167))</f>
        <v/>
      </c>
      <c r="O167" s="9">
        <f>IF(OR(A167="K",A167="DST"),"",N167)</f>
        <v/>
      </c>
      <c r="P167" s="6">
        <f>IF(O167="","",COUNTIF($O$3:$O$232,"&gt;"&amp;O167)+COUNTIF($O$3:O167,O167))</f>
        <v/>
      </c>
      <c r="Q167">
        <f>IF(A167="DST",IF(F167&lt;=GateSize,DstStart-1+F167,NSkill+2*GateSize+F167-GateSize),IF(A167="K",IF(F167&lt;=GateSize,KStart-1+F167,NSkill+GateSize+NDst+F167-GateSize),IF(P167&lt;=DstStart-1,P167,P167+2*GateSize)))</f>
        <v/>
      </c>
      <c r="R167" s="4">
        <f>'LIVE SOURCE'!E167</f>
        <v/>
      </c>
      <c r="S167" s="4">
        <f>R167-Q167</f>
        <v/>
      </c>
      <c r="T167">
        <f>'LIVE SOURCE'!F167</f>
        <v/>
      </c>
      <c r="U167" s="4">
        <f>MAX(40,E167-IF(T167="A",6,IF(T167="B",9,12)))</f>
        <v/>
      </c>
      <c r="V167" s="4">
        <f>E167</f>
        <v/>
      </c>
      <c r="W167" s="4">
        <f>MIN(100,E167+IF(T167="A",6,IF(T167="B",9,12)))</f>
        <v/>
      </c>
      <c r="X167">
        <f>'LIVE SOURCE'!G167</f>
        <v/>
      </c>
      <c r="Y167">
        <f>IF(INDEX('Draft Board'!$J$3:$J$232,Q167)="","Available",INDEX('Draft Board'!$J$3:$J$232,Q167))</f>
        <v/>
      </c>
      <c r="Z167">
        <f>IF(Y167&lt;&gt;"Available","",1+COUNTIFS($Y$3:$Y$232,"Available",$Q$3:$Q$232,"&lt;"&amp;Q167))</f>
        <v/>
      </c>
    </row>
    <row r="168">
      <c r="A168">
        <f>'LIVE SOURCE'!A168</f>
        <v/>
      </c>
      <c r="B168">
        <f>'LIVE SOURCE'!B168</f>
        <v/>
      </c>
      <c r="C168" s="4">
        <f>'LIVE SOURCE'!D168</f>
        <v/>
      </c>
      <c r="D168" s="4">
        <f>'Manual Adjustments'!G168</f>
        <v/>
      </c>
      <c r="E168" s="4">
        <f>MAX(40,MIN(100,C168+D168))</f>
        <v/>
      </c>
      <c r="F168">
        <f>COUNTIFS($A$3:$A$232,A168,$E$3:$E$232,"&gt;"&amp;E168)+COUNTIFS($A$3:A168,A168,$E$3:E168,E168)</f>
        <v/>
      </c>
      <c r="G168" s="4">
        <f>ROUND(INDEX('League Config'!$K$4:$K$9,MATCH(A168,'League Config'!$E$4:$E$9,0))*E168+INDEX('League Config'!$L$4:$L$9,MATCH(A168,'League Config'!$E$4:$E$9,0)),1)</f>
        <v/>
      </c>
      <c r="H168">
        <f>INDEX('League Config'!$H$4:$H$9,MATCH(A168,'League Config'!$E$4:$E$9,0))</f>
        <v/>
      </c>
      <c r="I168" s="4">
        <f>INDEX('League Config'!$I$4:$I$9,MATCH(A168,'League Config'!$E$4:$E$9,0))</f>
        <v/>
      </c>
      <c r="J168" s="4">
        <f>ROUND(G168-I168,1)</f>
        <v/>
      </c>
      <c r="K168" s="4">
        <f>MAX(0,MIN(100,50+J168*0.6))</f>
        <v/>
      </c>
      <c r="L168" s="4">
        <f>MIN(100,MAX(0,(1-(F168-1)/(H168*1.5))*100*INDEX('League Config'!$J$4:$J$9,MATCH(A168,'League Config'!$E$4:$E$9,0))))</f>
        <v/>
      </c>
      <c r="M168">
        <f>IF(A168="K",'League Config'!$B$14,IF(A168="DST",'League Config'!$B$15,IF(A168="QB",'League Config'!$B$16,0)))</f>
        <v/>
      </c>
      <c r="N168" s="4">
        <f>MIN(100,MAX(0,0.55*E168+0.3*K168+0.15*L168-M168))</f>
        <v/>
      </c>
      <c r="O168" s="9">
        <f>IF(OR(A168="K",A168="DST"),"",N168)</f>
        <v/>
      </c>
      <c r="P168" s="6">
        <f>IF(O168="","",COUNTIF($O$3:$O$232,"&gt;"&amp;O168)+COUNTIF($O$3:O168,O168))</f>
        <v/>
      </c>
      <c r="Q168">
        <f>IF(A168="DST",IF(F168&lt;=GateSize,DstStart-1+F168,NSkill+2*GateSize+F168-GateSize),IF(A168="K",IF(F168&lt;=GateSize,KStart-1+F168,NSkill+GateSize+NDst+F168-GateSize),IF(P168&lt;=DstStart-1,P168,P168+2*GateSize)))</f>
        <v/>
      </c>
      <c r="R168" s="4">
        <f>'LIVE SOURCE'!E168</f>
        <v/>
      </c>
      <c r="S168" s="4">
        <f>R168-Q168</f>
        <v/>
      </c>
      <c r="T168">
        <f>'LIVE SOURCE'!F168</f>
        <v/>
      </c>
      <c r="U168" s="4">
        <f>MAX(40,E168-IF(T168="A",6,IF(T168="B",9,12)))</f>
        <v/>
      </c>
      <c r="V168" s="4">
        <f>E168</f>
        <v/>
      </c>
      <c r="W168" s="4">
        <f>MIN(100,E168+IF(T168="A",6,IF(T168="B",9,12)))</f>
        <v/>
      </c>
      <c r="X168">
        <f>'LIVE SOURCE'!G168</f>
        <v/>
      </c>
      <c r="Y168">
        <f>IF(INDEX('Draft Board'!$J$3:$J$232,Q168)="","Available",INDEX('Draft Board'!$J$3:$J$232,Q168))</f>
        <v/>
      </c>
      <c r="Z168">
        <f>IF(Y168&lt;&gt;"Available","",1+COUNTIFS($Y$3:$Y$232,"Available",$Q$3:$Q$232,"&lt;"&amp;Q168))</f>
        <v/>
      </c>
    </row>
    <row r="169">
      <c r="A169">
        <f>'LIVE SOURCE'!A169</f>
        <v/>
      </c>
      <c r="B169">
        <f>'LIVE SOURCE'!B169</f>
        <v/>
      </c>
      <c r="C169" s="4">
        <f>'LIVE SOURCE'!D169</f>
        <v/>
      </c>
      <c r="D169" s="4">
        <f>'Manual Adjustments'!G169</f>
        <v/>
      </c>
      <c r="E169" s="4">
        <f>MAX(40,MIN(100,C169+D169))</f>
        <v/>
      </c>
      <c r="F169">
        <f>COUNTIFS($A$3:$A$232,A169,$E$3:$E$232,"&gt;"&amp;E169)+COUNTIFS($A$3:A169,A169,$E$3:E169,E169)</f>
        <v/>
      </c>
      <c r="G169" s="4">
        <f>ROUND(INDEX('League Config'!$K$4:$K$9,MATCH(A169,'League Config'!$E$4:$E$9,0))*E169+INDEX('League Config'!$L$4:$L$9,MATCH(A169,'League Config'!$E$4:$E$9,0)),1)</f>
        <v/>
      </c>
      <c r="H169">
        <f>INDEX('League Config'!$H$4:$H$9,MATCH(A169,'League Config'!$E$4:$E$9,0))</f>
        <v/>
      </c>
      <c r="I169" s="4">
        <f>INDEX('League Config'!$I$4:$I$9,MATCH(A169,'League Config'!$E$4:$E$9,0))</f>
        <v/>
      </c>
      <c r="J169" s="4">
        <f>ROUND(G169-I169,1)</f>
        <v/>
      </c>
      <c r="K169" s="4">
        <f>MAX(0,MIN(100,50+J169*0.6))</f>
        <v/>
      </c>
      <c r="L169" s="4">
        <f>MIN(100,MAX(0,(1-(F169-1)/(H169*1.5))*100*INDEX('League Config'!$J$4:$J$9,MATCH(A169,'League Config'!$E$4:$E$9,0))))</f>
        <v/>
      </c>
      <c r="M169">
        <f>IF(A169="K",'League Config'!$B$14,IF(A169="DST",'League Config'!$B$15,IF(A169="QB",'League Config'!$B$16,0)))</f>
        <v/>
      </c>
      <c r="N169" s="4">
        <f>MIN(100,MAX(0,0.55*E169+0.3*K169+0.15*L169-M169))</f>
        <v/>
      </c>
      <c r="O169" s="9">
        <f>IF(OR(A169="K",A169="DST"),"",N169)</f>
        <v/>
      </c>
      <c r="P169" s="6">
        <f>IF(O169="","",COUNTIF($O$3:$O$232,"&gt;"&amp;O169)+COUNTIF($O$3:O169,O169))</f>
        <v/>
      </c>
      <c r="Q169">
        <f>IF(A169="DST",IF(F169&lt;=GateSize,DstStart-1+F169,NSkill+2*GateSize+F169-GateSize),IF(A169="K",IF(F169&lt;=GateSize,KStart-1+F169,NSkill+GateSize+NDst+F169-GateSize),IF(P169&lt;=DstStart-1,P169,P169+2*GateSize)))</f>
        <v/>
      </c>
      <c r="R169" s="4">
        <f>'LIVE SOURCE'!E169</f>
        <v/>
      </c>
      <c r="S169" s="4">
        <f>R169-Q169</f>
        <v/>
      </c>
      <c r="T169">
        <f>'LIVE SOURCE'!F169</f>
        <v/>
      </c>
      <c r="U169" s="4">
        <f>MAX(40,E169-IF(T169="A",6,IF(T169="B",9,12)))</f>
        <v/>
      </c>
      <c r="V169" s="4">
        <f>E169</f>
        <v/>
      </c>
      <c r="W169" s="4">
        <f>MIN(100,E169+IF(T169="A",6,IF(T169="B",9,12)))</f>
        <v/>
      </c>
      <c r="X169">
        <f>'LIVE SOURCE'!G169</f>
        <v/>
      </c>
      <c r="Y169">
        <f>IF(INDEX('Draft Board'!$J$3:$J$232,Q169)="","Available",INDEX('Draft Board'!$J$3:$J$232,Q169))</f>
        <v/>
      </c>
      <c r="Z169">
        <f>IF(Y169&lt;&gt;"Available","",1+COUNTIFS($Y$3:$Y$232,"Available",$Q$3:$Q$232,"&lt;"&amp;Q169))</f>
        <v/>
      </c>
    </row>
    <row r="170">
      <c r="A170">
        <f>'LIVE SOURCE'!A170</f>
        <v/>
      </c>
      <c r="B170">
        <f>'LIVE SOURCE'!B170</f>
        <v/>
      </c>
      <c r="C170" s="4">
        <f>'LIVE SOURCE'!D170</f>
        <v/>
      </c>
      <c r="D170" s="4">
        <f>'Manual Adjustments'!G170</f>
        <v/>
      </c>
      <c r="E170" s="4">
        <f>MAX(40,MIN(100,C170+D170))</f>
        <v/>
      </c>
      <c r="F170">
        <f>COUNTIFS($A$3:$A$232,A170,$E$3:$E$232,"&gt;"&amp;E170)+COUNTIFS($A$3:A170,A170,$E$3:E170,E170)</f>
        <v/>
      </c>
      <c r="G170" s="4">
        <f>ROUND(INDEX('League Config'!$K$4:$K$9,MATCH(A170,'League Config'!$E$4:$E$9,0))*E170+INDEX('League Config'!$L$4:$L$9,MATCH(A170,'League Config'!$E$4:$E$9,0)),1)</f>
        <v/>
      </c>
      <c r="H170">
        <f>INDEX('League Config'!$H$4:$H$9,MATCH(A170,'League Config'!$E$4:$E$9,0))</f>
        <v/>
      </c>
      <c r="I170" s="4">
        <f>INDEX('League Config'!$I$4:$I$9,MATCH(A170,'League Config'!$E$4:$E$9,0))</f>
        <v/>
      </c>
      <c r="J170" s="4">
        <f>ROUND(G170-I170,1)</f>
        <v/>
      </c>
      <c r="K170" s="4">
        <f>MAX(0,MIN(100,50+J170*0.6))</f>
        <v/>
      </c>
      <c r="L170" s="4">
        <f>MIN(100,MAX(0,(1-(F170-1)/(H170*1.5))*100*INDEX('League Config'!$J$4:$J$9,MATCH(A170,'League Config'!$E$4:$E$9,0))))</f>
        <v/>
      </c>
      <c r="M170">
        <f>IF(A170="K",'League Config'!$B$14,IF(A170="DST",'League Config'!$B$15,IF(A170="QB",'League Config'!$B$16,0)))</f>
        <v/>
      </c>
      <c r="N170" s="4">
        <f>MIN(100,MAX(0,0.55*E170+0.3*K170+0.15*L170-M170))</f>
        <v/>
      </c>
      <c r="O170" s="9">
        <f>IF(OR(A170="K",A170="DST"),"",N170)</f>
        <v/>
      </c>
      <c r="P170" s="6">
        <f>IF(O170="","",COUNTIF($O$3:$O$232,"&gt;"&amp;O170)+COUNTIF($O$3:O170,O170))</f>
        <v/>
      </c>
      <c r="Q170">
        <f>IF(A170="DST",IF(F170&lt;=GateSize,DstStart-1+F170,NSkill+2*GateSize+F170-GateSize),IF(A170="K",IF(F170&lt;=GateSize,KStart-1+F170,NSkill+GateSize+NDst+F170-GateSize),IF(P170&lt;=DstStart-1,P170,P170+2*GateSize)))</f>
        <v/>
      </c>
      <c r="R170" s="4">
        <f>'LIVE SOURCE'!E170</f>
        <v/>
      </c>
      <c r="S170" s="4">
        <f>R170-Q170</f>
        <v/>
      </c>
      <c r="T170">
        <f>'LIVE SOURCE'!F170</f>
        <v/>
      </c>
      <c r="U170" s="4">
        <f>MAX(40,E170-IF(T170="A",6,IF(T170="B",9,12)))</f>
        <v/>
      </c>
      <c r="V170" s="4">
        <f>E170</f>
        <v/>
      </c>
      <c r="W170" s="4">
        <f>MIN(100,E170+IF(T170="A",6,IF(T170="B",9,12)))</f>
        <v/>
      </c>
      <c r="X170">
        <f>'LIVE SOURCE'!G170</f>
        <v/>
      </c>
      <c r="Y170">
        <f>IF(INDEX('Draft Board'!$J$3:$J$232,Q170)="","Available",INDEX('Draft Board'!$J$3:$J$232,Q170))</f>
        <v/>
      </c>
      <c r="Z170">
        <f>IF(Y170&lt;&gt;"Available","",1+COUNTIFS($Y$3:$Y$232,"Available",$Q$3:$Q$232,"&lt;"&amp;Q170))</f>
        <v/>
      </c>
    </row>
    <row r="171">
      <c r="A171">
        <f>'LIVE SOURCE'!A171</f>
        <v/>
      </c>
      <c r="B171">
        <f>'LIVE SOURCE'!B171</f>
        <v/>
      </c>
      <c r="C171" s="4">
        <f>'LIVE SOURCE'!D171</f>
        <v/>
      </c>
      <c r="D171" s="4">
        <f>'Manual Adjustments'!G171</f>
        <v/>
      </c>
      <c r="E171" s="4">
        <f>MAX(40,MIN(100,C171+D171))</f>
        <v/>
      </c>
      <c r="F171">
        <f>COUNTIFS($A$3:$A$232,A171,$E$3:$E$232,"&gt;"&amp;E171)+COUNTIFS($A$3:A171,A171,$E$3:E171,E171)</f>
        <v/>
      </c>
      <c r="G171" s="4">
        <f>ROUND(INDEX('League Config'!$K$4:$K$9,MATCH(A171,'League Config'!$E$4:$E$9,0))*E171+INDEX('League Config'!$L$4:$L$9,MATCH(A171,'League Config'!$E$4:$E$9,0)),1)</f>
        <v/>
      </c>
      <c r="H171">
        <f>INDEX('League Config'!$H$4:$H$9,MATCH(A171,'League Config'!$E$4:$E$9,0))</f>
        <v/>
      </c>
      <c r="I171" s="4">
        <f>INDEX('League Config'!$I$4:$I$9,MATCH(A171,'League Config'!$E$4:$E$9,0))</f>
        <v/>
      </c>
      <c r="J171" s="4">
        <f>ROUND(G171-I171,1)</f>
        <v/>
      </c>
      <c r="K171" s="4">
        <f>MAX(0,MIN(100,50+J171*0.6))</f>
        <v/>
      </c>
      <c r="L171" s="4">
        <f>MIN(100,MAX(0,(1-(F171-1)/(H171*1.5))*100*INDEX('League Config'!$J$4:$J$9,MATCH(A171,'League Config'!$E$4:$E$9,0))))</f>
        <v/>
      </c>
      <c r="M171">
        <f>IF(A171="K",'League Config'!$B$14,IF(A171="DST",'League Config'!$B$15,IF(A171="QB",'League Config'!$B$16,0)))</f>
        <v/>
      </c>
      <c r="N171" s="4">
        <f>MIN(100,MAX(0,0.55*E171+0.3*K171+0.15*L171-M171))</f>
        <v/>
      </c>
      <c r="O171" s="9">
        <f>IF(OR(A171="K",A171="DST"),"",N171)</f>
        <v/>
      </c>
      <c r="P171" s="6">
        <f>IF(O171="","",COUNTIF($O$3:$O$232,"&gt;"&amp;O171)+COUNTIF($O$3:O171,O171))</f>
        <v/>
      </c>
      <c r="Q171">
        <f>IF(A171="DST",IF(F171&lt;=GateSize,DstStart-1+F171,NSkill+2*GateSize+F171-GateSize),IF(A171="K",IF(F171&lt;=GateSize,KStart-1+F171,NSkill+GateSize+NDst+F171-GateSize),IF(P171&lt;=DstStart-1,P171,P171+2*GateSize)))</f>
        <v/>
      </c>
      <c r="R171" s="4">
        <f>'LIVE SOURCE'!E171</f>
        <v/>
      </c>
      <c r="S171" s="4">
        <f>R171-Q171</f>
        <v/>
      </c>
      <c r="T171">
        <f>'LIVE SOURCE'!F171</f>
        <v/>
      </c>
      <c r="U171" s="4">
        <f>MAX(40,E171-IF(T171="A",6,IF(T171="B",9,12)))</f>
        <v/>
      </c>
      <c r="V171" s="4">
        <f>E171</f>
        <v/>
      </c>
      <c r="W171" s="4">
        <f>MIN(100,E171+IF(T171="A",6,IF(T171="B",9,12)))</f>
        <v/>
      </c>
      <c r="X171">
        <f>'LIVE SOURCE'!G171</f>
        <v/>
      </c>
      <c r="Y171">
        <f>IF(INDEX('Draft Board'!$J$3:$J$232,Q171)="","Available",INDEX('Draft Board'!$J$3:$J$232,Q171))</f>
        <v/>
      </c>
      <c r="Z171">
        <f>IF(Y171&lt;&gt;"Available","",1+COUNTIFS($Y$3:$Y$232,"Available",$Q$3:$Q$232,"&lt;"&amp;Q171))</f>
        <v/>
      </c>
    </row>
    <row r="172">
      <c r="A172">
        <f>'LIVE SOURCE'!A172</f>
        <v/>
      </c>
      <c r="B172">
        <f>'LIVE SOURCE'!B172</f>
        <v/>
      </c>
      <c r="C172" s="4">
        <f>'LIVE SOURCE'!D172</f>
        <v/>
      </c>
      <c r="D172" s="4">
        <f>'Manual Adjustments'!G172</f>
        <v/>
      </c>
      <c r="E172" s="4">
        <f>MAX(40,MIN(100,C172+D172))</f>
        <v/>
      </c>
      <c r="F172">
        <f>COUNTIFS($A$3:$A$232,A172,$E$3:$E$232,"&gt;"&amp;E172)+COUNTIFS($A$3:A172,A172,$E$3:E172,E172)</f>
        <v/>
      </c>
      <c r="G172" s="4">
        <f>ROUND(INDEX('League Config'!$K$4:$K$9,MATCH(A172,'League Config'!$E$4:$E$9,0))*E172+INDEX('League Config'!$L$4:$L$9,MATCH(A172,'League Config'!$E$4:$E$9,0)),1)</f>
        <v/>
      </c>
      <c r="H172">
        <f>INDEX('League Config'!$H$4:$H$9,MATCH(A172,'League Config'!$E$4:$E$9,0))</f>
        <v/>
      </c>
      <c r="I172" s="4">
        <f>INDEX('League Config'!$I$4:$I$9,MATCH(A172,'League Config'!$E$4:$E$9,0))</f>
        <v/>
      </c>
      <c r="J172" s="4">
        <f>ROUND(G172-I172,1)</f>
        <v/>
      </c>
      <c r="K172" s="4">
        <f>MAX(0,MIN(100,50+J172*0.6))</f>
        <v/>
      </c>
      <c r="L172" s="4">
        <f>MIN(100,MAX(0,(1-(F172-1)/(H172*1.5))*100*INDEX('League Config'!$J$4:$J$9,MATCH(A172,'League Config'!$E$4:$E$9,0))))</f>
        <v/>
      </c>
      <c r="M172">
        <f>IF(A172="K",'League Config'!$B$14,IF(A172="DST",'League Config'!$B$15,IF(A172="QB",'League Config'!$B$16,0)))</f>
        <v/>
      </c>
      <c r="N172" s="4">
        <f>MIN(100,MAX(0,0.55*E172+0.3*K172+0.15*L172-M172))</f>
        <v/>
      </c>
      <c r="O172" s="9">
        <f>IF(OR(A172="K",A172="DST"),"",N172)</f>
        <v/>
      </c>
      <c r="P172" s="6">
        <f>IF(O172="","",COUNTIF($O$3:$O$232,"&gt;"&amp;O172)+COUNTIF($O$3:O172,O172))</f>
        <v/>
      </c>
      <c r="Q172">
        <f>IF(A172="DST",IF(F172&lt;=GateSize,DstStart-1+F172,NSkill+2*GateSize+F172-GateSize),IF(A172="K",IF(F172&lt;=GateSize,KStart-1+F172,NSkill+GateSize+NDst+F172-GateSize),IF(P172&lt;=DstStart-1,P172,P172+2*GateSize)))</f>
        <v/>
      </c>
      <c r="R172" s="4">
        <f>'LIVE SOURCE'!E172</f>
        <v/>
      </c>
      <c r="S172" s="4">
        <f>R172-Q172</f>
        <v/>
      </c>
      <c r="T172">
        <f>'LIVE SOURCE'!F172</f>
        <v/>
      </c>
      <c r="U172" s="4">
        <f>MAX(40,E172-IF(T172="A",6,IF(T172="B",9,12)))</f>
        <v/>
      </c>
      <c r="V172" s="4">
        <f>E172</f>
        <v/>
      </c>
      <c r="W172" s="4">
        <f>MIN(100,E172+IF(T172="A",6,IF(T172="B",9,12)))</f>
        <v/>
      </c>
      <c r="X172">
        <f>'LIVE SOURCE'!G172</f>
        <v/>
      </c>
      <c r="Y172">
        <f>IF(INDEX('Draft Board'!$J$3:$J$232,Q172)="","Available",INDEX('Draft Board'!$J$3:$J$232,Q172))</f>
        <v/>
      </c>
      <c r="Z172">
        <f>IF(Y172&lt;&gt;"Available","",1+COUNTIFS($Y$3:$Y$232,"Available",$Q$3:$Q$232,"&lt;"&amp;Q172))</f>
        <v/>
      </c>
    </row>
    <row r="173">
      <c r="A173">
        <f>'LIVE SOURCE'!A173</f>
        <v/>
      </c>
      <c r="B173">
        <f>'LIVE SOURCE'!B173</f>
        <v/>
      </c>
      <c r="C173" s="4">
        <f>'LIVE SOURCE'!D173</f>
        <v/>
      </c>
      <c r="D173" s="4">
        <f>'Manual Adjustments'!G173</f>
        <v/>
      </c>
      <c r="E173" s="4">
        <f>MAX(40,MIN(100,C173+D173))</f>
        <v/>
      </c>
      <c r="F173">
        <f>COUNTIFS($A$3:$A$232,A173,$E$3:$E$232,"&gt;"&amp;E173)+COUNTIFS($A$3:A173,A173,$E$3:E173,E173)</f>
        <v/>
      </c>
      <c r="G173" s="4">
        <f>ROUND(INDEX('League Config'!$K$4:$K$9,MATCH(A173,'League Config'!$E$4:$E$9,0))*E173+INDEX('League Config'!$L$4:$L$9,MATCH(A173,'League Config'!$E$4:$E$9,0)),1)</f>
        <v/>
      </c>
      <c r="H173">
        <f>INDEX('League Config'!$H$4:$H$9,MATCH(A173,'League Config'!$E$4:$E$9,0))</f>
        <v/>
      </c>
      <c r="I173" s="4">
        <f>INDEX('League Config'!$I$4:$I$9,MATCH(A173,'League Config'!$E$4:$E$9,0))</f>
        <v/>
      </c>
      <c r="J173" s="4">
        <f>ROUND(G173-I173,1)</f>
        <v/>
      </c>
      <c r="K173" s="4">
        <f>MAX(0,MIN(100,50+J173*0.6))</f>
        <v/>
      </c>
      <c r="L173" s="4">
        <f>MIN(100,MAX(0,(1-(F173-1)/(H173*1.5))*100*INDEX('League Config'!$J$4:$J$9,MATCH(A173,'League Config'!$E$4:$E$9,0))))</f>
        <v/>
      </c>
      <c r="M173">
        <f>IF(A173="K",'League Config'!$B$14,IF(A173="DST",'League Config'!$B$15,IF(A173="QB",'League Config'!$B$16,0)))</f>
        <v/>
      </c>
      <c r="N173" s="4">
        <f>MIN(100,MAX(0,0.55*E173+0.3*K173+0.15*L173-M173))</f>
        <v/>
      </c>
      <c r="O173" s="9">
        <f>IF(OR(A173="K",A173="DST"),"",N173)</f>
        <v/>
      </c>
      <c r="P173" s="6">
        <f>IF(O173="","",COUNTIF($O$3:$O$232,"&gt;"&amp;O173)+COUNTIF($O$3:O173,O173))</f>
        <v/>
      </c>
      <c r="Q173">
        <f>IF(A173="DST",IF(F173&lt;=GateSize,DstStart-1+F173,NSkill+2*GateSize+F173-GateSize),IF(A173="K",IF(F173&lt;=GateSize,KStart-1+F173,NSkill+GateSize+NDst+F173-GateSize),IF(P173&lt;=DstStart-1,P173,P173+2*GateSize)))</f>
        <v/>
      </c>
      <c r="R173" s="4">
        <f>'LIVE SOURCE'!E173</f>
        <v/>
      </c>
      <c r="S173" s="4">
        <f>R173-Q173</f>
        <v/>
      </c>
      <c r="T173">
        <f>'LIVE SOURCE'!F173</f>
        <v/>
      </c>
      <c r="U173" s="4">
        <f>MAX(40,E173-IF(T173="A",6,IF(T173="B",9,12)))</f>
        <v/>
      </c>
      <c r="V173" s="4">
        <f>E173</f>
        <v/>
      </c>
      <c r="W173" s="4">
        <f>MIN(100,E173+IF(T173="A",6,IF(T173="B",9,12)))</f>
        <v/>
      </c>
      <c r="X173">
        <f>'LIVE SOURCE'!G173</f>
        <v/>
      </c>
      <c r="Y173">
        <f>IF(INDEX('Draft Board'!$J$3:$J$232,Q173)="","Available",INDEX('Draft Board'!$J$3:$J$232,Q173))</f>
        <v/>
      </c>
      <c r="Z173">
        <f>IF(Y173&lt;&gt;"Available","",1+COUNTIFS($Y$3:$Y$232,"Available",$Q$3:$Q$232,"&lt;"&amp;Q173))</f>
        <v/>
      </c>
    </row>
    <row r="174">
      <c r="A174">
        <f>'LIVE SOURCE'!A174</f>
        <v/>
      </c>
      <c r="B174">
        <f>'LIVE SOURCE'!B174</f>
        <v/>
      </c>
      <c r="C174" s="4">
        <f>'LIVE SOURCE'!D174</f>
        <v/>
      </c>
      <c r="D174" s="4">
        <f>'Manual Adjustments'!G174</f>
        <v/>
      </c>
      <c r="E174" s="4">
        <f>MAX(40,MIN(100,C174+D174))</f>
        <v/>
      </c>
      <c r="F174">
        <f>COUNTIFS($A$3:$A$232,A174,$E$3:$E$232,"&gt;"&amp;E174)+COUNTIFS($A$3:A174,A174,$E$3:E174,E174)</f>
        <v/>
      </c>
      <c r="G174" s="4">
        <f>ROUND(INDEX('League Config'!$K$4:$K$9,MATCH(A174,'League Config'!$E$4:$E$9,0))*E174+INDEX('League Config'!$L$4:$L$9,MATCH(A174,'League Config'!$E$4:$E$9,0)),1)</f>
        <v/>
      </c>
      <c r="H174">
        <f>INDEX('League Config'!$H$4:$H$9,MATCH(A174,'League Config'!$E$4:$E$9,0))</f>
        <v/>
      </c>
      <c r="I174" s="4">
        <f>INDEX('League Config'!$I$4:$I$9,MATCH(A174,'League Config'!$E$4:$E$9,0))</f>
        <v/>
      </c>
      <c r="J174" s="4">
        <f>ROUND(G174-I174,1)</f>
        <v/>
      </c>
      <c r="K174" s="4">
        <f>MAX(0,MIN(100,50+J174*0.6))</f>
        <v/>
      </c>
      <c r="L174" s="4">
        <f>MIN(100,MAX(0,(1-(F174-1)/(H174*1.5))*100*INDEX('League Config'!$J$4:$J$9,MATCH(A174,'League Config'!$E$4:$E$9,0))))</f>
        <v/>
      </c>
      <c r="M174">
        <f>IF(A174="K",'League Config'!$B$14,IF(A174="DST",'League Config'!$B$15,IF(A174="QB",'League Config'!$B$16,0)))</f>
        <v/>
      </c>
      <c r="N174" s="4">
        <f>MIN(100,MAX(0,0.55*E174+0.3*K174+0.15*L174-M174))</f>
        <v/>
      </c>
      <c r="O174" s="9">
        <f>IF(OR(A174="K",A174="DST"),"",N174)</f>
        <v/>
      </c>
      <c r="P174" s="6">
        <f>IF(O174="","",COUNTIF($O$3:$O$232,"&gt;"&amp;O174)+COUNTIF($O$3:O174,O174))</f>
        <v/>
      </c>
      <c r="Q174">
        <f>IF(A174="DST",IF(F174&lt;=GateSize,DstStart-1+F174,NSkill+2*GateSize+F174-GateSize),IF(A174="K",IF(F174&lt;=GateSize,KStart-1+F174,NSkill+GateSize+NDst+F174-GateSize),IF(P174&lt;=DstStart-1,P174,P174+2*GateSize)))</f>
        <v/>
      </c>
      <c r="R174" s="4">
        <f>'LIVE SOURCE'!E174</f>
        <v/>
      </c>
      <c r="S174" s="4">
        <f>R174-Q174</f>
        <v/>
      </c>
      <c r="T174">
        <f>'LIVE SOURCE'!F174</f>
        <v/>
      </c>
      <c r="U174" s="4">
        <f>MAX(40,E174-IF(T174="A",6,IF(T174="B",9,12)))</f>
        <v/>
      </c>
      <c r="V174" s="4">
        <f>E174</f>
        <v/>
      </c>
      <c r="W174" s="4">
        <f>MIN(100,E174+IF(T174="A",6,IF(T174="B",9,12)))</f>
        <v/>
      </c>
      <c r="X174">
        <f>'LIVE SOURCE'!G174</f>
        <v/>
      </c>
      <c r="Y174">
        <f>IF(INDEX('Draft Board'!$J$3:$J$232,Q174)="","Available",INDEX('Draft Board'!$J$3:$J$232,Q174))</f>
        <v/>
      </c>
      <c r="Z174">
        <f>IF(Y174&lt;&gt;"Available","",1+COUNTIFS($Y$3:$Y$232,"Available",$Q$3:$Q$232,"&lt;"&amp;Q174))</f>
        <v/>
      </c>
    </row>
    <row r="175">
      <c r="A175">
        <f>'LIVE SOURCE'!A175</f>
        <v/>
      </c>
      <c r="B175">
        <f>'LIVE SOURCE'!B175</f>
        <v/>
      </c>
      <c r="C175" s="4">
        <f>'LIVE SOURCE'!D175</f>
        <v/>
      </c>
      <c r="D175" s="4">
        <f>'Manual Adjustments'!G175</f>
        <v/>
      </c>
      <c r="E175" s="4">
        <f>MAX(40,MIN(100,C175+D175))</f>
        <v/>
      </c>
      <c r="F175">
        <f>COUNTIFS($A$3:$A$232,A175,$E$3:$E$232,"&gt;"&amp;E175)+COUNTIFS($A$3:A175,A175,$E$3:E175,E175)</f>
        <v/>
      </c>
      <c r="G175" s="4">
        <f>ROUND(INDEX('League Config'!$K$4:$K$9,MATCH(A175,'League Config'!$E$4:$E$9,0))*E175+INDEX('League Config'!$L$4:$L$9,MATCH(A175,'League Config'!$E$4:$E$9,0)),1)</f>
        <v/>
      </c>
      <c r="H175">
        <f>INDEX('League Config'!$H$4:$H$9,MATCH(A175,'League Config'!$E$4:$E$9,0))</f>
        <v/>
      </c>
      <c r="I175" s="4">
        <f>INDEX('League Config'!$I$4:$I$9,MATCH(A175,'League Config'!$E$4:$E$9,0))</f>
        <v/>
      </c>
      <c r="J175" s="4">
        <f>ROUND(G175-I175,1)</f>
        <v/>
      </c>
      <c r="K175" s="4">
        <f>MAX(0,MIN(100,50+J175*0.6))</f>
        <v/>
      </c>
      <c r="L175" s="4">
        <f>MIN(100,MAX(0,(1-(F175-1)/(H175*1.5))*100*INDEX('League Config'!$J$4:$J$9,MATCH(A175,'League Config'!$E$4:$E$9,0))))</f>
        <v/>
      </c>
      <c r="M175">
        <f>IF(A175="K",'League Config'!$B$14,IF(A175="DST",'League Config'!$B$15,IF(A175="QB",'League Config'!$B$16,0)))</f>
        <v/>
      </c>
      <c r="N175" s="4">
        <f>MIN(100,MAX(0,0.55*E175+0.3*K175+0.15*L175-M175))</f>
        <v/>
      </c>
      <c r="O175" s="9">
        <f>IF(OR(A175="K",A175="DST"),"",N175)</f>
        <v/>
      </c>
      <c r="P175" s="6">
        <f>IF(O175="","",COUNTIF($O$3:$O$232,"&gt;"&amp;O175)+COUNTIF($O$3:O175,O175))</f>
        <v/>
      </c>
      <c r="Q175">
        <f>IF(A175="DST",IF(F175&lt;=GateSize,DstStart-1+F175,NSkill+2*GateSize+F175-GateSize),IF(A175="K",IF(F175&lt;=GateSize,KStart-1+F175,NSkill+GateSize+NDst+F175-GateSize),IF(P175&lt;=DstStart-1,P175,P175+2*GateSize)))</f>
        <v/>
      </c>
      <c r="R175" s="4">
        <f>'LIVE SOURCE'!E175</f>
        <v/>
      </c>
      <c r="S175" s="4">
        <f>R175-Q175</f>
        <v/>
      </c>
      <c r="T175">
        <f>'LIVE SOURCE'!F175</f>
        <v/>
      </c>
      <c r="U175" s="4">
        <f>MAX(40,E175-IF(T175="A",6,IF(T175="B",9,12)))</f>
        <v/>
      </c>
      <c r="V175" s="4">
        <f>E175</f>
        <v/>
      </c>
      <c r="W175" s="4">
        <f>MIN(100,E175+IF(T175="A",6,IF(T175="B",9,12)))</f>
        <v/>
      </c>
      <c r="X175">
        <f>'LIVE SOURCE'!G175</f>
        <v/>
      </c>
      <c r="Y175">
        <f>IF(INDEX('Draft Board'!$J$3:$J$232,Q175)="","Available",INDEX('Draft Board'!$J$3:$J$232,Q175))</f>
        <v/>
      </c>
      <c r="Z175">
        <f>IF(Y175&lt;&gt;"Available","",1+COUNTIFS($Y$3:$Y$232,"Available",$Q$3:$Q$232,"&lt;"&amp;Q175))</f>
        <v/>
      </c>
    </row>
    <row r="176">
      <c r="A176">
        <f>'LIVE SOURCE'!A176</f>
        <v/>
      </c>
      <c r="B176">
        <f>'LIVE SOURCE'!B176</f>
        <v/>
      </c>
      <c r="C176" s="4">
        <f>'LIVE SOURCE'!D176</f>
        <v/>
      </c>
      <c r="D176" s="4">
        <f>'Manual Adjustments'!G176</f>
        <v/>
      </c>
      <c r="E176" s="4">
        <f>MAX(40,MIN(100,C176+D176))</f>
        <v/>
      </c>
      <c r="F176">
        <f>COUNTIFS($A$3:$A$232,A176,$E$3:$E$232,"&gt;"&amp;E176)+COUNTIFS($A$3:A176,A176,$E$3:E176,E176)</f>
        <v/>
      </c>
      <c r="G176" s="4">
        <f>ROUND(INDEX('League Config'!$K$4:$K$9,MATCH(A176,'League Config'!$E$4:$E$9,0))*E176+INDEX('League Config'!$L$4:$L$9,MATCH(A176,'League Config'!$E$4:$E$9,0)),1)</f>
        <v/>
      </c>
      <c r="H176">
        <f>INDEX('League Config'!$H$4:$H$9,MATCH(A176,'League Config'!$E$4:$E$9,0))</f>
        <v/>
      </c>
      <c r="I176" s="4">
        <f>INDEX('League Config'!$I$4:$I$9,MATCH(A176,'League Config'!$E$4:$E$9,0))</f>
        <v/>
      </c>
      <c r="J176" s="4">
        <f>ROUND(G176-I176,1)</f>
        <v/>
      </c>
      <c r="K176" s="4">
        <f>MAX(0,MIN(100,50+J176*0.6))</f>
        <v/>
      </c>
      <c r="L176" s="4">
        <f>MIN(100,MAX(0,(1-(F176-1)/(H176*1.5))*100*INDEX('League Config'!$J$4:$J$9,MATCH(A176,'League Config'!$E$4:$E$9,0))))</f>
        <v/>
      </c>
      <c r="M176">
        <f>IF(A176="K",'League Config'!$B$14,IF(A176="DST",'League Config'!$B$15,IF(A176="QB",'League Config'!$B$16,0)))</f>
        <v/>
      </c>
      <c r="N176" s="4">
        <f>MIN(100,MAX(0,0.55*E176+0.3*K176+0.15*L176-M176))</f>
        <v/>
      </c>
      <c r="O176" s="9">
        <f>IF(OR(A176="K",A176="DST"),"",N176)</f>
        <v/>
      </c>
      <c r="P176" s="6">
        <f>IF(O176="","",COUNTIF($O$3:$O$232,"&gt;"&amp;O176)+COUNTIF($O$3:O176,O176))</f>
        <v/>
      </c>
      <c r="Q176">
        <f>IF(A176="DST",IF(F176&lt;=GateSize,DstStart-1+F176,NSkill+2*GateSize+F176-GateSize),IF(A176="K",IF(F176&lt;=GateSize,KStart-1+F176,NSkill+GateSize+NDst+F176-GateSize),IF(P176&lt;=DstStart-1,P176,P176+2*GateSize)))</f>
        <v/>
      </c>
      <c r="R176" s="4">
        <f>'LIVE SOURCE'!E176</f>
        <v/>
      </c>
      <c r="S176" s="4">
        <f>R176-Q176</f>
        <v/>
      </c>
      <c r="T176">
        <f>'LIVE SOURCE'!F176</f>
        <v/>
      </c>
      <c r="U176" s="4">
        <f>MAX(40,E176-IF(T176="A",6,IF(T176="B",9,12)))</f>
        <v/>
      </c>
      <c r="V176" s="4">
        <f>E176</f>
        <v/>
      </c>
      <c r="W176" s="4">
        <f>MIN(100,E176+IF(T176="A",6,IF(T176="B",9,12)))</f>
        <v/>
      </c>
      <c r="X176">
        <f>'LIVE SOURCE'!G176</f>
        <v/>
      </c>
      <c r="Y176">
        <f>IF(INDEX('Draft Board'!$J$3:$J$232,Q176)="","Available",INDEX('Draft Board'!$J$3:$J$232,Q176))</f>
        <v/>
      </c>
      <c r="Z176">
        <f>IF(Y176&lt;&gt;"Available","",1+COUNTIFS($Y$3:$Y$232,"Available",$Q$3:$Q$232,"&lt;"&amp;Q176))</f>
        <v/>
      </c>
    </row>
    <row r="177">
      <c r="A177">
        <f>'LIVE SOURCE'!A177</f>
        <v/>
      </c>
      <c r="B177">
        <f>'LIVE SOURCE'!B177</f>
        <v/>
      </c>
      <c r="C177" s="4">
        <f>'LIVE SOURCE'!D177</f>
        <v/>
      </c>
      <c r="D177" s="4">
        <f>'Manual Adjustments'!G177</f>
        <v/>
      </c>
      <c r="E177" s="4">
        <f>MAX(40,MIN(100,C177+D177))</f>
        <v/>
      </c>
      <c r="F177">
        <f>COUNTIFS($A$3:$A$232,A177,$E$3:$E$232,"&gt;"&amp;E177)+COUNTIFS($A$3:A177,A177,$E$3:E177,E177)</f>
        <v/>
      </c>
      <c r="G177" s="4">
        <f>ROUND(INDEX('League Config'!$K$4:$K$9,MATCH(A177,'League Config'!$E$4:$E$9,0))*E177+INDEX('League Config'!$L$4:$L$9,MATCH(A177,'League Config'!$E$4:$E$9,0)),1)</f>
        <v/>
      </c>
      <c r="H177">
        <f>INDEX('League Config'!$H$4:$H$9,MATCH(A177,'League Config'!$E$4:$E$9,0))</f>
        <v/>
      </c>
      <c r="I177" s="4">
        <f>INDEX('League Config'!$I$4:$I$9,MATCH(A177,'League Config'!$E$4:$E$9,0))</f>
        <v/>
      </c>
      <c r="J177" s="4">
        <f>ROUND(G177-I177,1)</f>
        <v/>
      </c>
      <c r="K177" s="4">
        <f>MAX(0,MIN(100,50+J177*0.6))</f>
        <v/>
      </c>
      <c r="L177" s="4">
        <f>MIN(100,MAX(0,(1-(F177-1)/(H177*1.5))*100*INDEX('League Config'!$J$4:$J$9,MATCH(A177,'League Config'!$E$4:$E$9,0))))</f>
        <v/>
      </c>
      <c r="M177">
        <f>IF(A177="K",'League Config'!$B$14,IF(A177="DST",'League Config'!$B$15,IF(A177="QB",'League Config'!$B$16,0)))</f>
        <v/>
      </c>
      <c r="N177" s="4">
        <f>MIN(100,MAX(0,0.55*E177+0.3*K177+0.15*L177-M177))</f>
        <v/>
      </c>
      <c r="O177" s="9">
        <f>IF(OR(A177="K",A177="DST"),"",N177)</f>
        <v/>
      </c>
      <c r="P177" s="6">
        <f>IF(O177="","",COUNTIF($O$3:$O$232,"&gt;"&amp;O177)+COUNTIF($O$3:O177,O177))</f>
        <v/>
      </c>
      <c r="Q177">
        <f>IF(A177="DST",IF(F177&lt;=GateSize,DstStart-1+F177,NSkill+2*GateSize+F177-GateSize),IF(A177="K",IF(F177&lt;=GateSize,KStart-1+F177,NSkill+GateSize+NDst+F177-GateSize),IF(P177&lt;=DstStart-1,P177,P177+2*GateSize)))</f>
        <v/>
      </c>
      <c r="R177" s="4">
        <f>'LIVE SOURCE'!E177</f>
        <v/>
      </c>
      <c r="S177" s="4">
        <f>R177-Q177</f>
        <v/>
      </c>
      <c r="T177">
        <f>'LIVE SOURCE'!F177</f>
        <v/>
      </c>
      <c r="U177" s="4">
        <f>MAX(40,E177-IF(T177="A",6,IF(T177="B",9,12)))</f>
        <v/>
      </c>
      <c r="V177" s="4">
        <f>E177</f>
        <v/>
      </c>
      <c r="W177" s="4">
        <f>MIN(100,E177+IF(T177="A",6,IF(T177="B",9,12)))</f>
        <v/>
      </c>
      <c r="X177">
        <f>'LIVE SOURCE'!G177</f>
        <v/>
      </c>
      <c r="Y177">
        <f>IF(INDEX('Draft Board'!$J$3:$J$232,Q177)="","Available",INDEX('Draft Board'!$J$3:$J$232,Q177))</f>
        <v/>
      </c>
      <c r="Z177">
        <f>IF(Y177&lt;&gt;"Available","",1+COUNTIFS($Y$3:$Y$232,"Available",$Q$3:$Q$232,"&lt;"&amp;Q177))</f>
        <v/>
      </c>
    </row>
    <row r="178">
      <c r="A178">
        <f>'LIVE SOURCE'!A178</f>
        <v/>
      </c>
      <c r="B178">
        <f>'LIVE SOURCE'!B178</f>
        <v/>
      </c>
      <c r="C178" s="4">
        <f>'LIVE SOURCE'!D178</f>
        <v/>
      </c>
      <c r="D178" s="4">
        <f>'Manual Adjustments'!G178</f>
        <v/>
      </c>
      <c r="E178" s="4">
        <f>MAX(40,MIN(100,C178+D178))</f>
        <v/>
      </c>
      <c r="F178">
        <f>COUNTIFS($A$3:$A$232,A178,$E$3:$E$232,"&gt;"&amp;E178)+COUNTIFS($A$3:A178,A178,$E$3:E178,E178)</f>
        <v/>
      </c>
      <c r="G178" s="4">
        <f>ROUND(INDEX('League Config'!$K$4:$K$9,MATCH(A178,'League Config'!$E$4:$E$9,0))*E178+INDEX('League Config'!$L$4:$L$9,MATCH(A178,'League Config'!$E$4:$E$9,0)),1)</f>
        <v/>
      </c>
      <c r="H178">
        <f>INDEX('League Config'!$H$4:$H$9,MATCH(A178,'League Config'!$E$4:$E$9,0))</f>
        <v/>
      </c>
      <c r="I178" s="4">
        <f>INDEX('League Config'!$I$4:$I$9,MATCH(A178,'League Config'!$E$4:$E$9,0))</f>
        <v/>
      </c>
      <c r="J178" s="4">
        <f>ROUND(G178-I178,1)</f>
        <v/>
      </c>
      <c r="K178" s="4">
        <f>MAX(0,MIN(100,50+J178*0.6))</f>
        <v/>
      </c>
      <c r="L178" s="4">
        <f>MIN(100,MAX(0,(1-(F178-1)/(H178*1.5))*100*INDEX('League Config'!$J$4:$J$9,MATCH(A178,'League Config'!$E$4:$E$9,0))))</f>
        <v/>
      </c>
      <c r="M178">
        <f>IF(A178="K",'League Config'!$B$14,IF(A178="DST",'League Config'!$B$15,IF(A178="QB",'League Config'!$B$16,0)))</f>
        <v/>
      </c>
      <c r="N178" s="4">
        <f>MIN(100,MAX(0,0.55*E178+0.3*K178+0.15*L178-M178))</f>
        <v/>
      </c>
      <c r="O178" s="9">
        <f>IF(OR(A178="K",A178="DST"),"",N178)</f>
        <v/>
      </c>
      <c r="P178" s="6">
        <f>IF(O178="","",COUNTIF($O$3:$O$232,"&gt;"&amp;O178)+COUNTIF($O$3:O178,O178))</f>
        <v/>
      </c>
      <c r="Q178">
        <f>IF(A178="DST",IF(F178&lt;=GateSize,DstStart-1+F178,NSkill+2*GateSize+F178-GateSize),IF(A178="K",IF(F178&lt;=GateSize,KStart-1+F178,NSkill+GateSize+NDst+F178-GateSize),IF(P178&lt;=DstStart-1,P178,P178+2*GateSize)))</f>
        <v/>
      </c>
      <c r="R178" s="4">
        <f>'LIVE SOURCE'!E178</f>
        <v/>
      </c>
      <c r="S178" s="4">
        <f>R178-Q178</f>
        <v/>
      </c>
      <c r="T178">
        <f>'LIVE SOURCE'!F178</f>
        <v/>
      </c>
      <c r="U178" s="4">
        <f>MAX(40,E178-IF(T178="A",6,IF(T178="B",9,12)))</f>
        <v/>
      </c>
      <c r="V178" s="4">
        <f>E178</f>
        <v/>
      </c>
      <c r="W178" s="4">
        <f>MIN(100,E178+IF(T178="A",6,IF(T178="B",9,12)))</f>
        <v/>
      </c>
      <c r="X178">
        <f>'LIVE SOURCE'!G178</f>
        <v/>
      </c>
      <c r="Y178">
        <f>IF(INDEX('Draft Board'!$J$3:$J$232,Q178)="","Available",INDEX('Draft Board'!$J$3:$J$232,Q178))</f>
        <v/>
      </c>
      <c r="Z178">
        <f>IF(Y178&lt;&gt;"Available","",1+COUNTIFS($Y$3:$Y$232,"Available",$Q$3:$Q$232,"&lt;"&amp;Q178))</f>
        <v/>
      </c>
    </row>
    <row r="179">
      <c r="A179">
        <f>'LIVE SOURCE'!A179</f>
        <v/>
      </c>
      <c r="B179">
        <f>'LIVE SOURCE'!B179</f>
        <v/>
      </c>
      <c r="C179" s="4">
        <f>'LIVE SOURCE'!D179</f>
        <v/>
      </c>
      <c r="D179" s="4">
        <f>'Manual Adjustments'!G179</f>
        <v/>
      </c>
      <c r="E179" s="4">
        <f>MAX(40,MIN(100,C179+D179))</f>
        <v/>
      </c>
      <c r="F179">
        <f>COUNTIFS($A$3:$A$232,A179,$E$3:$E$232,"&gt;"&amp;E179)+COUNTIFS($A$3:A179,A179,$E$3:E179,E179)</f>
        <v/>
      </c>
      <c r="G179" s="4">
        <f>ROUND(INDEX('League Config'!$K$4:$K$9,MATCH(A179,'League Config'!$E$4:$E$9,0))*E179+INDEX('League Config'!$L$4:$L$9,MATCH(A179,'League Config'!$E$4:$E$9,0)),1)</f>
        <v/>
      </c>
      <c r="H179">
        <f>INDEX('League Config'!$H$4:$H$9,MATCH(A179,'League Config'!$E$4:$E$9,0))</f>
        <v/>
      </c>
      <c r="I179" s="4">
        <f>INDEX('League Config'!$I$4:$I$9,MATCH(A179,'League Config'!$E$4:$E$9,0))</f>
        <v/>
      </c>
      <c r="J179" s="4">
        <f>ROUND(G179-I179,1)</f>
        <v/>
      </c>
      <c r="K179" s="4">
        <f>MAX(0,MIN(100,50+J179*0.6))</f>
        <v/>
      </c>
      <c r="L179" s="4">
        <f>MIN(100,MAX(0,(1-(F179-1)/(H179*1.5))*100*INDEX('League Config'!$J$4:$J$9,MATCH(A179,'League Config'!$E$4:$E$9,0))))</f>
        <v/>
      </c>
      <c r="M179">
        <f>IF(A179="K",'League Config'!$B$14,IF(A179="DST",'League Config'!$B$15,IF(A179="QB",'League Config'!$B$16,0)))</f>
        <v/>
      </c>
      <c r="N179" s="4">
        <f>MIN(100,MAX(0,0.55*E179+0.3*K179+0.15*L179-M179))</f>
        <v/>
      </c>
      <c r="O179" s="9">
        <f>IF(OR(A179="K",A179="DST"),"",N179)</f>
        <v/>
      </c>
      <c r="P179" s="6">
        <f>IF(O179="","",COUNTIF($O$3:$O$232,"&gt;"&amp;O179)+COUNTIF($O$3:O179,O179))</f>
        <v/>
      </c>
      <c r="Q179">
        <f>IF(A179="DST",IF(F179&lt;=GateSize,DstStart-1+F179,NSkill+2*GateSize+F179-GateSize),IF(A179="K",IF(F179&lt;=GateSize,KStart-1+F179,NSkill+GateSize+NDst+F179-GateSize),IF(P179&lt;=DstStart-1,P179,P179+2*GateSize)))</f>
        <v/>
      </c>
      <c r="R179" s="4">
        <f>'LIVE SOURCE'!E179</f>
        <v/>
      </c>
      <c r="S179" s="4">
        <f>R179-Q179</f>
        <v/>
      </c>
      <c r="T179">
        <f>'LIVE SOURCE'!F179</f>
        <v/>
      </c>
      <c r="U179" s="4">
        <f>MAX(40,E179-IF(T179="A",6,IF(T179="B",9,12)))</f>
        <v/>
      </c>
      <c r="V179" s="4">
        <f>E179</f>
        <v/>
      </c>
      <c r="W179" s="4">
        <f>MIN(100,E179+IF(T179="A",6,IF(T179="B",9,12)))</f>
        <v/>
      </c>
      <c r="X179">
        <f>'LIVE SOURCE'!G179</f>
        <v/>
      </c>
      <c r="Y179">
        <f>IF(INDEX('Draft Board'!$J$3:$J$232,Q179)="","Available",INDEX('Draft Board'!$J$3:$J$232,Q179))</f>
        <v/>
      </c>
      <c r="Z179">
        <f>IF(Y179&lt;&gt;"Available","",1+COUNTIFS($Y$3:$Y$232,"Available",$Q$3:$Q$232,"&lt;"&amp;Q179))</f>
        <v/>
      </c>
    </row>
    <row r="180">
      <c r="A180">
        <f>'LIVE SOURCE'!A180</f>
        <v/>
      </c>
      <c r="B180">
        <f>'LIVE SOURCE'!B180</f>
        <v/>
      </c>
      <c r="C180" s="4">
        <f>'LIVE SOURCE'!D180</f>
        <v/>
      </c>
      <c r="D180" s="4">
        <f>'Manual Adjustments'!G180</f>
        <v/>
      </c>
      <c r="E180" s="4">
        <f>MAX(40,MIN(100,C180+D180))</f>
        <v/>
      </c>
      <c r="F180">
        <f>COUNTIFS($A$3:$A$232,A180,$E$3:$E$232,"&gt;"&amp;E180)+COUNTIFS($A$3:A180,A180,$E$3:E180,E180)</f>
        <v/>
      </c>
      <c r="G180" s="4">
        <f>ROUND(INDEX('League Config'!$K$4:$K$9,MATCH(A180,'League Config'!$E$4:$E$9,0))*E180+INDEX('League Config'!$L$4:$L$9,MATCH(A180,'League Config'!$E$4:$E$9,0)),1)</f>
        <v/>
      </c>
      <c r="H180">
        <f>INDEX('League Config'!$H$4:$H$9,MATCH(A180,'League Config'!$E$4:$E$9,0))</f>
        <v/>
      </c>
      <c r="I180" s="4">
        <f>INDEX('League Config'!$I$4:$I$9,MATCH(A180,'League Config'!$E$4:$E$9,0))</f>
        <v/>
      </c>
      <c r="J180" s="4">
        <f>ROUND(G180-I180,1)</f>
        <v/>
      </c>
      <c r="K180" s="4">
        <f>MAX(0,MIN(100,50+J180*0.6))</f>
        <v/>
      </c>
      <c r="L180" s="4">
        <f>MIN(100,MAX(0,(1-(F180-1)/(H180*1.5))*100*INDEX('League Config'!$J$4:$J$9,MATCH(A180,'League Config'!$E$4:$E$9,0))))</f>
        <v/>
      </c>
      <c r="M180">
        <f>IF(A180="K",'League Config'!$B$14,IF(A180="DST",'League Config'!$B$15,IF(A180="QB",'League Config'!$B$16,0)))</f>
        <v/>
      </c>
      <c r="N180" s="4">
        <f>MIN(100,MAX(0,0.55*E180+0.3*K180+0.15*L180-M180))</f>
        <v/>
      </c>
      <c r="O180" s="9">
        <f>IF(OR(A180="K",A180="DST"),"",N180)</f>
        <v/>
      </c>
      <c r="P180" s="6">
        <f>IF(O180="","",COUNTIF($O$3:$O$232,"&gt;"&amp;O180)+COUNTIF($O$3:O180,O180))</f>
        <v/>
      </c>
      <c r="Q180">
        <f>IF(A180="DST",IF(F180&lt;=GateSize,DstStart-1+F180,NSkill+2*GateSize+F180-GateSize),IF(A180="K",IF(F180&lt;=GateSize,KStart-1+F180,NSkill+GateSize+NDst+F180-GateSize),IF(P180&lt;=DstStart-1,P180,P180+2*GateSize)))</f>
        <v/>
      </c>
      <c r="R180" s="4">
        <f>'LIVE SOURCE'!E180</f>
        <v/>
      </c>
      <c r="S180" s="4">
        <f>R180-Q180</f>
        <v/>
      </c>
      <c r="T180">
        <f>'LIVE SOURCE'!F180</f>
        <v/>
      </c>
      <c r="U180" s="4">
        <f>MAX(40,E180-IF(T180="A",6,IF(T180="B",9,12)))</f>
        <v/>
      </c>
      <c r="V180" s="4">
        <f>E180</f>
        <v/>
      </c>
      <c r="W180" s="4">
        <f>MIN(100,E180+IF(T180="A",6,IF(T180="B",9,12)))</f>
        <v/>
      </c>
      <c r="X180">
        <f>'LIVE SOURCE'!G180</f>
        <v/>
      </c>
      <c r="Y180">
        <f>IF(INDEX('Draft Board'!$J$3:$J$232,Q180)="","Available",INDEX('Draft Board'!$J$3:$J$232,Q180))</f>
        <v/>
      </c>
      <c r="Z180">
        <f>IF(Y180&lt;&gt;"Available","",1+COUNTIFS($Y$3:$Y$232,"Available",$Q$3:$Q$232,"&lt;"&amp;Q180))</f>
        <v/>
      </c>
    </row>
    <row r="181">
      <c r="A181">
        <f>'LIVE SOURCE'!A181</f>
        <v/>
      </c>
      <c r="B181">
        <f>'LIVE SOURCE'!B181</f>
        <v/>
      </c>
      <c r="C181" s="4">
        <f>'LIVE SOURCE'!D181</f>
        <v/>
      </c>
      <c r="D181" s="4">
        <f>'Manual Adjustments'!G181</f>
        <v/>
      </c>
      <c r="E181" s="4">
        <f>MAX(40,MIN(100,C181+D181))</f>
        <v/>
      </c>
      <c r="F181">
        <f>COUNTIFS($A$3:$A$232,A181,$E$3:$E$232,"&gt;"&amp;E181)+COUNTIFS($A$3:A181,A181,$E$3:E181,E181)</f>
        <v/>
      </c>
      <c r="G181" s="4">
        <f>ROUND(INDEX('League Config'!$K$4:$K$9,MATCH(A181,'League Config'!$E$4:$E$9,0))*E181+INDEX('League Config'!$L$4:$L$9,MATCH(A181,'League Config'!$E$4:$E$9,0)),1)</f>
        <v/>
      </c>
      <c r="H181">
        <f>INDEX('League Config'!$H$4:$H$9,MATCH(A181,'League Config'!$E$4:$E$9,0))</f>
        <v/>
      </c>
      <c r="I181" s="4">
        <f>INDEX('League Config'!$I$4:$I$9,MATCH(A181,'League Config'!$E$4:$E$9,0))</f>
        <v/>
      </c>
      <c r="J181" s="4">
        <f>ROUND(G181-I181,1)</f>
        <v/>
      </c>
      <c r="K181" s="4">
        <f>MAX(0,MIN(100,50+J181*0.6))</f>
        <v/>
      </c>
      <c r="L181" s="4">
        <f>MIN(100,MAX(0,(1-(F181-1)/(H181*1.5))*100*INDEX('League Config'!$J$4:$J$9,MATCH(A181,'League Config'!$E$4:$E$9,0))))</f>
        <v/>
      </c>
      <c r="M181">
        <f>IF(A181="K",'League Config'!$B$14,IF(A181="DST",'League Config'!$B$15,IF(A181="QB",'League Config'!$B$16,0)))</f>
        <v/>
      </c>
      <c r="N181" s="4">
        <f>MIN(100,MAX(0,0.55*E181+0.3*K181+0.15*L181-M181))</f>
        <v/>
      </c>
      <c r="O181" s="9">
        <f>IF(OR(A181="K",A181="DST"),"",N181)</f>
        <v/>
      </c>
      <c r="P181" s="6">
        <f>IF(O181="","",COUNTIF($O$3:$O$232,"&gt;"&amp;O181)+COUNTIF($O$3:O181,O181))</f>
        <v/>
      </c>
      <c r="Q181">
        <f>IF(A181="DST",IF(F181&lt;=GateSize,DstStart-1+F181,NSkill+2*GateSize+F181-GateSize),IF(A181="K",IF(F181&lt;=GateSize,KStart-1+F181,NSkill+GateSize+NDst+F181-GateSize),IF(P181&lt;=DstStart-1,P181,P181+2*GateSize)))</f>
        <v/>
      </c>
      <c r="R181" s="4">
        <f>'LIVE SOURCE'!E181</f>
        <v/>
      </c>
      <c r="S181" s="4">
        <f>R181-Q181</f>
        <v/>
      </c>
      <c r="T181">
        <f>'LIVE SOURCE'!F181</f>
        <v/>
      </c>
      <c r="U181" s="4">
        <f>MAX(40,E181-IF(T181="A",6,IF(T181="B",9,12)))</f>
        <v/>
      </c>
      <c r="V181" s="4">
        <f>E181</f>
        <v/>
      </c>
      <c r="W181" s="4">
        <f>MIN(100,E181+IF(T181="A",6,IF(T181="B",9,12)))</f>
        <v/>
      </c>
      <c r="X181">
        <f>'LIVE SOURCE'!G181</f>
        <v/>
      </c>
      <c r="Y181">
        <f>IF(INDEX('Draft Board'!$J$3:$J$232,Q181)="","Available",INDEX('Draft Board'!$J$3:$J$232,Q181))</f>
        <v/>
      </c>
      <c r="Z181">
        <f>IF(Y181&lt;&gt;"Available","",1+COUNTIFS($Y$3:$Y$232,"Available",$Q$3:$Q$232,"&lt;"&amp;Q181))</f>
        <v/>
      </c>
    </row>
    <row r="182">
      <c r="A182">
        <f>'LIVE SOURCE'!A182</f>
        <v/>
      </c>
      <c r="B182">
        <f>'LIVE SOURCE'!B182</f>
        <v/>
      </c>
      <c r="C182" s="4">
        <f>'LIVE SOURCE'!D182</f>
        <v/>
      </c>
      <c r="D182" s="4">
        <f>'Manual Adjustments'!G182</f>
        <v/>
      </c>
      <c r="E182" s="4">
        <f>MAX(40,MIN(100,C182+D182))</f>
        <v/>
      </c>
      <c r="F182">
        <f>COUNTIFS($A$3:$A$232,A182,$E$3:$E$232,"&gt;"&amp;E182)+COUNTIFS($A$3:A182,A182,$E$3:E182,E182)</f>
        <v/>
      </c>
      <c r="G182" s="4">
        <f>ROUND(INDEX('League Config'!$K$4:$K$9,MATCH(A182,'League Config'!$E$4:$E$9,0))*E182+INDEX('League Config'!$L$4:$L$9,MATCH(A182,'League Config'!$E$4:$E$9,0)),1)</f>
        <v/>
      </c>
      <c r="H182">
        <f>INDEX('League Config'!$H$4:$H$9,MATCH(A182,'League Config'!$E$4:$E$9,0))</f>
        <v/>
      </c>
      <c r="I182" s="4">
        <f>INDEX('League Config'!$I$4:$I$9,MATCH(A182,'League Config'!$E$4:$E$9,0))</f>
        <v/>
      </c>
      <c r="J182" s="4">
        <f>ROUND(G182-I182,1)</f>
        <v/>
      </c>
      <c r="K182" s="4">
        <f>MAX(0,MIN(100,50+J182*0.6))</f>
        <v/>
      </c>
      <c r="L182" s="4">
        <f>MIN(100,MAX(0,(1-(F182-1)/(H182*1.5))*100*INDEX('League Config'!$J$4:$J$9,MATCH(A182,'League Config'!$E$4:$E$9,0))))</f>
        <v/>
      </c>
      <c r="M182">
        <f>IF(A182="K",'League Config'!$B$14,IF(A182="DST",'League Config'!$B$15,IF(A182="QB",'League Config'!$B$16,0)))</f>
        <v/>
      </c>
      <c r="N182" s="4">
        <f>MIN(100,MAX(0,0.55*E182+0.3*K182+0.15*L182-M182))</f>
        <v/>
      </c>
      <c r="O182" s="9">
        <f>IF(OR(A182="K",A182="DST"),"",N182)</f>
        <v/>
      </c>
      <c r="P182" s="6">
        <f>IF(O182="","",COUNTIF($O$3:$O$232,"&gt;"&amp;O182)+COUNTIF($O$3:O182,O182))</f>
        <v/>
      </c>
      <c r="Q182">
        <f>IF(A182="DST",IF(F182&lt;=GateSize,DstStart-1+F182,NSkill+2*GateSize+F182-GateSize),IF(A182="K",IF(F182&lt;=GateSize,KStart-1+F182,NSkill+GateSize+NDst+F182-GateSize),IF(P182&lt;=DstStart-1,P182,P182+2*GateSize)))</f>
        <v/>
      </c>
      <c r="R182" s="4">
        <f>'LIVE SOURCE'!E182</f>
        <v/>
      </c>
      <c r="S182" s="4">
        <f>R182-Q182</f>
        <v/>
      </c>
      <c r="T182">
        <f>'LIVE SOURCE'!F182</f>
        <v/>
      </c>
      <c r="U182" s="4">
        <f>MAX(40,E182-IF(T182="A",6,IF(T182="B",9,12)))</f>
        <v/>
      </c>
      <c r="V182" s="4">
        <f>E182</f>
        <v/>
      </c>
      <c r="W182" s="4">
        <f>MIN(100,E182+IF(T182="A",6,IF(T182="B",9,12)))</f>
        <v/>
      </c>
      <c r="X182">
        <f>'LIVE SOURCE'!G182</f>
        <v/>
      </c>
      <c r="Y182">
        <f>IF(INDEX('Draft Board'!$J$3:$J$232,Q182)="","Available",INDEX('Draft Board'!$J$3:$J$232,Q182))</f>
        <v/>
      </c>
      <c r="Z182">
        <f>IF(Y182&lt;&gt;"Available","",1+COUNTIFS($Y$3:$Y$232,"Available",$Q$3:$Q$232,"&lt;"&amp;Q182))</f>
        <v/>
      </c>
    </row>
    <row r="183">
      <c r="A183">
        <f>'LIVE SOURCE'!A183</f>
        <v/>
      </c>
      <c r="B183">
        <f>'LIVE SOURCE'!B183</f>
        <v/>
      </c>
      <c r="C183" s="4">
        <f>'LIVE SOURCE'!D183</f>
        <v/>
      </c>
      <c r="D183" s="4">
        <f>'Manual Adjustments'!G183</f>
        <v/>
      </c>
      <c r="E183" s="4">
        <f>MAX(40,MIN(100,C183+D183))</f>
        <v/>
      </c>
      <c r="F183">
        <f>COUNTIFS($A$3:$A$232,A183,$E$3:$E$232,"&gt;"&amp;E183)+COUNTIFS($A$3:A183,A183,$E$3:E183,E183)</f>
        <v/>
      </c>
      <c r="G183" s="4">
        <f>ROUND(INDEX('League Config'!$K$4:$K$9,MATCH(A183,'League Config'!$E$4:$E$9,0))*E183+INDEX('League Config'!$L$4:$L$9,MATCH(A183,'League Config'!$E$4:$E$9,0)),1)</f>
        <v/>
      </c>
      <c r="H183">
        <f>INDEX('League Config'!$H$4:$H$9,MATCH(A183,'League Config'!$E$4:$E$9,0))</f>
        <v/>
      </c>
      <c r="I183" s="4">
        <f>INDEX('League Config'!$I$4:$I$9,MATCH(A183,'League Config'!$E$4:$E$9,0))</f>
        <v/>
      </c>
      <c r="J183" s="4">
        <f>ROUND(G183-I183,1)</f>
        <v/>
      </c>
      <c r="K183" s="4">
        <f>MAX(0,MIN(100,50+J183*0.6))</f>
        <v/>
      </c>
      <c r="L183" s="4">
        <f>MIN(100,MAX(0,(1-(F183-1)/(H183*1.5))*100*INDEX('League Config'!$J$4:$J$9,MATCH(A183,'League Config'!$E$4:$E$9,0))))</f>
        <v/>
      </c>
      <c r="M183">
        <f>IF(A183="K",'League Config'!$B$14,IF(A183="DST",'League Config'!$B$15,IF(A183="QB",'League Config'!$B$16,0)))</f>
        <v/>
      </c>
      <c r="N183" s="4">
        <f>MIN(100,MAX(0,0.55*E183+0.3*K183+0.15*L183-M183))</f>
        <v/>
      </c>
      <c r="O183" s="9">
        <f>IF(OR(A183="K",A183="DST"),"",N183)</f>
        <v/>
      </c>
      <c r="P183" s="6">
        <f>IF(O183="","",COUNTIF($O$3:$O$232,"&gt;"&amp;O183)+COUNTIF($O$3:O183,O183))</f>
        <v/>
      </c>
      <c r="Q183">
        <f>IF(A183="DST",IF(F183&lt;=GateSize,DstStart-1+F183,NSkill+2*GateSize+F183-GateSize),IF(A183="K",IF(F183&lt;=GateSize,KStart-1+F183,NSkill+GateSize+NDst+F183-GateSize),IF(P183&lt;=DstStart-1,P183,P183+2*GateSize)))</f>
        <v/>
      </c>
      <c r="R183" s="4">
        <f>'LIVE SOURCE'!E183</f>
        <v/>
      </c>
      <c r="S183" s="4">
        <f>R183-Q183</f>
        <v/>
      </c>
      <c r="T183">
        <f>'LIVE SOURCE'!F183</f>
        <v/>
      </c>
      <c r="U183" s="4">
        <f>MAX(40,E183-IF(T183="A",6,IF(T183="B",9,12)))</f>
        <v/>
      </c>
      <c r="V183" s="4">
        <f>E183</f>
        <v/>
      </c>
      <c r="W183" s="4">
        <f>MIN(100,E183+IF(T183="A",6,IF(T183="B",9,12)))</f>
        <v/>
      </c>
      <c r="X183">
        <f>'LIVE SOURCE'!G183</f>
        <v/>
      </c>
      <c r="Y183">
        <f>IF(INDEX('Draft Board'!$J$3:$J$232,Q183)="","Available",INDEX('Draft Board'!$J$3:$J$232,Q183))</f>
        <v/>
      </c>
      <c r="Z183">
        <f>IF(Y183&lt;&gt;"Available","",1+COUNTIFS($Y$3:$Y$232,"Available",$Q$3:$Q$232,"&lt;"&amp;Q183))</f>
        <v/>
      </c>
    </row>
    <row r="184">
      <c r="A184">
        <f>'LIVE SOURCE'!A184</f>
        <v/>
      </c>
      <c r="B184">
        <f>'LIVE SOURCE'!B184</f>
        <v/>
      </c>
      <c r="C184" s="4">
        <f>'LIVE SOURCE'!D184</f>
        <v/>
      </c>
      <c r="D184" s="4">
        <f>'Manual Adjustments'!G184</f>
        <v/>
      </c>
      <c r="E184" s="4">
        <f>MAX(40,MIN(100,C184+D184))</f>
        <v/>
      </c>
      <c r="F184">
        <f>COUNTIFS($A$3:$A$232,A184,$E$3:$E$232,"&gt;"&amp;E184)+COUNTIFS($A$3:A184,A184,$E$3:E184,E184)</f>
        <v/>
      </c>
      <c r="G184" s="4">
        <f>ROUND(INDEX('League Config'!$K$4:$K$9,MATCH(A184,'League Config'!$E$4:$E$9,0))*E184+INDEX('League Config'!$L$4:$L$9,MATCH(A184,'League Config'!$E$4:$E$9,0)),1)</f>
        <v/>
      </c>
      <c r="H184">
        <f>INDEX('League Config'!$H$4:$H$9,MATCH(A184,'League Config'!$E$4:$E$9,0))</f>
        <v/>
      </c>
      <c r="I184" s="4">
        <f>INDEX('League Config'!$I$4:$I$9,MATCH(A184,'League Config'!$E$4:$E$9,0))</f>
        <v/>
      </c>
      <c r="J184" s="4">
        <f>ROUND(G184-I184,1)</f>
        <v/>
      </c>
      <c r="K184" s="4">
        <f>MAX(0,MIN(100,50+J184*0.6))</f>
        <v/>
      </c>
      <c r="L184" s="4">
        <f>MIN(100,MAX(0,(1-(F184-1)/(H184*1.5))*100*INDEX('League Config'!$J$4:$J$9,MATCH(A184,'League Config'!$E$4:$E$9,0))))</f>
        <v/>
      </c>
      <c r="M184">
        <f>IF(A184="K",'League Config'!$B$14,IF(A184="DST",'League Config'!$B$15,IF(A184="QB",'League Config'!$B$16,0)))</f>
        <v/>
      </c>
      <c r="N184" s="4">
        <f>MIN(100,MAX(0,0.55*E184+0.3*K184+0.15*L184-M184))</f>
        <v/>
      </c>
      <c r="O184" s="9">
        <f>IF(OR(A184="K",A184="DST"),"",N184)</f>
        <v/>
      </c>
      <c r="P184" s="6">
        <f>IF(O184="","",COUNTIF($O$3:$O$232,"&gt;"&amp;O184)+COUNTIF($O$3:O184,O184))</f>
        <v/>
      </c>
      <c r="Q184">
        <f>IF(A184="DST",IF(F184&lt;=GateSize,DstStart-1+F184,NSkill+2*GateSize+F184-GateSize),IF(A184="K",IF(F184&lt;=GateSize,KStart-1+F184,NSkill+GateSize+NDst+F184-GateSize),IF(P184&lt;=DstStart-1,P184,P184+2*GateSize)))</f>
        <v/>
      </c>
      <c r="R184" s="4">
        <f>'LIVE SOURCE'!E184</f>
        <v/>
      </c>
      <c r="S184" s="4">
        <f>R184-Q184</f>
        <v/>
      </c>
      <c r="T184">
        <f>'LIVE SOURCE'!F184</f>
        <v/>
      </c>
      <c r="U184" s="4">
        <f>MAX(40,E184-IF(T184="A",6,IF(T184="B",9,12)))</f>
        <v/>
      </c>
      <c r="V184" s="4">
        <f>E184</f>
        <v/>
      </c>
      <c r="W184" s="4">
        <f>MIN(100,E184+IF(T184="A",6,IF(T184="B",9,12)))</f>
        <v/>
      </c>
      <c r="X184">
        <f>'LIVE SOURCE'!G184</f>
        <v/>
      </c>
      <c r="Y184">
        <f>IF(INDEX('Draft Board'!$J$3:$J$232,Q184)="","Available",INDEX('Draft Board'!$J$3:$J$232,Q184))</f>
        <v/>
      </c>
      <c r="Z184">
        <f>IF(Y184&lt;&gt;"Available","",1+COUNTIFS($Y$3:$Y$232,"Available",$Q$3:$Q$232,"&lt;"&amp;Q184))</f>
        <v/>
      </c>
    </row>
    <row r="185">
      <c r="A185">
        <f>'LIVE SOURCE'!A185</f>
        <v/>
      </c>
      <c r="B185">
        <f>'LIVE SOURCE'!B185</f>
        <v/>
      </c>
      <c r="C185" s="4">
        <f>'LIVE SOURCE'!D185</f>
        <v/>
      </c>
      <c r="D185" s="4">
        <f>'Manual Adjustments'!G185</f>
        <v/>
      </c>
      <c r="E185" s="4">
        <f>MAX(40,MIN(100,C185+D185))</f>
        <v/>
      </c>
      <c r="F185">
        <f>COUNTIFS($A$3:$A$232,A185,$E$3:$E$232,"&gt;"&amp;E185)+COUNTIFS($A$3:A185,A185,$E$3:E185,E185)</f>
        <v/>
      </c>
      <c r="G185" s="4">
        <f>ROUND(INDEX('League Config'!$K$4:$K$9,MATCH(A185,'League Config'!$E$4:$E$9,0))*E185+INDEX('League Config'!$L$4:$L$9,MATCH(A185,'League Config'!$E$4:$E$9,0)),1)</f>
        <v/>
      </c>
      <c r="H185">
        <f>INDEX('League Config'!$H$4:$H$9,MATCH(A185,'League Config'!$E$4:$E$9,0))</f>
        <v/>
      </c>
      <c r="I185" s="4">
        <f>INDEX('League Config'!$I$4:$I$9,MATCH(A185,'League Config'!$E$4:$E$9,0))</f>
        <v/>
      </c>
      <c r="J185" s="4">
        <f>ROUND(G185-I185,1)</f>
        <v/>
      </c>
      <c r="K185" s="4">
        <f>MAX(0,MIN(100,50+J185*0.6))</f>
        <v/>
      </c>
      <c r="L185" s="4">
        <f>MIN(100,MAX(0,(1-(F185-1)/(H185*1.5))*100*INDEX('League Config'!$J$4:$J$9,MATCH(A185,'League Config'!$E$4:$E$9,0))))</f>
        <v/>
      </c>
      <c r="M185">
        <f>IF(A185="K",'League Config'!$B$14,IF(A185="DST",'League Config'!$B$15,IF(A185="QB",'League Config'!$B$16,0)))</f>
        <v/>
      </c>
      <c r="N185" s="4">
        <f>MIN(100,MAX(0,0.55*E185+0.3*K185+0.15*L185-M185))</f>
        <v/>
      </c>
      <c r="O185" s="9">
        <f>IF(OR(A185="K",A185="DST"),"",N185)</f>
        <v/>
      </c>
      <c r="P185" s="6">
        <f>IF(O185="","",COUNTIF($O$3:$O$232,"&gt;"&amp;O185)+COUNTIF($O$3:O185,O185))</f>
        <v/>
      </c>
      <c r="Q185">
        <f>IF(A185="DST",IF(F185&lt;=GateSize,DstStart-1+F185,NSkill+2*GateSize+F185-GateSize),IF(A185="K",IF(F185&lt;=GateSize,KStart-1+F185,NSkill+GateSize+NDst+F185-GateSize),IF(P185&lt;=DstStart-1,P185,P185+2*GateSize)))</f>
        <v/>
      </c>
      <c r="R185" s="4">
        <f>'LIVE SOURCE'!E185</f>
        <v/>
      </c>
      <c r="S185" s="4">
        <f>R185-Q185</f>
        <v/>
      </c>
      <c r="T185">
        <f>'LIVE SOURCE'!F185</f>
        <v/>
      </c>
      <c r="U185" s="4">
        <f>MAX(40,E185-IF(T185="A",6,IF(T185="B",9,12)))</f>
        <v/>
      </c>
      <c r="V185" s="4">
        <f>E185</f>
        <v/>
      </c>
      <c r="W185" s="4">
        <f>MIN(100,E185+IF(T185="A",6,IF(T185="B",9,12)))</f>
        <v/>
      </c>
      <c r="X185">
        <f>'LIVE SOURCE'!G185</f>
        <v/>
      </c>
      <c r="Y185">
        <f>IF(INDEX('Draft Board'!$J$3:$J$232,Q185)="","Available",INDEX('Draft Board'!$J$3:$J$232,Q185))</f>
        <v/>
      </c>
      <c r="Z185">
        <f>IF(Y185&lt;&gt;"Available","",1+COUNTIFS($Y$3:$Y$232,"Available",$Q$3:$Q$232,"&lt;"&amp;Q185))</f>
        <v/>
      </c>
    </row>
    <row r="186">
      <c r="A186">
        <f>'LIVE SOURCE'!A186</f>
        <v/>
      </c>
      <c r="B186">
        <f>'LIVE SOURCE'!B186</f>
        <v/>
      </c>
      <c r="C186" s="4">
        <f>'LIVE SOURCE'!D186</f>
        <v/>
      </c>
      <c r="D186" s="4">
        <f>'Manual Adjustments'!G186</f>
        <v/>
      </c>
      <c r="E186" s="4">
        <f>MAX(40,MIN(100,C186+D186))</f>
        <v/>
      </c>
      <c r="F186">
        <f>COUNTIFS($A$3:$A$232,A186,$E$3:$E$232,"&gt;"&amp;E186)+COUNTIFS($A$3:A186,A186,$E$3:E186,E186)</f>
        <v/>
      </c>
      <c r="G186" s="4">
        <f>ROUND(INDEX('League Config'!$K$4:$K$9,MATCH(A186,'League Config'!$E$4:$E$9,0))*E186+INDEX('League Config'!$L$4:$L$9,MATCH(A186,'League Config'!$E$4:$E$9,0)),1)</f>
        <v/>
      </c>
      <c r="H186">
        <f>INDEX('League Config'!$H$4:$H$9,MATCH(A186,'League Config'!$E$4:$E$9,0))</f>
        <v/>
      </c>
      <c r="I186" s="4">
        <f>INDEX('League Config'!$I$4:$I$9,MATCH(A186,'League Config'!$E$4:$E$9,0))</f>
        <v/>
      </c>
      <c r="J186" s="4">
        <f>ROUND(G186-I186,1)</f>
        <v/>
      </c>
      <c r="K186" s="4">
        <f>MAX(0,MIN(100,50+J186*0.6))</f>
        <v/>
      </c>
      <c r="L186" s="4">
        <f>MIN(100,MAX(0,(1-(F186-1)/(H186*1.5))*100*INDEX('League Config'!$J$4:$J$9,MATCH(A186,'League Config'!$E$4:$E$9,0))))</f>
        <v/>
      </c>
      <c r="M186">
        <f>IF(A186="K",'League Config'!$B$14,IF(A186="DST",'League Config'!$B$15,IF(A186="QB",'League Config'!$B$16,0)))</f>
        <v/>
      </c>
      <c r="N186" s="4">
        <f>MIN(100,MAX(0,0.55*E186+0.3*K186+0.15*L186-M186))</f>
        <v/>
      </c>
      <c r="O186" s="9">
        <f>IF(OR(A186="K",A186="DST"),"",N186)</f>
        <v/>
      </c>
      <c r="P186" s="6">
        <f>IF(O186="","",COUNTIF($O$3:$O$232,"&gt;"&amp;O186)+COUNTIF($O$3:O186,O186))</f>
        <v/>
      </c>
      <c r="Q186">
        <f>IF(A186="DST",IF(F186&lt;=GateSize,DstStart-1+F186,NSkill+2*GateSize+F186-GateSize),IF(A186="K",IF(F186&lt;=GateSize,KStart-1+F186,NSkill+GateSize+NDst+F186-GateSize),IF(P186&lt;=DstStart-1,P186,P186+2*GateSize)))</f>
        <v/>
      </c>
      <c r="R186" s="4">
        <f>'LIVE SOURCE'!E186</f>
        <v/>
      </c>
      <c r="S186" s="4">
        <f>R186-Q186</f>
        <v/>
      </c>
      <c r="T186">
        <f>'LIVE SOURCE'!F186</f>
        <v/>
      </c>
      <c r="U186" s="4">
        <f>MAX(40,E186-IF(T186="A",6,IF(T186="B",9,12)))</f>
        <v/>
      </c>
      <c r="V186" s="4">
        <f>E186</f>
        <v/>
      </c>
      <c r="W186" s="4">
        <f>MIN(100,E186+IF(T186="A",6,IF(T186="B",9,12)))</f>
        <v/>
      </c>
      <c r="X186">
        <f>'LIVE SOURCE'!G186</f>
        <v/>
      </c>
      <c r="Y186">
        <f>IF(INDEX('Draft Board'!$J$3:$J$232,Q186)="","Available",INDEX('Draft Board'!$J$3:$J$232,Q186))</f>
        <v/>
      </c>
      <c r="Z186">
        <f>IF(Y186&lt;&gt;"Available","",1+COUNTIFS($Y$3:$Y$232,"Available",$Q$3:$Q$232,"&lt;"&amp;Q186))</f>
        <v/>
      </c>
    </row>
    <row r="187">
      <c r="A187">
        <f>'LIVE SOURCE'!A187</f>
        <v/>
      </c>
      <c r="B187">
        <f>'LIVE SOURCE'!B187</f>
        <v/>
      </c>
      <c r="C187" s="4">
        <f>'LIVE SOURCE'!D187</f>
        <v/>
      </c>
      <c r="D187" s="4">
        <f>'Manual Adjustments'!G187</f>
        <v/>
      </c>
      <c r="E187" s="4">
        <f>MAX(40,MIN(100,C187+D187))</f>
        <v/>
      </c>
      <c r="F187">
        <f>COUNTIFS($A$3:$A$232,A187,$E$3:$E$232,"&gt;"&amp;E187)+COUNTIFS($A$3:A187,A187,$E$3:E187,E187)</f>
        <v/>
      </c>
      <c r="G187" s="4">
        <f>ROUND(INDEX('League Config'!$K$4:$K$9,MATCH(A187,'League Config'!$E$4:$E$9,0))*E187+INDEX('League Config'!$L$4:$L$9,MATCH(A187,'League Config'!$E$4:$E$9,0)),1)</f>
        <v/>
      </c>
      <c r="H187">
        <f>INDEX('League Config'!$H$4:$H$9,MATCH(A187,'League Config'!$E$4:$E$9,0))</f>
        <v/>
      </c>
      <c r="I187" s="4">
        <f>INDEX('League Config'!$I$4:$I$9,MATCH(A187,'League Config'!$E$4:$E$9,0))</f>
        <v/>
      </c>
      <c r="J187" s="4">
        <f>ROUND(G187-I187,1)</f>
        <v/>
      </c>
      <c r="K187" s="4">
        <f>MAX(0,MIN(100,50+J187*0.6))</f>
        <v/>
      </c>
      <c r="L187" s="4">
        <f>MIN(100,MAX(0,(1-(F187-1)/(H187*1.5))*100*INDEX('League Config'!$J$4:$J$9,MATCH(A187,'League Config'!$E$4:$E$9,0))))</f>
        <v/>
      </c>
      <c r="M187">
        <f>IF(A187="K",'League Config'!$B$14,IF(A187="DST",'League Config'!$B$15,IF(A187="QB",'League Config'!$B$16,0)))</f>
        <v/>
      </c>
      <c r="N187" s="4">
        <f>MIN(100,MAX(0,0.55*E187+0.3*K187+0.15*L187-M187))</f>
        <v/>
      </c>
      <c r="O187" s="9">
        <f>IF(OR(A187="K",A187="DST"),"",N187)</f>
        <v/>
      </c>
      <c r="P187" s="6">
        <f>IF(O187="","",COUNTIF($O$3:$O$232,"&gt;"&amp;O187)+COUNTIF($O$3:O187,O187))</f>
        <v/>
      </c>
      <c r="Q187">
        <f>IF(A187="DST",IF(F187&lt;=GateSize,DstStart-1+F187,NSkill+2*GateSize+F187-GateSize),IF(A187="K",IF(F187&lt;=GateSize,KStart-1+F187,NSkill+GateSize+NDst+F187-GateSize),IF(P187&lt;=DstStart-1,P187,P187+2*GateSize)))</f>
        <v/>
      </c>
      <c r="R187" s="4">
        <f>'LIVE SOURCE'!E187</f>
        <v/>
      </c>
      <c r="S187" s="4">
        <f>R187-Q187</f>
        <v/>
      </c>
      <c r="T187">
        <f>'LIVE SOURCE'!F187</f>
        <v/>
      </c>
      <c r="U187" s="4">
        <f>MAX(40,E187-IF(T187="A",6,IF(T187="B",9,12)))</f>
        <v/>
      </c>
      <c r="V187" s="4">
        <f>E187</f>
        <v/>
      </c>
      <c r="W187" s="4">
        <f>MIN(100,E187+IF(T187="A",6,IF(T187="B",9,12)))</f>
        <v/>
      </c>
      <c r="X187">
        <f>'LIVE SOURCE'!G187</f>
        <v/>
      </c>
      <c r="Y187">
        <f>IF(INDEX('Draft Board'!$J$3:$J$232,Q187)="","Available",INDEX('Draft Board'!$J$3:$J$232,Q187))</f>
        <v/>
      </c>
      <c r="Z187">
        <f>IF(Y187&lt;&gt;"Available","",1+COUNTIFS($Y$3:$Y$232,"Available",$Q$3:$Q$232,"&lt;"&amp;Q187))</f>
        <v/>
      </c>
    </row>
    <row r="188">
      <c r="A188">
        <f>'LIVE SOURCE'!A188</f>
        <v/>
      </c>
      <c r="B188">
        <f>'LIVE SOURCE'!B188</f>
        <v/>
      </c>
      <c r="C188" s="4">
        <f>'LIVE SOURCE'!D188</f>
        <v/>
      </c>
      <c r="D188" s="4">
        <f>'Manual Adjustments'!G188</f>
        <v/>
      </c>
      <c r="E188" s="4">
        <f>MAX(40,MIN(100,C188+D188))</f>
        <v/>
      </c>
      <c r="F188">
        <f>COUNTIFS($A$3:$A$232,A188,$E$3:$E$232,"&gt;"&amp;E188)+COUNTIFS($A$3:A188,A188,$E$3:E188,E188)</f>
        <v/>
      </c>
      <c r="G188" s="4">
        <f>ROUND(INDEX('League Config'!$K$4:$K$9,MATCH(A188,'League Config'!$E$4:$E$9,0))*E188+INDEX('League Config'!$L$4:$L$9,MATCH(A188,'League Config'!$E$4:$E$9,0)),1)</f>
        <v/>
      </c>
      <c r="H188">
        <f>INDEX('League Config'!$H$4:$H$9,MATCH(A188,'League Config'!$E$4:$E$9,0))</f>
        <v/>
      </c>
      <c r="I188" s="4">
        <f>INDEX('League Config'!$I$4:$I$9,MATCH(A188,'League Config'!$E$4:$E$9,0))</f>
        <v/>
      </c>
      <c r="J188" s="4">
        <f>ROUND(G188-I188,1)</f>
        <v/>
      </c>
      <c r="K188" s="4">
        <f>MAX(0,MIN(100,50+J188*0.6))</f>
        <v/>
      </c>
      <c r="L188" s="4">
        <f>MIN(100,MAX(0,(1-(F188-1)/(H188*1.5))*100*INDEX('League Config'!$J$4:$J$9,MATCH(A188,'League Config'!$E$4:$E$9,0))))</f>
        <v/>
      </c>
      <c r="M188">
        <f>IF(A188="K",'League Config'!$B$14,IF(A188="DST",'League Config'!$B$15,IF(A188="QB",'League Config'!$B$16,0)))</f>
        <v/>
      </c>
      <c r="N188" s="4">
        <f>MIN(100,MAX(0,0.55*E188+0.3*K188+0.15*L188-M188))</f>
        <v/>
      </c>
      <c r="O188" s="9">
        <f>IF(OR(A188="K",A188="DST"),"",N188)</f>
        <v/>
      </c>
      <c r="P188" s="6">
        <f>IF(O188="","",COUNTIF($O$3:$O$232,"&gt;"&amp;O188)+COUNTIF($O$3:O188,O188))</f>
        <v/>
      </c>
      <c r="Q188">
        <f>IF(A188="DST",IF(F188&lt;=GateSize,DstStart-1+F188,NSkill+2*GateSize+F188-GateSize),IF(A188="K",IF(F188&lt;=GateSize,KStart-1+F188,NSkill+GateSize+NDst+F188-GateSize),IF(P188&lt;=DstStart-1,P188,P188+2*GateSize)))</f>
        <v/>
      </c>
      <c r="R188" s="4">
        <f>'LIVE SOURCE'!E188</f>
        <v/>
      </c>
      <c r="S188" s="4">
        <f>R188-Q188</f>
        <v/>
      </c>
      <c r="T188">
        <f>'LIVE SOURCE'!F188</f>
        <v/>
      </c>
      <c r="U188" s="4">
        <f>MAX(40,E188-IF(T188="A",6,IF(T188="B",9,12)))</f>
        <v/>
      </c>
      <c r="V188" s="4">
        <f>E188</f>
        <v/>
      </c>
      <c r="W188" s="4">
        <f>MIN(100,E188+IF(T188="A",6,IF(T188="B",9,12)))</f>
        <v/>
      </c>
      <c r="X188">
        <f>'LIVE SOURCE'!G188</f>
        <v/>
      </c>
      <c r="Y188">
        <f>IF(INDEX('Draft Board'!$J$3:$J$232,Q188)="","Available",INDEX('Draft Board'!$J$3:$J$232,Q188))</f>
        <v/>
      </c>
      <c r="Z188">
        <f>IF(Y188&lt;&gt;"Available","",1+COUNTIFS($Y$3:$Y$232,"Available",$Q$3:$Q$232,"&lt;"&amp;Q188))</f>
        <v/>
      </c>
    </row>
    <row r="189">
      <c r="A189">
        <f>'LIVE SOURCE'!A189</f>
        <v/>
      </c>
      <c r="B189">
        <f>'LIVE SOURCE'!B189</f>
        <v/>
      </c>
      <c r="C189" s="4">
        <f>'LIVE SOURCE'!D189</f>
        <v/>
      </c>
      <c r="D189" s="4">
        <f>'Manual Adjustments'!G189</f>
        <v/>
      </c>
      <c r="E189" s="4">
        <f>MAX(40,MIN(100,C189+D189))</f>
        <v/>
      </c>
      <c r="F189">
        <f>COUNTIFS($A$3:$A$232,A189,$E$3:$E$232,"&gt;"&amp;E189)+COUNTIFS($A$3:A189,A189,$E$3:E189,E189)</f>
        <v/>
      </c>
      <c r="G189" s="4">
        <f>ROUND(INDEX('League Config'!$K$4:$K$9,MATCH(A189,'League Config'!$E$4:$E$9,0))*E189+INDEX('League Config'!$L$4:$L$9,MATCH(A189,'League Config'!$E$4:$E$9,0)),1)</f>
        <v/>
      </c>
      <c r="H189">
        <f>INDEX('League Config'!$H$4:$H$9,MATCH(A189,'League Config'!$E$4:$E$9,0))</f>
        <v/>
      </c>
      <c r="I189" s="4">
        <f>INDEX('League Config'!$I$4:$I$9,MATCH(A189,'League Config'!$E$4:$E$9,0))</f>
        <v/>
      </c>
      <c r="J189" s="4">
        <f>ROUND(G189-I189,1)</f>
        <v/>
      </c>
      <c r="K189" s="4">
        <f>MAX(0,MIN(100,50+J189*0.6))</f>
        <v/>
      </c>
      <c r="L189" s="4">
        <f>MIN(100,MAX(0,(1-(F189-1)/(H189*1.5))*100*INDEX('League Config'!$J$4:$J$9,MATCH(A189,'League Config'!$E$4:$E$9,0))))</f>
        <v/>
      </c>
      <c r="M189">
        <f>IF(A189="K",'League Config'!$B$14,IF(A189="DST",'League Config'!$B$15,IF(A189="QB",'League Config'!$B$16,0)))</f>
        <v/>
      </c>
      <c r="N189" s="4">
        <f>MIN(100,MAX(0,0.55*E189+0.3*K189+0.15*L189-M189))</f>
        <v/>
      </c>
      <c r="O189" s="9">
        <f>IF(OR(A189="K",A189="DST"),"",N189)</f>
        <v/>
      </c>
      <c r="P189" s="6">
        <f>IF(O189="","",COUNTIF($O$3:$O$232,"&gt;"&amp;O189)+COUNTIF($O$3:O189,O189))</f>
        <v/>
      </c>
      <c r="Q189">
        <f>IF(A189="DST",IF(F189&lt;=GateSize,DstStart-1+F189,NSkill+2*GateSize+F189-GateSize),IF(A189="K",IF(F189&lt;=GateSize,KStart-1+F189,NSkill+GateSize+NDst+F189-GateSize),IF(P189&lt;=DstStart-1,P189,P189+2*GateSize)))</f>
        <v/>
      </c>
      <c r="R189" s="4">
        <f>'LIVE SOURCE'!E189</f>
        <v/>
      </c>
      <c r="S189" s="4">
        <f>R189-Q189</f>
        <v/>
      </c>
      <c r="T189">
        <f>'LIVE SOURCE'!F189</f>
        <v/>
      </c>
      <c r="U189" s="4">
        <f>MAX(40,E189-IF(T189="A",6,IF(T189="B",9,12)))</f>
        <v/>
      </c>
      <c r="V189" s="4">
        <f>E189</f>
        <v/>
      </c>
      <c r="W189" s="4">
        <f>MIN(100,E189+IF(T189="A",6,IF(T189="B",9,12)))</f>
        <v/>
      </c>
      <c r="X189">
        <f>'LIVE SOURCE'!G189</f>
        <v/>
      </c>
      <c r="Y189">
        <f>IF(INDEX('Draft Board'!$J$3:$J$232,Q189)="","Available",INDEX('Draft Board'!$J$3:$J$232,Q189))</f>
        <v/>
      </c>
      <c r="Z189">
        <f>IF(Y189&lt;&gt;"Available","",1+COUNTIFS($Y$3:$Y$232,"Available",$Q$3:$Q$232,"&lt;"&amp;Q189))</f>
        <v/>
      </c>
    </row>
    <row r="190">
      <c r="A190">
        <f>'LIVE SOURCE'!A190</f>
        <v/>
      </c>
      <c r="B190">
        <f>'LIVE SOURCE'!B190</f>
        <v/>
      </c>
      <c r="C190" s="4">
        <f>'LIVE SOURCE'!D190</f>
        <v/>
      </c>
      <c r="D190" s="4">
        <f>'Manual Adjustments'!G190</f>
        <v/>
      </c>
      <c r="E190" s="4">
        <f>MAX(40,MIN(100,C190+D190))</f>
        <v/>
      </c>
      <c r="F190">
        <f>COUNTIFS($A$3:$A$232,A190,$E$3:$E$232,"&gt;"&amp;E190)+COUNTIFS($A$3:A190,A190,$E$3:E190,E190)</f>
        <v/>
      </c>
      <c r="G190" s="4">
        <f>ROUND(INDEX('League Config'!$K$4:$K$9,MATCH(A190,'League Config'!$E$4:$E$9,0))*E190+INDEX('League Config'!$L$4:$L$9,MATCH(A190,'League Config'!$E$4:$E$9,0)),1)</f>
        <v/>
      </c>
      <c r="H190">
        <f>INDEX('League Config'!$H$4:$H$9,MATCH(A190,'League Config'!$E$4:$E$9,0))</f>
        <v/>
      </c>
      <c r="I190" s="4">
        <f>INDEX('League Config'!$I$4:$I$9,MATCH(A190,'League Config'!$E$4:$E$9,0))</f>
        <v/>
      </c>
      <c r="J190" s="4">
        <f>ROUND(G190-I190,1)</f>
        <v/>
      </c>
      <c r="K190" s="4">
        <f>MAX(0,MIN(100,50+J190*0.6))</f>
        <v/>
      </c>
      <c r="L190" s="4">
        <f>MIN(100,MAX(0,(1-(F190-1)/(H190*1.5))*100*INDEX('League Config'!$J$4:$J$9,MATCH(A190,'League Config'!$E$4:$E$9,0))))</f>
        <v/>
      </c>
      <c r="M190">
        <f>IF(A190="K",'League Config'!$B$14,IF(A190="DST",'League Config'!$B$15,IF(A190="QB",'League Config'!$B$16,0)))</f>
        <v/>
      </c>
      <c r="N190" s="4">
        <f>MIN(100,MAX(0,0.55*E190+0.3*K190+0.15*L190-M190))</f>
        <v/>
      </c>
      <c r="O190" s="9">
        <f>IF(OR(A190="K",A190="DST"),"",N190)</f>
        <v/>
      </c>
      <c r="P190" s="6">
        <f>IF(O190="","",COUNTIF($O$3:$O$232,"&gt;"&amp;O190)+COUNTIF($O$3:O190,O190))</f>
        <v/>
      </c>
      <c r="Q190">
        <f>IF(A190="DST",IF(F190&lt;=GateSize,DstStart-1+F190,NSkill+2*GateSize+F190-GateSize),IF(A190="K",IF(F190&lt;=GateSize,KStart-1+F190,NSkill+GateSize+NDst+F190-GateSize),IF(P190&lt;=DstStart-1,P190,P190+2*GateSize)))</f>
        <v/>
      </c>
      <c r="R190" s="4">
        <f>'LIVE SOURCE'!E190</f>
        <v/>
      </c>
      <c r="S190" s="4">
        <f>R190-Q190</f>
        <v/>
      </c>
      <c r="T190">
        <f>'LIVE SOURCE'!F190</f>
        <v/>
      </c>
      <c r="U190" s="4">
        <f>MAX(40,E190-IF(T190="A",6,IF(T190="B",9,12)))</f>
        <v/>
      </c>
      <c r="V190" s="4">
        <f>E190</f>
        <v/>
      </c>
      <c r="W190" s="4">
        <f>MIN(100,E190+IF(T190="A",6,IF(T190="B",9,12)))</f>
        <v/>
      </c>
      <c r="X190">
        <f>'LIVE SOURCE'!G190</f>
        <v/>
      </c>
      <c r="Y190">
        <f>IF(INDEX('Draft Board'!$J$3:$J$232,Q190)="","Available",INDEX('Draft Board'!$J$3:$J$232,Q190))</f>
        <v/>
      </c>
      <c r="Z190">
        <f>IF(Y190&lt;&gt;"Available","",1+COUNTIFS($Y$3:$Y$232,"Available",$Q$3:$Q$232,"&lt;"&amp;Q190))</f>
        <v/>
      </c>
    </row>
    <row r="191">
      <c r="A191">
        <f>'LIVE SOURCE'!A191</f>
        <v/>
      </c>
      <c r="B191">
        <f>'LIVE SOURCE'!B191</f>
        <v/>
      </c>
      <c r="C191" s="4">
        <f>'LIVE SOURCE'!D191</f>
        <v/>
      </c>
      <c r="D191" s="4">
        <f>'Manual Adjustments'!G191</f>
        <v/>
      </c>
      <c r="E191" s="4">
        <f>MAX(40,MIN(100,C191+D191))</f>
        <v/>
      </c>
      <c r="F191">
        <f>COUNTIFS($A$3:$A$232,A191,$E$3:$E$232,"&gt;"&amp;E191)+COUNTIFS($A$3:A191,A191,$E$3:E191,E191)</f>
        <v/>
      </c>
      <c r="G191" s="4">
        <f>ROUND(INDEX('League Config'!$K$4:$K$9,MATCH(A191,'League Config'!$E$4:$E$9,0))*E191+INDEX('League Config'!$L$4:$L$9,MATCH(A191,'League Config'!$E$4:$E$9,0)),1)</f>
        <v/>
      </c>
      <c r="H191">
        <f>INDEX('League Config'!$H$4:$H$9,MATCH(A191,'League Config'!$E$4:$E$9,0))</f>
        <v/>
      </c>
      <c r="I191" s="4">
        <f>INDEX('League Config'!$I$4:$I$9,MATCH(A191,'League Config'!$E$4:$E$9,0))</f>
        <v/>
      </c>
      <c r="J191" s="4">
        <f>ROUND(G191-I191,1)</f>
        <v/>
      </c>
      <c r="K191" s="4">
        <f>MAX(0,MIN(100,50+J191*0.6))</f>
        <v/>
      </c>
      <c r="L191" s="4">
        <f>MIN(100,MAX(0,(1-(F191-1)/(H191*1.5))*100*INDEX('League Config'!$J$4:$J$9,MATCH(A191,'League Config'!$E$4:$E$9,0))))</f>
        <v/>
      </c>
      <c r="M191">
        <f>IF(A191="K",'League Config'!$B$14,IF(A191="DST",'League Config'!$B$15,IF(A191="QB",'League Config'!$B$16,0)))</f>
        <v/>
      </c>
      <c r="N191" s="4">
        <f>MIN(100,MAX(0,0.55*E191+0.3*K191+0.15*L191-M191))</f>
        <v/>
      </c>
      <c r="O191" s="9">
        <f>IF(OR(A191="K",A191="DST"),"",N191)</f>
        <v/>
      </c>
      <c r="P191" s="6">
        <f>IF(O191="","",COUNTIF($O$3:$O$232,"&gt;"&amp;O191)+COUNTIF($O$3:O191,O191))</f>
        <v/>
      </c>
      <c r="Q191">
        <f>IF(A191="DST",IF(F191&lt;=GateSize,DstStart-1+F191,NSkill+2*GateSize+F191-GateSize),IF(A191="K",IF(F191&lt;=GateSize,KStart-1+F191,NSkill+GateSize+NDst+F191-GateSize),IF(P191&lt;=DstStart-1,P191,P191+2*GateSize)))</f>
        <v/>
      </c>
      <c r="R191" s="4">
        <f>'LIVE SOURCE'!E191</f>
        <v/>
      </c>
      <c r="S191" s="4">
        <f>R191-Q191</f>
        <v/>
      </c>
      <c r="T191">
        <f>'LIVE SOURCE'!F191</f>
        <v/>
      </c>
      <c r="U191" s="4">
        <f>MAX(40,E191-IF(T191="A",6,IF(T191="B",9,12)))</f>
        <v/>
      </c>
      <c r="V191" s="4">
        <f>E191</f>
        <v/>
      </c>
      <c r="W191" s="4">
        <f>MIN(100,E191+IF(T191="A",6,IF(T191="B",9,12)))</f>
        <v/>
      </c>
      <c r="X191">
        <f>'LIVE SOURCE'!G191</f>
        <v/>
      </c>
      <c r="Y191">
        <f>IF(INDEX('Draft Board'!$J$3:$J$232,Q191)="","Available",INDEX('Draft Board'!$J$3:$J$232,Q191))</f>
        <v/>
      </c>
      <c r="Z191">
        <f>IF(Y191&lt;&gt;"Available","",1+COUNTIFS($Y$3:$Y$232,"Available",$Q$3:$Q$232,"&lt;"&amp;Q191))</f>
        <v/>
      </c>
    </row>
    <row r="192">
      <c r="A192">
        <f>'LIVE SOURCE'!A192</f>
        <v/>
      </c>
      <c r="B192">
        <f>'LIVE SOURCE'!B192</f>
        <v/>
      </c>
      <c r="C192" s="4">
        <f>'LIVE SOURCE'!D192</f>
        <v/>
      </c>
      <c r="D192" s="4">
        <f>'Manual Adjustments'!G192</f>
        <v/>
      </c>
      <c r="E192" s="4">
        <f>MAX(40,MIN(100,C192+D192))</f>
        <v/>
      </c>
      <c r="F192">
        <f>COUNTIFS($A$3:$A$232,A192,$E$3:$E$232,"&gt;"&amp;E192)+COUNTIFS($A$3:A192,A192,$E$3:E192,E192)</f>
        <v/>
      </c>
      <c r="G192" s="4">
        <f>ROUND(INDEX('League Config'!$K$4:$K$9,MATCH(A192,'League Config'!$E$4:$E$9,0))*E192+INDEX('League Config'!$L$4:$L$9,MATCH(A192,'League Config'!$E$4:$E$9,0)),1)</f>
        <v/>
      </c>
      <c r="H192">
        <f>INDEX('League Config'!$H$4:$H$9,MATCH(A192,'League Config'!$E$4:$E$9,0))</f>
        <v/>
      </c>
      <c r="I192" s="4">
        <f>INDEX('League Config'!$I$4:$I$9,MATCH(A192,'League Config'!$E$4:$E$9,0))</f>
        <v/>
      </c>
      <c r="J192" s="4">
        <f>ROUND(G192-I192,1)</f>
        <v/>
      </c>
      <c r="K192" s="4">
        <f>MAX(0,MIN(100,50+J192*0.6))</f>
        <v/>
      </c>
      <c r="L192" s="4">
        <f>MIN(100,MAX(0,(1-(F192-1)/(H192*1.5))*100*INDEX('League Config'!$J$4:$J$9,MATCH(A192,'League Config'!$E$4:$E$9,0))))</f>
        <v/>
      </c>
      <c r="M192">
        <f>IF(A192="K",'League Config'!$B$14,IF(A192="DST",'League Config'!$B$15,IF(A192="QB",'League Config'!$B$16,0)))</f>
        <v/>
      </c>
      <c r="N192" s="4">
        <f>MIN(100,MAX(0,0.55*E192+0.3*K192+0.15*L192-M192))</f>
        <v/>
      </c>
      <c r="O192" s="9">
        <f>IF(OR(A192="K",A192="DST"),"",N192)</f>
        <v/>
      </c>
      <c r="P192" s="6">
        <f>IF(O192="","",COUNTIF($O$3:$O$232,"&gt;"&amp;O192)+COUNTIF($O$3:O192,O192))</f>
        <v/>
      </c>
      <c r="Q192">
        <f>IF(A192="DST",IF(F192&lt;=GateSize,DstStart-1+F192,NSkill+2*GateSize+F192-GateSize),IF(A192="K",IF(F192&lt;=GateSize,KStart-1+F192,NSkill+GateSize+NDst+F192-GateSize),IF(P192&lt;=DstStart-1,P192,P192+2*GateSize)))</f>
        <v/>
      </c>
      <c r="R192" s="4">
        <f>'LIVE SOURCE'!E192</f>
        <v/>
      </c>
      <c r="S192" s="4">
        <f>R192-Q192</f>
        <v/>
      </c>
      <c r="T192">
        <f>'LIVE SOURCE'!F192</f>
        <v/>
      </c>
      <c r="U192" s="4">
        <f>MAX(40,E192-IF(T192="A",6,IF(T192="B",9,12)))</f>
        <v/>
      </c>
      <c r="V192" s="4">
        <f>E192</f>
        <v/>
      </c>
      <c r="W192" s="4">
        <f>MIN(100,E192+IF(T192="A",6,IF(T192="B",9,12)))</f>
        <v/>
      </c>
      <c r="X192">
        <f>'LIVE SOURCE'!G192</f>
        <v/>
      </c>
      <c r="Y192">
        <f>IF(INDEX('Draft Board'!$J$3:$J$232,Q192)="","Available",INDEX('Draft Board'!$J$3:$J$232,Q192))</f>
        <v/>
      </c>
      <c r="Z192">
        <f>IF(Y192&lt;&gt;"Available","",1+COUNTIFS($Y$3:$Y$232,"Available",$Q$3:$Q$232,"&lt;"&amp;Q192))</f>
        <v/>
      </c>
    </row>
    <row r="193">
      <c r="A193">
        <f>'LIVE SOURCE'!A193</f>
        <v/>
      </c>
      <c r="B193">
        <f>'LIVE SOURCE'!B193</f>
        <v/>
      </c>
      <c r="C193" s="4">
        <f>'LIVE SOURCE'!D193</f>
        <v/>
      </c>
      <c r="D193" s="4">
        <f>'Manual Adjustments'!G193</f>
        <v/>
      </c>
      <c r="E193" s="4">
        <f>MAX(40,MIN(100,C193+D193))</f>
        <v/>
      </c>
      <c r="F193">
        <f>COUNTIFS($A$3:$A$232,A193,$E$3:$E$232,"&gt;"&amp;E193)+COUNTIFS($A$3:A193,A193,$E$3:E193,E193)</f>
        <v/>
      </c>
      <c r="G193" s="4">
        <f>ROUND(INDEX('League Config'!$K$4:$K$9,MATCH(A193,'League Config'!$E$4:$E$9,0))*E193+INDEX('League Config'!$L$4:$L$9,MATCH(A193,'League Config'!$E$4:$E$9,0)),1)</f>
        <v/>
      </c>
      <c r="H193">
        <f>INDEX('League Config'!$H$4:$H$9,MATCH(A193,'League Config'!$E$4:$E$9,0))</f>
        <v/>
      </c>
      <c r="I193" s="4">
        <f>INDEX('League Config'!$I$4:$I$9,MATCH(A193,'League Config'!$E$4:$E$9,0))</f>
        <v/>
      </c>
      <c r="J193" s="4">
        <f>ROUND(G193-I193,1)</f>
        <v/>
      </c>
      <c r="K193" s="4">
        <f>MAX(0,MIN(100,50+J193*0.6))</f>
        <v/>
      </c>
      <c r="L193" s="4">
        <f>MIN(100,MAX(0,(1-(F193-1)/(H193*1.5))*100*INDEX('League Config'!$J$4:$J$9,MATCH(A193,'League Config'!$E$4:$E$9,0))))</f>
        <v/>
      </c>
      <c r="M193">
        <f>IF(A193="K",'League Config'!$B$14,IF(A193="DST",'League Config'!$B$15,IF(A193="QB",'League Config'!$B$16,0)))</f>
        <v/>
      </c>
      <c r="N193" s="4">
        <f>MIN(100,MAX(0,0.55*E193+0.3*K193+0.15*L193-M193))</f>
        <v/>
      </c>
      <c r="O193" s="9">
        <f>IF(OR(A193="K",A193="DST"),"",N193)</f>
        <v/>
      </c>
      <c r="P193" s="6">
        <f>IF(O193="","",COUNTIF($O$3:$O$232,"&gt;"&amp;O193)+COUNTIF($O$3:O193,O193))</f>
        <v/>
      </c>
      <c r="Q193">
        <f>IF(A193="DST",IF(F193&lt;=GateSize,DstStart-1+F193,NSkill+2*GateSize+F193-GateSize),IF(A193="K",IF(F193&lt;=GateSize,KStart-1+F193,NSkill+GateSize+NDst+F193-GateSize),IF(P193&lt;=DstStart-1,P193,P193+2*GateSize)))</f>
        <v/>
      </c>
      <c r="R193" s="4">
        <f>'LIVE SOURCE'!E193</f>
        <v/>
      </c>
      <c r="S193" s="4">
        <f>R193-Q193</f>
        <v/>
      </c>
      <c r="T193">
        <f>'LIVE SOURCE'!F193</f>
        <v/>
      </c>
      <c r="U193" s="4">
        <f>MAX(40,E193-IF(T193="A",6,IF(T193="B",9,12)))</f>
        <v/>
      </c>
      <c r="V193" s="4">
        <f>E193</f>
        <v/>
      </c>
      <c r="W193" s="4">
        <f>MIN(100,E193+IF(T193="A",6,IF(T193="B",9,12)))</f>
        <v/>
      </c>
      <c r="X193">
        <f>'LIVE SOURCE'!G193</f>
        <v/>
      </c>
      <c r="Y193">
        <f>IF(INDEX('Draft Board'!$J$3:$J$232,Q193)="","Available",INDEX('Draft Board'!$J$3:$J$232,Q193))</f>
        <v/>
      </c>
      <c r="Z193">
        <f>IF(Y193&lt;&gt;"Available","",1+COUNTIFS($Y$3:$Y$232,"Available",$Q$3:$Q$232,"&lt;"&amp;Q193))</f>
        <v/>
      </c>
    </row>
    <row r="194">
      <c r="A194">
        <f>'LIVE SOURCE'!A194</f>
        <v/>
      </c>
      <c r="B194">
        <f>'LIVE SOURCE'!B194</f>
        <v/>
      </c>
      <c r="C194" s="4">
        <f>'LIVE SOURCE'!D194</f>
        <v/>
      </c>
      <c r="D194" s="4">
        <f>'Manual Adjustments'!G194</f>
        <v/>
      </c>
      <c r="E194" s="4">
        <f>MAX(40,MIN(100,C194+D194))</f>
        <v/>
      </c>
      <c r="F194">
        <f>COUNTIFS($A$3:$A$232,A194,$E$3:$E$232,"&gt;"&amp;E194)+COUNTIFS($A$3:A194,A194,$E$3:E194,E194)</f>
        <v/>
      </c>
      <c r="G194" s="4">
        <f>ROUND(INDEX('League Config'!$K$4:$K$9,MATCH(A194,'League Config'!$E$4:$E$9,0))*E194+INDEX('League Config'!$L$4:$L$9,MATCH(A194,'League Config'!$E$4:$E$9,0)),1)</f>
        <v/>
      </c>
      <c r="H194">
        <f>INDEX('League Config'!$H$4:$H$9,MATCH(A194,'League Config'!$E$4:$E$9,0))</f>
        <v/>
      </c>
      <c r="I194" s="4">
        <f>INDEX('League Config'!$I$4:$I$9,MATCH(A194,'League Config'!$E$4:$E$9,0))</f>
        <v/>
      </c>
      <c r="J194" s="4">
        <f>ROUND(G194-I194,1)</f>
        <v/>
      </c>
      <c r="K194" s="4">
        <f>MAX(0,MIN(100,50+J194*0.6))</f>
        <v/>
      </c>
      <c r="L194" s="4">
        <f>MIN(100,MAX(0,(1-(F194-1)/(H194*1.5))*100*INDEX('League Config'!$J$4:$J$9,MATCH(A194,'League Config'!$E$4:$E$9,0))))</f>
        <v/>
      </c>
      <c r="M194">
        <f>IF(A194="K",'League Config'!$B$14,IF(A194="DST",'League Config'!$B$15,IF(A194="QB",'League Config'!$B$16,0)))</f>
        <v/>
      </c>
      <c r="N194" s="4">
        <f>MIN(100,MAX(0,0.55*E194+0.3*K194+0.15*L194-M194))</f>
        <v/>
      </c>
      <c r="O194" s="9">
        <f>IF(OR(A194="K",A194="DST"),"",N194)</f>
        <v/>
      </c>
      <c r="P194" s="6">
        <f>IF(O194="","",COUNTIF($O$3:$O$232,"&gt;"&amp;O194)+COUNTIF($O$3:O194,O194))</f>
        <v/>
      </c>
      <c r="Q194">
        <f>IF(A194="DST",IF(F194&lt;=GateSize,DstStart-1+F194,NSkill+2*GateSize+F194-GateSize),IF(A194="K",IF(F194&lt;=GateSize,KStart-1+F194,NSkill+GateSize+NDst+F194-GateSize),IF(P194&lt;=DstStart-1,P194,P194+2*GateSize)))</f>
        <v/>
      </c>
      <c r="R194" s="4">
        <f>'LIVE SOURCE'!E194</f>
        <v/>
      </c>
      <c r="S194" s="4">
        <f>R194-Q194</f>
        <v/>
      </c>
      <c r="T194">
        <f>'LIVE SOURCE'!F194</f>
        <v/>
      </c>
      <c r="U194" s="4">
        <f>MAX(40,E194-IF(T194="A",6,IF(T194="B",9,12)))</f>
        <v/>
      </c>
      <c r="V194" s="4">
        <f>E194</f>
        <v/>
      </c>
      <c r="W194" s="4">
        <f>MIN(100,E194+IF(T194="A",6,IF(T194="B",9,12)))</f>
        <v/>
      </c>
      <c r="X194">
        <f>'LIVE SOURCE'!G194</f>
        <v/>
      </c>
      <c r="Y194">
        <f>IF(INDEX('Draft Board'!$J$3:$J$232,Q194)="","Available",INDEX('Draft Board'!$J$3:$J$232,Q194))</f>
        <v/>
      </c>
      <c r="Z194">
        <f>IF(Y194&lt;&gt;"Available","",1+COUNTIFS($Y$3:$Y$232,"Available",$Q$3:$Q$232,"&lt;"&amp;Q194))</f>
        <v/>
      </c>
    </row>
    <row r="195">
      <c r="A195">
        <f>'LIVE SOURCE'!A195</f>
        <v/>
      </c>
      <c r="B195">
        <f>'LIVE SOURCE'!B195</f>
        <v/>
      </c>
      <c r="C195" s="4">
        <f>'LIVE SOURCE'!D195</f>
        <v/>
      </c>
      <c r="D195" s="4">
        <f>'Manual Adjustments'!G195</f>
        <v/>
      </c>
      <c r="E195" s="4">
        <f>MAX(40,MIN(100,C195+D195))</f>
        <v/>
      </c>
      <c r="F195">
        <f>COUNTIFS($A$3:$A$232,A195,$E$3:$E$232,"&gt;"&amp;E195)+COUNTIFS($A$3:A195,A195,$E$3:E195,E195)</f>
        <v/>
      </c>
      <c r="G195" s="4">
        <f>ROUND(INDEX('League Config'!$K$4:$K$9,MATCH(A195,'League Config'!$E$4:$E$9,0))*E195+INDEX('League Config'!$L$4:$L$9,MATCH(A195,'League Config'!$E$4:$E$9,0)),1)</f>
        <v/>
      </c>
      <c r="H195">
        <f>INDEX('League Config'!$H$4:$H$9,MATCH(A195,'League Config'!$E$4:$E$9,0))</f>
        <v/>
      </c>
      <c r="I195" s="4">
        <f>INDEX('League Config'!$I$4:$I$9,MATCH(A195,'League Config'!$E$4:$E$9,0))</f>
        <v/>
      </c>
      <c r="J195" s="4">
        <f>ROUND(G195-I195,1)</f>
        <v/>
      </c>
      <c r="K195" s="4">
        <f>MAX(0,MIN(100,50+J195*0.6))</f>
        <v/>
      </c>
      <c r="L195" s="4">
        <f>MIN(100,MAX(0,(1-(F195-1)/(H195*1.5))*100*INDEX('League Config'!$J$4:$J$9,MATCH(A195,'League Config'!$E$4:$E$9,0))))</f>
        <v/>
      </c>
      <c r="M195">
        <f>IF(A195="K",'League Config'!$B$14,IF(A195="DST",'League Config'!$B$15,IF(A195="QB",'League Config'!$B$16,0)))</f>
        <v/>
      </c>
      <c r="N195" s="4">
        <f>MIN(100,MAX(0,0.55*E195+0.3*K195+0.15*L195-M195))</f>
        <v/>
      </c>
      <c r="O195" s="9">
        <f>IF(OR(A195="K",A195="DST"),"",N195)</f>
        <v/>
      </c>
      <c r="P195" s="6">
        <f>IF(O195="","",COUNTIF($O$3:$O$232,"&gt;"&amp;O195)+COUNTIF($O$3:O195,O195))</f>
        <v/>
      </c>
      <c r="Q195">
        <f>IF(A195="DST",IF(F195&lt;=GateSize,DstStart-1+F195,NSkill+2*GateSize+F195-GateSize),IF(A195="K",IF(F195&lt;=GateSize,KStart-1+F195,NSkill+GateSize+NDst+F195-GateSize),IF(P195&lt;=DstStart-1,P195,P195+2*GateSize)))</f>
        <v/>
      </c>
      <c r="R195" s="4">
        <f>'LIVE SOURCE'!E195</f>
        <v/>
      </c>
      <c r="S195" s="4">
        <f>R195-Q195</f>
        <v/>
      </c>
      <c r="T195">
        <f>'LIVE SOURCE'!F195</f>
        <v/>
      </c>
      <c r="U195" s="4">
        <f>MAX(40,E195-IF(T195="A",6,IF(T195="B",9,12)))</f>
        <v/>
      </c>
      <c r="V195" s="4">
        <f>E195</f>
        <v/>
      </c>
      <c r="W195" s="4">
        <f>MIN(100,E195+IF(T195="A",6,IF(T195="B",9,12)))</f>
        <v/>
      </c>
      <c r="X195">
        <f>'LIVE SOURCE'!G195</f>
        <v/>
      </c>
      <c r="Y195">
        <f>IF(INDEX('Draft Board'!$J$3:$J$232,Q195)="","Available",INDEX('Draft Board'!$J$3:$J$232,Q195))</f>
        <v/>
      </c>
      <c r="Z195">
        <f>IF(Y195&lt;&gt;"Available","",1+COUNTIFS($Y$3:$Y$232,"Available",$Q$3:$Q$232,"&lt;"&amp;Q195))</f>
        <v/>
      </c>
    </row>
    <row r="196">
      <c r="A196">
        <f>'LIVE SOURCE'!A196</f>
        <v/>
      </c>
      <c r="B196">
        <f>'LIVE SOURCE'!B196</f>
        <v/>
      </c>
      <c r="C196" s="4">
        <f>'LIVE SOURCE'!D196</f>
        <v/>
      </c>
      <c r="D196" s="4">
        <f>'Manual Adjustments'!G196</f>
        <v/>
      </c>
      <c r="E196" s="4">
        <f>MAX(40,MIN(100,C196+D196))</f>
        <v/>
      </c>
      <c r="F196">
        <f>COUNTIFS($A$3:$A$232,A196,$E$3:$E$232,"&gt;"&amp;E196)+COUNTIFS($A$3:A196,A196,$E$3:E196,E196)</f>
        <v/>
      </c>
      <c r="G196" s="4">
        <f>ROUND(INDEX('League Config'!$K$4:$K$9,MATCH(A196,'League Config'!$E$4:$E$9,0))*E196+INDEX('League Config'!$L$4:$L$9,MATCH(A196,'League Config'!$E$4:$E$9,0)),1)</f>
        <v/>
      </c>
      <c r="H196">
        <f>INDEX('League Config'!$H$4:$H$9,MATCH(A196,'League Config'!$E$4:$E$9,0))</f>
        <v/>
      </c>
      <c r="I196" s="4">
        <f>INDEX('League Config'!$I$4:$I$9,MATCH(A196,'League Config'!$E$4:$E$9,0))</f>
        <v/>
      </c>
      <c r="J196" s="4">
        <f>ROUND(G196-I196,1)</f>
        <v/>
      </c>
      <c r="K196" s="4">
        <f>MAX(0,MIN(100,50+J196*0.6))</f>
        <v/>
      </c>
      <c r="L196" s="4">
        <f>MIN(100,MAX(0,(1-(F196-1)/(H196*1.5))*100*INDEX('League Config'!$J$4:$J$9,MATCH(A196,'League Config'!$E$4:$E$9,0))))</f>
        <v/>
      </c>
      <c r="M196">
        <f>IF(A196="K",'League Config'!$B$14,IF(A196="DST",'League Config'!$B$15,IF(A196="QB",'League Config'!$B$16,0)))</f>
        <v/>
      </c>
      <c r="N196" s="4">
        <f>MIN(100,MAX(0,0.55*E196+0.3*K196+0.15*L196-M196))</f>
        <v/>
      </c>
      <c r="O196" s="9">
        <f>IF(OR(A196="K",A196="DST"),"",N196)</f>
        <v/>
      </c>
      <c r="P196" s="6">
        <f>IF(O196="","",COUNTIF($O$3:$O$232,"&gt;"&amp;O196)+COUNTIF($O$3:O196,O196))</f>
        <v/>
      </c>
      <c r="Q196">
        <f>IF(A196="DST",IF(F196&lt;=GateSize,DstStart-1+F196,NSkill+2*GateSize+F196-GateSize),IF(A196="K",IF(F196&lt;=GateSize,KStart-1+F196,NSkill+GateSize+NDst+F196-GateSize),IF(P196&lt;=DstStart-1,P196,P196+2*GateSize)))</f>
        <v/>
      </c>
      <c r="R196" s="4">
        <f>'LIVE SOURCE'!E196</f>
        <v/>
      </c>
      <c r="S196" s="4">
        <f>R196-Q196</f>
        <v/>
      </c>
      <c r="T196">
        <f>'LIVE SOURCE'!F196</f>
        <v/>
      </c>
      <c r="U196" s="4">
        <f>MAX(40,E196-IF(T196="A",6,IF(T196="B",9,12)))</f>
        <v/>
      </c>
      <c r="V196" s="4">
        <f>E196</f>
        <v/>
      </c>
      <c r="W196" s="4">
        <f>MIN(100,E196+IF(T196="A",6,IF(T196="B",9,12)))</f>
        <v/>
      </c>
      <c r="X196">
        <f>'LIVE SOURCE'!G196</f>
        <v/>
      </c>
      <c r="Y196">
        <f>IF(INDEX('Draft Board'!$J$3:$J$232,Q196)="","Available",INDEX('Draft Board'!$J$3:$J$232,Q196))</f>
        <v/>
      </c>
      <c r="Z196">
        <f>IF(Y196&lt;&gt;"Available","",1+COUNTIFS($Y$3:$Y$232,"Available",$Q$3:$Q$232,"&lt;"&amp;Q196))</f>
        <v/>
      </c>
    </row>
    <row r="197">
      <c r="A197">
        <f>'LIVE SOURCE'!A197</f>
        <v/>
      </c>
      <c r="B197">
        <f>'LIVE SOURCE'!B197</f>
        <v/>
      </c>
      <c r="C197" s="4">
        <f>'LIVE SOURCE'!D197</f>
        <v/>
      </c>
      <c r="D197" s="4">
        <f>'Manual Adjustments'!G197</f>
        <v/>
      </c>
      <c r="E197" s="4">
        <f>MAX(40,MIN(100,C197+D197))</f>
        <v/>
      </c>
      <c r="F197">
        <f>COUNTIFS($A$3:$A$232,A197,$E$3:$E$232,"&gt;"&amp;E197)+COUNTIFS($A$3:A197,A197,$E$3:E197,E197)</f>
        <v/>
      </c>
      <c r="G197" s="4">
        <f>ROUND(INDEX('League Config'!$K$4:$K$9,MATCH(A197,'League Config'!$E$4:$E$9,0))*E197+INDEX('League Config'!$L$4:$L$9,MATCH(A197,'League Config'!$E$4:$E$9,0)),1)</f>
        <v/>
      </c>
      <c r="H197">
        <f>INDEX('League Config'!$H$4:$H$9,MATCH(A197,'League Config'!$E$4:$E$9,0))</f>
        <v/>
      </c>
      <c r="I197" s="4">
        <f>INDEX('League Config'!$I$4:$I$9,MATCH(A197,'League Config'!$E$4:$E$9,0))</f>
        <v/>
      </c>
      <c r="J197" s="4">
        <f>ROUND(G197-I197,1)</f>
        <v/>
      </c>
      <c r="K197" s="4">
        <f>MAX(0,MIN(100,50+J197*0.6))</f>
        <v/>
      </c>
      <c r="L197" s="4">
        <f>MIN(100,MAX(0,(1-(F197-1)/(H197*1.5))*100*INDEX('League Config'!$J$4:$J$9,MATCH(A197,'League Config'!$E$4:$E$9,0))))</f>
        <v/>
      </c>
      <c r="M197">
        <f>IF(A197="K",'League Config'!$B$14,IF(A197="DST",'League Config'!$B$15,IF(A197="QB",'League Config'!$B$16,0)))</f>
        <v/>
      </c>
      <c r="N197" s="4">
        <f>MIN(100,MAX(0,0.55*E197+0.3*K197+0.15*L197-M197))</f>
        <v/>
      </c>
      <c r="O197" s="9">
        <f>IF(OR(A197="K",A197="DST"),"",N197)</f>
        <v/>
      </c>
      <c r="P197" s="6">
        <f>IF(O197="","",COUNTIF($O$3:$O$232,"&gt;"&amp;O197)+COUNTIF($O$3:O197,O197))</f>
        <v/>
      </c>
      <c r="Q197">
        <f>IF(A197="DST",IF(F197&lt;=GateSize,DstStart-1+F197,NSkill+2*GateSize+F197-GateSize),IF(A197="K",IF(F197&lt;=GateSize,KStart-1+F197,NSkill+GateSize+NDst+F197-GateSize),IF(P197&lt;=DstStart-1,P197,P197+2*GateSize)))</f>
        <v/>
      </c>
      <c r="R197" s="4">
        <f>'LIVE SOURCE'!E197</f>
        <v/>
      </c>
      <c r="S197" s="4">
        <f>R197-Q197</f>
        <v/>
      </c>
      <c r="T197">
        <f>'LIVE SOURCE'!F197</f>
        <v/>
      </c>
      <c r="U197" s="4">
        <f>MAX(40,E197-IF(T197="A",6,IF(T197="B",9,12)))</f>
        <v/>
      </c>
      <c r="V197" s="4">
        <f>E197</f>
        <v/>
      </c>
      <c r="W197" s="4">
        <f>MIN(100,E197+IF(T197="A",6,IF(T197="B",9,12)))</f>
        <v/>
      </c>
      <c r="X197">
        <f>'LIVE SOURCE'!G197</f>
        <v/>
      </c>
      <c r="Y197">
        <f>IF(INDEX('Draft Board'!$J$3:$J$232,Q197)="","Available",INDEX('Draft Board'!$J$3:$J$232,Q197))</f>
        <v/>
      </c>
      <c r="Z197">
        <f>IF(Y197&lt;&gt;"Available","",1+COUNTIFS($Y$3:$Y$232,"Available",$Q$3:$Q$232,"&lt;"&amp;Q197))</f>
        <v/>
      </c>
    </row>
    <row r="198">
      <c r="A198">
        <f>'LIVE SOURCE'!A198</f>
        <v/>
      </c>
      <c r="B198">
        <f>'LIVE SOURCE'!B198</f>
        <v/>
      </c>
      <c r="C198" s="4">
        <f>'LIVE SOURCE'!D198</f>
        <v/>
      </c>
      <c r="D198" s="4">
        <f>'Manual Adjustments'!G198</f>
        <v/>
      </c>
      <c r="E198" s="4">
        <f>MAX(40,MIN(100,C198+D198))</f>
        <v/>
      </c>
      <c r="F198">
        <f>COUNTIFS($A$3:$A$232,A198,$E$3:$E$232,"&gt;"&amp;E198)+COUNTIFS($A$3:A198,A198,$E$3:E198,E198)</f>
        <v/>
      </c>
      <c r="G198" s="4">
        <f>ROUND(INDEX('League Config'!$K$4:$K$9,MATCH(A198,'League Config'!$E$4:$E$9,0))*E198+INDEX('League Config'!$L$4:$L$9,MATCH(A198,'League Config'!$E$4:$E$9,0)),1)</f>
        <v/>
      </c>
      <c r="H198">
        <f>INDEX('League Config'!$H$4:$H$9,MATCH(A198,'League Config'!$E$4:$E$9,0))</f>
        <v/>
      </c>
      <c r="I198" s="4">
        <f>INDEX('League Config'!$I$4:$I$9,MATCH(A198,'League Config'!$E$4:$E$9,0))</f>
        <v/>
      </c>
      <c r="J198" s="4">
        <f>ROUND(G198-I198,1)</f>
        <v/>
      </c>
      <c r="K198" s="4">
        <f>MAX(0,MIN(100,50+J198*0.6))</f>
        <v/>
      </c>
      <c r="L198" s="4">
        <f>MIN(100,MAX(0,(1-(F198-1)/(H198*1.5))*100*INDEX('League Config'!$J$4:$J$9,MATCH(A198,'League Config'!$E$4:$E$9,0))))</f>
        <v/>
      </c>
      <c r="M198">
        <f>IF(A198="K",'League Config'!$B$14,IF(A198="DST",'League Config'!$B$15,IF(A198="QB",'League Config'!$B$16,0)))</f>
        <v/>
      </c>
      <c r="N198" s="4">
        <f>MIN(100,MAX(0,0.55*E198+0.3*K198+0.15*L198-M198))</f>
        <v/>
      </c>
      <c r="O198" s="9">
        <f>IF(OR(A198="K",A198="DST"),"",N198)</f>
        <v/>
      </c>
      <c r="P198" s="6">
        <f>IF(O198="","",COUNTIF($O$3:$O$232,"&gt;"&amp;O198)+COUNTIF($O$3:O198,O198))</f>
        <v/>
      </c>
      <c r="Q198">
        <f>IF(A198="DST",IF(F198&lt;=GateSize,DstStart-1+F198,NSkill+2*GateSize+F198-GateSize),IF(A198="K",IF(F198&lt;=GateSize,KStart-1+F198,NSkill+GateSize+NDst+F198-GateSize),IF(P198&lt;=DstStart-1,P198,P198+2*GateSize)))</f>
        <v/>
      </c>
      <c r="R198" s="4">
        <f>'LIVE SOURCE'!E198</f>
        <v/>
      </c>
      <c r="S198" s="4">
        <f>R198-Q198</f>
        <v/>
      </c>
      <c r="T198">
        <f>'LIVE SOURCE'!F198</f>
        <v/>
      </c>
      <c r="U198" s="4">
        <f>MAX(40,E198-IF(T198="A",6,IF(T198="B",9,12)))</f>
        <v/>
      </c>
      <c r="V198" s="4">
        <f>E198</f>
        <v/>
      </c>
      <c r="W198" s="4">
        <f>MIN(100,E198+IF(T198="A",6,IF(T198="B",9,12)))</f>
        <v/>
      </c>
      <c r="X198">
        <f>'LIVE SOURCE'!G198</f>
        <v/>
      </c>
      <c r="Y198">
        <f>IF(INDEX('Draft Board'!$J$3:$J$232,Q198)="","Available",INDEX('Draft Board'!$J$3:$J$232,Q198))</f>
        <v/>
      </c>
      <c r="Z198">
        <f>IF(Y198&lt;&gt;"Available","",1+COUNTIFS($Y$3:$Y$232,"Available",$Q$3:$Q$232,"&lt;"&amp;Q198))</f>
        <v/>
      </c>
    </row>
    <row r="199">
      <c r="A199">
        <f>'LIVE SOURCE'!A199</f>
        <v/>
      </c>
      <c r="B199">
        <f>'LIVE SOURCE'!B199</f>
        <v/>
      </c>
      <c r="C199" s="4">
        <f>'LIVE SOURCE'!D199</f>
        <v/>
      </c>
      <c r="D199" s="4">
        <f>'Manual Adjustments'!G199</f>
        <v/>
      </c>
      <c r="E199" s="4">
        <f>MAX(40,MIN(100,C199+D199))</f>
        <v/>
      </c>
      <c r="F199">
        <f>COUNTIFS($A$3:$A$232,A199,$E$3:$E$232,"&gt;"&amp;E199)+COUNTIFS($A$3:A199,A199,$E$3:E199,E199)</f>
        <v/>
      </c>
      <c r="G199" s="4">
        <f>ROUND(INDEX('League Config'!$K$4:$K$9,MATCH(A199,'League Config'!$E$4:$E$9,0))*E199+INDEX('League Config'!$L$4:$L$9,MATCH(A199,'League Config'!$E$4:$E$9,0)),1)</f>
        <v/>
      </c>
      <c r="H199">
        <f>INDEX('League Config'!$H$4:$H$9,MATCH(A199,'League Config'!$E$4:$E$9,0))</f>
        <v/>
      </c>
      <c r="I199" s="4">
        <f>INDEX('League Config'!$I$4:$I$9,MATCH(A199,'League Config'!$E$4:$E$9,0))</f>
        <v/>
      </c>
      <c r="J199" s="4">
        <f>ROUND(G199-I199,1)</f>
        <v/>
      </c>
      <c r="K199" s="4">
        <f>MAX(0,MIN(100,50+J199*0.6))</f>
        <v/>
      </c>
      <c r="L199" s="4">
        <f>MIN(100,MAX(0,(1-(F199-1)/(H199*1.5))*100*INDEX('League Config'!$J$4:$J$9,MATCH(A199,'League Config'!$E$4:$E$9,0))))</f>
        <v/>
      </c>
      <c r="M199">
        <f>IF(A199="K",'League Config'!$B$14,IF(A199="DST",'League Config'!$B$15,IF(A199="QB",'League Config'!$B$16,0)))</f>
        <v/>
      </c>
      <c r="N199" s="4">
        <f>MIN(100,MAX(0,0.55*E199+0.3*K199+0.15*L199-M199))</f>
        <v/>
      </c>
      <c r="O199" s="9">
        <f>IF(OR(A199="K",A199="DST"),"",N199)</f>
        <v/>
      </c>
      <c r="P199" s="6">
        <f>IF(O199="","",COUNTIF($O$3:$O$232,"&gt;"&amp;O199)+COUNTIF($O$3:O199,O199))</f>
        <v/>
      </c>
      <c r="Q199">
        <f>IF(A199="DST",IF(F199&lt;=GateSize,DstStart-1+F199,NSkill+2*GateSize+F199-GateSize),IF(A199="K",IF(F199&lt;=GateSize,KStart-1+F199,NSkill+GateSize+NDst+F199-GateSize),IF(P199&lt;=DstStart-1,P199,P199+2*GateSize)))</f>
        <v/>
      </c>
      <c r="R199" s="4">
        <f>'LIVE SOURCE'!E199</f>
        <v/>
      </c>
      <c r="S199" s="4">
        <f>R199-Q199</f>
        <v/>
      </c>
      <c r="T199">
        <f>'LIVE SOURCE'!F199</f>
        <v/>
      </c>
      <c r="U199" s="4">
        <f>MAX(40,E199-IF(T199="A",6,IF(T199="B",9,12)))</f>
        <v/>
      </c>
      <c r="V199" s="4">
        <f>E199</f>
        <v/>
      </c>
      <c r="W199" s="4">
        <f>MIN(100,E199+IF(T199="A",6,IF(T199="B",9,12)))</f>
        <v/>
      </c>
      <c r="X199">
        <f>'LIVE SOURCE'!G199</f>
        <v/>
      </c>
      <c r="Y199">
        <f>IF(INDEX('Draft Board'!$J$3:$J$232,Q199)="","Available",INDEX('Draft Board'!$J$3:$J$232,Q199))</f>
        <v/>
      </c>
      <c r="Z199">
        <f>IF(Y199&lt;&gt;"Available","",1+COUNTIFS($Y$3:$Y$232,"Available",$Q$3:$Q$232,"&lt;"&amp;Q199))</f>
        <v/>
      </c>
    </row>
    <row r="200">
      <c r="A200">
        <f>'LIVE SOURCE'!A200</f>
        <v/>
      </c>
      <c r="B200">
        <f>'LIVE SOURCE'!B200</f>
        <v/>
      </c>
      <c r="C200" s="4">
        <f>'LIVE SOURCE'!D200</f>
        <v/>
      </c>
      <c r="D200" s="4">
        <f>'Manual Adjustments'!G200</f>
        <v/>
      </c>
      <c r="E200" s="4">
        <f>MAX(40,MIN(100,C200+D200))</f>
        <v/>
      </c>
      <c r="F200">
        <f>COUNTIFS($A$3:$A$232,A200,$E$3:$E$232,"&gt;"&amp;E200)+COUNTIFS($A$3:A200,A200,$E$3:E200,E200)</f>
        <v/>
      </c>
      <c r="G200" s="4">
        <f>ROUND(INDEX('League Config'!$K$4:$K$9,MATCH(A200,'League Config'!$E$4:$E$9,0))*E200+INDEX('League Config'!$L$4:$L$9,MATCH(A200,'League Config'!$E$4:$E$9,0)),1)</f>
        <v/>
      </c>
      <c r="H200">
        <f>INDEX('League Config'!$H$4:$H$9,MATCH(A200,'League Config'!$E$4:$E$9,0))</f>
        <v/>
      </c>
      <c r="I200" s="4">
        <f>INDEX('League Config'!$I$4:$I$9,MATCH(A200,'League Config'!$E$4:$E$9,0))</f>
        <v/>
      </c>
      <c r="J200" s="4">
        <f>ROUND(G200-I200,1)</f>
        <v/>
      </c>
      <c r="K200" s="4">
        <f>MAX(0,MIN(100,50+J200*0.6))</f>
        <v/>
      </c>
      <c r="L200" s="4">
        <f>MIN(100,MAX(0,(1-(F200-1)/(H200*1.5))*100*INDEX('League Config'!$J$4:$J$9,MATCH(A200,'League Config'!$E$4:$E$9,0))))</f>
        <v/>
      </c>
      <c r="M200">
        <f>IF(A200="K",'League Config'!$B$14,IF(A200="DST",'League Config'!$B$15,IF(A200="QB",'League Config'!$B$16,0)))</f>
        <v/>
      </c>
      <c r="N200" s="4">
        <f>MIN(100,MAX(0,0.55*E200+0.3*K200+0.15*L200-M200))</f>
        <v/>
      </c>
      <c r="O200" s="9">
        <f>IF(OR(A200="K",A200="DST"),"",N200)</f>
        <v/>
      </c>
      <c r="P200" s="6">
        <f>IF(O200="","",COUNTIF($O$3:$O$232,"&gt;"&amp;O200)+COUNTIF($O$3:O200,O200))</f>
        <v/>
      </c>
      <c r="Q200">
        <f>IF(A200="DST",IF(F200&lt;=GateSize,DstStart-1+F200,NSkill+2*GateSize+F200-GateSize),IF(A200="K",IF(F200&lt;=GateSize,KStart-1+F200,NSkill+GateSize+NDst+F200-GateSize),IF(P200&lt;=DstStart-1,P200,P200+2*GateSize)))</f>
        <v/>
      </c>
      <c r="R200" s="4">
        <f>'LIVE SOURCE'!E200</f>
        <v/>
      </c>
      <c r="S200" s="4">
        <f>R200-Q200</f>
        <v/>
      </c>
      <c r="T200">
        <f>'LIVE SOURCE'!F200</f>
        <v/>
      </c>
      <c r="U200" s="4">
        <f>MAX(40,E200-IF(T200="A",6,IF(T200="B",9,12)))</f>
        <v/>
      </c>
      <c r="V200" s="4">
        <f>E200</f>
        <v/>
      </c>
      <c r="W200" s="4">
        <f>MIN(100,E200+IF(T200="A",6,IF(T200="B",9,12)))</f>
        <v/>
      </c>
      <c r="X200">
        <f>'LIVE SOURCE'!G200</f>
        <v/>
      </c>
      <c r="Y200">
        <f>IF(INDEX('Draft Board'!$J$3:$J$232,Q200)="","Available",INDEX('Draft Board'!$J$3:$J$232,Q200))</f>
        <v/>
      </c>
      <c r="Z200">
        <f>IF(Y200&lt;&gt;"Available","",1+COUNTIFS($Y$3:$Y$232,"Available",$Q$3:$Q$232,"&lt;"&amp;Q200))</f>
        <v/>
      </c>
    </row>
    <row r="201">
      <c r="A201">
        <f>'LIVE SOURCE'!A201</f>
        <v/>
      </c>
      <c r="B201">
        <f>'LIVE SOURCE'!B201</f>
        <v/>
      </c>
      <c r="C201" s="4">
        <f>'LIVE SOURCE'!D201</f>
        <v/>
      </c>
      <c r="D201" s="4">
        <f>'Manual Adjustments'!G201</f>
        <v/>
      </c>
      <c r="E201" s="4">
        <f>MAX(40,MIN(100,C201+D201))</f>
        <v/>
      </c>
      <c r="F201">
        <f>COUNTIFS($A$3:$A$232,A201,$E$3:$E$232,"&gt;"&amp;E201)+COUNTIFS($A$3:A201,A201,$E$3:E201,E201)</f>
        <v/>
      </c>
      <c r="G201" s="4">
        <f>ROUND(INDEX('League Config'!$K$4:$K$9,MATCH(A201,'League Config'!$E$4:$E$9,0))*E201+INDEX('League Config'!$L$4:$L$9,MATCH(A201,'League Config'!$E$4:$E$9,0)),1)</f>
        <v/>
      </c>
      <c r="H201">
        <f>INDEX('League Config'!$H$4:$H$9,MATCH(A201,'League Config'!$E$4:$E$9,0))</f>
        <v/>
      </c>
      <c r="I201" s="4">
        <f>INDEX('League Config'!$I$4:$I$9,MATCH(A201,'League Config'!$E$4:$E$9,0))</f>
        <v/>
      </c>
      <c r="J201" s="4">
        <f>ROUND(G201-I201,1)</f>
        <v/>
      </c>
      <c r="K201" s="4">
        <f>MAX(0,MIN(100,50+J201*0.6))</f>
        <v/>
      </c>
      <c r="L201" s="4">
        <f>MIN(100,MAX(0,(1-(F201-1)/(H201*1.5))*100*INDEX('League Config'!$J$4:$J$9,MATCH(A201,'League Config'!$E$4:$E$9,0))))</f>
        <v/>
      </c>
      <c r="M201">
        <f>IF(A201="K",'League Config'!$B$14,IF(A201="DST",'League Config'!$B$15,IF(A201="QB",'League Config'!$B$16,0)))</f>
        <v/>
      </c>
      <c r="N201" s="4">
        <f>MIN(100,MAX(0,0.55*E201+0.3*K201+0.15*L201-M201))</f>
        <v/>
      </c>
      <c r="O201" s="9">
        <f>IF(OR(A201="K",A201="DST"),"",N201)</f>
        <v/>
      </c>
      <c r="P201" s="6">
        <f>IF(O201="","",COUNTIF($O$3:$O$232,"&gt;"&amp;O201)+COUNTIF($O$3:O201,O201))</f>
        <v/>
      </c>
      <c r="Q201">
        <f>IF(A201="DST",IF(F201&lt;=GateSize,DstStart-1+F201,NSkill+2*GateSize+F201-GateSize),IF(A201="K",IF(F201&lt;=GateSize,KStart-1+F201,NSkill+GateSize+NDst+F201-GateSize),IF(P201&lt;=DstStart-1,P201,P201+2*GateSize)))</f>
        <v/>
      </c>
      <c r="R201" s="4">
        <f>'LIVE SOURCE'!E201</f>
        <v/>
      </c>
      <c r="S201" s="4">
        <f>R201-Q201</f>
        <v/>
      </c>
      <c r="T201">
        <f>'LIVE SOURCE'!F201</f>
        <v/>
      </c>
      <c r="U201" s="4">
        <f>MAX(40,E201-IF(T201="A",6,IF(T201="B",9,12)))</f>
        <v/>
      </c>
      <c r="V201" s="4">
        <f>E201</f>
        <v/>
      </c>
      <c r="W201" s="4">
        <f>MIN(100,E201+IF(T201="A",6,IF(T201="B",9,12)))</f>
        <v/>
      </c>
      <c r="X201">
        <f>'LIVE SOURCE'!G201</f>
        <v/>
      </c>
      <c r="Y201">
        <f>IF(INDEX('Draft Board'!$J$3:$J$232,Q201)="","Available",INDEX('Draft Board'!$J$3:$J$232,Q201))</f>
        <v/>
      </c>
      <c r="Z201">
        <f>IF(Y201&lt;&gt;"Available","",1+COUNTIFS($Y$3:$Y$232,"Available",$Q$3:$Q$232,"&lt;"&amp;Q201))</f>
        <v/>
      </c>
    </row>
    <row r="202">
      <c r="A202">
        <f>'LIVE SOURCE'!A202</f>
        <v/>
      </c>
      <c r="B202">
        <f>'LIVE SOURCE'!B202</f>
        <v/>
      </c>
      <c r="C202" s="4">
        <f>'LIVE SOURCE'!D202</f>
        <v/>
      </c>
      <c r="D202" s="4">
        <f>'Manual Adjustments'!G202</f>
        <v/>
      </c>
      <c r="E202" s="4">
        <f>MAX(40,MIN(100,C202+D202))</f>
        <v/>
      </c>
      <c r="F202">
        <f>COUNTIFS($A$3:$A$232,A202,$E$3:$E$232,"&gt;"&amp;E202)+COUNTIFS($A$3:A202,A202,$E$3:E202,E202)</f>
        <v/>
      </c>
      <c r="G202" s="4">
        <f>ROUND(INDEX('League Config'!$K$4:$K$9,MATCH(A202,'League Config'!$E$4:$E$9,0))*E202+INDEX('League Config'!$L$4:$L$9,MATCH(A202,'League Config'!$E$4:$E$9,0)),1)</f>
        <v/>
      </c>
      <c r="H202">
        <f>INDEX('League Config'!$H$4:$H$9,MATCH(A202,'League Config'!$E$4:$E$9,0))</f>
        <v/>
      </c>
      <c r="I202" s="4">
        <f>INDEX('League Config'!$I$4:$I$9,MATCH(A202,'League Config'!$E$4:$E$9,0))</f>
        <v/>
      </c>
      <c r="J202" s="4">
        <f>ROUND(G202-I202,1)</f>
        <v/>
      </c>
      <c r="K202" s="4">
        <f>MAX(0,MIN(100,50+J202*0.6))</f>
        <v/>
      </c>
      <c r="L202" s="4">
        <f>MIN(100,MAX(0,(1-(F202-1)/(H202*1.5))*100*INDEX('League Config'!$J$4:$J$9,MATCH(A202,'League Config'!$E$4:$E$9,0))))</f>
        <v/>
      </c>
      <c r="M202">
        <f>IF(A202="K",'League Config'!$B$14,IF(A202="DST",'League Config'!$B$15,IF(A202="QB",'League Config'!$B$16,0)))</f>
        <v/>
      </c>
      <c r="N202" s="4">
        <f>MIN(100,MAX(0,0.55*E202+0.3*K202+0.15*L202-M202))</f>
        <v/>
      </c>
      <c r="O202" s="9">
        <f>IF(OR(A202="K",A202="DST"),"",N202)</f>
        <v/>
      </c>
      <c r="P202" s="6">
        <f>IF(O202="","",COUNTIF($O$3:$O$232,"&gt;"&amp;O202)+COUNTIF($O$3:O202,O202))</f>
        <v/>
      </c>
      <c r="Q202">
        <f>IF(A202="DST",IF(F202&lt;=GateSize,DstStart-1+F202,NSkill+2*GateSize+F202-GateSize),IF(A202="K",IF(F202&lt;=GateSize,KStart-1+F202,NSkill+GateSize+NDst+F202-GateSize),IF(P202&lt;=DstStart-1,P202,P202+2*GateSize)))</f>
        <v/>
      </c>
      <c r="R202" s="4">
        <f>'LIVE SOURCE'!E202</f>
        <v/>
      </c>
      <c r="S202" s="4">
        <f>R202-Q202</f>
        <v/>
      </c>
      <c r="T202">
        <f>'LIVE SOURCE'!F202</f>
        <v/>
      </c>
      <c r="U202" s="4">
        <f>MAX(40,E202-IF(T202="A",6,IF(T202="B",9,12)))</f>
        <v/>
      </c>
      <c r="V202" s="4">
        <f>E202</f>
        <v/>
      </c>
      <c r="W202" s="4">
        <f>MIN(100,E202+IF(T202="A",6,IF(T202="B",9,12)))</f>
        <v/>
      </c>
      <c r="X202">
        <f>'LIVE SOURCE'!G202</f>
        <v/>
      </c>
      <c r="Y202">
        <f>IF(INDEX('Draft Board'!$J$3:$J$232,Q202)="","Available",INDEX('Draft Board'!$J$3:$J$232,Q202))</f>
        <v/>
      </c>
      <c r="Z202">
        <f>IF(Y202&lt;&gt;"Available","",1+COUNTIFS($Y$3:$Y$232,"Available",$Q$3:$Q$232,"&lt;"&amp;Q202))</f>
        <v/>
      </c>
    </row>
    <row r="203">
      <c r="A203">
        <f>'LIVE SOURCE'!A203</f>
        <v/>
      </c>
      <c r="B203">
        <f>'LIVE SOURCE'!B203</f>
        <v/>
      </c>
      <c r="C203" s="4">
        <f>'LIVE SOURCE'!D203</f>
        <v/>
      </c>
      <c r="D203" s="4">
        <f>'Manual Adjustments'!G203</f>
        <v/>
      </c>
      <c r="E203" s="4">
        <f>MAX(40,MIN(100,C203+D203))</f>
        <v/>
      </c>
      <c r="F203">
        <f>COUNTIFS($A$3:$A$232,A203,$E$3:$E$232,"&gt;"&amp;E203)+COUNTIFS($A$3:A203,A203,$E$3:E203,E203)</f>
        <v/>
      </c>
      <c r="G203" s="4">
        <f>ROUND(INDEX('League Config'!$K$4:$K$9,MATCH(A203,'League Config'!$E$4:$E$9,0))*E203+INDEX('League Config'!$L$4:$L$9,MATCH(A203,'League Config'!$E$4:$E$9,0)),1)</f>
        <v/>
      </c>
      <c r="H203">
        <f>INDEX('League Config'!$H$4:$H$9,MATCH(A203,'League Config'!$E$4:$E$9,0))</f>
        <v/>
      </c>
      <c r="I203" s="4">
        <f>INDEX('League Config'!$I$4:$I$9,MATCH(A203,'League Config'!$E$4:$E$9,0))</f>
        <v/>
      </c>
      <c r="J203" s="4">
        <f>ROUND(G203-I203,1)</f>
        <v/>
      </c>
      <c r="K203" s="4">
        <f>MAX(0,MIN(100,50+J203*0.6))</f>
        <v/>
      </c>
      <c r="L203" s="4">
        <f>MIN(100,MAX(0,(1-(F203-1)/(H203*1.5))*100*INDEX('League Config'!$J$4:$J$9,MATCH(A203,'League Config'!$E$4:$E$9,0))))</f>
        <v/>
      </c>
      <c r="M203">
        <f>IF(A203="K",'League Config'!$B$14,IF(A203="DST",'League Config'!$B$15,IF(A203="QB",'League Config'!$B$16,0)))</f>
        <v/>
      </c>
      <c r="N203" s="4">
        <f>MIN(100,MAX(0,0.55*E203+0.3*K203+0.15*L203-M203))</f>
        <v/>
      </c>
      <c r="O203" s="9">
        <f>IF(OR(A203="K",A203="DST"),"",N203)</f>
        <v/>
      </c>
      <c r="P203" s="6">
        <f>IF(O203="","",COUNTIF($O$3:$O$232,"&gt;"&amp;O203)+COUNTIF($O$3:O203,O203))</f>
        <v/>
      </c>
      <c r="Q203">
        <f>IF(A203="DST",IF(F203&lt;=GateSize,DstStart-1+F203,NSkill+2*GateSize+F203-GateSize),IF(A203="K",IF(F203&lt;=GateSize,KStart-1+F203,NSkill+GateSize+NDst+F203-GateSize),IF(P203&lt;=DstStart-1,P203,P203+2*GateSize)))</f>
        <v/>
      </c>
      <c r="R203" s="4">
        <f>'LIVE SOURCE'!E203</f>
        <v/>
      </c>
      <c r="S203" s="4">
        <f>R203-Q203</f>
        <v/>
      </c>
      <c r="T203">
        <f>'LIVE SOURCE'!F203</f>
        <v/>
      </c>
      <c r="U203" s="4">
        <f>MAX(40,E203-IF(T203="A",6,IF(T203="B",9,12)))</f>
        <v/>
      </c>
      <c r="V203" s="4">
        <f>E203</f>
        <v/>
      </c>
      <c r="W203" s="4">
        <f>MIN(100,E203+IF(T203="A",6,IF(T203="B",9,12)))</f>
        <v/>
      </c>
      <c r="X203">
        <f>'LIVE SOURCE'!G203</f>
        <v/>
      </c>
      <c r="Y203">
        <f>IF(INDEX('Draft Board'!$J$3:$J$232,Q203)="","Available",INDEX('Draft Board'!$J$3:$J$232,Q203))</f>
        <v/>
      </c>
      <c r="Z203">
        <f>IF(Y203&lt;&gt;"Available","",1+COUNTIFS($Y$3:$Y$232,"Available",$Q$3:$Q$232,"&lt;"&amp;Q203))</f>
        <v/>
      </c>
    </row>
    <row r="204">
      <c r="A204">
        <f>'LIVE SOURCE'!A204</f>
        <v/>
      </c>
      <c r="B204">
        <f>'LIVE SOURCE'!B204</f>
        <v/>
      </c>
      <c r="C204" s="4">
        <f>'LIVE SOURCE'!D204</f>
        <v/>
      </c>
      <c r="D204" s="4">
        <f>'Manual Adjustments'!G204</f>
        <v/>
      </c>
      <c r="E204" s="4">
        <f>MAX(40,MIN(100,C204+D204))</f>
        <v/>
      </c>
      <c r="F204">
        <f>COUNTIFS($A$3:$A$232,A204,$E$3:$E$232,"&gt;"&amp;E204)+COUNTIFS($A$3:A204,A204,$E$3:E204,E204)</f>
        <v/>
      </c>
      <c r="G204" s="4">
        <f>ROUND(INDEX('League Config'!$K$4:$K$9,MATCH(A204,'League Config'!$E$4:$E$9,0))*E204+INDEX('League Config'!$L$4:$L$9,MATCH(A204,'League Config'!$E$4:$E$9,0)),1)</f>
        <v/>
      </c>
      <c r="H204">
        <f>INDEX('League Config'!$H$4:$H$9,MATCH(A204,'League Config'!$E$4:$E$9,0))</f>
        <v/>
      </c>
      <c r="I204" s="4">
        <f>INDEX('League Config'!$I$4:$I$9,MATCH(A204,'League Config'!$E$4:$E$9,0))</f>
        <v/>
      </c>
      <c r="J204" s="4">
        <f>ROUND(G204-I204,1)</f>
        <v/>
      </c>
      <c r="K204" s="4">
        <f>MAX(0,MIN(100,50+J204*0.6))</f>
        <v/>
      </c>
      <c r="L204" s="4">
        <f>MIN(100,MAX(0,(1-(F204-1)/(H204*1.5))*100*INDEX('League Config'!$J$4:$J$9,MATCH(A204,'League Config'!$E$4:$E$9,0))))</f>
        <v/>
      </c>
      <c r="M204">
        <f>IF(A204="K",'League Config'!$B$14,IF(A204="DST",'League Config'!$B$15,IF(A204="QB",'League Config'!$B$16,0)))</f>
        <v/>
      </c>
      <c r="N204" s="4">
        <f>MIN(100,MAX(0,0.55*E204+0.3*K204+0.15*L204-M204))</f>
        <v/>
      </c>
      <c r="O204" s="9">
        <f>IF(OR(A204="K",A204="DST"),"",N204)</f>
        <v/>
      </c>
      <c r="P204" s="6">
        <f>IF(O204="","",COUNTIF($O$3:$O$232,"&gt;"&amp;O204)+COUNTIF($O$3:O204,O204))</f>
        <v/>
      </c>
      <c r="Q204">
        <f>IF(A204="DST",IF(F204&lt;=GateSize,DstStart-1+F204,NSkill+2*GateSize+F204-GateSize),IF(A204="K",IF(F204&lt;=GateSize,KStart-1+F204,NSkill+GateSize+NDst+F204-GateSize),IF(P204&lt;=DstStart-1,P204,P204+2*GateSize)))</f>
        <v/>
      </c>
      <c r="R204" s="4">
        <f>'LIVE SOURCE'!E204</f>
        <v/>
      </c>
      <c r="S204" s="4">
        <f>R204-Q204</f>
        <v/>
      </c>
      <c r="T204">
        <f>'LIVE SOURCE'!F204</f>
        <v/>
      </c>
      <c r="U204" s="4">
        <f>MAX(40,E204-IF(T204="A",6,IF(T204="B",9,12)))</f>
        <v/>
      </c>
      <c r="V204" s="4">
        <f>E204</f>
        <v/>
      </c>
      <c r="W204" s="4">
        <f>MIN(100,E204+IF(T204="A",6,IF(T204="B",9,12)))</f>
        <v/>
      </c>
      <c r="X204">
        <f>'LIVE SOURCE'!G204</f>
        <v/>
      </c>
      <c r="Y204">
        <f>IF(INDEX('Draft Board'!$J$3:$J$232,Q204)="","Available",INDEX('Draft Board'!$J$3:$J$232,Q204))</f>
        <v/>
      </c>
      <c r="Z204">
        <f>IF(Y204&lt;&gt;"Available","",1+COUNTIFS($Y$3:$Y$232,"Available",$Q$3:$Q$232,"&lt;"&amp;Q204))</f>
        <v/>
      </c>
    </row>
    <row r="205">
      <c r="A205">
        <f>'LIVE SOURCE'!A205</f>
        <v/>
      </c>
      <c r="B205">
        <f>'LIVE SOURCE'!B205</f>
        <v/>
      </c>
      <c r="C205" s="4">
        <f>'LIVE SOURCE'!D205</f>
        <v/>
      </c>
      <c r="D205" s="4">
        <f>'Manual Adjustments'!G205</f>
        <v/>
      </c>
      <c r="E205" s="4">
        <f>MAX(40,MIN(100,C205+D205))</f>
        <v/>
      </c>
      <c r="F205">
        <f>COUNTIFS($A$3:$A$232,A205,$E$3:$E$232,"&gt;"&amp;E205)+COUNTIFS($A$3:A205,A205,$E$3:E205,E205)</f>
        <v/>
      </c>
      <c r="G205" s="4">
        <f>ROUND(INDEX('League Config'!$K$4:$K$9,MATCH(A205,'League Config'!$E$4:$E$9,0))*E205+INDEX('League Config'!$L$4:$L$9,MATCH(A205,'League Config'!$E$4:$E$9,0)),1)</f>
        <v/>
      </c>
      <c r="H205">
        <f>INDEX('League Config'!$H$4:$H$9,MATCH(A205,'League Config'!$E$4:$E$9,0))</f>
        <v/>
      </c>
      <c r="I205" s="4">
        <f>INDEX('League Config'!$I$4:$I$9,MATCH(A205,'League Config'!$E$4:$E$9,0))</f>
        <v/>
      </c>
      <c r="J205" s="4">
        <f>ROUND(G205-I205,1)</f>
        <v/>
      </c>
      <c r="K205" s="4">
        <f>MAX(0,MIN(100,50+J205*0.6))</f>
        <v/>
      </c>
      <c r="L205" s="4">
        <f>MIN(100,MAX(0,(1-(F205-1)/(H205*1.5))*100*INDEX('League Config'!$J$4:$J$9,MATCH(A205,'League Config'!$E$4:$E$9,0))))</f>
        <v/>
      </c>
      <c r="M205">
        <f>IF(A205="K",'League Config'!$B$14,IF(A205="DST",'League Config'!$B$15,IF(A205="QB",'League Config'!$B$16,0)))</f>
        <v/>
      </c>
      <c r="N205" s="4">
        <f>MIN(100,MAX(0,0.55*E205+0.3*K205+0.15*L205-M205))</f>
        <v/>
      </c>
      <c r="O205" s="9">
        <f>IF(OR(A205="K",A205="DST"),"",N205)</f>
        <v/>
      </c>
      <c r="P205" s="6">
        <f>IF(O205="","",COUNTIF($O$3:$O$232,"&gt;"&amp;O205)+COUNTIF($O$3:O205,O205))</f>
        <v/>
      </c>
      <c r="Q205">
        <f>IF(A205="DST",IF(F205&lt;=GateSize,DstStart-1+F205,NSkill+2*GateSize+F205-GateSize),IF(A205="K",IF(F205&lt;=GateSize,KStart-1+F205,NSkill+GateSize+NDst+F205-GateSize),IF(P205&lt;=DstStart-1,P205,P205+2*GateSize)))</f>
        <v/>
      </c>
      <c r="R205" s="4">
        <f>'LIVE SOURCE'!E205</f>
        <v/>
      </c>
      <c r="S205" s="4">
        <f>R205-Q205</f>
        <v/>
      </c>
      <c r="T205">
        <f>'LIVE SOURCE'!F205</f>
        <v/>
      </c>
      <c r="U205" s="4">
        <f>MAX(40,E205-IF(T205="A",6,IF(T205="B",9,12)))</f>
        <v/>
      </c>
      <c r="V205" s="4">
        <f>E205</f>
        <v/>
      </c>
      <c r="W205" s="4">
        <f>MIN(100,E205+IF(T205="A",6,IF(T205="B",9,12)))</f>
        <v/>
      </c>
      <c r="X205">
        <f>'LIVE SOURCE'!G205</f>
        <v/>
      </c>
      <c r="Y205">
        <f>IF(INDEX('Draft Board'!$J$3:$J$232,Q205)="","Available",INDEX('Draft Board'!$J$3:$J$232,Q205))</f>
        <v/>
      </c>
      <c r="Z205">
        <f>IF(Y205&lt;&gt;"Available","",1+COUNTIFS($Y$3:$Y$232,"Available",$Q$3:$Q$232,"&lt;"&amp;Q205))</f>
        <v/>
      </c>
    </row>
    <row r="206">
      <c r="A206">
        <f>'LIVE SOURCE'!A206</f>
        <v/>
      </c>
      <c r="B206">
        <f>'LIVE SOURCE'!B206</f>
        <v/>
      </c>
      <c r="C206" s="4">
        <f>'LIVE SOURCE'!D206</f>
        <v/>
      </c>
      <c r="D206" s="4">
        <f>'Manual Adjustments'!G206</f>
        <v/>
      </c>
      <c r="E206" s="4">
        <f>MAX(40,MIN(100,C206+D206))</f>
        <v/>
      </c>
      <c r="F206">
        <f>COUNTIFS($A$3:$A$232,A206,$E$3:$E$232,"&gt;"&amp;E206)+COUNTIFS($A$3:A206,A206,$E$3:E206,E206)</f>
        <v/>
      </c>
      <c r="G206" s="4">
        <f>ROUND(INDEX('League Config'!$K$4:$K$9,MATCH(A206,'League Config'!$E$4:$E$9,0))*E206+INDEX('League Config'!$L$4:$L$9,MATCH(A206,'League Config'!$E$4:$E$9,0)),1)</f>
        <v/>
      </c>
      <c r="H206">
        <f>INDEX('League Config'!$H$4:$H$9,MATCH(A206,'League Config'!$E$4:$E$9,0))</f>
        <v/>
      </c>
      <c r="I206" s="4">
        <f>INDEX('League Config'!$I$4:$I$9,MATCH(A206,'League Config'!$E$4:$E$9,0))</f>
        <v/>
      </c>
      <c r="J206" s="4">
        <f>ROUND(G206-I206,1)</f>
        <v/>
      </c>
      <c r="K206" s="4">
        <f>MAX(0,MIN(100,50+J206*0.6))</f>
        <v/>
      </c>
      <c r="L206" s="4">
        <f>MIN(100,MAX(0,(1-(F206-1)/(H206*1.5))*100*INDEX('League Config'!$J$4:$J$9,MATCH(A206,'League Config'!$E$4:$E$9,0))))</f>
        <v/>
      </c>
      <c r="M206">
        <f>IF(A206="K",'League Config'!$B$14,IF(A206="DST",'League Config'!$B$15,IF(A206="QB",'League Config'!$B$16,0)))</f>
        <v/>
      </c>
      <c r="N206" s="4">
        <f>MIN(100,MAX(0,0.55*E206+0.3*K206+0.15*L206-M206))</f>
        <v/>
      </c>
      <c r="O206" s="9">
        <f>IF(OR(A206="K",A206="DST"),"",N206)</f>
        <v/>
      </c>
      <c r="P206" s="6">
        <f>IF(O206="","",COUNTIF($O$3:$O$232,"&gt;"&amp;O206)+COUNTIF($O$3:O206,O206))</f>
        <v/>
      </c>
      <c r="Q206">
        <f>IF(A206="DST",IF(F206&lt;=GateSize,DstStart-1+F206,NSkill+2*GateSize+F206-GateSize),IF(A206="K",IF(F206&lt;=GateSize,KStart-1+F206,NSkill+GateSize+NDst+F206-GateSize),IF(P206&lt;=DstStart-1,P206,P206+2*GateSize)))</f>
        <v/>
      </c>
      <c r="R206" s="4">
        <f>'LIVE SOURCE'!E206</f>
        <v/>
      </c>
      <c r="S206" s="4">
        <f>R206-Q206</f>
        <v/>
      </c>
      <c r="T206">
        <f>'LIVE SOURCE'!F206</f>
        <v/>
      </c>
      <c r="U206" s="4">
        <f>MAX(40,E206-IF(T206="A",6,IF(T206="B",9,12)))</f>
        <v/>
      </c>
      <c r="V206" s="4">
        <f>E206</f>
        <v/>
      </c>
      <c r="W206" s="4">
        <f>MIN(100,E206+IF(T206="A",6,IF(T206="B",9,12)))</f>
        <v/>
      </c>
      <c r="X206">
        <f>'LIVE SOURCE'!G206</f>
        <v/>
      </c>
      <c r="Y206">
        <f>IF(INDEX('Draft Board'!$J$3:$J$232,Q206)="","Available",INDEX('Draft Board'!$J$3:$J$232,Q206))</f>
        <v/>
      </c>
      <c r="Z206">
        <f>IF(Y206&lt;&gt;"Available","",1+COUNTIFS($Y$3:$Y$232,"Available",$Q$3:$Q$232,"&lt;"&amp;Q206))</f>
        <v/>
      </c>
    </row>
    <row r="207">
      <c r="A207">
        <f>'LIVE SOURCE'!A207</f>
        <v/>
      </c>
      <c r="B207">
        <f>'LIVE SOURCE'!B207</f>
        <v/>
      </c>
      <c r="C207" s="4">
        <f>'LIVE SOURCE'!D207</f>
        <v/>
      </c>
      <c r="D207" s="4">
        <f>'Manual Adjustments'!G207</f>
        <v/>
      </c>
      <c r="E207" s="4">
        <f>MAX(40,MIN(100,C207+D207))</f>
        <v/>
      </c>
      <c r="F207">
        <f>COUNTIFS($A$3:$A$232,A207,$E$3:$E$232,"&gt;"&amp;E207)+COUNTIFS($A$3:A207,A207,$E$3:E207,E207)</f>
        <v/>
      </c>
      <c r="G207" s="4">
        <f>ROUND(INDEX('League Config'!$K$4:$K$9,MATCH(A207,'League Config'!$E$4:$E$9,0))*E207+INDEX('League Config'!$L$4:$L$9,MATCH(A207,'League Config'!$E$4:$E$9,0)),1)</f>
        <v/>
      </c>
      <c r="H207">
        <f>INDEX('League Config'!$H$4:$H$9,MATCH(A207,'League Config'!$E$4:$E$9,0))</f>
        <v/>
      </c>
      <c r="I207" s="4">
        <f>INDEX('League Config'!$I$4:$I$9,MATCH(A207,'League Config'!$E$4:$E$9,0))</f>
        <v/>
      </c>
      <c r="J207" s="4">
        <f>ROUND(G207-I207,1)</f>
        <v/>
      </c>
      <c r="K207" s="4">
        <f>MAX(0,MIN(100,50+J207*0.6))</f>
        <v/>
      </c>
      <c r="L207" s="4">
        <f>MIN(100,MAX(0,(1-(F207-1)/(H207*1.5))*100*INDEX('League Config'!$J$4:$J$9,MATCH(A207,'League Config'!$E$4:$E$9,0))))</f>
        <v/>
      </c>
      <c r="M207">
        <f>IF(A207="K",'League Config'!$B$14,IF(A207="DST",'League Config'!$B$15,IF(A207="QB",'League Config'!$B$16,0)))</f>
        <v/>
      </c>
      <c r="N207" s="4">
        <f>MIN(100,MAX(0,0.55*E207+0.3*K207+0.15*L207-M207))</f>
        <v/>
      </c>
      <c r="O207" s="9">
        <f>IF(OR(A207="K",A207="DST"),"",N207)</f>
        <v/>
      </c>
      <c r="P207" s="6">
        <f>IF(O207="","",COUNTIF($O$3:$O$232,"&gt;"&amp;O207)+COUNTIF($O$3:O207,O207))</f>
        <v/>
      </c>
      <c r="Q207">
        <f>IF(A207="DST",IF(F207&lt;=GateSize,DstStart-1+F207,NSkill+2*GateSize+F207-GateSize),IF(A207="K",IF(F207&lt;=GateSize,KStart-1+F207,NSkill+GateSize+NDst+F207-GateSize),IF(P207&lt;=DstStart-1,P207,P207+2*GateSize)))</f>
        <v/>
      </c>
      <c r="R207" s="4">
        <f>'LIVE SOURCE'!E207</f>
        <v/>
      </c>
      <c r="S207" s="4">
        <f>R207-Q207</f>
        <v/>
      </c>
      <c r="T207">
        <f>'LIVE SOURCE'!F207</f>
        <v/>
      </c>
      <c r="U207" s="4">
        <f>MAX(40,E207-IF(T207="A",6,IF(T207="B",9,12)))</f>
        <v/>
      </c>
      <c r="V207" s="4">
        <f>E207</f>
        <v/>
      </c>
      <c r="W207" s="4">
        <f>MIN(100,E207+IF(T207="A",6,IF(T207="B",9,12)))</f>
        <v/>
      </c>
      <c r="X207">
        <f>'LIVE SOURCE'!G207</f>
        <v/>
      </c>
      <c r="Y207">
        <f>IF(INDEX('Draft Board'!$J$3:$J$232,Q207)="","Available",INDEX('Draft Board'!$J$3:$J$232,Q207))</f>
        <v/>
      </c>
      <c r="Z207">
        <f>IF(Y207&lt;&gt;"Available","",1+COUNTIFS($Y$3:$Y$232,"Available",$Q$3:$Q$232,"&lt;"&amp;Q207))</f>
        <v/>
      </c>
    </row>
    <row r="208">
      <c r="A208">
        <f>'LIVE SOURCE'!A208</f>
        <v/>
      </c>
      <c r="B208">
        <f>'LIVE SOURCE'!B208</f>
        <v/>
      </c>
      <c r="C208" s="4">
        <f>'LIVE SOURCE'!D208</f>
        <v/>
      </c>
      <c r="D208" s="4">
        <f>'Manual Adjustments'!G208</f>
        <v/>
      </c>
      <c r="E208" s="4">
        <f>MAX(40,MIN(100,C208+D208))</f>
        <v/>
      </c>
      <c r="F208">
        <f>COUNTIFS($A$3:$A$232,A208,$E$3:$E$232,"&gt;"&amp;E208)+COUNTIFS($A$3:A208,A208,$E$3:E208,E208)</f>
        <v/>
      </c>
      <c r="G208" s="4">
        <f>ROUND(INDEX('League Config'!$K$4:$K$9,MATCH(A208,'League Config'!$E$4:$E$9,0))*E208+INDEX('League Config'!$L$4:$L$9,MATCH(A208,'League Config'!$E$4:$E$9,0)),1)</f>
        <v/>
      </c>
      <c r="H208">
        <f>INDEX('League Config'!$H$4:$H$9,MATCH(A208,'League Config'!$E$4:$E$9,0))</f>
        <v/>
      </c>
      <c r="I208" s="4">
        <f>INDEX('League Config'!$I$4:$I$9,MATCH(A208,'League Config'!$E$4:$E$9,0))</f>
        <v/>
      </c>
      <c r="J208" s="4">
        <f>ROUND(G208-I208,1)</f>
        <v/>
      </c>
      <c r="K208" s="4">
        <f>MAX(0,MIN(100,50+J208*0.6))</f>
        <v/>
      </c>
      <c r="L208" s="4">
        <f>MIN(100,MAX(0,(1-(F208-1)/(H208*1.5))*100*INDEX('League Config'!$J$4:$J$9,MATCH(A208,'League Config'!$E$4:$E$9,0))))</f>
        <v/>
      </c>
      <c r="M208">
        <f>IF(A208="K",'League Config'!$B$14,IF(A208="DST",'League Config'!$B$15,IF(A208="QB",'League Config'!$B$16,0)))</f>
        <v/>
      </c>
      <c r="N208" s="4">
        <f>MIN(100,MAX(0,0.55*E208+0.3*K208+0.15*L208-M208))</f>
        <v/>
      </c>
      <c r="O208" s="9">
        <f>IF(OR(A208="K",A208="DST"),"",N208)</f>
        <v/>
      </c>
      <c r="P208" s="6">
        <f>IF(O208="","",COUNTIF($O$3:$O$232,"&gt;"&amp;O208)+COUNTIF($O$3:O208,O208))</f>
        <v/>
      </c>
      <c r="Q208">
        <f>IF(A208="DST",IF(F208&lt;=GateSize,DstStart-1+F208,NSkill+2*GateSize+F208-GateSize),IF(A208="K",IF(F208&lt;=GateSize,KStart-1+F208,NSkill+GateSize+NDst+F208-GateSize),IF(P208&lt;=DstStart-1,P208,P208+2*GateSize)))</f>
        <v/>
      </c>
      <c r="R208" s="4">
        <f>'LIVE SOURCE'!E208</f>
        <v/>
      </c>
      <c r="S208" s="4">
        <f>R208-Q208</f>
        <v/>
      </c>
      <c r="T208">
        <f>'LIVE SOURCE'!F208</f>
        <v/>
      </c>
      <c r="U208" s="4">
        <f>MAX(40,E208-IF(T208="A",6,IF(T208="B",9,12)))</f>
        <v/>
      </c>
      <c r="V208" s="4">
        <f>E208</f>
        <v/>
      </c>
      <c r="W208" s="4">
        <f>MIN(100,E208+IF(T208="A",6,IF(T208="B",9,12)))</f>
        <v/>
      </c>
      <c r="X208">
        <f>'LIVE SOURCE'!G208</f>
        <v/>
      </c>
      <c r="Y208">
        <f>IF(INDEX('Draft Board'!$J$3:$J$232,Q208)="","Available",INDEX('Draft Board'!$J$3:$J$232,Q208))</f>
        <v/>
      </c>
      <c r="Z208">
        <f>IF(Y208&lt;&gt;"Available","",1+COUNTIFS($Y$3:$Y$232,"Available",$Q$3:$Q$232,"&lt;"&amp;Q208))</f>
        <v/>
      </c>
    </row>
    <row r="209">
      <c r="A209">
        <f>'LIVE SOURCE'!A209</f>
        <v/>
      </c>
      <c r="B209">
        <f>'LIVE SOURCE'!B209</f>
        <v/>
      </c>
      <c r="C209" s="4">
        <f>'LIVE SOURCE'!D209</f>
        <v/>
      </c>
      <c r="D209" s="4">
        <f>'Manual Adjustments'!G209</f>
        <v/>
      </c>
      <c r="E209" s="4">
        <f>MAX(40,MIN(100,C209+D209))</f>
        <v/>
      </c>
      <c r="F209">
        <f>COUNTIFS($A$3:$A$232,A209,$E$3:$E$232,"&gt;"&amp;E209)+COUNTIFS($A$3:A209,A209,$E$3:E209,E209)</f>
        <v/>
      </c>
      <c r="G209" s="4">
        <f>ROUND(INDEX('League Config'!$K$4:$K$9,MATCH(A209,'League Config'!$E$4:$E$9,0))*E209+INDEX('League Config'!$L$4:$L$9,MATCH(A209,'League Config'!$E$4:$E$9,0)),1)</f>
        <v/>
      </c>
      <c r="H209">
        <f>INDEX('League Config'!$H$4:$H$9,MATCH(A209,'League Config'!$E$4:$E$9,0))</f>
        <v/>
      </c>
      <c r="I209" s="4">
        <f>INDEX('League Config'!$I$4:$I$9,MATCH(A209,'League Config'!$E$4:$E$9,0))</f>
        <v/>
      </c>
      <c r="J209" s="4">
        <f>ROUND(G209-I209,1)</f>
        <v/>
      </c>
      <c r="K209" s="4">
        <f>MAX(0,MIN(100,50+J209*0.6))</f>
        <v/>
      </c>
      <c r="L209" s="4">
        <f>MIN(100,MAX(0,(1-(F209-1)/(H209*1.5))*100*INDEX('League Config'!$J$4:$J$9,MATCH(A209,'League Config'!$E$4:$E$9,0))))</f>
        <v/>
      </c>
      <c r="M209">
        <f>IF(A209="K",'League Config'!$B$14,IF(A209="DST",'League Config'!$B$15,IF(A209="QB",'League Config'!$B$16,0)))</f>
        <v/>
      </c>
      <c r="N209" s="4">
        <f>MIN(100,MAX(0,0.55*E209+0.3*K209+0.15*L209-M209))</f>
        <v/>
      </c>
      <c r="O209" s="9">
        <f>IF(OR(A209="K",A209="DST"),"",N209)</f>
        <v/>
      </c>
      <c r="P209" s="6">
        <f>IF(O209="","",COUNTIF($O$3:$O$232,"&gt;"&amp;O209)+COUNTIF($O$3:O209,O209))</f>
        <v/>
      </c>
      <c r="Q209">
        <f>IF(A209="DST",IF(F209&lt;=GateSize,DstStart-1+F209,NSkill+2*GateSize+F209-GateSize),IF(A209="K",IF(F209&lt;=GateSize,KStart-1+F209,NSkill+GateSize+NDst+F209-GateSize),IF(P209&lt;=DstStart-1,P209,P209+2*GateSize)))</f>
        <v/>
      </c>
      <c r="R209" s="4">
        <f>'LIVE SOURCE'!E209</f>
        <v/>
      </c>
      <c r="S209" s="4">
        <f>R209-Q209</f>
        <v/>
      </c>
      <c r="T209">
        <f>'LIVE SOURCE'!F209</f>
        <v/>
      </c>
      <c r="U209" s="4">
        <f>MAX(40,E209-IF(T209="A",6,IF(T209="B",9,12)))</f>
        <v/>
      </c>
      <c r="V209" s="4">
        <f>E209</f>
        <v/>
      </c>
      <c r="W209" s="4">
        <f>MIN(100,E209+IF(T209="A",6,IF(T209="B",9,12)))</f>
        <v/>
      </c>
      <c r="X209">
        <f>'LIVE SOURCE'!G209</f>
        <v/>
      </c>
      <c r="Y209">
        <f>IF(INDEX('Draft Board'!$J$3:$J$232,Q209)="","Available",INDEX('Draft Board'!$J$3:$J$232,Q209))</f>
        <v/>
      </c>
      <c r="Z209">
        <f>IF(Y209&lt;&gt;"Available","",1+COUNTIFS($Y$3:$Y$232,"Available",$Q$3:$Q$232,"&lt;"&amp;Q209))</f>
        <v/>
      </c>
    </row>
    <row r="210">
      <c r="A210">
        <f>'LIVE SOURCE'!A210</f>
        <v/>
      </c>
      <c r="B210">
        <f>'LIVE SOURCE'!B210</f>
        <v/>
      </c>
      <c r="C210" s="4">
        <f>'LIVE SOURCE'!D210</f>
        <v/>
      </c>
      <c r="D210" s="4">
        <f>'Manual Adjustments'!G210</f>
        <v/>
      </c>
      <c r="E210" s="4">
        <f>MAX(40,MIN(100,C210+D210))</f>
        <v/>
      </c>
      <c r="F210">
        <f>COUNTIFS($A$3:$A$232,A210,$E$3:$E$232,"&gt;"&amp;E210)+COUNTIFS($A$3:A210,A210,$E$3:E210,E210)</f>
        <v/>
      </c>
      <c r="G210" s="4">
        <f>ROUND(INDEX('League Config'!$K$4:$K$9,MATCH(A210,'League Config'!$E$4:$E$9,0))*E210+INDEX('League Config'!$L$4:$L$9,MATCH(A210,'League Config'!$E$4:$E$9,0)),1)</f>
        <v/>
      </c>
      <c r="H210">
        <f>INDEX('League Config'!$H$4:$H$9,MATCH(A210,'League Config'!$E$4:$E$9,0))</f>
        <v/>
      </c>
      <c r="I210" s="4">
        <f>INDEX('League Config'!$I$4:$I$9,MATCH(A210,'League Config'!$E$4:$E$9,0))</f>
        <v/>
      </c>
      <c r="J210" s="4">
        <f>ROUND(G210-I210,1)</f>
        <v/>
      </c>
      <c r="K210" s="4">
        <f>MAX(0,MIN(100,50+J210*0.6))</f>
        <v/>
      </c>
      <c r="L210" s="4">
        <f>MIN(100,MAX(0,(1-(F210-1)/(H210*1.5))*100*INDEX('League Config'!$J$4:$J$9,MATCH(A210,'League Config'!$E$4:$E$9,0))))</f>
        <v/>
      </c>
      <c r="M210">
        <f>IF(A210="K",'League Config'!$B$14,IF(A210="DST",'League Config'!$B$15,IF(A210="QB",'League Config'!$B$16,0)))</f>
        <v/>
      </c>
      <c r="N210" s="4">
        <f>MIN(100,MAX(0,0.55*E210+0.3*K210+0.15*L210-M210))</f>
        <v/>
      </c>
      <c r="O210" s="9">
        <f>IF(OR(A210="K",A210="DST"),"",N210)</f>
        <v/>
      </c>
      <c r="P210" s="6">
        <f>IF(O210="","",COUNTIF($O$3:$O$232,"&gt;"&amp;O210)+COUNTIF($O$3:O210,O210))</f>
        <v/>
      </c>
      <c r="Q210">
        <f>IF(A210="DST",IF(F210&lt;=GateSize,DstStart-1+F210,NSkill+2*GateSize+F210-GateSize),IF(A210="K",IF(F210&lt;=GateSize,KStart-1+F210,NSkill+GateSize+NDst+F210-GateSize),IF(P210&lt;=DstStart-1,P210,P210+2*GateSize)))</f>
        <v/>
      </c>
      <c r="R210" s="4">
        <f>'LIVE SOURCE'!E210</f>
        <v/>
      </c>
      <c r="S210" s="4">
        <f>R210-Q210</f>
        <v/>
      </c>
      <c r="T210">
        <f>'LIVE SOURCE'!F210</f>
        <v/>
      </c>
      <c r="U210" s="4">
        <f>MAX(40,E210-IF(T210="A",6,IF(T210="B",9,12)))</f>
        <v/>
      </c>
      <c r="V210" s="4">
        <f>E210</f>
        <v/>
      </c>
      <c r="W210" s="4">
        <f>MIN(100,E210+IF(T210="A",6,IF(T210="B",9,12)))</f>
        <v/>
      </c>
      <c r="X210">
        <f>'LIVE SOURCE'!G210</f>
        <v/>
      </c>
      <c r="Y210">
        <f>IF(INDEX('Draft Board'!$J$3:$J$232,Q210)="","Available",INDEX('Draft Board'!$J$3:$J$232,Q210))</f>
        <v/>
      </c>
      <c r="Z210">
        <f>IF(Y210&lt;&gt;"Available","",1+COUNTIFS($Y$3:$Y$232,"Available",$Q$3:$Q$232,"&lt;"&amp;Q210))</f>
        <v/>
      </c>
    </row>
    <row r="211">
      <c r="A211">
        <f>'LIVE SOURCE'!A211</f>
        <v/>
      </c>
      <c r="B211">
        <f>'LIVE SOURCE'!B211</f>
        <v/>
      </c>
      <c r="C211" s="4">
        <f>'LIVE SOURCE'!D211</f>
        <v/>
      </c>
      <c r="D211" s="4">
        <f>'Manual Adjustments'!G211</f>
        <v/>
      </c>
      <c r="E211" s="4">
        <f>MAX(40,MIN(100,C211+D211))</f>
        <v/>
      </c>
      <c r="F211">
        <f>COUNTIFS($A$3:$A$232,A211,$E$3:$E$232,"&gt;"&amp;E211)+COUNTIFS($A$3:A211,A211,$E$3:E211,E211)</f>
        <v/>
      </c>
      <c r="G211" s="4">
        <f>ROUND(INDEX('League Config'!$K$4:$K$9,MATCH(A211,'League Config'!$E$4:$E$9,0))*E211+INDEX('League Config'!$L$4:$L$9,MATCH(A211,'League Config'!$E$4:$E$9,0)),1)</f>
        <v/>
      </c>
      <c r="H211">
        <f>INDEX('League Config'!$H$4:$H$9,MATCH(A211,'League Config'!$E$4:$E$9,0))</f>
        <v/>
      </c>
      <c r="I211" s="4">
        <f>INDEX('League Config'!$I$4:$I$9,MATCH(A211,'League Config'!$E$4:$E$9,0))</f>
        <v/>
      </c>
      <c r="J211" s="4">
        <f>ROUND(G211-I211,1)</f>
        <v/>
      </c>
      <c r="K211" s="4">
        <f>MAX(0,MIN(100,50+J211*0.6))</f>
        <v/>
      </c>
      <c r="L211" s="4">
        <f>MIN(100,MAX(0,(1-(F211-1)/(H211*1.5))*100*INDEX('League Config'!$J$4:$J$9,MATCH(A211,'League Config'!$E$4:$E$9,0))))</f>
        <v/>
      </c>
      <c r="M211">
        <f>IF(A211="K",'League Config'!$B$14,IF(A211="DST",'League Config'!$B$15,IF(A211="QB",'League Config'!$B$16,0)))</f>
        <v/>
      </c>
      <c r="N211" s="4">
        <f>MIN(100,MAX(0,0.55*E211+0.3*K211+0.15*L211-M211))</f>
        <v/>
      </c>
      <c r="O211" s="9">
        <f>IF(OR(A211="K",A211="DST"),"",N211)</f>
        <v/>
      </c>
      <c r="P211" s="6">
        <f>IF(O211="","",COUNTIF($O$3:$O$232,"&gt;"&amp;O211)+COUNTIF($O$3:O211,O211))</f>
        <v/>
      </c>
      <c r="Q211">
        <f>IF(A211="DST",IF(F211&lt;=GateSize,DstStart-1+F211,NSkill+2*GateSize+F211-GateSize),IF(A211="K",IF(F211&lt;=GateSize,KStart-1+F211,NSkill+GateSize+NDst+F211-GateSize),IF(P211&lt;=DstStart-1,P211,P211+2*GateSize)))</f>
        <v/>
      </c>
      <c r="R211" s="4">
        <f>'LIVE SOURCE'!E211</f>
        <v/>
      </c>
      <c r="S211" s="4">
        <f>R211-Q211</f>
        <v/>
      </c>
      <c r="T211">
        <f>'LIVE SOURCE'!F211</f>
        <v/>
      </c>
      <c r="U211" s="4">
        <f>MAX(40,E211-IF(T211="A",6,IF(T211="B",9,12)))</f>
        <v/>
      </c>
      <c r="V211" s="4">
        <f>E211</f>
        <v/>
      </c>
      <c r="W211" s="4">
        <f>MIN(100,E211+IF(T211="A",6,IF(T211="B",9,12)))</f>
        <v/>
      </c>
      <c r="X211">
        <f>'LIVE SOURCE'!G211</f>
        <v/>
      </c>
      <c r="Y211">
        <f>IF(INDEX('Draft Board'!$J$3:$J$232,Q211)="","Available",INDEX('Draft Board'!$J$3:$J$232,Q211))</f>
        <v/>
      </c>
      <c r="Z211">
        <f>IF(Y211&lt;&gt;"Available","",1+COUNTIFS($Y$3:$Y$232,"Available",$Q$3:$Q$232,"&lt;"&amp;Q211))</f>
        <v/>
      </c>
    </row>
    <row r="212">
      <c r="A212">
        <f>'LIVE SOURCE'!A212</f>
        <v/>
      </c>
      <c r="B212">
        <f>'LIVE SOURCE'!B212</f>
        <v/>
      </c>
      <c r="C212" s="4">
        <f>'LIVE SOURCE'!D212</f>
        <v/>
      </c>
      <c r="D212" s="4">
        <f>'Manual Adjustments'!G212</f>
        <v/>
      </c>
      <c r="E212" s="4">
        <f>MAX(40,MIN(100,C212+D212))</f>
        <v/>
      </c>
      <c r="F212">
        <f>COUNTIFS($A$3:$A$232,A212,$E$3:$E$232,"&gt;"&amp;E212)+COUNTIFS($A$3:A212,A212,$E$3:E212,E212)</f>
        <v/>
      </c>
      <c r="G212" s="4">
        <f>ROUND(INDEX('League Config'!$K$4:$K$9,MATCH(A212,'League Config'!$E$4:$E$9,0))*E212+INDEX('League Config'!$L$4:$L$9,MATCH(A212,'League Config'!$E$4:$E$9,0)),1)</f>
        <v/>
      </c>
      <c r="H212">
        <f>INDEX('League Config'!$H$4:$H$9,MATCH(A212,'League Config'!$E$4:$E$9,0))</f>
        <v/>
      </c>
      <c r="I212" s="4">
        <f>INDEX('League Config'!$I$4:$I$9,MATCH(A212,'League Config'!$E$4:$E$9,0))</f>
        <v/>
      </c>
      <c r="J212" s="4">
        <f>ROUND(G212-I212,1)</f>
        <v/>
      </c>
      <c r="K212" s="4">
        <f>MAX(0,MIN(100,50+J212*0.6))</f>
        <v/>
      </c>
      <c r="L212" s="4">
        <f>MIN(100,MAX(0,(1-(F212-1)/(H212*1.5))*100*INDEX('League Config'!$J$4:$J$9,MATCH(A212,'League Config'!$E$4:$E$9,0))))</f>
        <v/>
      </c>
      <c r="M212">
        <f>IF(A212="K",'League Config'!$B$14,IF(A212="DST",'League Config'!$B$15,IF(A212="QB",'League Config'!$B$16,0)))</f>
        <v/>
      </c>
      <c r="N212" s="4">
        <f>MIN(100,MAX(0,0.55*E212+0.3*K212+0.15*L212-M212))</f>
        <v/>
      </c>
      <c r="O212" s="9">
        <f>IF(OR(A212="K",A212="DST"),"",N212)</f>
        <v/>
      </c>
      <c r="P212" s="6">
        <f>IF(O212="","",COUNTIF($O$3:$O$232,"&gt;"&amp;O212)+COUNTIF($O$3:O212,O212))</f>
        <v/>
      </c>
      <c r="Q212">
        <f>IF(A212="DST",IF(F212&lt;=GateSize,DstStart-1+F212,NSkill+2*GateSize+F212-GateSize),IF(A212="K",IF(F212&lt;=GateSize,KStart-1+F212,NSkill+GateSize+NDst+F212-GateSize),IF(P212&lt;=DstStart-1,P212,P212+2*GateSize)))</f>
        <v/>
      </c>
      <c r="R212" s="4">
        <f>'LIVE SOURCE'!E212</f>
        <v/>
      </c>
      <c r="S212" s="4">
        <f>R212-Q212</f>
        <v/>
      </c>
      <c r="T212">
        <f>'LIVE SOURCE'!F212</f>
        <v/>
      </c>
      <c r="U212" s="4">
        <f>MAX(40,E212-IF(T212="A",6,IF(T212="B",9,12)))</f>
        <v/>
      </c>
      <c r="V212" s="4">
        <f>E212</f>
        <v/>
      </c>
      <c r="W212" s="4">
        <f>MIN(100,E212+IF(T212="A",6,IF(T212="B",9,12)))</f>
        <v/>
      </c>
      <c r="X212">
        <f>'LIVE SOURCE'!G212</f>
        <v/>
      </c>
      <c r="Y212">
        <f>IF(INDEX('Draft Board'!$J$3:$J$232,Q212)="","Available",INDEX('Draft Board'!$J$3:$J$232,Q212))</f>
        <v/>
      </c>
      <c r="Z212">
        <f>IF(Y212&lt;&gt;"Available","",1+COUNTIFS($Y$3:$Y$232,"Available",$Q$3:$Q$232,"&lt;"&amp;Q212))</f>
        <v/>
      </c>
    </row>
    <row r="213">
      <c r="A213">
        <f>'LIVE SOURCE'!A213</f>
        <v/>
      </c>
      <c r="B213">
        <f>'LIVE SOURCE'!B213</f>
        <v/>
      </c>
      <c r="C213" s="4">
        <f>'LIVE SOURCE'!D213</f>
        <v/>
      </c>
      <c r="D213" s="4">
        <f>'Manual Adjustments'!G213</f>
        <v/>
      </c>
      <c r="E213" s="4">
        <f>MAX(40,MIN(100,C213+D213))</f>
        <v/>
      </c>
      <c r="F213">
        <f>COUNTIFS($A$3:$A$232,A213,$E$3:$E$232,"&gt;"&amp;E213)+COUNTIFS($A$3:A213,A213,$E$3:E213,E213)</f>
        <v/>
      </c>
      <c r="G213" s="4">
        <f>ROUND(INDEX('League Config'!$K$4:$K$9,MATCH(A213,'League Config'!$E$4:$E$9,0))*E213+INDEX('League Config'!$L$4:$L$9,MATCH(A213,'League Config'!$E$4:$E$9,0)),1)</f>
        <v/>
      </c>
      <c r="H213">
        <f>INDEX('League Config'!$H$4:$H$9,MATCH(A213,'League Config'!$E$4:$E$9,0))</f>
        <v/>
      </c>
      <c r="I213" s="4">
        <f>INDEX('League Config'!$I$4:$I$9,MATCH(A213,'League Config'!$E$4:$E$9,0))</f>
        <v/>
      </c>
      <c r="J213" s="4">
        <f>ROUND(G213-I213,1)</f>
        <v/>
      </c>
      <c r="K213" s="4">
        <f>MAX(0,MIN(100,50+J213*0.6))</f>
        <v/>
      </c>
      <c r="L213" s="4">
        <f>MIN(100,MAX(0,(1-(F213-1)/(H213*1.5))*100*INDEX('League Config'!$J$4:$J$9,MATCH(A213,'League Config'!$E$4:$E$9,0))))</f>
        <v/>
      </c>
      <c r="M213">
        <f>IF(A213="K",'League Config'!$B$14,IF(A213="DST",'League Config'!$B$15,IF(A213="QB",'League Config'!$B$16,0)))</f>
        <v/>
      </c>
      <c r="N213" s="4">
        <f>MIN(100,MAX(0,0.55*E213+0.3*K213+0.15*L213-M213))</f>
        <v/>
      </c>
      <c r="O213" s="9">
        <f>IF(OR(A213="K",A213="DST"),"",N213)</f>
        <v/>
      </c>
      <c r="P213" s="6">
        <f>IF(O213="","",COUNTIF($O$3:$O$232,"&gt;"&amp;O213)+COUNTIF($O$3:O213,O213))</f>
        <v/>
      </c>
      <c r="Q213">
        <f>IF(A213="DST",IF(F213&lt;=GateSize,DstStart-1+F213,NSkill+2*GateSize+F213-GateSize),IF(A213="K",IF(F213&lt;=GateSize,KStart-1+F213,NSkill+GateSize+NDst+F213-GateSize),IF(P213&lt;=DstStart-1,P213,P213+2*GateSize)))</f>
        <v/>
      </c>
      <c r="R213" s="4">
        <f>'LIVE SOURCE'!E213</f>
        <v/>
      </c>
      <c r="S213" s="4">
        <f>R213-Q213</f>
        <v/>
      </c>
      <c r="T213">
        <f>'LIVE SOURCE'!F213</f>
        <v/>
      </c>
      <c r="U213" s="4">
        <f>MAX(40,E213-IF(T213="A",6,IF(T213="B",9,12)))</f>
        <v/>
      </c>
      <c r="V213" s="4">
        <f>E213</f>
        <v/>
      </c>
      <c r="W213" s="4">
        <f>MIN(100,E213+IF(T213="A",6,IF(T213="B",9,12)))</f>
        <v/>
      </c>
      <c r="X213">
        <f>'LIVE SOURCE'!G213</f>
        <v/>
      </c>
      <c r="Y213">
        <f>IF(INDEX('Draft Board'!$J$3:$J$232,Q213)="","Available",INDEX('Draft Board'!$J$3:$J$232,Q213))</f>
        <v/>
      </c>
      <c r="Z213">
        <f>IF(Y213&lt;&gt;"Available","",1+COUNTIFS($Y$3:$Y$232,"Available",$Q$3:$Q$232,"&lt;"&amp;Q213))</f>
        <v/>
      </c>
    </row>
    <row r="214">
      <c r="A214">
        <f>'LIVE SOURCE'!A214</f>
        <v/>
      </c>
      <c r="B214">
        <f>'LIVE SOURCE'!B214</f>
        <v/>
      </c>
      <c r="C214" s="4">
        <f>'LIVE SOURCE'!D214</f>
        <v/>
      </c>
      <c r="D214" s="4">
        <f>'Manual Adjustments'!G214</f>
        <v/>
      </c>
      <c r="E214" s="4">
        <f>MAX(40,MIN(100,C214+D214))</f>
        <v/>
      </c>
      <c r="F214">
        <f>COUNTIFS($A$3:$A$232,A214,$E$3:$E$232,"&gt;"&amp;E214)+COUNTIFS($A$3:A214,A214,$E$3:E214,E214)</f>
        <v/>
      </c>
      <c r="G214" s="4">
        <f>ROUND(INDEX('League Config'!$K$4:$K$9,MATCH(A214,'League Config'!$E$4:$E$9,0))*E214+INDEX('League Config'!$L$4:$L$9,MATCH(A214,'League Config'!$E$4:$E$9,0)),1)</f>
        <v/>
      </c>
      <c r="H214">
        <f>INDEX('League Config'!$H$4:$H$9,MATCH(A214,'League Config'!$E$4:$E$9,0))</f>
        <v/>
      </c>
      <c r="I214" s="4">
        <f>INDEX('League Config'!$I$4:$I$9,MATCH(A214,'League Config'!$E$4:$E$9,0))</f>
        <v/>
      </c>
      <c r="J214" s="4">
        <f>ROUND(G214-I214,1)</f>
        <v/>
      </c>
      <c r="K214" s="4">
        <f>MAX(0,MIN(100,50+J214*0.6))</f>
        <v/>
      </c>
      <c r="L214" s="4">
        <f>MIN(100,MAX(0,(1-(F214-1)/(H214*1.5))*100*INDEX('League Config'!$J$4:$J$9,MATCH(A214,'League Config'!$E$4:$E$9,0))))</f>
        <v/>
      </c>
      <c r="M214">
        <f>IF(A214="K",'League Config'!$B$14,IF(A214="DST",'League Config'!$B$15,IF(A214="QB",'League Config'!$B$16,0)))</f>
        <v/>
      </c>
      <c r="N214" s="4">
        <f>MIN(100,MAX(0,0.55*E214+0.3*K214+0.15*L214-M214))</f>
        <v/>
      </c>
      <c r="O214" s="9">
        <f>IF(OR(A214="K",A214="DST"),"",N214)</f>
        <v/>
      </c>
      <c r="P214" s="6">
        <f>IF(O214="","",COUNTIF($O$3:$O$232,"&gt;"&amp;O214)+COUNTIF($O$3:O214,O214))</f>
        <v/>
      </c>
      <c r="Q214">
        <f>IF(A214="DST",IF(F214&lt;=GateSize,DstStart-1+F214,NSkill+2*GateSize+F214-GateSize),IF(A214="K",IF(F214&lt;=GateSize,KStart-1+F214,NSkill+GateSize+NDst+F214-GateSize),IF(P214&lt;=DstStart-1,P214,P214+2*GateSize)))</f>
        <v/>
      </c>
      <c r="R214" s="4">
        <f>'LIVE SOURCE'!E214</f>
        <v/>
      </c>
      <c r="S214" s="4">
        <f>R214-Q214</f>
        <v/>
      </c>
      <c r="T214">
        <f>'LIVE SOURCE'!F214</f>
        <v/>
      </c>
      <c r="U214" s="4">
        <f>MAX(40,E214-IF(T214="A",6,IF(T214="B",9,12)))</f>
        <v/>
      </c>
      <c r="V214" s="4">
        <f>E214</f>
        <v/>
      </c>
      <c r="W214" s="4">
        <f>MIN(100,E214+IF(T214="A",6,IF(T214="B",9,12)))</f>
        <v/>
      </c>
      <c r="X214">
        <f>'LIVE SOURCE'!G214</f>
        <v/>
      </c>
      <c r="Y214">
        <f>IF(INDEX('Draft Board'!$J$3:$J$232,Q214)="","Available",INDEX('Draft Board'!$J$3:$J$232,Q214))</f>
        <v/>
      </c>
      <c r="Z214">
        <f>IF(Y214&lt;&gt;"Available","",1+COUNTIFS($Y$3:$Y$232,"Available",$Q$3:$Q$232,"&lt;"&amp;Q214))</f>
        <v/>
      </c>
    </row>
    <row r="215">
      <c r="A215">
        <f>'LIVE SOURCE'!A215</f>
        <v/>
      </c>
      <c r="B215">
        <f>'LIVE SOURCE'!B215</f>
        <v/>
      </c>
      <c r="C215" s="4">
        <f>'LIVE SOURCE'!D215</f>
        <v/>
      </c>
      <c r="D215" s="4">
        <f>'Manual Adjustments'!G215</f>
        <v/>
      </c>
      <c r="E215" s="4">
        <f>MAX(40,MIN(100,C215+D215))</f>
        <v/>
      </c>
      <c r="F215">
        <f>COUNTIFS($A$3:$A$232,A215,$E$3:$E$232,"&gt;"&amp;E215)+COUNTIFS($A$3:A215,A215,$E$3:E215,E215)</f>
        <v/>
      </c>
      <c r="G215" s="4">
        <f>ROUND(INDEX('League Config'!$K$4:$K$9,MATCH(A215,'League Config'!$E$4:$E$9,0))*E215+INDEX('League Config'!$L$4:$L$9,MATCH(A215,'League Config'!$E$4:$E$9,0)),1)</f>
        <v/>
      </c>
      <c r="H215">
        <f>INDEX('League Config'!$H$4:$H$9,MATCH(A215,'League Config'!$E$4:$E$9,0))</f>
        <v/>
      </c>
      <c r="I215" s="4">
        <f>INDEX('League Config'!$I$4:$I$9,MATCH(A215,'League Config'!$E$4:$E$9,0))</f>
        <v/>
      </c>
      <c r="J215" s="4">
        <f>ROUND(G215-I215,1)</f>
        <v/>
      </c>
      <c r="K215" s="4">
        <f>MAX(0,MIN(100,50+J215*0.6))</f>
        <v/>
      </c>
      <c r="L215" s="4">
        <f>MIN(100,MAX(0,(1-(F215-1)/(H215*1.5))*100*INDEX('League Config'!$J$4:$J$9,MATCH(A215,'League Config'!$E$4:$E$9,0))))</f>
        <v/>
      </c>
      <c r="M215">
        <f>IF(A215="K",'League Config'!$B$14,IF(A215="DST",'League Config'!$B$15,IF(A215="QB",'League Config'!$B$16,0)))</f>
        <v/>
      </c>
      <c r="N215" s="4">
        <f>MIN(100,MAX(0,0.55*E215+0.3*K215+0.15*L215-M215))</f>
        <v/>
      </c>
      <c r="O215" s="9">
        <f>IF(OR(A215="K",A215="DST"),"",N215)</f>
        <v/>
      </c>
      <c r="P215" s="6">
        <f>IF(O215="","",COUNTIF($O$3:$O$232,"&gt;"&amp;O215)+COUNTIF($O$3:O215,O215))</f>
        <v/>
      </c>
      <c r="Q215">
        <f>IF(A215="DST",IF(F215&lt;=GateSize,DstStart-1+F215,NSkill+2*GateSize+F215-GateSize),IF(A215="K",IF(F215&lt;=GateSize,KStart-1+F215,NSkill+GateSize+NDst+F215-GateSize),IF(P215&lt;=DstStart-1,P215,P215+2*GateSize)))</f>
        <v/>
      </c>
      <c r="R215" s="4">
        <f>'LIVE SOURCE'!E215</f>
        <v/>
      </c>
      <c r="S215" s="4">
        <f>R215-Q215</f>
        <v/>
      </c>
      <c r="T215">
        <f>'LIVE SOURCE'!F215</f>
        <v/>
      </c>
      <c r="U215" s="4">
        <f>MAX(40,E215-IF(T215="A",6,IF(T215="B",9,12)))</f>
        <v/>
      </c>
      <c r="V215" s="4">
        <f>E215</f>
        <v/>
      </c>
      <c r="W215" s="4">
        <f>MIN(100,E215+IF(T215="A",6,IF(T215="B",9,12)))</f>
        <v/>
      </c>
      <c r="X215">
        <f>'LIVE SOURCE'!G215</f>
        <v/>
      </c>
      <c r="Y215">
        <f>IF(INDEX('Draft Board'!$J$3:$J$232,Q215)="","Available",INDEX('Draft Board'!$J$3:$J$232,Q215))</f>
        <v/>
      </c>
      <c r="Z215">
        <f>IF(Y215&lt;&gt;"Available","",1+COUNTIFS($Y$3:$Y$232,"Available",$Q$3:$Q$232,"&lt;"&amp;Q215))</f>
        <v/>
      </c>
    </row>
    <row r="216">
      <c r="A216">
        <f>'LIVE SOURCE'!A216</f>
        <v/>
      </c>
      <c r="B216">
        <f>'LIVE SOURCE'!B216</f>
        <v/>
      </c>
      <c r="C216" s="4">
        <f>'LIVE SOURCE'!D216</f>
        <v/>
      </c>
      <c r="D216" s="4">
        <f>'Manual Adjustments'!G216</f>
        <v/>
      </c>
      <c r="E216" s="4">
        <f>MAX(40,MIN(100,C216+D216))</f>
        <v/>
      </c>
      <c r="F216">
        <f>COUNTIFS($A$3:$A$232,A216,$E$3:$E$232,"&gt;"&amp;E216)+COUNTIFS($A$3:A216,A216,$E$3:E216,E216)</f>
        <v/>
      </c>
      <c r="G216" s="4">
        <f>ROUND(INDEX('League Config'!$K$4:$K$9,MATCH(A216,'League Config'!$E$4:$E$9,0))*E216+INDEX('League Config'!$L$4:$L$9,MATCH(A216,'League Config'!$E$4:$E$9,0)),1)</f>
        <v/>
      </c>
      <c r="H216">
        <f>INDEX('League Config'!$H$4:$H$9,MATCH(A216,'League Config'!$E$4:$E$9,0))</f>
        <v/>
      </c>
      <c r="I216" s="4">
        <f>INDEX('League Config'!$I$4:$I$9,MATCH(A216,'League Config'!$E$4:$E$9,0))</f>
        <v/>
      </c>
      <c r="J216" s="4">
        <f>ROUND(G216-I216,1)</f>
        <v/>
      </c>
      <c r="K216" s="4">
        <f>MAX(0,MIN(100,50+J216*0.6))</f>
        <v/>
      </c>
      <c r="L216" s="4">
        <f>MIN(100,MAX(0,(1-(F216-1)/(H216*1.5))*100*INDEX('League Config'!$J$4:$J$9,MATCH(A216,'League Config'!$E$4:$E$9,0))))</f>
        <v/>
      </c>
      <c r="M216">
        <f>IF(A216="K",'League Config'!$B$14,IF(A216="DST",'League Config'!$B$15,IF(A216="QB",'League Config'!$B$16,0)))</f>
        <v/>
      </c>
      <c r="N216" s="4">
        <f>MIN(100,MAX(0,0.55*E216+0.3*K216+0.15*L216-M216))</f>
        <v/>
      </c>
      <c r="O216" s="9">
        <f>IF(OR(A216="K",A216="DST"),"",N216)</f>
        <v/>
      </c>
      <c r="P216" s="6">
        <f>IF(O216="","",COUNTIF($O$3:$O$232,"&gt;"&amp;O216)+COUNTIF($O$3:O216,O216))</f>
        <v/>
      </c>
      <c r="Q216">
        <f>IF(A216="DST",IF(F216&lt;=GateSize,DstStart-1+F216,NSkill+2*GateSize+F216-GateSize),IF(A216="K",IF(F216&lt;=GateSize,KStart-1+F216,NSkill+GateSize+NDst+F216-GateSize),IF(P216&lt;=DstStart-1,P216,P216+2*GateSize)))</f>
        <v/>
      </c>
      <c r="R216" s="4">
        <f>'LIVE SOURCE'!E216</f>
        <v/>
      </c>
      <c r="S216" s="4">
        <f>R216-Q216</f>
        <v/>
      </c>
      <c r="T216">
        <f>'LIVE SOURCE'!F216</f>
        <v/>
      </c>
      <c r="U216" s="4">
        <f>MAX(40,E216-IF(T216="A",6,IF(T216="B",9,12)))</f>
        <v/>
      </c>
      <c r="V216" s="4">
        <f>E216</f>
        <v/>
      </c>
      <c r="W216" s="4">
        <f>MIN(100,E216+IF(T216="A",6,IF(T216="B",9,12)))</f>
        <v/>
      </c>
      <c r="X216">
        <f>'LIVE SOURCE'!G216</f>
        <v/>
      </c>
      <c r="Y216">
        <f>IF(INDEX('Draft Board'!$J$3:$J$232,Q216)="","Available",INDEX('Draft Board'!$J$3:$J$232,Q216))</f>
        <v/>
      </c>
      <c r="Z216">
        <f>IF(Y216&lt;&gt;"Available","",1+COUNTIFS($Y$3:$Y$232,"Available",$Q$3:$Q$232,"&lt;"&amp;Q216))</f>
        <v/>
      </c>
    </row>
    <row r="217">
      <c r="A217">
        <f>'LIVE SOURCE'!A217</f>
        <v/>
      </c>
      <c r="B217">
        <f>'LIVE SOURCE'!B217</f>
        <v/>
      </c>
      <c r="C217" s="4">
        <f>'LIVE SOURCE'!D217</f>
        <v/>
      </c>
      <c r="D217" s="4">
        <f>'Manual Adjustments'!G217</f>
        <v/>
      </c>
      <c r="E217" s="4">
        <f>MAX(40,MIN(100,C217+D217))</f>
        <v/>
      </c>
      <c r="F217">
        <f>COUNTIFS($A$3:$A$232,A217,$E$3:$E$232,"&gt;"&amp;E217)+COUNTIFS($A$3:A217,A217,$E$3:E217,E217)</f>
        <v/>
      </c>
      <c r="G217" s="4">
        <f>ROUND(INDEX('League Config'!$K$4:$K$9,MATCH(A217,'League Config'!$E$4:$E$9,0))*E217+INDEX('League Config'!$L$4:$L$9,MATCH(A217,'League Config'!$E$4:$E$9,0)),1)</f>
        <v/>
      </c>
      <c r="H217">
        <f>INDEX('League Config'!$H$4:$H$9,MATCH(A217,'League Config'!$E$4:$E$9,0))</f>
        <v/>
      </c>
      <c r="I217" s="4">
        <f>INDEX('League Config'!$I$4:$I$9,MATCH(A217,'League Config'!$E$4:$E$9,0))</f>
        <v/>
      </c>
      <c r="J217" s="4">
        <f>ROUND(G217-I217,1)</f>
        <v/>
      </c>
      <c r="K217" s="4">
        <f>MAX(0,MIN(100,50+J217*0.6))</f>
        <v/>
      </c>
      <c r="L217" s="4">
        <f>MIN(100,MAX(0,(1-(F217-1)/(H217*1.5))*100*INDEX('League Config'!$J$4:$J$9,MATCH(A217,'League Config'!$E$4:$E$9,0))))</f>
        <v/>
      </c>
      <c r="M217">
        <f>IF(A217="K",'League Config'!$B$14,IF(A217="DST",'League Config'!$B$15,IF(A217="QB",'League Config'!$B$16,0)))</f>
        <v/>
      </c>
      <c r="N217" s="4">
        <f>MIN(100,MAX(0,0.55*E217+0.3*K217+0.15*L217-M217))</f>
        <v/>
      </c>
      <c r="O217" s="9">
        <f>IF(OR(A217="K",A217="DST"),"",N217)</f>
        <v/>
      </c>
      <c r="P217" s="6">
        <f>IF(O217="","",COUNTIF($O$3:$O$232,"&gt;"&amp;O217)+COUNTIF($O$3:O217,O217))</f>
        <v/>
      </c>
      <c r="Q217">
        <f>IF(A217="DST",IF(F217&lt;=GateSize,DstStart-1+F217,NSkill+2*GateSize+F217-GateSize),IF(A217="K",IF(F217&lt;=GateSize,KStart-1+F217,NSkill+GateSize+NDst+F217-GateSize),IF(P217&lt;=DstStart-1,P217,P217+2*GateSize)))</f>
        <v/>
      </c>
      <c r="R217" s="4">
        <f>'LIVE SOURCE'!E217</f>
        <v/>
      </c>
      <c r="S217" s="4">
        <f>R217-Q217</f>
        <v/>
      </c>
      <c r="T217">
        <f>'LIVE SOURCE'!F217</f>
        <v/>
      </c>
      <c r="U217" s="4">
        <f>MAX(40,E217-IF(T217="A",6,IF(T217="B",9,12)))</f>
        <v/>
      </c>
      <c r="V217" s="4">
        <f>E217</f>
        <v/>
      </c>
      <c r="W217" s="4">
        <f>MIN(100,E217+IF(T217="A",6,IF(T217="B",9,12)))</f>
        <v/>
      </c>
      <c r="X217">
        <f>'LIVE SOURCE'!G217</f>
        <v/>
      </c>
      <c r="Y217">
        <f>IF(INDEX('Draft Board'!$J$3:$J$232,Q217)="","Available",INDEX('Draft Board'!$J$3:$J$232,Q217))</f>
        <v/>
      </c>
      <c r="Z217">
        <f>IF(Y217&lt;&gt;"Available","",1+COUNTIFS($Y$3:$Y$232,"Available",$Q$3:$Q$232,"&lt;"&amp;Q217))</f>
        <v/>
      </c>
    </row>
    <row r="218">
      <c r="A218">
        <f>'LIVE SOURCE'!A218</f>
        <v/>
      </c>
      <c r="B218">
        <f>'LIVE SOURCE'!B218</f>
        <v/>
      </c>
      <c r="C218" s="4">
        <f>'LIVE SOURCE'!D218</f>
        <v/>
      </c>
      <c r="D218" s="4">
        <f>'Manual Adjustments'!G218</f>
        <v/>
      </c>
      <c r="E218" s="4">
        <f>MAX(40,MIN(100,C218+D218))</f>
        <v/>
      </c>
      <c r="F218">
        <f>COUNTIFS($A$3:$A$232,A218,$E$3:$E$232,"&gt;"&amp;E218)+COUNTIFS($A$3:A218,A218,$E$3:E218,E218)</f>
        <v/>
      </c>
      <c r="G218" s="4">
        <f>ROUND(INDEX('League Config'!$K$4:$K$9,MATCH(A218,'League Config'!$E$4:$E$9,0))*E218+INDEX('League Config'!$L$4:$L$9,MATCH(A218,'League Config'!$E$4:$E$9,0)),1)</f>
        <v/>
      </c>
      <c r="H218">
        <f>INDEX('League Config'!$H$4:$H$9,MATCH(A218,'League Config'!$E$4:$E$9,0))</f>
        <v/>
      </c>
      <c r="I218" s="4">
        <f>INDEX('League Config'!$I$4:$I$9,MATCH(A218,'League Config'!$E$4:$E$9,0))</f>
        <v/>
      </c>
      <c r="J218" s="4">
        <f>ROUND(G218-I218,1)</f>
        <v/>
      </c>
      <c r="K218" s="4">
        <f>MAX(0,MIN(100,50+J218*0.6))</f>
        <v/>
      </c>
      <c r="L218" s="4">
        <f>MIN(100,MAX(0,(1-(F218-1)/(H218*1.5))*100*INDEX('League Config'!$J$4:$J$9,MATCH(A218,'League Config'!$E$4:$E$9,0))))</f>
        <v/>
      </c>
      <c r="M218">
        <f>IF(A218="K",'League Config'!$B$14,IF(A218="DST",'League Config'!$B$15,IF(A218="QB",'League Config'!$B$16,0)))</f>
        <v/>
      </c>
      <c r="N218" s="4">
        <f>MIN(100,MAX(0,0.55*E218+0.3*K218+0.15*L218-M218))</f>
        <v/>
      </c>
      <c r="O218" s="9">
        <f>IF(OR(A218="K",A218="DST"),"",N218)</f>
        <v/>
      </c>
      <c r="P218" s="6">
        <f>IF(O218="","",COUNTIF($O$3:$O$232,"&gt;"&amp;O218)+COUNTIF($O$3:O218,O218))</f>
        <v/>
      </c>
      <c r="Q218">
        <f>IF(A218="DST",IF(F218&lt;=GateSize,DstStart-1+F218,NSkill+2*GateSize+F218-GateSize),IF(A218="K",IF(F218&lt;=GateSize,KStart-1+F218,NSkill+GateSize+NDst+F218-GateSize),IF(P218&lt;=DstStart-1,P218,P218+2*GateSize)))</f>
        <v/>
      </c>
      <c r="R218" s="4">
        <f>'LIVE SOURCE'!E218</f>
        <v/>
      </c>
      <c r="S218" s="4">
        <f>R218-Q218</f>
        <v/>
      </c>
      <c r="T218">
        <f>'LIVE SOURCE'!F218</f>
        <v/>
      </c>
      <c r="U218" s="4">
        <f>MAX(40,E218-IF(T218="A",6,IF(T218="B",9,12)))</f>
        <v/>
      </c>
      <c r="V218" s="4">
        <f>E218</f>
        <v/>
      </c>
      <c r="W218" s="4">
        <f>MIN(100,E218+IF(T218="A",6,IF(T218="B",9,12)))</f>
        <v/>
      </c>
      <c r="X218">
        <f>'LIVE SOURCE'!G218</f>
        <v/>
      </c>
      <c r="Y218">
        <f>IF(INDEX('Draft Board'!$J$3:$J$232,Q218)="","Available",INDEX('Draft Board'!$J$3:$J$232,Q218))</f>
        <v/>
      </c>
      <c r="Z218">
        <f>IF(Y218&lt;&gt;"Available","",1+COUNTIFS($Y$3:$Y$232,"Available",$Q$3:$Q$232,"&lt;"&amp;Q218))</f>
        <v/>
      </c>
    </row>
    <row r="219">
      <c r="A219">
        <f>'LIVE SOURCE'!A219</f>
        <v/>
      </c>
      <c r="B219">
        <f>'LIVE SOURCE'!B219</f>
        <v/>
      </c>
      <c r="C219" s="4">
        <f>'LIVE SOURCE'!D219</f>
        <v/>
      </c>
      <c r="D219" s="4">
        <f>'Manual Adjustments'!G219</f>
        <v/>
      </c>
      <c r="E219" s="4">
        <f>MAX(40,MIN(100,C219+D219))</f>
        <v/>
      </c>
      <c r="F219">
        <f>COUNTIFS($A$3:$A$232,A219,$E$3:$E$232,"&gt;"&amp;E219)+COUNTIFS($A$3:A219,A219,$E$3:E219,E219)</f>
        <v/>
      </c>
      <c r="G219" s="4">
        <f>ROUND(INDEX('League Config'!$K$4:$K$9,MATCH(A219,'League Config'!$E$4:$E$9,0))*E219+INDEX('League Config'!$L$4:$L$9,MATCH(A219,'League Config'!$E$4:$E$9,0)),1)</f>
        <v/>
      </c>
      <c r="H219">
        <f>INDEX('League Config'!$H$4:$H$9,MATCH(A219,'League Config'!$E$4:$E$9,0))</f>
        <v/>
      </c>
      <c r="I219" s="4">
        <f>INDEX('League Config'!$I$4:$I$9,MATCH(A219,'League Config'!$E$4:$E$9,0))</f>
        <v/>
      </c>
      <c r="J219" s="4">
        <f>ROUND(G219-I219,1)</f>
        <v/>
      </c>
      <c r="K219" s="4">
        <f>MAX(0,MIN(100,50+J219*0.6))</f>
        <v/>
      </c>
      <c r="L219" s="4">
        <f>MIN(100,MAX(0,(1-(F219-1)/(H219*1.5))*100*INDEX('League Config'!$J$4:$J$9,MATCH(A219,'League Config'!$E$4:$E$9,0))))</f>
        <v/>
      </c>
      <c r="M219">
        <f>IF(A219="K",'League Config'!$B$14,IF(A219="DST",'League Config'!$B$15,IF(A219="QB",'League Config'!$B$16,0)))</f>
        <v/>
      </c>
      <c r="N219" s="4">
        <f>MIN(100,MAX(0,0.55*E219+0.3*K219+0.15*L219-M219))</f>
        <v/>
      </c>
      <c r="O219" s="9">
        <f>IF(OR(A219="K",A219="DST"),"",N219)</f>
        <v/>
      </c>
      <c r="P219" s="6">
        <f>IF(O219="","",COUNTIF($O$3:$O$232,"&gt;"&amp;O219)+COUNTIF($O$3:O219,O219))</f>
        <v/>
      </c>
      <c r="Q219">
        <f>IF(A219="DST",IF(F219&lt;=GateSize,DstStart-1+F219,NSkill+2*GateSize+F219-GateSize),IF(A219="K",IF(F219&lt;=GateSize,KStart-1+F219,NSkill+GateSize+NDst+F219-GateSize),IF(P219&lt;=DstStart-1,P219,P219+2*GateSize)))</f>
        <v/>
      </c>
      <c r="R219" s="4">
        <f>'LIVE SOURCE'!E219</f>
        <v/>
      </c>
      <c r="S219" s="4">
        <f>R219-Q219</f>
        <v/>
      </c>
      <c r="T219">
        <f>'LIVE SOURCE'!F219</f>
        <v/>
      </c>
      <c r="U219" s="4">
        <f>MAX(40,E219-IF(T219="A",6,IF(T219="B",9,12)))</f>
        <v/>
      </c>
      <c r="V219" s="4">
        <f>E219</f>
        <v/>
      </c>
      <c r="W219" s="4">
        <f>MIN(100,E219+IF(T219="A",6,IF(T219="B",9,12)))</f>
        <v/>
      </c>
      <c r="X219">
        <f>'LIVE SOURCE'!G219</f>
        <v/>
      </c>
      <c r="Y219">
        <f>IF(INDEX('Draft Board'!$J$3:$J$232,Q219)="","Available",INDEX('Draft Board'!$J$3:$J$232,Q219))</f>
        <v/>
      </c>
      <c r="Z219">
        <f>IF(Y219&lt;&gt;"Available","",1+COUNTIFS($Y$3:$Y$232,"Available",$Q$3:$Q$232,"&lt;"&amp;Q219))</f>
        <v/>
      </c>
    </row>
    <row r="220">
      <c r="A220">
        <f>'LIVE SOURCE'!A220</f>
        <v/>
      </c>
      <c r="B220">
        <f>'LIVE SOURCE'!B220</f>
        <v/>
      </c>
      <c r="C220" s="4">
        <f>'LIVE SOURCE'!D220</f>
        <v/>
      </c>
      <c r="D220" s="4">
        <f>'Manual Adjustments'!G220</f>
        <v/>
      </c>
      <c r="E220" s="4">
        <f>MAX(40,MIN(100,C220+D220))</f>
        <v/>
      </c>
      <c r="F220">
        <f>COUNTIFS($A$3:$A$232,A220,$E$3:$E$232,"&gt;"&amp;E220)+COUNTIFS($A$3:A220,A220,$E$3:E220,E220)</f>
        <v/>
      </c>
      <c r="G220" s="4">
        <f>ROUND(INDEX('League Config'!$K$4:$K$9,MATCH(A220,'League Config'!$E$4:$E$9,0))*E220+INDEX('League Config'!$L$4:$L$9,MATCH(A220,'League Config'!$E$4:$E$9,0)),1)</f>
        <v/>
      </c>
      <c r="H220">
        <f>INDEX('League Config'!$H$4:$H$9,MATCH(A220,'League Config'!$E$4:$E$9,0))</f>
        <v/>
      </c>
      <c r="I220" s="4">
        <f>INDEX('League Config'!$I$4:$I$9,MATCH(A220,'League Config'!$E$4:$E$9,0))</f>
        <v/>
      </c>
      <c r="J220" s="4">
        <f>ROUND(G220-I220,1)</f>
        <v/>
      </c>
      <c r="K220" s="4">
        <f>MAX(0,MIN(100,50+J220*0.6))</f>
        <v/>
      </c>
      <c r="L220" s="4">
        <f>MIN(100,MAX(0,(1-(F220-1)/(H220*1.5))*100*INDEX('League Config'!$J$4:$J$9,MATCH(A220,'League Config'!$E$4:$E$9,0))))</f>
        <v/>
      </c>
      <c r="M220">
        <f>IF(A220="K",'League Config'!$B$14,IF(A220="DST",'League Config'!$B$15,IF(A220="QB",'League Config'!$B$16,0)))</f>
        <v/>
      </c>
      <c r="N220" s="4">
        <f>MIN(100,MAX(0,0.55*E220+0.3*K220+0.15*L220-M220))</f>
        <v/>
      </c>
      <c r="O220" s="9">
        <f>IF(OR(A220="K",A220="DST"),"",N220)</f>
        <v/>
      </c>
      <c r="P220" s="6">
        <f>IF(O220="","",COUNTIF($O$3:$O$232,"&gt;"&amp;O220)+COUNTIF($O$3:O220,O220))</f>
        <v/>
      </c>
      <c r="Q220">
        <f>IF(A220="DST",IF(F220&lt;=GateSize,DstStart-1+F220,NSkill+2*GateSize+F220-GateSize),IF(A220="K",IF(F220&lt;=GateSize,KStart-1+F220,NSkill+GateSize+NDst+F220-GateSize),IF(P220&lt;=DstStart-1,P220,P220+2*GateSize)))</f>
        <v/>
      </c>
      <c r="R220" s="4">
        <f>'LIVE SOURCE'!E220</f>
        <v/>
      </c>
      <c r="S220" s="4">
        <f>R220-Q220</f>
        <v/>
      </c>
      <c r="T220">
        <f>'LIVE SOURCE'!F220</f>
        <v/>
      </c>
      <c r="U220" s="4">
        <f>MAX(40,E220-IF(T220="A",6,IF(T220="B",9,12)))</f>
        <v/>
      </c>
      <c r="V220" s="4">
        <f>E220</f>
        <v/>
      </c>
      <c r="W220" s="4">
        <f>MIN(100,E220+IF(T220="A",6,IF(T220="B",9,12)))</f>
        <v/>
      </c>
      <c r="X220">
        <f>'LIVE SOURCE'!G220</f>
        <v/>
      </c>
      <c r="Y220">
        <f>IF(INDEX('Draft Board'!$J$3:$J$232,Q220)="","Available",INDEX('Draft Board'!$J$3:$J$232,Q220))</f>
        <v/>
      </c>
      <c r="Z220">
        <f>IF(Y220&lt;&gt;"Available","",1+COUNTIFS($Y$3:$Y$232,"Available",$Q$3:$Q$232,"&lt;"&amp;Q220))</f>
        <v/>
      </c>
    </row>
    <row r="221">
      <c r="A221">
        <f>'LIVE SOURCE'!A221</f>
        <v/>
      </c>
      <c r="B221">
        <f>'LIVE SOURCE'!B221</f>
        <v/>
      </c>
      <c r="C221" s="4">
        <f>'LIVE SOURCE'!D221</f>
        <v/>
      </c>
      <c r="D221" s="4">
        <f>'Manual Adjustments'!G221</f>
        <v/>
      </c>
      <c r="E221" s="4">
        <f>MAX(40,MIN(100,C221+D221))</f>
        <v/>
      </c>
      <c r="F221">
        <f>COUNTIFS($A$3:$A$232,A221,$E$3:$E$232,"&gt;"&amp;E221)+COUNTIFS($A$3:A221,A221,$E$3:E221,E221)</f>
        <v/>
      </c>
      <c r="G221" s="4">
        <f>ROUND(INDEX('League Config'!$K$4:$K$9,MATCH(A221,'League Config'!$E$4:$E$9,0))*E221+INDEX('League Config'!$L$4:$L$9,MATCH(A221,'League Config'!$E$4:$E$9,0)),1)</f>
        <v/>
      </c>
      <c r="H221">
        <f>INDEX('League Config'!$H$4:$H$9,MATCH(A221,'League Config'!$E$4:$E$9,0))</f>
        <v/>
      </c>
      <c r="I221" s="4">
        <f>INDEX('League Config'!$I$4:$I$9,MATCH(A221,'League Config'!$E$4:$E$9,0))</f>
        <v/>
      </c>
      <c r="J221" s="4">
        <f>ROUND(G221-I221,1)</f>
        <v/>
      </c>
      <c r="K221" s="4">
        <f>MAX(0,MIN(100,50+J221*0.6))</f>
        <v/>
      </c>
      <c r="L221" s="4">
        <f>MIN(100,MAX(0,(1-(F221-1)/(H221*1.5))*100*INDEX('League Config'!$J$4:$J$9,MATCH(A221,'League Config'!$E$4:$E$9,0))))</f>
        <v/>
      </c>
      <c r="M221">
        <f>IF(A221="K",'League Config'!$B$14,IF(A221="DST",'League Config'!$B$15,IF(A221="QB",'League Config'!$B$16,0)))</f>
        <v/>
      </c>
      <c r="N221" s="4">
        <f>MIN(100,MAX(0,0.55*E221+0.3*K221+0.15*L221-M221))</f>
        <v/>
      </c>
      <c r="O221" s="9">
        <f>IF(OR(A221="K",A221="DST"),"",N221)</f>
        <v/>
      </c>
      <c r="P221" s="6">
        <f>IF(O221="","",COUNTIF($O$3:$O$232,"&gt;"&amp;O221)+COUNTIF($O$3:O221,O221))</f>
        <v/>
      </c>
      <c r="Q221">
        <f>IF(A221="DST",IF(F221&lt;=GateSize,DstStart-1+F221,NSkill+2*GateSize+F221-GateSize),IF(A221="K",IF(F221&lt;=GateSize,KStart-1+F221,NSkill+GateSize+NDst+F221-GateSize),IF(P221&lt;=DstStart-1,P221,P221+2*GateSize)))</f>
        <v/>
      </c>
      <c r="R221" s="4">
        <f>'LIVE SOURCE'!E221</f>
        <v/>
      </c>
      <c r="S221" s="4">
        <f>R221-Q221</f>
        <v/>
      </c>
      <c r="T221">
        <f>'LIVE SOURCE'!F221</f>
        <v/>
      </c>
      <c r="U221" s="4">
        <f>MAX(40,E221-IF(T221="A",6,IF(T221="B",9,12)))</f>
        <v/>
      </c>
      <c r="V221" s="4">
        <f>E221</f>
        <v/>
      </c>
      <c r="W221" s="4">
        <f>MIN(100,E221+IF(T221="A",6,IF(T221="B",9,12)))</f>
        <v/>
      </c>
      <c r="X221">
        <f>'LIVE SOURCE'!G221</f>
        <v/>
      </c>
      <c r="Y221">
        <f>IF(INDEX('Draft Board'!$J$3:$J$232,Q221)="","Available",INDEX('Draft Board'!$J$3:$J$232,Q221))</f>
        <v/>
      </c>
      <c r="Z221">
        <f>IF(Y221&lt;&gt;"Available","",1+COUNTIFS($Y$3:$Y$232,"Available",$Q$3:$Q$232,"&lt;"&amp;Q221))</f>
        <v/>
      </c>
    </row>
    <row r="222">
      <c r="A222">
        <f>'LIVE SOURCE'!A222</f>
        <v/>
      </c>
      <c r="B222">
        <f>'LIVE SOURCE'!B222</f>
        <v/>
      </c>
      <c r="C222" s="4">
        <f>'LIVE SOURCE'!D222</f>
        <v/>
      </c>
      <c r="D222" s="4">
        <f>'Manual Adjustments'!G222</f>
        <v/>
      </c>
      <c r="E222" s="4">
        <f>MAX(40,MIN(100,C222+D222))</f>
        <v/>
      </c>
      <c r="F222">
        <f>COUNTIFS($A$3:$A$232,A222,$E$3:$E$232,"&gt;"&amp;E222)+COUNTIFS($A$3:A222,A222,$E$3:E222,E222)</f>
        <v/>
      </c>
      <c r="G222" s="4">
        <f>ROUND(INDEX('League Config'!$K$4:$K$9,MATCH(A222,'League Config'!$E$4:$E$9,0))*E222+INDEX('League Config'!$L$4:$L$9,MATCH(A222,'League Config'!$E$4:$E$9,0)),1)</f>
        <v/>
      </c>
      <c r="H222">
        <f>INDEX('League Config'!$H$4:$H$9,MATCH(A222,'League Config'!$E$4:$E$9,0))</f>
        <v/>
      </c>
      <c r="I222" s="4">
        <f>INDEX('League Config'!$I$4:$I$9,MATCH(A222,'League Config'!$E$4:$E$9,0))</f>
        <v/>
      </c>
      <c r="J222" s="4">
        <f>ROUND(G222-I222,1)</f>
        <v/>
      </c>
      <c r="K222" s="4">
        <f>MAX(0,MIN(100,50+J222*0.6))</f>
        <v/>
      </c>
      <c r="L222" s="4">
        <f>MIN(100,MAX(0,(1-(F222-1)/(H222*1.5))*100*INDEX('League Config'!$J$4:$J$9,MATCH(A222,'League Config'!$E$4:$E$9,0))))</f>
        <v/>
      </c>
      <c r="M222">
        <f>IF(A222="K",'League Config'!$B$14,IF(A222="DST",'League Config'!$B$15,IF(A222="QB",'League Config'!$B$16,0)))</f>
        <v/>
      </c>
      <c r="N222" s="4">
        <f>MIN(100,MAX(0,0.55*E222+0.3*K222+0.15*L222-M222))</f>
        <v/>
      </c>
      <c r="O222" s="9">
        <f>IF(OR(A222="K",A222="DST"),"",N222)</f>
        <v/>
      </c>
      <c r="P222" s="6">
        <f>IF(O222="","",COUNTIF($O$3:$O$232,"&gt;"&amp;O222)+COUNTIF($O$3:O222,O222))</f>
        <v/>
      </c>
      <c r="Q222">
        <f>IF(A222="DST",IF(F222&lt;=GateSize,DstStart-1+F222,NSkill+2*GateSize+F222-GateSize),IF(A222="K",IF(F222&lt;=GateSize,KStart-1+F222,NSkill+GateSize+NDst+F222-GateSize),IF(P222&lt;=DstStart-1,P222,P222+2*GateSize)))</f>
        <v/>
      </c>
      <c r="R222" s="4">
        <f>'LIVE SOURCE'!E222</f>
        <v/>
      </c>
      <c r="S222" s="4">
        <f>R222-Q222</f>
        <v/>
      </c>
      <c r="T222">
        <f>'LIVE SOURCE'!F222</f>
        <v/>
      </c>
      <c r="U222" s="4">
        <f>MAX(40,E222-IF(T222="A",6,IF(T222="B",9,12)))</f>
        <v/>
      </c>
      <c r="V222" s="4">
        <f>E222</f>
        <v/>
      </c>
      <c r="W222" s="4">
        <f>MIN(100,E222+IF(T222="A",6,IF(T222="B",9,12)))</f>
        <v/>
      </c>
      <c r="X222">
        <f>'LIVE SOURCE'!G222</f>
        <v/>
      </c>
      <c r="Y222">
        <f>IF(INDEX('Draft Board'!$J$3:$J$232,Q222)="","Available",INDEX('Draft Board'!$J$3:$J$232,Q222))</f>
        <v/>
      </c>
      <c r="Z222">
        <f>IF(Y222&lt;&gt;"Available","",1+COUNTIFS($Y$3:$Y$232,"Available",$Q$3:$Q$232,"&lt;"&amp;Q222))</f>
        <v/>
      </c>
    </row>
    <row r="223">
      <c r="A223">
        <f>'LIVE SOURCE'!A223</f>
        <v/>
      </c>
      <c r="B223">
        <f>'LIVE SOURCE'!B223</f>
        <v/>
      </c>
      <c r="C223" s="4">
        <f>'LIVE SOURCE'!D223</f>
        <v/>
      </c>
      <c r="D223" s="4">
        <f>'Manual Adjustments'!G223</f>
        <v/>
      </c>
      <c r="E223" s="4">
        <f>MAX(40,MIN(100,C223+D223))</f>
        <v/>
      </c>
      <c r="F223">
        <f>COUNTIFS($A$3:$A$232,A223,$E$3:$E$232,"&gt;"&amp;E223)+COUNTIFS($A$3:A223,A223,$E$3:E223,E223)</f>
        <v/>
      </c>
      <c r="G223" s="4">
        <f>ROUND(INDEX('League Config'!$K$4:$K$9,MATCH(A223,'League Config'!$E$4:$E$9,0))*E223+INDEX('League Config'!$L$4:$L$9,MATCH(A223,'League Config'!$E$4:$E$9,0)),1)</f>
        <v/>
      </c>
      <c r="H223">
        <f>INDEX('League Config'!$H$4:$H$9,MATCH(A223,'League Config'!$E$4:$E$9,0))</f>
        <v/>
      </c>
      <c r="I223" s="4">
        <f>INDEX('League Config'!$I$4:$I$9,MATCH(A223,'League Config'!$E$4:$E$9,0))</f>
        <v/>
      </c>
      <c r="J223" s="4">
        <f>ROUND(G223-I223,1)</f>
        <v/>
      </c>
      <c r="K223" s="4">
        <f>MAX(0,MIN(100,50+J223*0.6))</f>
        <v/>
      </c>
      <c r="L223" s="4">
        <f>MIN(100,MAX(0,(1-(F223-1)/(H223*1.5))*100*INDEX('League Config'!$J$4:$J$9,MATCH(A223,'League Config'!$E$4:$E$9,0))))</f>
        <v/>
      </c>
      <c r="M223">
        <f>IF(A223="K",'League Config'!$B$14,IF(A223="DST",'League Config'!$B$15,IF(A223="QB",'League Config'!$B$16,0)))</f>
        <v/>
      </c>
      <c r="N223" s="4">
        <f>MIN(100,MAX(0,0.55*E223+0.3*K223+0.15*L223-M223))</f>
        <v/>
      </c>
      <c r="O223" s="9">
        <f>IF(OR(A223="K",A223="DST"),"",N223)</f>
        <v/>
      </c>
      <c r="P223" s="6">
        <f>IF(O223="","",COUNTIF($O$3:$O$232,"&gt;"&amp;O223)+COUNTIF($O$3:O223,O223))</f>
        <v/>
      </c>
      <c r="Q223">
        <f>IF(A223="DST",IF(F223&lt;=GateSize,DstStart-1+F223,NSkill+2*GateSize+F223-GateSize),IF(A223="K",IF(F223&lt;=GateSize,KStart-1+F223,NSkill+GateSize+NDst+F223-GateSize),IF(P223&lt;=DstStart-1,P223,P223+2*GateSize)))</f>
        <v/>
      </c>
      <c r="R223" s="4">
        <f>'LIVE SOURCE'!E223</f>
        <v/>
      </c>
      <c r="S223" s="4">
        <f>R223-Q223</f>
        <v/>
      </c>
      <c r="T223">
        <f>'LIVE SOURCE'!F223</f>
        <v/>
      </c>
      <c r="U223" s="4">
        <f>MAX(40,E223-IF(T223="A",6,IF(T223="B",9,12)))</f>
        <v/>
      </c>
      <c r="V223" s="4">
        <f>E223</f>
        <v/>
      </c>
      <c r="W223" s="4">
        <f>MIN(100,E223+IF(T223="A",6,IF(T223="B",9,12)))</f>
        <v/>
      </c>
      <c r="X223">
        <f>'LIVE SOURCE'!G223</f>
        <v/>
      </c>
      <c r="Y223">
        <f>IF(INDEX('Draft Board'!$J$3:$J$232,Q223)="","Available",INDEX('Draft Board'!$J$3:$J$232,Q223))</f>
        <v/>
      </c>
      <c r="Z223">
        <f>IF(Y223&lt;&gt;"Available","",1+COUNTIFS($Y$3:$Y$232,"Available",$Q$3:$Q$232,"&lt;"&amp;Q223))</f>
        <v/>
      </c>
    </row>
    <row r="224">
      <c r="A224">
        <f>'LIVE SOURCE'!A224</f>
        <v/>
      </c>
      <c r="B224">
        <f>'LIVE SOURCE'!B224</f>
        <v/>
      </c>
      <c r="C224" s="4">
        <f>'LIVE SOURCE'!D224</f>
        <v/>
      </c>
      <c r="D224" s="4">
        <f>'Manual Adjustments'!G224</f>
        <v/>
      </c>
      <c r="E224" s="4">
        <f>MAX(40,MIN(100,C224+D224))</f>
        <v/>
      </c>
      <c r="F224">
        <f>COUNTIFS($A$3:$A$232,A224,$E$3:$E$232,"&gt;"&amp;E224)+COUNTIFS($A$3:A224,A224,$E$3:E224,E224)</f>
        <v/>
      </c>
      <c r="G224" s="4">
        <f>ROUND(INDEX('League Config'!$K$4:$K$9,MATCH(A224,'League Config'!$E$4:$E$9,0))*E224+INDEX('League Config'!$L$4:$L$9,MATCH(A224,'League Config'!$E$4:$E$9,0)),1)</f>
        <v/>
      </c>
      <c r="H224">
        <f>INDEX('League Config'!$H$4:$H$9,MATCH(A224,'League Config'!$E$4:$E$9,0))</f>
        <v/>
      </c>
      <c r="I224" s="4">
        <f>INDEX('League Config'!$I$4:$I$9,MATCH(A224,'League Config'!$E$4:$E$9,0))</f>
        <v/>
      </c>
      <c r="J224" s="4">
        <f>ROUND(G224-I224,1)</f>
        <v/>
      </c>
      <c r="K224" s="4">
        <f>MAX(0,MIN(100,50+J224*0.6))</f>
        <v/>
      </c>
      <c r="L224" s="4">
        <f>MIN(100,MAX(0,(1-(F224-1)/(H224*1.5))*100*INDEX('League Config'!$J$4:$J$9,MATCH(A224,'League Config'!$E$4:$E$9,0))))</f>
        <v/>
      </c>
      <c r="M224">
        <f>IF(A224="K",'League Config'!$B$14,IF(A224="DST",'League Config'!$B$15,IF(A224="QB",'League Config'!$B$16,0)))</f>
        <v/>
      </c>
      <c r="N224" s="4">
        <f>MIN(100,MAX(0,0.55*E224+0.3*K224+0.15*L224-M224))</f>
        <v/>
      </c>
      <c r="O224" s="9">
        <f>IF(OR(A224="K",A224="DST"),"",N224)</f>
        <v/>
      </c>
      <c r="P224" s="6">
        <f>IF(O224="","",COUNTIF($O$3:$O$232,"&gt;"&amp;O224)+COUNTIF($O$3:O224,O224))</f>
        <v/>
      </c>
      <c r="Q224">
        <f>IF(A224="DST",IF(F224&lt;=GateSize,DstStart-1+F224,NSkill+2*GateSize+F224-GateSize),IF(A224="K",IF(F224&lt;=GateSize,KStart-1+F224,NSkill+GateSize+NDst+F224-GateSize),IF(P224&lt;=DstStart-1,P224,P224+2*GateSize)))</f>
        <v/>
      </c>
      <c r="R224" s="4">
        <f>'LIVE SOURCE'!E224</f>
        <v/>
      </c>
      <c r="S224" s="4">
        <f>R224-Q224</f>
        <v/>
      </c>
      <c r="T224">
        <f>'LIVE SOURCE'!F224</f>
        <v/>
      </c>
      <c r="U224" s="4">
        <f>MAX(40,E224-IF(T224="A",6,IF(T224="B",9,12)))</f>
        <v/>
      </c>
      <c r="V224" s="4">
        <f>E224</f>
        <v/>
      </c>
      <c r="W224" s="4">
        <f>MIN(100,E224+IF(T224="A",6,IF(T224="B",9,12)))</f>
        <v/>
      </c>
      <c r="X224">
        <f>'LIVE SOURCE'!G224</f>
        <v/>
      </c>
      <c r="Y224">
        <f>IF(INDEX('Draft Board'!$J$3:$J$232,Q224)="","Available",INDEX('Draft Board'!$J$3:$J$232,Q224))</f>
        <v/>
      </c>
      <c r="Z224">
        <f>IF(Y224&lt;&gt;"Available","",1+COUNTIFS($Y$3:$Y$232,"Available",$Q$3:$Q$232,"&lt;"&amp;Q224))</f>
        <v/>
      </c>
    </row>
    <row r="225">
      <c r="A225">
        <f>'LIVE SOURCE'!A225</f>
        <v/>
      </c>
      <c r="B225">
        <f>'LIVE SOURCE'!B225</f>
        <v/>
      </c>
      <c r="C225" s="4">
        <f>'LIVE SOURCE'!D225</f>
        <v/>
      </c>
      <c r="D225" s="4">
        <f>'Manual Adjustments'!G225</f>
        <v/>
      </c>
      <c r="E225" s="4">
        <f>MAX(40,MIN(100,C225+D225))</f>
        <v/>
      </c>
      <c r="F225">
        <f>COUNTIFS($A$3:$A$232,A225,$E$3:$E$232,"&gt;"&amp;E225)+COUNTIFS($A$3:A225,A225,$E$3:E225,E225)</f>
        <v/>
      </c>
      <c r="G225" s="4">
        <f>ROUND(INDEX('League Config'!$K$4:$K$9,MATCH(A225,'League Config'!$E$4:$E$9,0))*E225+INDEX('League Config'!$L$4:$L$9,MATCH(A225,'League Config'!$E$4:$E$9,0)),1)</f>
        <v/>
      </c>
      <c r="H225">
        <f>INDEX('League Config'!$H$4:$H$9,MATCH(A225,'League Config'!$E$4:$E$9,0))</f>
        <v/>
      </c>
      <c r="I225" s="4">
        <f>INDEX('League Config'!$I$4:$I$9,MATCH(A225,'League Config'!$E$4:$E$9,0))</f>
        <v/>
      </c>
      <c r="J225" s="4">
        <f>ROUND(G225-I225,1)</f>
        <v/>
      </c>
      <c r="K225" s="4">
        <f>MAX(0,MIN(100,50+J225*0.6))</f>
        <v/>
      </c>
      <c r="L225" s="4">
        <f>MIN(100,MAX(0,(1-(F225-1)/(H225*1.5))*100*INDEX('League Config'!$J$4:$J$9,MATCH(A225,'League Config'!$E$4:$E$9,0))))</f>
        <v/>
      </c>
      <c r="M225">
        <f>IF(A225="K",'League Config'!$B$14,IF(A225="DST",'League Config'!$B$15,IF(A225="QB",'League Config'!$B$16,0)))</f>
        <v/>
      </c>
      <c r="N225" s="4">
        <f>MIN(100,MAX(0,0.55*E225+0.3*K225+0.15*L225-M225))</f>
        <v/>
      </c>
      <c r="O225" s="9">
        <f>IF(OR(A225="K",A225="DST"),"",N225)</f>
        <v/>
      </c>
      <c r="P225" s="6">
        <f>IF(O225="","",COUNTIF($O$3:$O$232,"&gt;"&amp;O225)+COUNTIF($O$3:O225,O225))</f>
        <v/>
      </c>
      <c r="Q225">
        <f>IF(A225="DST",IF(F225&lt;=GateSize,DstStart-1+F225,NSkill+2*GateSize+F225-GateSize),IF(A225="K",IF(F225&lt;=GateSize,KStart-1+F225,NSkill+GateSize+NDst+F225-GateSize),IF(P225&lt;=DstStart-1,P225,P225+2*GateSize)))</f>
        <v/>
      </c>
      <c r="R225" s="4">
        <f>'LIVE SOURCE'!E225</f>
        <v/>
      </c>
      <c r="S225" s="4">
        <f>R225-Q225</f>
        <v/>
      </c>
      <c r="T225">
        <f>'LIVE SOURCE'!F225</f>
        <v/>
      </c>
      <c r="U225" s="4">
        <f>MAX(40,E225-IF(T225="A",6,IF(T225="B",9,12)))</f>
        <v/>
      </c>
      <c r="V225" s="4">
        <f>E225</f>
        <v/>
      </c>
      <c r="W225" s="4">
        <f>MIN(100,E225+IF(T225="A",6,IF(T225="B",9,12)))</f>
        <v/>
      </c>
      <c r="X225">
        <f>'LIVE SOURCE'!G225</f>
        <v/>
      </c>
      <c r="Y225">
        <f>IF(INDEX('Draft Board'!$J$3:$J$232,Q225)="","Available",INDEX('Draft Board'!$J$3:$J$232,Q225))</f>
        <v/>
      </c>
      <c r="Z225">
        <f>IF(Y225&lt;&gt;"Available","",1+COUNTIFS($Y$3:$Y$232,"Available",$Q$3:$Q$232,"&lt;"&amp;Q225))</f>
        <v/>
      </c>
    </row>
    <row r="226">
      <c r="A226">
        <f>'LIVE SOURCE'!A226</f>
        <v/>
      </c>
      <c r="B226">
        <f>'LIVE SOURCE'!B226</f>
        <v/>
      </c>
      <c r="C226" s="4">
        <f>'LIVE SOURCE'!D226</f>
        <v/>
      </c>
      <c r="D226" s="4">
        <f>'Manual Adjustments'!G226</f>
        <v/>
      </c>
      <c r="E226" s="4">
        <f>MAX(40,MIN(100,C226+D226))</f>
        <v/>
      </c>
      <c r="F226">
        <f>COUNTIFS($A$3:$A$232,A226,$E$3:$E$232,"&gt;"&amp;E226)+COUNTIFS($A$3:A226,A226,$E$3:E226,E226)</f>
        <v/>
      </c>
      <c r="G226" s="4">
        <f>ROUND(INDEX('League Config'!$K$4:$K$9,MATCH(A226,'League Config'!$E$4:$E$9,0))*E226+INDEX('League Config'!$L$4:$L$9,MATCH(A226,'League Config'!$E$4:$E$9,0)),1)</f>
        <v/>
      </c>
      <c r="H226">
        <f>INDEX('League Config'!$H$4:$H$9,MATCH(A226,'League Config'!$E$4:$E$9,0))</f>
        <v/>
      </c>
      <c r="I226" s="4">
        <f>INDEX('League Config'!$I$4:$I$9,MATCH(A226,'League Config'!$E$4:$E$9,0))</f>
        <v/>
      </c>
      <c r="J226" s="4">
        <f>ROUND(G226-I226,1)</f>
        <v/>
      </c>
      <c r="K226" s="4">
        <f>MAX(0,MIN(100,50+J226*0.6))</f>
        <v/>
      </c>
      <c r="L226" s="4">
        <f>MIN(100,MAX(0,(1-(F226-1)/(H226*1.5))*100*INDEX('League Config'!$J$4:$J$9,MATCH(A226,'League Config'!$E$4:$E$9,0))))</f>
        <v/>
      </c>
      <c r="M226">
        <f>IF(A226="K",'League Config'!$B$14,IF(A226="DST",'League Config'!$B$15,IF(A226="QB",'League Config'!$B$16,0)))</f>
        <v/>
      </c>
      <c r="N226" s="4">
        <f>MIN(100,MAX(0,0.55*E226+0.3*K226+0.15*L226-M226))</f>
        <v/>
      </c>
      <c r="O226" s="9">
        <f>IF(OR(A226="K",A226="DST"),"",N226)</f>
        <v/>
      </c>
      <c r="P226" s="6">
        <f>IF(O226="","",COUNTIF($O$3:$O$232,"&gt;"&amp;O226)+COUNTIF($O$3:O226,O226))</f>
        <v/>
      </c>
      <c r="Q226">
        <f>IF(A226="DST",IF(F226&lt;=GateSize,DstStart-1+F226,NSkill+2*GateSize+F226-GateSize),IF(A226="K",IF(F226&lt;=GateSize,KStart-1+F226,NSkill+GateSize+NDst+F226-GateSize),IF(P226&lt;=DstStart-1,P226,P226+2*GateSize)))</f>
        <v/>
      </c>
      <c r="R226" s="4">
        <f>'LIVE SOURCE'!E226</f>
        <v/>
      </c>
      <c r="S226" s="4">
        <f>R226-Q226</f>
        <v/>
      </c>
      <c r="T226">
        <f>'LIVE SOURCE'!F226</f>
        <v/>
      </c>
      <c r="U226" s="4">
        <f>MAX(40,E226-IF(T226="A",6,IF(T226="B",9,12)))</f>
        <v/>
      </c>
      <c r="V226" s="4">
        <f>E226</f>
        <v/>
      </c>
      <c r="W226" s="4">
        <f>MIN(100,E226+IF(T226="A",6,IF(T226="B",9,12)))</f>
        <v/>
      </c>
      <c r="X226">
        <f>'LIVE SOURCE'!G226</f>
        <v/>
      </c>
      <c r="Y226">
        <f>IF(INDEX('Draft Board'!$J$3:$J$232,Q226)="","Available",INDEX('Draft Board'!$J$3:$J$232,Q226))</f>
        <v/>
      </c>
      <c r="Z226">
        <f>IF(Y226&lt;&gt;"Available","",1+COUNTIFS($Y$3:$Y$232,"Available",$Q$3:$Q$232,"&lt;"&amp;Q226))</f>
        <v/>
      </c>
    </row>
    <row r="227">
      <c r="A227">
        <f>'LIVE SOURCE'!A227</f>
        <v/>
      </c>
      <c r="B227">
        <f>'LIVE SOURCE'!B227</f>
        <v/>
      </c>
      <c r="C227" s="4">
        <f>'LIVE SOURCE'!D227</f>
        <v/>
      </c>
      <c r="D227" s="4">
        <f>'Manual Adjustments'!G227</f>
        <v/>
      </c>
      <c r="E227" s="4">
        <f>MAX(40,MIN(100,C227+D227))</f>
        <v/>
      </c>
      <c r="F227">
        <f>COUNTIFS($A$3:$A$232,A227,$E$3:$E$232,"&gt;"&amp;E227)+COUNTIFS($A$3:A227,A227,$E$3:E227,E227)</f>
        <v/>
      </c>
      <c r="G227" s="4">
        <f>ROUND(INDEX('League Config'!$K$4:$K$9,MATCH(A227,'League Config'!$E$4:$E$9,0))*E227+INDEX('League Config'!$L$4:$L$9,MATCH(A227,'League Config'!$E$4:$E$9,0)),1)</f>
        <v/>
      </c>
      <c r="H227">
        <f>INDEX('League Config'!$H$4:$H$9,MATCH(A227,'League Config'!$E$4:$E$9,0))</f>
        <v/>
      </c>
      <c r="I227" s="4">
        <f>INDEX('League Config'!$I$4:$I$9,MATCH(A227,'League Config'!$E$4:$E$9,0))</f>
        <v/>
      </c>
      <c r="J227" s="4">
        <f>ROUND(G227-I227,1)</f>
        <v/>
      </c>
      <c r="K227" s="4">
        <f>MAX(0,MIN(100,50+J227*0.6))</f>
        <v/>
      </c>
      <c r="L227" s="4">
        <f>MIN(100,MAX(0,(1-(F227-1)/(H227*1.5))*100*INDEX('League Config'!$J$4:$J$9,MATCH(A227,'League Config'!$E$4:$E$9,0))))</f>
        <v/>
      </c>
      <c r="M227">
        <f>IF(A227="K",'League Config'!$B$14,IF(A227="DST",'League Config'!$B$15,IF(A227="QB",'League Config'!$B$16,0)))</f>
        <v/>
      </c>
      <c r="N227" s="4">
        <f>MIN(100,MAX(0,0.55*E227+0.3*K227+0.15*L227-M227))</f>
        <v/>
      </c>
      <c r="O227" s="9">
        <f>IF(OR(A227="K",A227="DST"),"",N227)</f>
        <v/>
      </c>
      <c r="P227" s="6">
        <f>IF(O227="","",COUNTIF($O$3:$O$232,"&gt;"&amp;O227)+COUNTIF($O$3:O227,O227))</f>
        <v/>
      </c>
      <c r="Q227">
        <f>IF(A227="DST",IF(F227&lt;=GateSize,DstStart-1+F227,NSkill+2*GateSize+F227-GateSize),IF(A227="K",IF(F227&lt;=GateSize,KStart-1+F227,NSkill+GateSize+NDst+F227-GateSize),IF(P227&lt;=DstStart-1,P227,P227+2*GateSize)))</f>
        <v/>
      </c>
      <c r="R227" s="4">
        <f>'LIVE SOURCE'!E227</f>
        <v/>
      </c>
      <c r="S227" s="4">
        <f>R227-Q227</f>
        <v/>
      </c>
      <c r="T227">
        <f>'LIVE SOURCE'!F227</f>
        <v/>
      </c>
      <c r="U227" s="4">
        <f>MAX(40,E227-IF(T227="A",6,IF(T227="B",9,12)))</f>
        <v/>
      </c>
      <c r="V227" s="4">
        <f>E227</f>
        <v/>
      </c>
      <c r="W227" s="4">
        <f>MIN(100,E227+IF(T227="A",6,IF(T227="B",9,12)))</f>
        <v/>
      </c>
      <c r="X227">
        <f>'LIVE SOURCE'!G227</f>
        <v/>
      </c>
      <c r="Y227">
        <f>IF(INDEX('Draft Board'!$J$3:$J$232,Q227)="","Available",INDEX('Draft Board'!$J$3:$J$232,Q227))</f>
        <v/>
      </c>
      <c r="Z227">
        <f>IF(Y227&lt;&gt;"Available","",1+COUNTIFS($Y$3:$Y$232,"Available",$Q$3:$Q$232,"&lt;"&amp;Q227))</f>
        <v/>
      </c>
    </row>
    <row r="228">
      <c r="A228">
        <f>'LIVE SOURCE'!A228</f>
        <v/>
      </c>
      <c r="B228">
        <f>'LIVE SOURCE'!B228</f>
        <v/>
      </c>
      <c r="C228" s="4">
        <f>'LIVE SOURCE'!D228</f>
        <v/>
      </c>
      <c r="D228" s="4">
        <f>'Manual Adjustments'!G228</f>
        <v/>
      </c>
      <c r="E228" s="4">
        <f>MAX(40,MIN(100,C228+D228))</f>
        <v/>
      </c>
      <c r="F228">
        <f>COUNTIFS($A$3:$A$232,A228,$E$3:$E$232,"&gt;"&amp;E228)+COUNTIFS($A$3:A228,A228,$E$3:E228,E228)</f>
        <v/>
      </c>
      <c r="G228" s="4">
        <f>ROUND(INDEX('League Config'!$K$4:$K$9,MATCH(A228,'League Config'!$E$4:$E$9,0))*E228+INDEX('League Config'!$L$4:$L$9,MATCH(A228,'League Config'!$E$4:$E$9,0)),1)</f>
        <v/>
      </c>
      <c r="H228">
        <f>INDEX('League Config'!$H$4:$H$9,MATCH(A228,'League Config'!$E$4:$E$9,0))</f>
        <v/>
      </c>
      <c r="I228" s="4">
        <f>INDEX('League Config'!$I$4:$I$9,MATCH(A228,'League Config'!$E$4:$E$9,0))</f>
        <v/>
      </c>
      <c r="J228" s="4">
        <f>ROUND(G228-I228,1)</f>
        <v/>
      </c>
      <c r="K228" s="4">
        <f>MAX(0,MIN(100,50+J228*0.6))</f>
        <v/>
      </c>
      <c r="L228" s="4">
        <f>MIN(100,MAX(0,(1-(F228-1)/(H228*1.5))*100*INDEX('League Config'!$J$4:$J$9,MATCH(A228,'League Config'!$E$4:$E$9,0))))</f>
        <v/>
      </c>
      <c r="M228">
        <f>IF(A228="K",'League Config'!$B$14,IF(A228="DST",'League Config'!$B$15,IF(A228="QB",'League Config'!$B$16,0)))</f>
        <v/>
      </c>
      <c r="N228" s="4">
        <f>MIN(100,MAX(0,0.55*E228+0.3*K228+0.15*L228-M228))</f>
        <v/>
      </c>
      <c r="O228" s="9">
        <f>IF(OR(A228="K",A228="DST"),"",N228)</f>
        <v/>
      </c>
      <c r="P228" s="6">
        <f>IF(O228="","",COUNTIF($O$3:$O$232,"&gt;"&amp;O228)+COUNTIF($O$3:O228,O228))</f>
        <v/>
      </c>
      <c r="Q228">
        <f>IF(A228="DST",IF(F228&lt;=GateSize,DstStart-1+F228,NSkill+2*GateSize+F228-GateSize),IF(A228="K",IF(F228&lt;=GateSize,KStart-1+F228,NSkill+GateSize+NDst+F228-GateSize),IF(P228&lt;=DstStart-1,P228,P228+2*GateSize)))</f>
        <v/>
      </c>
      <c r="R228" s="4">
        <f>'LIVE SOURCE'!E228</f>
        <v/>
      </c>
      <c r="S228" s="4">
        <f>R228-Q228</f>
        <v/>
      </c>
      <c r="T228">
        <f>'LIVE SOURCE'!F228</f>
        <v/>
      </c>
      <c r="U228" s="4">
        <f>MAX(40,E228-IF(T228="A",6,IF(T228="B",9,12)))</f>
        <v/>
      </c>
      <c r="V228" s="4">
        <f>E228</f>
        <v/>
      </c>
      <c r="W228" s="4">
        <f>MIN(100,E228+IF(T228="A",6,IF(T228="B",9,12)))</f>
        <v/>
      </c>
      <c r="X228">
        <f>'LIVE SOURCE'!G228</f>
        <v/>
      </c>
      <c r="Y228">
        <f>IF(INDEX('Draft Board'!$J$3:$J$232,Q228)="","Available",INDEX('Draft Board'!$J$3:$J$232,Q228))</f>
        <v/>
      </c>
      <c r="Z228">
        <f>IF(Y228&lt;&gt;"Available","",1+COUNTIFS($Y$3:$Y$232,"Available",$Q$3:$Q$232,"&lt;"&amp;Q228))</f>
        <v/>
      </c>
    </row>
    <row r="229">
      <c r="A229">
        <f>'LIVE SOURCE'!A229</f>
        <v/>
      </c>
      <c r="B229">
        <f>'LIVE SOURCE'!B229</f>
        <v/>
      </c>
      <c r="C229" s="4">
        <f>'LIVE SOURCE'!D229</f>
        <v/>
      </c>
      <c r="D229" s="4">
        <f>'Manual Adjustments'!G229</f>
        <v/>
      </c>
      <c r="E229" s="4">
        <f>MAX(40,MIN(100,C229+D229))</f>
        <v/>
      </c>
      <c r="F229">
        <f>COUNTIFS($A$3:$A$232,A229,$E$3:$E$232,"&gt;"&amp;E229)+COUNTIFS($A$3:A229,A229,$E$3:E229,E229)</f>
        <v/>
      </c>
      <c r="G229" s="4">
        <f>ROUND(INDEX('League Config'!$K$4:$K$9,MATCH(A229,'League Config'!$E$4:$E$9,0))*E229+INDEX('League Config'!$L$4:$L$9,MATCH(A229,'League Config'!$E$4:$E$9,0)),1)</f>
        <v/>
      </c>
      <c r="H229">
        <f>INDEX('League Config'!$H$4:$H$9,MATCH(A229,'League Config'!$E$4:$E$9,0))</f>
        <v/>
      </c>
      <c r="I229" s="4">
        <f>INDEX('League Config'!$I$4:$I$9,MATCH(A229,'League Config'!$E$4:$E$9,0))</f>
        <v/>
      </c>
      <c r="J229" s="4">
        <f>ROUND(G229-I229,1)</f>
        <v/>
      </c>
      <c r="K229" s="4">
        <f>MAX(0,MIN(100,50+J229*0.6))</f>
        <v/>
      </c>
      <c r="L229" s="4">
        <f>MIN(100,MAX(0,(1-(F229-1)/(H229*1.5))*100*INDEX('League Config'!$J$4:$J$9,MATCH(A229,'League Config'!$E$4:$E$9,0))))</f>
        <v/>
      </c>
      <c r="M229">
        <f>IF(A229="K",'League Config'!$B$14,IF(A229="DST",'League Config'!$B$15,IF(A229="QB",'League Config'!$B$16,0)))</f>
        <v/>
      </c>
      <c r="N229" s="4">
        <f>MIN(100,MAX(0,0.55*E229+0.3*K229+0.15*L229-M229))</f>
        <v/>
      </c>
      <c r="O229" s="9">
        <f>IF(OR(A229="K",A229="DST"),"",N229)</f>
        <v/>
      </c>
      <c r="P229" s="6">
        <f>IF(O229="","",COUNTIF($O$3:$O$232,"&gt;"&amp;O229)+COUNTIF($O$3:O229,O229))</f>
        <v/>
      </c>
      <c r="Q229">
        <f>IF(A229="DST",IF(F229&lt;=GateSize,DstStart-1+F229,NSkill+2*GateSize+F229-GateSize),IF(A229="K",IF(F229&lt;=GateSize,KStart-1+F229,NSkill+GateSize+NDst+F229-GateSize),IF(P229&lt;=DstStart-1,P229,P229+2*GateSize)))</f>
        <v/>
      </c>
      <c r="R229" s="4">
        <f>'LIVE SOURCE'!E229</f>
        <v/>
      </c>
      <c r="S229" s="4">
        <f>R229-Q229</f>
        <v/>
      </c>
      <c r="T229">
        <f>'LIVE SOURCE'!F229</f>
        <v/>
      </c>
      <c r="U229" s="4">
        <f>MAX(40,E229-IF(T229="A",6,IF(T229="B",9,12)))</f>
        <v/>
      </c>
      <c r="V229" s="4">
        <f>E229</f>
        <v/>
      </c>
      <c r="W229" s="4">
        <f>MIN(100,E229+IF(T229="A",6,IF(T229="B",9,12)))</f>
        <v/>
      </c>
      <c r="X229">
        <f>'LIVE SOURCE'!G229</f>
        <v/>
      </c>
      <c r="Y229">
        <f>IF(INDEX('Draft Board'!$J$3:$J$232,Q229)="","Available",INDEX('Draft Board'!$J$3:$J$232,Q229))</f>
        <v/>
      </c>
      <c r="Z229">
        <f>IF(Y229&lt;&gt;"Available","",1+COUNTIFS($Y$3:$Y$232,"Available",$Q$3:$Q$232,"&lt;"&amp;Q229))</f>
        <v/>
      </c>
    </row>
    <row r="230">
      <c r="A230">
        <f>'LIVE SOURCE'!A230</f>
        <v/>
      </c>
      <c r="B230">
        <f>'LIVE SOURCE'!B230</f>
        <v/>
      </c>
      <c r="C230" s="4">
        <f>'LIVE SOURCE'!D230</f>
        <v/>
      </c>
      <c r="D230" s="4">
        <f>'Manual Adjustments'!G230</f>
        <v/>
      </c>
      <c r="E230" s="4">
        <f>MAX(40,MIN(100,C230+D230))</f>
        <v/>
      </c>
      <c r="F230">
        <f>COUNTIFS($A$3:$A$232,A230,$E$3:$E$232,"&gt;"&amp;E230)+COUNTIFS($A$3:A230,A230,$E$3:E230,E230)</f>
        <v/>
      </c>
      <c r="G230" s="4">
        <f>ROUND(INDEX('League Config'!$K$4:$K$9,MATCH(A230,'League Config'!$E$4:$E$9,0))*E230+INDEX('League Config'!$L$4:$L$9,MATCH(A230,'League Config'!$E$4:$E$9,0)),1)</f>
        <v/>
      </c>
      <c r="H230">
        <f>INDEX('League Config'!$H$4:$H$9,MATCH(A230,'League Config'!$E$4:$E$9,0))</f>
        <v/>
      </c>
      <c r="I230" s="4">
        <f>INDEX('League Config'!$I$4:$I$9,MATCH(A230,'League Config'!$E$4:$E$9,0))</f>
        <v/>
      </c>
      <c r="J230" s="4">
        <f>ROUND(G230-I230,1)</f>
        <v/>
      </c>
      <c r="K230" s="4">
        <f>MAX(0,MIN(100,50+J230*0.6))</f>
        <v/>
      </c>
      <c r="L230" s="4">
        <f>MIN(100,MAX(0,(1-(F230-1)/(H230*1.5))*100*INDEX('League Config'!$J$4:$J$9,MATCH(A230,'League Config'!$E$4:$E$9,0))))</f>
        <v/>
      </c>
      <c r="M230">
        <f>IF(A230="K",'League Config'!$B$14,IF(A230="DST",'League Config'!$B$15,IF(A230="QB",'League Config'!$B$16,0)))</f>
        <v/>
      </c>
      <c r="N230" s="4">
        <f>MIN(100,MAX(0,0.55*E230+0.3*K230+0.15*L230-M230))</f>
        <v/>
      </c>
      <c r="O230" s="9">
        <f>IF(OR(A230="K",A230="DST"),"",N230)</f>
        <v/>
      </c>
      <c r="P230" s="6">
        <f>IF(O230="","",COUNTIF($O$3:$O$232,"&gt;"&amp;O230)+COUNTIF($O$3:O230,O230))</f>
        <v/>
      </c>
      <c r="Q230">
        <f>IF(A230="DST",IF(F230&lt;=GateSize,DstStart-1+F230,NSkill+2*GateSize+F230-GateSize),IF(A230="K",IF(F230&lt;=GateSize,KStart-1+F230,NSkill+GateSize+NDst+F230-GateSize),IF(P230&lt;=DstStart-1,P230,P230+2*GateSize)))</f>
        <v/>
      </c>
      <c r="R230" s="4">
        <f>'LIVE SOURCE'!E230</f>
        <v/>
      </c>
      <c r="S230" s="4">
        <f>R230-Q230</f>
        <v/>
      </c>
      <c r="T230">
        <f>'LIVE SOURCE'!F230</f>
        <v/>
      </c>
      <c r="U230" s="4">
        <f>MAX(40,E230-IF(T230="A",6,IF(T230="B",9,12)))</f>
        <v/>
      </c>
      <c r="V230" s="4">
        <f>E230</f>
        <v/>
      </c>
      <c r="W230" s="4">
        <f>MIN(100,E230+IF(T230="A",6,IF(T230="B",9,12)))</f>
        <v/>
      </c>
      <c r="X230">
        <f>'LIVE SOURCE'!G230</f>
        <v/>
      </c>
      <c r="Y230">
        <f>IF(INDEX('Draft Board'!$J$3:$J$232,Q230)="","Available",INDEX('Draft Board'!$J$3:$J$232,Q230))</f>
        <v/>
      </c>
      <c r="Z230">
        <f>IF(Y230&lt;&gt;"Available","",1+COUNTIFS($Y$3:$Y$232,"Available",$Q$3:$Q$232,"&lt;"&amp;Q230))</f>
        <v/>
      </c>
    </row>
    <row r="231">
      <c r="A231">
        <f>'LIVE SOURCE'!A231</f>
        <v/>
      </c>
      <c r="B231">
        <f>'LIVE SOURCE'!B231</f>
        <v/>
      </c>
      <c r="C231" s="4">
        <f>'LIVE SOURCE'!D231</f>
        <v/>
      </c>
      <c r="D231" s="4">
        <f>'Manual Adjustments'!G231</f>
        <v/>
      </c>
      <c r="E231" s="4">
        <f>MAX(40,MIN(100,C231+D231))</f>
        <v/>
      </c>
      <c r="F231">
        <f>COUNTIFS($A$3:$A$232,A231,$E$3:$E$232,"&gt;"&amp;E231)+COUNTIFS($A$3:A231,A231,$E$3:E231,E231)</f>
        <v/>
      </c>
      <c r="G231" s="4">
        <f>ROUND(INDEX('League Config'!$K$4:$K$9,MATCH(A231,'League Config'!$E$4:$E$9,0))*E231+INDEX('League Config'!$L$4:$L$9,MATCH(A231,'League Config'!$E$4:$E$9,0)),1)</f>
        <v/>
      </c>
      <c r="H231">
        <f>INDEX('League Config'!$H$4:$H$9,MATCH(A231,'League Config'!$E$4:$E$9,0))</f>
        <v/>
      </c>
      <c r="I231" s="4">
        <f>INDEX('League Config'!$I$4:$I$9,MATCH(A231,'League Config'!$E$4:$E$9,0))</f>
        <v/>
      </c>
      <c r="J231" s="4">
        <f>ROUND(G231-I231,1)</f>
        <v/>
      </c>
      <c r="K231" s="4">
        <f>MAX(0,MIN(100,50+J231*0.6))</f>
        <v/>
      </c>
      <c r="L231" s="4">
        <f>MIN(100,MAX(0,(1-(F231-1)/(H231*1.5))*100*INDEX('League Config'!$J$4:$J$9,MATCH(A231,'League Config'!$E$4:$E$9,0))))</f>
        <v/>
      </c>
      <c r="M231">
        <f>IF(A231="K",'League Config'!$B$14,IF(A231="DST",'League Config'!$B$15,IF(A231="QB",'League Config'!$B$16,0)))</f>
        <v/>
      </c>
      <c r="N231" s="4">
        <f>MIN(100,MAX(0,0.55*E231+0.3*K231+0.15*L231-M231))</f>
        <v/>
      </c>
      <c r="O231" s="9">
        <f>IF(OR(A231="K",A231="DST"),"",N231)</f>
        <v/>
      </c>
      <c r="P231" s="6">
        <f>IF(O231="","",COUNTIF($O$3:$O$232,"&gt;"&amp;O231)+COUNTIF($O$3:O231,O231))</f>
        <v/>
      </c>
      <c r="Q231">
        <f>IF(A231="DST",IF(F231&lt;=GateSize,DstStart-1+F231,NSkill+2*GateSize+F231-GateSize),IF(A231="K",IF(F231&lt;=GateSize,KStart-1+F231,NSkill+GateSize+NDst+F231-GateSize),IF(P231&lt;=DstStart-1,P231,P231+2*GateSize)))</f>
        <v/>
      </c>
      <c r="R231" s="4">
        <f>'LIVE SOURCE'!E231</f>
        <v/>
      </c>
      <c r="S231" s="4">
        <f>R231-Q231</f>
        <v/>
      </c>
      <c r="T231">
        <f>'LIVE SOURCE'!F231</f>
        <v/>
      </c>
      <c r="U231" s="4">
        <f>MAX(40,E231-IF(T231="A",6,IF(T231="B",9,12)))</f>
        <v/>
      </c>
      <c r="V231" s="4">
        <f>E231</f>
        <v/>
      </c>
      <c r="W231" s="4">
        <f>MIN(100,E231+IF(T231="A",6,IF(T231="B",9,12)))</f>
        <v/>
      </c>
      <c r="X231">
        <f>'LIVE SOURCE'!G231</f>
        <v/>
      </c>
      <c r="Y231">
        <f>IF(INDEX('Draft Board'!$J$3:$J$232,Q231)="","Available",INDEX('Draft Board'!$J$3:$J$232,Q231))</f>
        <v/>
      </c>
      <c r="Z231">
        <f>IF(Y231&lt;&gt;"Available","",1+COUNTIFS($Y$3:$Y$232,"Available",$Q$3:$Q$232,"&lt;"&amp;Q231))</f>
        <v/>
      </c>
    </row>
    <row r="232">
      <c r="A232">
        <f>'LIVE SOURCE'!A232</f>
        <v/>
      </c>
      <c r="B232">
        <f>'LIVE SOURCE'!B232</f>
        <v/>
      </c>
      <c r="C232" s="4">
        <f>'LIVE SOURCE'!D232</f>
        <v/>
      </c>
      <c r="D232" s="4">
        <f>'Manual Adjustments'!G232</f>
        <v/>
      </c>
      <c r="E232" s="4">
        <f>MAX(40,MIN(100,C232+D232))</f>
        <v/>
      </c>
      <c r="F232">
        <f>COUNTIFS($A$3:$A$232,A232,$E$3:$E$232,"&gt;"&amp;E232)+COUNTIFS($A$3:A232,A232,$E$3:E232,E232)</f>
        <v/>
      </c>
      <c r="G232" s="4">
        <f>ROUND(INDEX('League Config'!$K$4:$K$9,MATCH(A232,'League Config'!$E$4:$E$9,0))*E232+INDEX('League Config'!$L$4:$L$9,MATCH(A232,'League Config'!$E$4:$E$9,0)),1)</f>
        <v/>
      </c>
      <c r="H232">
        <f>INDEX('League Config'!$H$4:$H$9,MATCH(A232,'League Config'!$E$4:$E$9,0))</f>
        <v/>
      </c>
      <c r="I232" s="4">
        <f>INDEX('League Config'!$I$4:$I$9,MATCH(A232,'League Config'!$E$4:$E$9,0))</f>
        <v/>
      </c>
      <c r="J232" s="4">
        <f>ROUND(G232-I232,1)</f>
        <v/>
      </c>
      <c r="K232" s="4">
        <f>MAX(0,MIN(100,50+J232*0.6))</f>
        <v/>
      </c>
      <c r="L232" s="4">
        <f>MIN(100,MAX(0,(1-(F232-1)/(H232*1.5))*100*INDEX('League Config'!$J$4:$J$9,MATCH(A232,'League Config'!$E$4:$E$9,0))))</f>
        <v/>
      </c>
      <c r="M232">
        <f>IF(A232="K",'League Config'!$B$14,IF(A232="DST",'League Config'!$B$15,IF(A232="QB",'League Config'!$B$16,0)))</f>
        <v/>
      </c>
      <c r="N232" s="4">
        <f>MIN(100,MAX(0,0.55*E232+0.3*K232+0.15*L232-M232))</f>
        <v/>
      </c>
      <c r="O232" s="9">
        <f>IF(OR(A232="K",A232="DST"),"",N232)</f>
        <v/>
      </c>
      <c r="P232" s="6">
        <f>IF(O232="","",COUNTIF($O$3:$O$232,"&gt;"&amp;O232)+COUNTIF($O$3:O232,O232))</f>
        <v/>
      </c>
      <c r="Q232">
        <f>IF(A232="DST",IF(F232&lt;=GateSize,DstStart-1+F232,NSkill+2*GateSize+F232-GateSize),IF(A232="K",IF(F232&lt;=GateSize,KStart-1+F232,NSkill+GateSize+NDst+F232-GateSize),IF(P232&lt;=DstStart-1,P232,P232+2*GateSize)))</f>
        <v/>
      </c>
      <c r="R232" s="4">
        <f>'LIVE SOURCE'!E232</f>
        <v/>
      </c>
      <c r="S232" s="4">
        <f>R232-Q232</f>
        <v/>
      </c>
      <c r="T232">
        <f>'LIVE SOURCE'!F232</f>
        <v/>
      </c>
      <c r="U232" s="4">
        <f>MAX(40,E232-IF(T232="A",6,IF(T232="B",9,12)))</f>
        <v/>
      </c>
      <c r="V232" s="4">
        <f>E232</f>
        <v/>
      </c>
      <c r="W232" s="4">
        <f>MIN(100,E232+IF(T232="A",6,IF(T232="B",9,12)))</f>
        <v/>
      </c>
      <c r="X232">
        <f>'LIVE SOURCE'!G232</f>
        <v/>
      </c>
      <c r="Y232">
        <f>IF(INDEX('Draft Board'!$J$3:$J$232,Q232)="","Available",INDEX('Draft Board'!$J$3:$J$232,Q232))</f>
        <v/>
      </c>
      <c r="Z232">
        <f>IF(Y232&lt;&gt;"Available","",1+COUNTIFS($Y$3:$Y$232,"Available",$Q$3:$Q$232,"&lt;"&amp;Q232))</f>
        <v/>
      </c>
    </row>
  </sheetData>
  <conditionalFormatting sqref="S3:S232">
    <cfRule type="cellIs" priority="1" operator="greaterThan" dxfId="0">
      <formula>10</formula>
    </cfRule>
    <cfRule type="cellIs" priority="2" operator="lessThan" dxfId="2">
      <formula>-10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AD47"/>
    <outlinePr summaryBelow="1" summaryRight="1"/>
    <pageSetUpPr/>
  </sheetPr>
  <dimension ref="A1:G42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3" customWidth="1" min="3" max="3"/>
    <col width="12" customWidth="1" min="4" max="4"/>
    <col width="26" customWidth="1" min="5" max="5"/>
    <col width="10" customWidth="1" min="6" max="6"/>
    <col width="8" customWidth="1" min="7" max="7"/>
  </cols>
  <sheetData>
    <row r="1">
      <c r="A1" s="1" t="inlineStr">
        <is>
          <t>Draft Room: live board for draft day</t>
        </is>
      </c>
    </row>
    <row r="2">
      <c r="A2" s="2" t="inlineStr">
        <is>
          <t>Mark picks in Draft Engine Status column. This board updates itself.</t>
        </is>
      </c>
    </row>
    <row r="4">
      <c r="A4" s="7" t="inlineStr">
        <is>
          <t>Draft Input</t>
        </is>
      </c>
      <c r="B4" s="7" t="inlineStr">
        <is>
          <t>Value</t>
        </is>
      </c>
      <c r="D4" s="7" t="inlineStr">
        <is>
          <t>Signal</t>
        </is>
      </c>
      <c r="E4" s="7" t="inlineStr">
        <is>
          <t>Interpretation</t>
        </is>
      </c>
      <c r="F4" s="7" t="inlineStr">
        <is>
          <t>Action</t>
        </is>
      </c>
    </row>
    <row r="5">
      <c r="A5" t="inlineStr">
        <is>
          <t>Current Pick</t>
        </is>
      </c>
      <c r="B5" s="5" t="n">
        <v>1</v>
      </c>
      <c r="D5" t="inlineStr">
        <is>
          <t>Draft Edge &gt; +15</t>
        </is>
      </c>
      <c r="E5" t="inlineStr">
        <is>
          <t>Strong model value</t>
        </is>
      </c>
      <c r="F5" t="inlineStr">
        <is>
          <t>Prioritize if roster construction fits.</t>
        </is>
      </c>
    </row>
    <row r="6">
      <c r="A6" t="inlineStr">
        <is>
          <t>Teams</t>
        </is>
      </c>
      <c r="B6">
        <f>'League Config'!$B$4</f>
        <v/>
      </c>
      <c r="D6" t="inlineStr">
        <is>
          <t>Draft Edge -10 to +15</t>
        </is>
      </c>
      <c r="E6" t="inlineStr">
        <is>
          <t>Fairly priced</t>
        </is>
      </c>
      <c r="F6" t="inlineStr">
        <is>
          <t>Take best roster fit.</t>
        </is>
      </c>
    </row>
    <row r="7">
      <c r="A7" t="inlineStr">
        <is>
          <t>Roster Size</t>
        </is>
      </c>
      <c r="B7">
        <f>SUM('League Config'!$B$6:$B$13)</f>
        <v/>
      </c>
      <c r="D7" t="inlineStr">
        <is>
          <t>Draft Edge &lt; -10</t>
        </is>
      </c>
      <c r="E7" t="inlineStr">
        <is>
          <t>Market reaching</t>
        </is>
      </c>
      <c r="F7" t="inlineStr">
        <is>
          <t>Let someone else pay the premium.</t>
        </is>
      </c>
    </row>
    <row r="10">
      <c r="A10" s="10" t="inlineStr">
        <is>
          <t>Best Available (Top 10)</t>
        </is>
      </c>
    </row>
    <row r="11">
      <c r="A11" s="7" t="inlineStr">
        <is>
          <t>Avail Rank</t>
        </is>
      </c>
      <c r="B11" s="7" t="inlineStr">
        <is>
          <t>Player</t>
        </is>
      </c>
      <c r="C11" s="7" t="inlineStr">
        <is>
          <t>Pos</t>
        </is>
      </c>
      <c r="D11" s="7" t="inlineStr">
        <is>
          <t>Draft Score</t>
        </is>
      </c>
      <c r="E11" s="7" t="inlineStr">
        <is>
          <t>Overall</t>
        </is>
      </c>
      <c r="F11" s="7" t="inlineStr">
        <is>
          <t>ADP</t>
        </is>
      </c>
      <c r="G11" s="7" t="inlineStr">
        <is>
          <t>Edge</t>
        </is>
      </c>
    </row>
    <row r="12">
      <c r="A12" t="n">
        <v>1</v>
      </c>
      <c r="B12">
        <f>IFERROR(INDEX('Draft Engine'!$B$3:$B$232,MATCH($A12,'Draft Engine'!$Z$3:$Z$232,0)),"")</f>
        <v/>
      </c>
      <c r="C12">
        <f>IFERROR(INDEX('Draft Engine'!$A$3:$A$232,MATCH($A12,'Draft Engine'!$Z$3:$Z$232,0)),"")</f>
        <v/>
      </c>
      <c r="D12">
        <f>IFERROR(ROUND(INDEX('Draft Engine'!$N$3:$N$232,MATCH($A12,'Draft Engine'!$Z$3:$Z$232,0)),1),"")</f>
        <v/>
      </c>
      <c r="E12">
        <f>IFERROR(INDEX('Draft Engine'!$Q$3:$Q$232,MATCH($A12,'Draft Engine'!$Z$3:$Z$232,0)),"")</f>
        <v/>
      </c>
      <c r="F12">
        <f>IFERROR(INDEX('Draft Engine'!$R$3:$R$232,MATCH($A12,'Draft Engine'!$Z$3:$Z$232,0)),"")</f>
        <v/>
      </c>
      <c r="G12">
        <f>IFERROR(INDEX('Draft Engine'!$S$3:$S$232,MATCH($A12,'Draft Engine'!$Z$3:$Z$232,0)),"")</f>
        <v/>
      </c>
    </row>
    <row r="13">
      <c r="A13" t="n">
        <v>2</v>
      </c>
      <c r="B13">
        <f>IFERROR(INDEX('Draft Engine'!$B$3:$B$232,MATCH($A13,'Draft Engine'!$Z$3:$Z$232,0)),"")</f>
        <v/>
      </c>
      <c r="C13">
        <f>IFERROR(INDEX('Draft Engine'!$A$3:$A$232,MATCH($A13,'Draft Engine'!$Z$3:$Z$232,0)),"")</f>
        <v/>
      </c>
      <c r="D13">
        <f>IFERROR(ROUND(INDEX('Draft Engine'!$N$3:$N$232,MATCH($A13,'Draft Engine'!$Z$3:$Z$232,0)),1),"")</f>
        <v/>
      </c>
      <c r="E13">
        <f>IFERROR(INDEX('Draft Engine'!$Q$3:$Q$232,MATCH($A13,'Draft Engine'!$Z$3:$Z$232,0)),"")</f>
        <v/>
      </c>
      <c r="F13">
        <f>IFERROR(INDEX('Draft Engine'!$R$3:$R$232,MATCH($A13,'Draft Engine'!$Z$3:$Z$232,0)),"")</f>
        <v/>
      </c>
      <c r="G13">
        <f>IFERROR(INDEX('Draft Engine'!$S$3:$S$232,MATCH($A13,'Draft Engine'!$Z$3:$Z$232,0)),"")</f>
        <v/>
      </c>
    </row>
    <row r="14">
      <c r="A14" t="n">
        <v>3</v>
      </c>
      <c r="B14">
        <f>IFERROR(INDEX('Draft Engine'!$B$3:$B$232,MATCH($A14,'Draft Engine'!$Z$3:$Z$232,0)),"")</f>
        <v/>
      </c>
      <c r="C14">
        <f>IFERROR(INDEX('Draft Engine'!$A$3:$A$232,MATCH($A14,'Draft Engine'!$Z$3:$Z$232,0)),"")</f>
        <v/>
      </c>
      <c r="D14">
        <f>IFERROR(ROUND(INDEX('Draft Engine'!$N$3:$N$232,MATCH($A14,'Draft Engine'!$Z$3:$Z$232,0)),1),"")</f>
        <v/>
      </c>
      <c r="E14">
        <f>IFERROR(INDEX('Draft Engine'!$Q$3:$Q$232,MATCH($A14,'Draft Engine'!$Z$3:$Z$232,0)),"")</f>
        <v/>
      </c>
      <c r="F14">
        <f>IFERROR(INDEX('Draft Engine'!$R$3:$R$232,MATCH($A14,'Draft Engine'!$Z$3:$Z$232,0)),"")</f>
        <v/>
      </c>
      <c r="G14">
        <f>IFERROR(INDEX('Draft Engine'!$S$3:$S$232,MATCH($A14,'Draft Engine'!$Z$3:$Z$232,0)),"")</f>
        <v/>
      </c>
    </row>
    <row r="15">
      <c r="A15" t="n">
        <v>4</v>
      </c>
      <c r="B15">
        <f>IFERROR(INDEX('Draft Engine'!$B$3:$B$232,MATCH($A15,'Draft Engine'!$Z$3:$Z$232,0)),"")</f>
        <v/>
      </c>
      <c r="C15">
        <f>IFERROR(INDEX('Draft Engine'!$A$3:$A$232,MATCH($A15,'Draft Engine'!$Z$3:$Z$232,0)),"")</f>
        <v/>
      </c>
      <c r="D15">
        <f>IFERROR(ROUND(INDEX('Draft Engine'!$N$3:$N$232,MATCH($A15,'Draft Engine'!$Z$3:$Z$232,0)),1),"")</f>
        <v/>
      </c>
      <c r="E15">
        <f>IFERROR(INDEX('Draft Engine'!$Q$3:$Q$232,MATCH($A15,'Draft Engine'!$Z$3:$Z$232,0)),"")</f>
        <v/>
      </c>
      <c r="F15">
        <f>IFERROR(INDEX('Draft Engine'!$R$3:$R$232,MATCH($A15,'Draft Engine'!$Z$3:$Z$232,0)),"")</f>
        <v/>
      </c>
      <c r="G15">
        <f>IFERROR(INDEX('Draft Engine'!$S$3:$S$232,MATCH($A15,'Draft Engine'!$Z$3:$Z$232,0)),"")</f>
        <v/>
      </c>
    </row>
    <row r="16">
      <c r="A16" t="n">
        <v>5</v>
      </c>
      <c r="B16">
        <f>IFERROR(INDEX('Draft Engine'!$B$3:$B$232,MATCH($A16,'Draft Engine'!$Z$3:$Z$232,0)),"")</f>
        <v/>
      </c>
      <c r="C16">
        <f>IFERROR(INDEX('Draft Engine'!$A$3:$A$232,MATCH($A16,'Draft Engine'!$Z$3:$Z$232,0)),"")</f>
        <v/>
      </c>
      <c r="D16">
        <f>IFERROR(ROUND(INDEX('Draft Engine'!$N$3:$N$232,MATCH($A16,'Draft Engine'!$Z$3:$Z$232,0)),1),"")</f>
        <v/>
      </c>
      <c r="E16">
        <f>IFERROR(INDEX('Draft Engine'!$Q$3:$Q$232,MATCH($A16,'Draft Engine'!$Z$3:$Z$232,0)),"")</f>
        <v/>
      </c>
      <c r="F16">
        <f>IFERROR(INDEX('Draft Engine'!$R$3:$R$232,MATCH($A16,'Draft Engine'!$Z$3:$Z$232,0)),"")</f>
        <v/>
      </c>
      <c r="G16">
        <f>IFERROR(INDEX('Draft Engine'!$S$3:$S$232,MATCH($A16,'Draft Engine'!$Z$3:$Z$232,0)),"")</f>
        <v/>
      </c>
    </row>
    <row r="17">
      <c r="A17" t="n">
        <v>6</v>
      </c>
      <c r="B17">
        <f>IFERROR(INDEX('Draft Engine'!$B$3:$B$232,MATCH($A17,'Draft Engine'!$Z$3:$Z$232,0)),"")</f>
        <v/>
      </c>
      <c r="C17">
        <f>IFERROR(INDEX('Draft Engine'!$A$3:$A$232,MATCH($A17,'Draft Engine'!$Z$3:$Z$232,0)),"")</f>
        <v/>
      </c>
      <c r="D17">
        <f>IFERROR(ROUND(INDEX('Draft Engine'!$N$3:$N$232,MATCH($A17,'Draft Engine'!$Z$3:$Z$232,0)),1),"")</f>
        <v/>
      </c>
      <c r="E17">
        <f>IFERROR(INDEX('Draft Engine'!$Q$3:$Q$232,MATCH($A17,'Draft Engine'!$Z$3:$Z$232,0)),"")</f>
        <v/>
      </c>
      <c r="F17">
        <f>IFERROR(INDEX('Draft Engine'!$R$3:$R$232,MATCH($A17,'Draft Engine'!$Z$3:$Z$232,0)),"")</f>
        <v/>
      </c>
      <c r="G17">
        <f>IFERROR(INDEX('Draft Engine'!$S$3:$S$232,MATCH($A17,'Draft Engine'!$Z$3:$Z$232,0)),"")</f>
        <v/>
      </c>
    </row>
    <row r="18">
      <c r="A18" t="n">
        <v>7</v>
      </c>
      <c r="B18">
        <f>IFERROR(INDEX('Draft Engine'!$B$3:$B$232,MATCH($A18,'Draft Engine'!$Z$3:$Z$232,0)),"")</f>
        <v/>
      </c>
      <c r="C18">
        <f>IFERROR(INDEX('Draft Engine'!$A$3:$A$232,MATCH($A18,'Draft Engine'!$Z$3:$Z$232,0)),"")</f>
        <v/>
      </c>
      <c r="D18">
        <f>IFERROR(ROUND(INDEX('Draft Engine'!$N$3:$N$232,MATCH($A18,'Draft Engine'!$Z$3:$Z$232,0)),1),"")</f>
        <v/>
      </c>
      <c r="E18">
        <f>IFERROR(INDEX('Draft Engine'!$Q$3:$Q$232,MATCH($A18,'Draft Engine'!$Z$3:$Z$232,0)),"")</f>
        <v/>
      </c>
      <c r="F18">
        <f>IFERROR(INDEX('Draft Engine'!$R$3:$R$232,MATCH($A18,'Draft Engine'!$Z$3:$Z$232,0)),"")</f>
        <v/>
      </c>
      <c r="G18">
        <f>IFERROR(INDEX('Draft Engine'!$S$3:$S$232,MATCH($A18,'Draft Engine'!$Z$3:$Z$232,0)),"")</f>
        <v/>
      </c>
    </row>
    <row r="19">
      <c r="A19" t="n">
        <v>8</v>
      </c>
      <c r="B19">
        <f>IFERROR(INDEX('Draft Engine'!$B$3:$B$232,MATCH($A19,'Draft Engine'!$Z$3:$Z$232,0)),"")</f>
        <v/>
      </c>
      <c r="C19">
        <f>IFERROR(INDEX('Draft Engine'!$A$3:$A$232,MATCH($A19,'Draft Engine'!$Z$3:$Z$232,0)),"")</f>
        <v/>
      </c>
      <c r="D19">
        <f>IFERROR(ROUND(INDEX('Draft Engine'!$N$3:$N$232,MATCH($A19,'Draft Engine'!$Z$3:$Z$232,0)),1),"")</f>
        <v/>
      </c>
      <c r="E19">
        <f>IFERROR(INDEX('Draft Engine'!$Q$3:$Q$232,MATCH($A19,'Draft Engine'!$Z$3:$Z$232,0)),"")</f>
        <v/>
      </c>
      <c r="F19">
        <f>IFERROR(INDEX('Draft Engine'!$R$3:$R$232,MATCH($A19,'Draft Engine'!$Z$3:$Z$232,0)),"")</f>
        <v/>
      </c>
      <c r="G19">
        <f>IFERROR(INDEX('Draft Engine'!$S$3:$S$232,MATCH($A19,'Draft Engine'!$Z$3:$Z$232,0)),"")</f>
        <v/>
      </c>
    </row>
    <row r="20">
      <c r="A20" t="n">
        <v>9</v>
      </c>
      <c r="B20">
        <f>IFERROR(INDEX('Draft Engine'!$B$3:$B$232,MATCH($A20,'Draft Engine'!$Z$3:$Z$232,0)),"")</f>
        <v/>
      </c>
      <c r="C20">
        <f>IFERROR(INDEX('Draft Engine'!$A$3:$A$232,MATCH($A20,'Draft Engine'!$Z$3:$Z$232,0)),"")</f>
        <v/>
      </c>
      <c r="D20">
        <f>IFERROR(ROUND(INDEX('Draft Engine'!$N$3:$N$232,MATCH($A20,'Draft Engine'!$Z$3:$Z$232,0)),1),"")</f>
        <v/>
      </c>
      <c r="E20">
        <f>IFERROR(INDEX('Draft Engine'!$Q$3:$Q$232,MATCH($A20,'Draft Engine'!$Z$3:$Z$232,0)),"")</f>
        <v/>
      </c>
      <c r="F20">
        <f>IFERROR(INDEX('Draft Engine'!$R$3:$R$232,MATCH($A20,'Draft Engine'!$Z$3:$Z$232,0)),"")</f>
        <v/>
      </c>
      <c r="G20">
        <f>IFERROR(INDEX('Draft Engine'!$S$3:$S$232,MATCH($A20,'Draft Engine'!$Z$3:$Z$232,0)),"")</f>
        <v/>
      </c>
    </row>
    <row r="21">
      <c r="A21" t="n">
        <v>10</v>
      </c>
      <c r="B21">
        <f>IFERROR(INDEX('Draft Engine'!$B$3:$B$232,MATCH($A21,'Draft Engine'!$Z$3:$Z$232,0)),"")</f>
        <v/>
      </c>
      <c r="C21">
        <f>IFERROR(INDEX('Draft Engine'!$A$3:$A$232,MATCH($A21,'Draft Engine'!$Z$3:$Z$232,0)),"")</f>
        <v/>
      </c>
      <c r="D21">
        <f>IFERROR(ROUND(INDEX('Draft Engine'!$N$3:$N$232,MATCH($A21,'Draft Engine'!$Z$3:$Z$232,0)),1),"")</f>
        <v/>
      </c>
      <c r="E21">
        <f>IFERROR(INDEX('Draft Engine'!$Q$3:$Q$232,MATCH($A21,'Draft Engine'!$Z$3:$Z$232,0)),"")</f>
        <v/>
      </c>
      <c r="F21">
        <f>IFERROR(INDEX('Draft Engine'!$R$3:$R$232,MATCH($A21,'Draft Engine'!$Z$3:$Z$232,0)),"")</f>
        <v/>
      </c>
      <c r="G21">
        <f>IFERROR(INDEX('Draft Engine'!$S$3:$S$232,MATCH($A21,'Draft Engine'!$Z$3:$Z$232,0)),"")</f>
        <v/>
      </c>
    </row>
    <row r="24">
      <c r="A24" s="10" t="inlineStr">
        <is>
          <t>Best Available by Position</t>
        </is>
      </c>
    </row>
    <row r="25">
      <c r="A25" s="7" t="inlineStr">
        <is>
          <t>Pos</t>
        </is>
      </c>
      <c r="B25" s="7" t="inlineStr">
        <is>
          <t>Player</t>
        </is>
      </c>
      <c r="C25" s="7" t="inlineStr">
        <is>
          <t>Overall Rank</t>
        </is>
      </c>
      <c r="D25" s="7" t="inlineStr">
        <is>
          <t>Draft Score</t>
        </is>
      </c>
    </row>
    <row r="26">
      <c r="A26" t="inlineStr">
        <is>
          <t>QB</t>
        </is>
      </c>
      <c r="B26">
        <f>IFERROR(INDEX('Draft Engine'!$B$3:$B$232,MATCH(_xlfn.AGGREGATE(15,6,'Draft Engine'!$Q$3:$Q$34/('Draft Engine'!$Y$3:$Y$34="Available"),1),'Draft Engine'!$Q$3:$Q$232,0)),"None left")</f>
        <v/>
      </c>
      <c r="C26">
        <f>IFERROR(_xlfn.AGGREGATE(15,6,'Draft Engine'!$Q$3:$Q$34/('Draft Engine'!$Y$3:$Y$34="Available"),1),"")</f>
        <v/>
      </c>
      <c r="D26">
        <f>IFERROR(ROUND(INDEX('Draft Engine'!$N$3:$N$232,MATCH(_xlfn.AGGREGATE(15,6,'Draft Engine'!$Q$3:$Q$34/('Draft Engine'!$Y$3:$Y$34="Available"),1),'Draft Engine'!$Q$3:$Q$232,0)),1),"")</f>
        <v/>
      </c>
    </row>
    <row r="27">
      <c r="A27" t="inlineStr">
        <is>
          <t>RB</t>
        </is>
      </c>
      <c r="B27">
        <f>IFERROR(INDEX('Draft Engine'!$B$3:$B$232,MATCH(_xlfn.AGGREGATE(15,6,'Draft Engine'!$Q$35:$Q$86/('Draft Engine'!$Y$35:$Y$86="Available"),1),'Draft Engine'!$Q$3:$Q$232,0)),"None left")</f>
        <v/>
      </c>
      <c r="C27">
        <f>IFERROR(_xlfn.AGGREGATE(15,6,'Draft Engine'!$Q$35:$Q$86/('Draft Engine'!$Y$35:$Y$86="Available"),1),"")</f>
        <v/>
      </c>
      <c r="D27">
        <f>IFERROR(ROUND(INDEX('Draft Engine'!$N$3:$N$232,MATCH(_xlfn.AGGREGATE(15,6,'Draft Engine'!$Q$35:$Q$86/('Draft Engine'!$Y$35:$Y$86="Available"),1),'Draft Engine'!$Q$3:$Q$232,0)),1),"")</f>
        <v/>
      </c>
    </row>
    <row r="28">
      <c r="A28" t="inlineStr">
        <is>
          <t>WR</t>
        </is>
      </c>
      <c r="B28">
        <f>IFERROR(INDEX('Draft Engine'!$B$3:$B$232,MATCH(_xlfn.AGGREGATE(15,6,'Draft Engine'!$Q$87:$Q$160/('Draft Engine'!$Y$87:$Y$160="Available"),1),'Draft Engine'!$Q$3:$Q$232,0)),"None left")</f>
        <v/>
      </c>
      <c r="C28">
        <f>IFERROR(_xlfn.AGGREGATE(15,6,'Draft Engine'!$Q$87:$Q$160/('Draft Engine'!$Y$87:$Y$160="Available"),1),"")</f>
        <v/>
      </c>
      <c r="D28">
        <f>IFERROR(ROUND(INDEX('Draft Engine'!$N$3:$N$232,MATCH(_xlfn.AGGREGATE(15,6,'Draft Engine'!$Q$87:$Q$160/('Draft Engine'!$Y$87:$Y$160="Available"),1),'Draft Engine'!$Q$3:$Q$232,0)),1),"")</f>
        <v/>
      </c>
    </row>
    <row r="29">
      <c r="A29" t="inlineStr">
        <is>
          <t>TE</t>
        </is>
      </c>
      <c r="B29">
        <f>IFERROR(INDEX('Draft Engine'!$B$3:$B$232,MATCH(_xlfn.AGGREGATE(15,6,'Draft Engine'!$Q$161:$Q$188/('Draft Engine'!$Y$161:$Y$188="Available"),1),'Draft Engine'!$Q$3:$Q$232,0)),"None left")</f>
        <v/>
      </c>
      <c r="C29">
        <f>IFERROR(_xlfn.AGGREGATE(15,6,'Draft Engine'!$Q$161:$Q$188/('Draft Engine'!$Y$161:$Y$188="Available"),1),"")</f>
        <v/>
      </c>
      <c r="D29">
        <f>IFERROR(ROUND(INDEX('Draft Engine'!$N$3:$N$232,MATCH(_xlfn.AGGREGATE(15,6,'Draft Engine'!$Q$161:$Q$188/('Draft Engine'!$Y$161:$Y$188="Available"),1),'Draft Engine'!$Q$3:$Q$232,0)),1),"")</f>
        <v/>
      </c>
    </row>
    <row r="30">
      <c r="A30" t="inlineStr">
        <is>
          <t>K</t>
        </is>
      </c>
      <c r="B30">
        <f>IFERROR(INDEX('Draft Engine'!$B$3:$B$232,MATCH(_xlfn.AGGREGATE(15,6,'Draft Engine'!$Q$189:$Q$200/('Draft Engine'!$Y$189:$Y$200="Available"),1),'Draft Engine'!$Q$3:$Q$232,0)),"None left")</f>
        <v/>
      </c>
      <c r="C30">
        <f>IFERROR(_xlfn.AGGREGATE(15,6,'Draft Engine'!$Q$189:$Q$200/('Draft Engine'!$Y$189:$Y$200="Available"),1),"")</f>
        <v/>
      </c>
      <c r="D30">
        <f>IFERROR(ROUND(INDEX('Draft Engine'!$N$3:$N$232,MATCH(_xlfn.AGGREGATE(15,6,'Draft Engine'!$Q$189:$Q$200/('Draft Engine'!$Y$189:$Y$200="Available"),1),'Draft Engine'!$Q$3:$Q$232,0)),1),"")</f>
        <v/>
      </c>
    </row>
    <row r="31">
      <c r="A31" t="inlineStr">
        <is>
          <t>DST</t>
        </is>
      </c>
      <c r="B31">
        <f>IFERROR(INDEX('Draft Engine'!$B$3:$B$232,MATCH(_xlfn.AGGREGATE(15,6,'Draft Engine'!$Q$201:$Q$232/('Draft Engine'!$Y$201:$Y$232="Available"),1),'Draft Engine'!$Q$3:$Q$232,0)),"None left")</f>
        <v/>
      </c>
      <c r="C31">
        <f>IFERROR(_xlfn.AGGREGATE(15,6,'Draft Engine'!$Q$201:$Q$232/('Draft Engine'!$Y$201:$Y$232="Available"),1),"")</f>
        <v/>
      </c>
      <c r="D31">
        <f>IFERROR(ROUND(INDEX('Draft Engine'!$N$3:$N$232,MATCH(_xlfn.AGGREGATE(15,6,'Draft Engine'!$Q$201:$Q$232/('Draft Engine'!$Y$201:$Y$232="Available"),1),'Draft Engine'!$Q$3:$Q$232,0)),1),"")</f>
        <v/>
      </c>
    </row>
    <row r="34">
      <c r="A34" s="10" t="inlineStr">
        <is>
          <t>My Roster (marked My Pick on the Draft Board)</t>
        </is>
      </c>
    </row>
    <row r="35">
      <c r="A35" s="7" t="inlineStr">
        <is>
          <t>Pos</t>
        </is>
      </c>
      <c r="B35" s="7" t="inlineStr">
        <is>
          <t>Count</t>
        </is>
      </c>
    </row>
    <row r="36">
      <c r="A36" t="inlineStr">
        <is>
          <t>QB</t>
        </is>
      </c>
      <c r="B36">
        <f>COUNTIFS('Draft Engine'!$A$3:$A$232,"QB",'Draft Engine'!$Y$3:$Y$232,"My Pick")</f>
        <v/>
      </c>
    </row>
    <row r="37">
      <c r="A37" t="inlineStr">
        <is>
          <t>RB</t>
        </is>
      </c>
      <c r="B37">
        <f>COUNTIFS('Draft Engine'!$A$3:$A$232,"RB",'Draft Engine'!$Y$3:$Y$232,"My Pick")</f>
        <v/>
      </c>
    </row>
    <row r="38">
      <c r="A38" t="inlineStr">
        <is>
          <t>WR</t>
        </is>
      </c>
      <c r="B38">
        <f>COUNTIFS('Draft Engine'!$A$3:$A$232,"WR",'Draft Engine'!$Y$3:$Y$232,"My Pick")</f>
        <v/>
      </c>
    </row>
    <row r="39">
      <c r="A39" t="inlineStr">
        <is>
          <t>TE</t>
        </is>
      </c>
      <c r="B39">
        <f>COUNTIFS('Draft Engine'!$A$3:$A$232,"TE",'Draft Engine'!$Y$3:$Y$232,"My Pick")</f>
        <v/>
      </c>
    </row>
    <row r="40">
      <c r="A40" t="inlineStr">
        <is>
          <t>K</t>
        </is>
      </c>
      <c r="B40">
        <f>COUNTIFS('Draft Engine'!$A$3:$A$232,"K",'Draft Engine'!$Y$3:$Y$232,"My Pick")</f>
        <v/>
      </c>
    </row>
    <row r="41">
      <c r="A41" t="inlineStr">
        <is>
          <t>DST</t>
        </is>
      </c>
      <c r="B41">
        <f>COUNTIFS('Draft Engine'!$A$3:$A$232,"DST",'Draft Engine'!$Y$3:$Y$232,"My Pick")</f>
        <v/>
      </c>
    </row>
    <row r="42">
      <c r="A42" t="inlineStr">
        <is>
          <t>Total</t>
        </is>
      </c>
      <c r="B42">
        <f>COUNTIF('Draft Engine'!$Y$3:$Y$232,"My Pick")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FC000"/>
    <outlinePr summaryBelow="1" summaryRight="1"/>
    <pageSetUpPr/>
  </sheetPr>
  <dimension ref="A1:M2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8" customWidth="1" min="3" max="3"/>
    <col width="22" customWidth="1" min="4" max="4"/>
    <col width="10" customWidth="1" min="5" max="5"/>
    <col width="55" customWidth="1" min="6" max="6"/>
    <col width="65" customWidth="1" min="7" max="7"/>
    <col width="55" customWidth="1" min="8" max="8"/>
    <col width="10" customWidth="1" min="9" max="9"/>
    <col width="9" customWidth="1" min="10" max="10"/>
    <col width="10" customWidth="1" min="11" max="11"/>
    <col width="22" customWidth="1" min="12" max="12"/>
    <col width="6" customWidth="1" min="13" max="13"/>
  </cols>
  <sheetData>
    <row r="1">
      <c r="A1" s="1" t="inlineStr">
        <is>
          <t>2026 Expectations: what we expect, why, and the risk. Ranks are live.</t>
        </is>
      </c>
    </row>
    <row r="2" ht="28" customHeight="1">
      <c r="A2" s="3" t="inlineStr">
        <is>
          <t>Overall</t>
        </is>
      </c>
      <c r="B2" s="3" t="inlineStr">
        <is>
          <t>Pos</t>
        </is>
      </c>
      <c r="C2" s="3" t="inlineStr">
        <is>
          <t>Pos Rank</t>
        </is>
      </c>
      <c r="D2" s="3" t="inlineStr">
        <is>
          <t>Player / Defense</t>
        </is>
      </c>
      <c r="E2" s="3" t="inlineStr">
        <is>
          <t>Adj Rating</t>
        </is>
      </c>
      <c r="F2" s="3" t="inlineStr">
        <is>
          <t>2026 Expectation</t>
        </is>
      </c>
      <c r="G2" s="3" t="inlineStr">
        <is>
          <t>Why We Rank Him Here</t>
        </is>
      </c>
      <c r="H2" s="3" t="inlineStr">
        <is>
          <t>Main Risk / What Changes It</t>
        </is>
      </c>
      <c r="I2" s="3" t="inlineStr">
        <is>
          <t>Market ADP</t>
        </is>
      </c>
      <c r="J2" s="3" t="inlineStr">
        <is>
          <t>Draft Edge</t>
        </is>
      </c>
      <c r="K2" s="3" t="inlineStr">
        <is>
          <t>Confidence</t>
        </is>
      </c>
      <c r="L2" s="3" t="inlineStr">
        <is>
          <t>Model Path</t>
        </is>
      </c>
      <c r="M2" s="3" t="inlineStr">
        <is>
          <t>Src</t>
        </is>
      </c>
    </row>
    <row r="3">
      <c r="A3">
        <f>1</f>
        <v/>
      </c>
      <c r="B3">
        <f>INDEX('Draft Engine'!$A$3:$A$232,$M3)</f>
        <v/>
      </c>
      <c r="C3">
        <f>INDEX('Draft Engine'!$F$3:$F$232,$M3)</f>
        <v/>
      </c>
      <c r="D3">
        <f>INDEX('Draft Engine'!$B$3:$B$232,$M3)</f>
        <v/>
      </c>
      <c r="E3" s="4">
        <f>INDEX('Draft Engine'!$E$3:$E$232,$M3)</f>
        <v/>
      </c>
      <c r="F3">
        <f>INDEX('LIVE SOURCE'!$H$3:$H$232,$M3)</f>
        <v/>
      </c>
      <c r="G3">
        <f>INDEX('LIVE SOURCE'!$I$3:$I$232,$M3)</f>
        <v/>
      </c>
      <c r="H3">
        <f>INDEX('LIVE SOURCE'!$J$3:$J$232,$M3)</f>
        <v/>
      </c>
      <c r="I3">
        <f>INDEX('Draft Engine'!$R$3:$R$232,$M3)</f>
        <v/>
      </c>
      <c r="J3">
        <f>INDEX('Draft Engine'!$S$3:$S$232,$M3)</f>
        <v/>
      </c>
      <c r="K3">
        <f>INDEX('Draft Engine'!$T$3:$T$232,$M3)</f>
        <v/>
      </c>
      <c r="L3">
        <f>INDEX('Draft Engine'!$X$3:$X$232,$M3)</f>
        <v/>
      </c>
      <c r="M3" s="6">
        <f>MATCH($A3,'Draft Engine'!$Q$3:$Q$232,0)</f>
        <v/>
      </c>
    </row>
    <row r="4">
      <c r="A4">
        <f>2</f>
        <v/>
      </c>
      <c r="B4">
        <f>INDEX('Draft Engine'!$A$3:$A$232,$M4)</f>
        <v/>
      </c>
      <c r="C4">
        <f>INDEX('Draft Engine'!$F$3:$F$232,$M4)</f>
        <v/>
      </c>
      <c r="D4">
        <f>INDEX('Draft Engine'!$B$3:$B$232,$M4)</f>
        <v/>
      </c>
      <c r="E4" s="4">
        <f>INDEX('Draft Engine'!$E$3:$E$232,$M4)</f>
        <v/>
      </c>
      <c r="F4">
        <f>INDEX('LIVE SOURCE'!$H$3:$H$232,$M4)</f>
        <v/>
      </c>
      <c r="G4">
        <f>INDEX('LIVE SOURCE'!$I$3:$I$232,$M4)</f>
        <v/>
      </c>
      <c r="H4">
        <f>INDEX('LIVE SOURCE'!$J$3:$J$232,$M4)</f>
        <v/>
      </c>
      <c r="I4">
        <f>INDEX('Draft Engine'!$R$3:$R$232,$M4)</f>
        <v/>
      </c>
      <c r="J4">
        <f>INDEX('Draft Engine'!$S$3:$S$232,$M4)</f>
        <v/>
      </c>
      <c r="K4">
        <f>INDEX('Draft Engine'!$T$3:$T$232,$M4)</f>
        <v/>
      </c>
      <c r="L4">
        <f>INDEX('Draft Engine'!$X$3:$X$232,$M4)</f>
        <v/>
      </c>
      <c r="M4" s="6">
        <f>MATCH($A4,'Draft Engine'!$Q$3:$Q$232,0)</f>
        <v/>
      </c>
    </row>
    <row r="5">
      <c r="A5">
        <f>3</f>
        <v/>
      </c>
      <c r="B5">
        <f>INDEX('Draft Engine'!$A$3:$A$232,$M5)</f>
        <v/>
      </c>
      <c r="C5">
        <f>INDEX('Draft Engine'!$F$3:$F$232,$M5)</f>
        <v/>
      </c>
      <c r="D5">
        <f>INDEX('Draft Engine'!$B$3:$B$232,$M5)</f>
        <v/>
      </c>
      <c r="E5" s="4">
        <f>INDEX('Draft Engine'!$E$3:$E$232,$M5)</f>
        <v/>
      </c>
      <c r="F5">
        <f>INDEX('LIVE SOURCE'!$H$3:$H$232,$M5)</f>
        <v/>
      </c>
      <c r="G5">
        <f>INDEX('LIVE SOURCE'!$I$3:$I$232,$M5)</f>
        <v/>
      </c>
      <c r="H5">
        <f>INDEX('LIVE SOURCE'!$J$3:$J$232,$M5)</f>
        <v/>
      </c>
      <c r="I5">
        <f>INDEX('Draft Engine'!$R$3:$R$232,$M5)</f>
        <v/>
      </c>
      <c r="J5">
        <f>INDEX('Draft Engine'!$S$3:$S$232,$M5)</f>
        <v/>
      </c>
      <c r="K5">
        <f>INDEX('Draft Engine'!$T$3:$T$232,$M5)</f>
        <v/>
      </c>
      <c r="L5">
        <f>INDEX('Draft Engine'!$X$3:$X$232,$M5)</f>
        <v/>
      </c>
      <c r="M5" s="6">
        <f>MATCH($A5,'Draft Engine'!$Q$3:$Q$232,0)</f>
        <v/>
      </c>
    </row>
    <row r="6">
      <c r="A6">
        <f>4</f>
        <v/>
      </c>
      <c r="B6">
        <f>INDEX('Draft Engine'!$A$3:$A$232,$M6)</f>
        <v/>
      </c>
      <c r="C6">
        <f>INDEX('Draft Engine'!$F$3:$F$232,$M6)</f>
        <v/>
      </c>
      <c r="D6">
        <f>INDEX('Draft Engine'!$B$3:$B$232,$M6)</f>
        <v/>
      </c>
      <c r="E6" s="4">
        <f>INDEX('Draft Engine'!$E$3:$E$232,$M6)</f>
        <v/>
      </c>
      <c r="F6">
        <f>INDEX('LIVE SOURCE'!$H$3:$H$232,$M6)</f>
        <v/>
      </c>
      <c r="G6">
        <f>INDEX('LIVE SOURCE'!$I$3:$I$232,$M6)</f>
        <v/>
      </c>
      <c r="H6">
        <f>INDEX('LIVE SOURCE'!$J$3:$J$232,$M6)</f>
        <v/>
      </c>
      <c r="I6">
        <f>INDEX('Draft Engine'!$R$3:$R$232,$M6)</f>
        <v/>
      </c>
      <c r="J6">
        <f>INDEX('Draft Engine'!$S$3:$S$232,$M6)</f>
        <v/>
      </c>
      <c r="K6">
        <f>INDEX('Draft Engine'!$T$3:$T$232,$M6)</f>
        <v/>
      </c>
      <c r="L6">
        <f>INDEX('Draft Engine'!$X$3:$X$232,$M6)</f>
        <v/>
      </c>
      <c r="M6" s="6">
        <f>MATCH($A6,'Draft Engine'!$Q$3:$Q$232,0)</f>
        <v/>
      </c>
    </row>
    <row r="7">
      <c r="A7">
        <f>5</f>
        <v/>
      </c>
      <c r="B7">
        <f>INDEX('Draft Engine'!$A$3:$A$232,$M7)</f>
        <v/>
      </c>
      <c r="C7">
        <f>INDEX('Draft Engine'!$F$3:$F$232,$M7)</f>
        <v/>
      </c>
      <c r="D7">
        <f>INDEX('Draft Engine'!$B$3:$B$232,$M7)</f>
        <v/>
      </c>
      <c r="E7" s="4">
        <f>INDEX('Draft Engine'!$E$3:$E$232,$M7)</f>
        <v/>
      </c>
      <c r="F7">
        <f>INDEX('LIVE SOURCE'!$H$3:$H$232,$M7)</f>
        <v/>
      </c>
      <c r="G7">
        <f>INDEX('LIVE SOURCE'!$I$3:$I$232,$M7)</f>
        <v/>
      </c>
      <c r="H7">
        <f>INDEX('LIVE SOURCE'!$J$3:$J$232,$M7)</f>
        <v/>
      </c>
      <c r="I7">
        <f>INDEX('Draft Engine'!$R$3:$R$232,$M7)</f>
        <v/>
      </c>
      <c r="J7">
        <f>INDEX('Draft Engine'!$S$3:$S$232,$M7)</f>
        <v/>
      </c>
      <c r="K7">
        <f>INDEX('Draft Engine'!$T$3:$T$232,$M7)</f>
        <v/>
      </c>
      <c r="L7">
        <f>INDEX('Draft Engine'!$X$3:$X$232,$M7)</f>
        <v/>
      </c>
      <c r="M7" s="6">
        <f>MATCH($A7,'Draft Engine'!$Q$3:$Q$232,0)</f>
        <v/>
      </c>
    </row>
    <row r="8">
      <c r="A8">
        <f>6</f>
        <v/>
      </c>
      <c r="B8">
        <f>INDEX('Draft Engine'!$A$3:$A$232,$M8)</f>
        <v/>
      </c>
      <c r="C8">
        <f>INDEX('Draft Engine'!$F$3:$F$232,$M8)</f>
        <v/>
      </c>
      <c r="D8">
        <f>INDEX('Draft Engine'!$B$3:$B$232,$M8)</f>
        <v/>
      </c>
      <c r="E8" s="4">
        <f>INDEX('Draft Engine'!$E$3:$E$232,$M8)</f>
        <v/>
      </c>
      <c r="F8">
        <f>INDEX('LIVE SOURCE'!$H$3:$H$232,$M8)</f>
        <v/>
      </c>
      <c r="G8">
        <f>INDEX('LIVE SOURCE'!$I$3:$I$232,$M8)</f>
        <v/>
      </c>
      <c r="H8">
        <f>INDEX('LIVE SOURCE'!$J$3:$J$232,$M8)</f>
        <v/>
      </c>
      <c r="I8">
        <f>INDEX('Draft Engine'!$R$3:$R$232,$M8)</f>
        <v/>
      </c>
      <c r="J8">
        <f>INDEX('Draft Engine'!$S$3:$S$232,$M8)</f>
        <v/>
      </c>
      <c r="K8">
        <f>INDEX('Draft Engine'!$T$3:$T$232,$M8)</f>
        <v/>
      </c>
      <c r="L8">
        <f>INDEX('Draft Engine'!$X$3:$X$232,$M8)</f>
        <v/>
      </c>
      <c r="M8" s="6">
        <f>MATCH($A8,'Draft Engine'!$Q$3:$Q$232,0)</f>
        <v/>
      </c>
    </row>
    <row r="9">
      <c r="A9">
        <f>7</f>
        <v/>
      </c>
      <c r="B9">
        <f>INDEX('Draft Engine'!$A$3:$A$232,$M9)</f>
        <v/>
      </c>
      <c r="C9">
        <f>INDEX('Draft Engine'!$F$3:$F$232,$M9)</f>
        <v/>
      </c>
      <c r="D9">
        <f>INDEX('Draft Engine'!$B$3:$B$232,$M9)</f>
        <v/>
      </c>
      <c r="E9" s="4">
        <f>INDEX('Draft Engine'!$E$3:$E$232,$M9)</f>
        <v/>
      </c>
      <c r="F9">
        <f>INDEX('LIVE SOURCE'!$H$3:$H$232,$M9)</f>
        <v/>
      </c>
      <c r="G9">
        <f>INDEX('LIVE SOURCE'!$I$3:$I$232,$M9)</f>
        <v/>
      </c>
      <c r="H9">
        <f>INDEX('LIVE SOURCE'!$J$3:$J$232,$M9)</f>
        <v/>
      </c>
      <c r="I9">
        <f>INDEX('Draft Engine'!$R$3:$R$232,$M9)</f>
        <v/>
      </c>
      <c r="J9">
        <f>INDEX('Draft Engine'!$S$3:$S$232,$M9)</f>
        <v/>
      </c>
      <c r="K9">
        <f>INDEX('Draft Engine'!$T$3:$T$232,$M9)</f>
        <v/>
      </c>
      <c r="L9">
        <f>INDEX('Draft Engine'!$X$3:$X$232,$M9)</f>
        <v/>
      </c>
      <c r="M9" s="6">
        <f>MATCH($A9,'Draft Engine'!$Q$3:$Q$232,0)</f>
        <v/>
      </c>
    </row>
    <row r="10">
      <c r="A10">
        <f>8</f>
        <v/>
      </c>
      <c r="B10">
        <f>INDEX('Draft Engine'!$A$3:$A$232,$M10)</f>
        <v/>
      </c>
      <c r="C10">
        <f>INDEX('Draft Engine'!$F$3:$F$232,$M10)</f>
        <v/>
      </c>
      <c r="D10">
        <f>INDEX('Draft Engine'!$B$3:$B$232,$M10)</f>
        <v/>
      </c>
      <c r="E10" s="4">
        <f>INDEX('Draft Engine'!$E$3:$E$232,$M10)</f>
        <v/>
      </c>
      <c r="F10">
        <f>INDEX('LIVE SOURCE'!$H$3:$H$232,$M10)</f>
        <v/>
      </c>
      <c r="G10">
        <f>INDEX('LIVE SOURCE'!$I$3:$I$232,$M10)</f>
        <v/>
      </c>
      <c r="H10">
        <f>INDEX('LIVE SOURCE'!$J$3:$J$232,$M10)</f>
        <v/>
      </c>
      <c r="I10">
        <f>INDEX('Draft Engine'!$R$3:$R$232,$M10)</f>
        <v/>
      </c>
      <c r="J10">
        <f>INDEX('Draft Engine'!$S$3:$S$232,$M10)</f>
        <v/>
      </c>
      <c r="K10">
        <f>INDEX('Draft Engine'!$T$3:$T$232,$M10)</f>
        <v/>
      </c>
      <c r="L10">
        <f>INDEX('Draft Engine'!$X$3:$X$232,$M10)</f>
        <v/>
      </c>
      <c r="M10" s="6">
        <f>MATCH($A10,'Draft Engine'!$Q$3:$Q$232,0)</f>
        <v/>
      </c>
    </row>
    <row r="11">
      <c r="A11">
        <f>9</f>
        <v/>
      </c>
      <c r="B11">
        <f>INDEX('Draft Engine'!$A$3:$A$232,$M11)</f>
        <v/>
      </c>
      <c r="C11">
        <f>INDEX('Draft Engine'!$F$3:$F$232,$M11)</f>
        <v/>
      </c>
      <c r="D11">
        <f>INDEX('Draft Engine'!$B$3:$B$232,$M11)</f>
        <v/>
      </c>
      <c r="E11" s="4">
        <f>INDEX('Draft Engine'!$E$3:$E$232,$M11)</f>
        <v/>
      </c>
      <c r="F11">
        <f>INDEX('LIVE SOURCE'!$H$3:$H$232,$M11)</f>
        <v/>
      </c>
      <c r="G11">
        <f>INDEX('LIVE SOURCE'!$I$3:$I$232,$M11)</f>
        <v/>
      </c>
      <c r="H11">
        <f>INDEX('LIVE SOURCE'!$J$3:$J$232,$M11)</f>
        <v/>
      </c>
      <c r="I11">
        <f>INDEX('Draft Engine'!$R$3:$R$232,$M11)</f>
        <v/>
      </c>
      <c r="J11">
        <f>INDEX('Draft Engine'!$S$3:$S$232,$M11)</f>
        <v/>
      </c>
      <c r="K11">
        <f>INDEX('Draft Engine'!$T$3:$T$232,$M11)</f>
        <v/>
      </c>
      <c r="L11">
        <f>INDEX('Draft Engine'!$X$3:$X$232,$M11)</f>
        <v/>
      </c>
      <c r="M11" s="6">
        <f>MATCH($A11,'Draft Engine'!$Q$3:$Q$232,0)</f>
        <v/>
      </c>
    </row>
    <row r="12">
      <c r="A12">
        <f>10</f>
        <v/>
      </c>
      <c r="B12">
        <f>INDEX('Draft Engine'!$A$3:$A$232,$M12)</f>
        <v/>
      </c>
      <c r="C12">
        <f>INDEX('Draft Engine'!$F$3:$F$232,$M12)</f>
        <v/>
      </c>
      <c r="D12">
        <f>INDEX('Draft Engine'!$B$3:$B$232,$M12)</f>
        <v/>
      </c>
      <c r="E12" s="4">
        <f>INDEX('Draft Engine'!$E$3:$E$232,$M12)</f>
        <v/>
      </c>
      <c r="F12">
        <f>INDEX('LIVE SOURCE'!$H$3:$H$232,$M12)</f>
        <v/>
      </c>
      <c r="G12">
        <f>INDEX('LIVE SOURCE'!$I$3:$I$232,$M12)</f>
        <v/>
      </c>
      <c r="H12">
        <f>INDEX('LIVE SOURCE'!$J$3:$J$232,$M12)</f>
        <v/>
      </c>
      <c r="I12">
        <f>INDEX('Draft Engine'!$R$3:$R$232,$M12)</f>
        <v/>
      </c>
      <c r="J12">
        <f>INDEX('Draft Engine'!$S$3:$S$232,$M12)</f>
        <v/>
      </c>
      <c r="K12">
        <f>INDEX('Draft Engine'!$T$3:$T$232,$M12)</f>
        <v/>
      </c>
      <c r="L12">
        <f>INDEX('Draft Engine'!$X$3:$X$232,$M12)</f>
        <v/>
      </c>
      <c r="M12" s="6">
        <f>MATCH($A12,'Draft Engine'!$Q$3:$Q$232,0)</f>
        <v/>
      </c>
    </row>
    <row r="13">
      <c r="A13">
        <f>11</f>
        <v/>
      </c>
      <c r="B13">
        <f>INDEX('Draft Engine'!$A$3:$A$232,$M13)</f>
        <v/>
      </c>
      <c r="C13">
        <f>INDEX('Draft Engine'!$F$3:$F$232,$M13)</f>
        <v/>
      </c>
      <c r="D13">
        <f>INDEX('Draft Engine'!$B$3:$B$232,$M13)</f>
        <v/>
      </c>
      <c r="E13" s="4">
        <f>INDEX('Draft Engine'!$E$3:$E$232,$M13)</f>
        <v/>
      </c>
      <c r="F13">
        <f>INDEX('LIVE SOURCE'!$H$3:$H$232,$M13)</f>
        <v/>
      </c>
      <c r="G13">
        <f>INDEX('LIVE SOURCE'!$I$3:$I$232,$M13)</f>
        <v/>
      </c>
      <c r="H13">
        <f>INDEX('LIVE SOURCE'!$J$3:$J$232,$M13)</f>
        <v/>
      </c>
      <c r="I13">
        <f>INDEX('Draft Engine'!$R$3:$R$232,$M13)</f>
        <v/>
      </c>
      <c r="J13">
        <f>INDEX('Draft Engine'!$S$3:$S$232,$M13)</f>
        <v/>
      </c>
      <c r="K13">
        <f>INDEX('Draft Engine'!$T$3:$T$232,$M13)</f>
        <v/>
      </c>
      <c r="L13">
        <f>INDEX('Draft Engine'!$X$3:$X$232,$M13)</f>
        <v/>
      </c>
      <c r="M13" s="6">
        <f>MATCH($A13,'Draft Engine'!$Q$3:$Q$232,0)</f>
        <v/>
      </c>
    </row>
    <row r="14">
      <c r="A14">
        <f>12</f>
        <v/>
      </c>
      <c r="B14">
        <f>INDEX('Draft Engine'!$A$3:$A$232,$M14)</f>
        <v/>
      </c>
      <c r="C14">
        <f>INDEX('Draft Engine'!$F$3:$F$232,$M14)</f>
        <v/>
      </c>
      <c r="D14">
        <f>INDEX('Draft Engine'!$B$3:$B$232,$M14)</f>
        <v/>
      </c>
      <c r="E14" s="4">
        <f>INDEX('Draft Engine'!$E$3:$E$232,$M14)</f>
        <v/>
      </c>
      <c r="F14">
        <f>INDEX('LIVE SOURCE'!$H$3:$H$232,$M14)</f>
        <v/>
      </c>
      <c r="G14">
        <f>INDEX('LIVE SOURCE'!$I$3:$I$232,$M14)</f>
        <v/>
      </c>
      <c r="H14">
        <f>INDEX('LIVE SOURCE'!$J$3:$J$232,$M14)</f>
        <v/>
      </c>
      <c r="I14">
        <f>INDEX('Draft Engine'!$R$3:$R$232,$M14)</f>
        <v/>
      </c>
      <c r="J14">
        <f>INDEX('Draft Engine'!$S$3:$S$232,$M14)</f>
        <v/>
      </c>
      <c r="K14">
        <f>INDEX('Draft Engine'!$T$3:$T$232,$M14)</f>
        <v/>
      </c>
      <c r="L14">
        <f>INDEX('Draft Engine'!$X$3:$X$232,$M14)</f>
        <v/>
      </c>
      <c r="M14" s="6">
        <f>MATCH($A14,'Draft Engine'!$Q$3:$Q$232,0)</f>
        <v/>
      </c>
    </row>
    <row r="15">
      <c r="A15">
        <f>13</f>
        <v/>
      </c>
      <c r="B15">
        <f>INDEX('Draft Engine'!$A$3:$A$232,$M15)</f>
        <v/>
      </c>
      <c r="C15">
        <f>INDEX('Draft Engine'!$F$3:$F$232,$M15)</f>
        <v/>
      </c>
      <c r="D15">
        <f>INDEX('Draft Engine'!$B$3:$B$232,$M15)</f>
        <v/>
      </c>
      <c r="E15" s="4">
        <f>INDEX('Draft Engine'!$E$3:$E$232,$M15)</f>
        <v/>
      </c>
      <c r="F15">
        <f>INDEX('LIVE SOURCE'!$H$3:$H$232,$M15)</f>
        <v/>
      </c>
      <c r="G15">
        <f>INDEX('LIVE SOURCE'!$I$3:$I$232,$M15)</f>
        <v/>
      </c>
      <c r="H15">
        <f>INDEX('LIVE SOURCE'!$J$3:$J$232,$M15)</f>
        <v/>
      </c>
      <c r="I15">
        <f>INDEX('Draft Engine'!$R$3:$R$232,$M15)</f>
        <v/>
      </c>
      <c r="J15">
        <f>INDEX('Draft Engine'!$S$3:$S$232,$M15)</f>
        <v/>
      </c>
      <c r="K15">
        <f>INDEX('Draft Engine'!$T$3:$T$232,$M15)</f>
        <v/>
      </c>
      <c r="L15">
        <f>INDEX('Draft Engine'!$X$3:$X$232,$M15)</f>
        <v/>
      </c>
      <c r="M15" s="6">
        <f>MATCH($A15,'Draft Engine'!$Q$3:$Q$232,0)</f>
        <v/>
      </c>
    </row>
    <row r="16">
      <c r="A16">
        <f>14</f>
        <v/>
      </c>
      <c r="B16">
        <f>INDEX('Draft Engine'!$A$3:$A$232,$M16)</f>
        <v/>
      </c>
      <c r="C16">
        <f>INDEX('Draft Engine'!$F$3:$F$232,$M16)</f>
        <v/>
      </c>
      <c r="D16">
        <f>INDEX('Draft Engine'!$B$3:$B$232,$M16)</f>
        <v/>
      </c>
      <c r="E16" s="4">
        <f>INDEX('Draft Engine'!$E$3:$E$232,$M16)</f>
        <v/>
      </c>
      <c r="F16">
        <f>INDEX('LIVE SOURCE'!$H$3:$H$232,$M16)</f>
        <v/>
      </c>
      <c r="G16">
        <f>INDEX('LIVE SOURCE'!$I$3:$I$232,$M16)</f>
        <v/>
      </c>
      <c r="H16">
        <f>INDEX('LIVE SOURCE'!$J$3:$J$232,$M16)</f>
        <v/>
      </c>
      <c r="I16">
        <f>INDEX('Draft Engine'!$R$3:$R$232,$M16)</f>
        <v/>
      </c>
      <c r="J16">
        <f>INDEX('Draft Engine'!$S$3:$S$232,$M16)</f>
        <v/>
      </c>
      <c r="K16">
        <f>INDEX('Draft Engine'!$T$3:$T$232,$M16)</f>
        <v/>
      </c>
      <c r="L16">
        <f>INDEX('Draft Engine'!$X$3:$X$232,$M16)</f>
        <v/>
      </c>
      <c r="M16" s="6">
        <f>MATCH($A16,'Draft Engine'!$Q$3:$Q$232,0)</f>
        <v/>
      </c>
    </row>
    <row r="17">
      <c r="A17">
        <f>15</f>
        <v/>
      </c>
      <c r="B17">
        <f>INDEX('Draft Engine'!$A$3:$A$232,$M17)</f>
        <v/>
      </c>
      <c r="C17">
        <f>INDEX('Draft Engine'!$F$3:$F$232,$M17)</f>
        <v/>
      </c>
      <c r="D17">
        <f>INDEX('Draft Engine'!$B$3:$B$232,$M17)</f>
        <v/>
      </c>
      <c r="E17" s="4">
        <f>INDEX('Draft Engine'!$E$3:$E$232,$M17)</f>
        <v/>
      </c>
      <c r="F17">
        <f>INDEX('LIVE SOURCE'!$H$3:$H$232,$M17)</f>
        <v/>
      </c>
      <c r="G17">
        <f>INDEX('LIVE SOURCE'!$I$3:$I$232,$M17)</f>
        <v/>
      </c>
      <c r="H17">
        <f>INDEX('LIVE SOURCE'!$J$3:$J$232,$M17)</f>
        <v/>
      </c>
      <c r="I17">
        <f>INDEX('Draft Engine'!$R$3:$R$232,$M17)</f>
        <v/>
      </c>
      <c r="J17">
        <f>INDEX('Draft Engine'!$S$3:$S$232,$M17)</f>
        <v/>
      </c>
      <c r="K17">
        <f>INDEX('Draft Engine'!$T$3:$T$232,$M17)</f>
        <v/>
      </c>
      <c r="L17">
        <f>INDEX('Draft Engine'!$X$3:$X$232,$M17)</f>
        <v/>
      </c>
      <c r="M17" s="6">
        <f>MATCH($A17,'Draft Engine'!$Q$3:$Q$232,0)</f>
        <v/>
      </c>
    </row>
    <row r="18">
      <c r="A18">
        <f>16</f>
        <v/>
      </c>
      <c r="B18">
        <f>INDEX('Draft Engine'!$A$3:$A$232,$M18)</f>
        <v/>
      </c>
      <c r="C18">
        <f>INDEX('Draft Engine'!$F$3:$F$232,$M18)</f>
        <v/>
      </c>
      <c r="D18">
        <f>INDEX('Draft Engine'!$B$3:$B$232,$M18)</f>
        <v/>
      </c>
      <c r="E18" s="4">
        <f>INDEX('Draft Engine'!$E$3:$E$232,$M18)</f>
        <v/>
      </c>
      <c r="F18">
        <f>INDEX('LIVE SOURCE'!$H$3:$H$232,$M18)</f>
        <v/>
      </c>
      <c r="G18">
        <f>INDEX('LIVE SOURCE'!$I$3:$I$232,$M18)</f>
        <v/>
      </c>
      <c r="H18">
        <f>INDEX('LIVE SOURCE'!$J$3:$J$232,$M18)</f>
        <v/>
      </c>
      <c r="I18">
        <f>INDEX('Draft Engine'!$R$3:$R$232,$M18)</f>
        <v/>
      </c>
      <c r="J18">
        <f>INDEX('Draft Engine'!$S$3:$S$232,$M18)</f>
        <v/>
      </c>
      <c r="K18">
        <f>INDEX('Draft Engine'!$T$3:$T$232,$M18)</f>
        <v/>
      </c>
      <c r="L18">
        <f>INDEX('Draft Engine'!$X$3:$X$232,$M18)</f>
        <v/>
      </c>
      <c r="M18" s="6">
        <f>MATCH($A18,'Draft Engine'!$Q$3:$Q$232,0)</f>
        <v/>
      </c>
    </row>
    <row r="19">
      <c r="A19">
        <f>17</f>
        <v/>
      </c>
      <c r="B19">
        <f>INDEX('Draft Engine'!$A$3:$A$232,$M19)</f>
        <v/>
      </c>
      <c r="C19">
        <f>INDEX('Draft Engine'!$F$3:$F$232,$M19)</f>
        <v/>
      </c>
      <c r="D19">
        <f>INDEX('Draft Engine'!$B$3:$B$232,$M19)</f>
        <v/>
      </c>
      <c r="E19" s="4">
        <f>INDEX('Draft Engine'!$E$3:$E$232,$M19)</f>
        <v/>
      </c>
      <c r="F19">
        <f>INDEX('LIVE SOURCE'!$H$3:$H$232,$M19)</f>
        <v/>
      </c>
      <c r="G19">
        <f>INDEX('LIVE SOURCE'!$I$3:$I$232,$M19)</f>
        <v/>
      </c>
      <c r="H19">
        <f>INDEX('LIVE SOURCE'!$J$3:$J$232,$M19)</f>
        <v/>
      </c>
      <c r="I19">
        <f>INDEX('Draft Engine'!$R$3:$R$232,$M19)</f>
        <v/>
      </c>
      <c r="J19">
        <f>INDEX('Draft Engine'!$S$3:$S$232,$M19)</f>
        <v/>
      </c>
      <c r="K19">
        <f>INDEX('Draft Engine'!$T$3:$T$232,$M19)</f>
        <v/>
      </c>
      <c r="L19">
        <f>INDEX('Draft Engine'!$X$3:$X$232,$M19)</f>
        <v/>
      </c>
      <c r="M19" s="6">
        <f>MATCH($A19,'Draft Engine'!$Q$3:$Q$232,0)</f>
        <v/>
      </c>
    </row>
    <row r="20">
      <c r="A20">
        <f>18</f>
        <v/>
      </c>
      <c r="B20">
        <f>INDEX('Draft Engine'!$A$3:$A$232,$M20)</f>
        <v/>
      </c>
      <c r="C20">
        <f>INDEX('Draft Engine'!$F$3:$F$232,$M20)</f>
        <v/>
      </c>
      <c r="D20">
        <f>INDEX('Draft Engine'!$B$3:$B$232,$M20)</f>
        <v/>
      </c>
      <c r="E20" s="4">
        <f>INDEX('Draft Engine'!$E$3:$E$232,$M20)</f>
        <v/>
      </c>
      <c r="F20">
        <f>INDEX('LIVE SOURCE'!$H$3:$H$232,$M20)</f>
        <v/>
      </c>
      <c r="G20">
        <f>INDEX('LIVE SOURCE'!$I$3:$I$232,$M20)</f>
        <v/>
      </c>
      <c r="H20">
        <f>INDEX('LIVE SOURCE'!$J$3:$J$232,$M20)</f>
        <v/>
      </c>
      <c r="I20">
        <f>INDEX('Draft Engine'!$R$3:$R$232,$M20)</f>
        <v/>
      </c>
      <c r="J20">
        <f>INDEX('Draft Engine'!$S$3:$S$232,$M20)</f>
        <v/>
      </c>
      <c r="K20">
        <f>INDEX('Draft Engine'!$T$3:$T$232,$M20)</f>
        <v/>
      </c>
      <c r="L20">
        <f>INDEX('Draft Engine'!$X$3:$X$232,$M20)</f>
        <v/>
      </c>
      <c r="M20" s="6">
        <f>MATCH($A20,'Draft Engine'!$Q$3:$Q$232,0)</f>
        <v/>
      </c>
    </row>
    <row r="21">
      <c r="A21">
        <f>19</f>
        <v/>
      </c>
      <c r="B21">
        <f>INDEX('Draft Engine'!$A$3:$A$232,$M21)</f>
        <v/>
      </c>
      <c r="C21">
        <f>INDEX('Draft Engine'!$F$3:$F$232,$M21)</f>
        <v/>
      </c>
      <c r="D21">
        <f>INDEX('Draft Engine'!$B$3:$B$232,$M21)</f>
        <v/>
      </c>
      <c r="E21" s="4">
        <f>INDEX('Draft Engine'!$E$3:$E$232,$M21)</f>
        <v/>
      </c>
      <c r="F21">
        <f>INDEX('LIVE SOURCE'!$H$3:$H$232,$M21)</f>
        <v/>
      </c>
      <c r="G21">
        <f>INDEX('LIVE SOURCE'!$I$3:$I$232,$M21)</f>
        <v/>
      </c>
      <c r="H21">
        <f>INDEX('LIVE SOURCE'!$J$3:$J$232,$M21)</f>
        <v/>
      </c>
      <c r="I21">
        <f>INDEX('Draft Engine'!$R$3:$R$232,$M21)</f>
        <v/>
      </c>
      <c r="J21">
        <f>INDEX('Draft Engine'!$S$3:$S$232,$M21)</f>
        <v/>
      </c>
      <c r="K21">
        <f>INDEX('Draft Engine'!$T$3:$T$232,$M21)</f>
        <v/>
      </c>
      <c r="L21">
        <f>INDEX('Draft Engine'!$X$3:$X$232,$M21)</f>
        <v/>
      </c>
      <c r="M21" s="6">
        <f>MATCH($A21,'Draft Engine'!$Q$3:$Q$232,0)</f>
        <v/>
      </c>
    </row>
    <row r="22">
      <c r="A22">
        <f>20</f>
        <v/>
      </c>
      <c r="B22">
        <f>INDEX('Draft Engine'!$A$3:$A$232,$M22)</f>
        <v/>
      </c>
      <c r="C22">
        <f>INDEX('Draft Engine'!$F$3:$F$232,$M22)</f>
        <v/>
      </c>
      <c r="D22">
        <f>INDEX('Draft Engine'!$B$3:$B$232,$M22)</f>
        <v/>
      </c>
      <c r="E22" s="4">
        <f>INDEX('Draft Engine'!$E$3:$E$232,$M22)</f>
        <v/>
      </c>
      <c r="F22">
        <f>INDEX('LIVE SOURCE'!$H$3:$H$232,$M22)</f>
        <v/>
      </c>
      <c r="G22">
        <f>INDEX('LIVE SOURCE'!$I$3:$I$232,$M22)</f>
        <v/>
      </c>
      <c r="H22">
        <f>INDEX('LIVE SOURCE'!$J$3:$J$232,$M22)</f>
        <v/>
      </c>
      <c r="I22">
        <f>INDEX('Draft Engine'!$R$3:$R$232,$M22)</f>
        <v/>
      </c>
      <c r="J22">
        <f>INDEX('Draft Engine'!$S$3:$S$232,$M22)</f>
        <v/>
      </c>
      <c r="K22">
        <f>INDEX('Draft Engine'!$T$3:$T$232,$M22)</f>
        <v/>
      </c>
      <c r="L22">
        <f>INDEX('Draft Engine'!$X$3:$X$232,$M22)</f>
        <v/>
      </c>
      <c r="M22" s="6">
        <f>MATCH($A22,'Draft Engine'!$Q$3:$Q$232,0)</f>
        <v/>
      </c>
    </row>
    <row r="23">
      <c r="A23">
        <f>21</f>
        <v/>
      </c>
      <c r="B23">
        <f>INDEX('Draft Engine'!$A$3:$A$232,$M23)</f>
        <v/>
      </c>
      <c r="C23">
        <f>INDEX('Draft Engine'!$F$3:$F$232,$M23)</f>
        <v/>
      </c>
      <c r="D23">
        <f>INDEX('Draft Engine'!$B$3:$B$232,$M23)</f>
        <v/>
      </c>
      <c r="E23" s="4">
        <f>INDEX('Draft Engine'!$E$3:$E$232,$M23)</f>
        <v/>
      </c>
      <c r="F23">
        <f>INDEX('LIVE SOURCE'!$H$3:$H$232,$M23)</f>
        <v/>
      </c>
      <c r="G23">
        <f>INDEX('LIVE SOURCE'!$I$3:$I$232,$M23)</f>
        <v/>
      </c>
      <c r="H23">
        <f>INDEX('LIVE SOURCE'!$J$3:$J$232,$M23)</f>
        <v/>
      </c>
      <c r="I23">
        <f>INDEX('Draft Engine'!$R$3:$R$232,$M23)</f>
        <v/>
      </c>
      <c r="J23">
        <f>INDEX('Draft Engine'!$S$3:$S$232,$M23)</f>
        <v/>
      </c>
      <c r="K23">
        <f>INDEX('Draft Engine'!$T$3:$T$232,$M23)</f>
        <v/>
      </c>
      <c r="L23">
        <f>INDEX('Draft Engine'!$X$3:$X$232,$M23)</f>
        <v/>
      </c>
      <c r="M23" s="6">
        <f>MATCH($A23,'Draft Engine'!$Q$3:$Q$232,0)</f>
        <v/>
      </c>
    </row>
    <row r="24">
      <c r="A24">
        <f>22</f>
        <v/>
      </c>
      <c r="B24">
        <f>INDEX('Draft Engine'!$A$3:$A$232,$M24)</f>
        <v/>
      </c>
      <c r="C24">
        <f>INDEX('Draft Engine'!$F$3:$F$232,$M24)</f>
        <v/>
      </c>
      <c r="D24">
        <f>INDEX('Draft Engine'!$B$3:$B$232,$M24)</f>
        <v/>
      </c>
      <c r="E24" s="4">
        <f>INDEX('Draft Engine'!$E$3:$E$232,$M24)</f>
        <v/>
      </c>
      <c r="F24">
        <f>INDEX('LIVE SOURCE'!$H$3:$H$232,$M24)</f>
        <v/>
      </c>
      <c r="G24">
        <f>INDEX('LIVE SOURCE'!$I$3:$I$232,$M24)</f>
        <v/>
      </c>
      <c r="H24">
        <f>INDEX('LIVE SOURCE'!$J$3:$J$232,$M24)</f>
        <v/>
      </c>
      <c r="I24">
        <f>INDEX('Draft Engine'!$R$3:$R$232,$M24)</f>
        <v/>
      </c>
      <c r="J24">
        <f>INDEX('Draft Engine'!$S$3:$S$232,$M24)</f>
        <v/>
      </c>
      <c r="K24">
        <f>INDEX('Draft Engine'!$T$3:$T$232,$M24)</f>
        <v/>
      </c>
      <c r="L24">
        <f>INDEX('Draft Engine'!$X$3:$X$232,$M24)</f>
        <v/>
      </c>
      <c r="M24" s="6">
        <f>MATCH($A24,'Draft Engine'!$Q$3:$Q$232,0)</f>
        <v/>
      </c>
    </row>
    <row r="25">
      <c r="A25">
        <f>23</f>
        <v/>
      </c>
      <c r="B25">
        <f>INDEX('Draft Engine'!$A$3:$A$232,$M25)</f>
        <v/>
      </c>
      <c r="C25">
        <f>INDEX('Draft Engine'!$F$3:$F$232,$M25)</f>
        <v/>
      </c>
      <c r="D25">
        <f>INDEX('Draft Engine'!$B$3:$B$232,$M25)</f>
        <v/>
      </c>
      <c r="E25" s="4">
        <f>INDEX('Draft Engine'!$E$3:$E$232,$M25)</f>
        <v/>
      </c>
      <c r="F25">
        <f>INDEX('LIVE SOURCE'!$H$3:$H$232,$M25)</f>
        <v/>
      </c>
      <c r="G25">
        <f>INDEX('LIVE SOURCE'!$I$3:$I$232,$M25)</f>
        <v/>
      </c>
      <c r="H25">
        <f>INDEX('LIVE SOURCE'!$J$3:$J$232,$M25)</f>
        <v/>
      </c>
      <c r="I25">
        <f>INDEX('Draft Engine'!$R$3:$R$232,$M25)</f>
        <v/>
      </c>
      <c r="J25">
        <f>INDEX('Draft Engine'!$S$3:$S$232,$M25)</f>
        <v/>
      </c>
      <c r="K25">
        <f>INDEX('Draft Engine'!$T$3:$T$232,$M25)</f>
        <v/>
      </c>
      <c r="L25">
        <f>INDEX('Draft Engine'!$X$3:$X$232,$M25)</f>
        <v/>
      </c>
      <c r="M25" s="6">
        <f>MATCH($A25,'Draft Engine'!$Q$3:$Q$232,0)</f>
        <v/>
      </c>
    </row>
    <row r="26">
      <c r="A26">
        <f>24</f>
        <v/>
      </c>
      <c r="B26">
        <f>INDEX('Draft Engine'!$A$3:$A$232,$M26)</f>
        <v/>
      </c>
      <c r="C26">
        <f>INDEX('Draft Engine'!$F$3:$F$232,$M26)</f>
        <v/>
      </c>
      <c r="D26">
        <f>INDEX('Draft Engine'!$B$3:$B$232,$M26)</f>
        <v/>
      </c>
      <c r="E26" s="4">
        <f>INDEX('Draft Engine'!$E$3:$E$232,$M26)</f>
        <v/>
      </c>
      <c r="F26">
        <f>INDEX('LIVE SOURCE'!$H$3:$H$232,$M26)</f>
        <v/>
      </c>
      <c r="G26">
        <f>INDEX('LIVE SOURCE'!$I$3:$I$232,$M26)</f>
        <v/>
      </c>
      <c r="H26">
        <f>INDEX('LIVE SOURCE'!$J$3:$J$232,$M26)</f>
        <v/>
      </c>
      <c r="I26">
        <f>INDEX('Draft Engine'!$R$3:$R$232,$M26)</f>
        <v/>
      </c>
      <c r="J26">
        <f>INDEX('Draft Engine'!$S$3:$S$232,$M26)</f>
        <v/>
      </c>
      <c r="K26">
        <f>INDEX('Draft Engine'!$T$3:$T$232,$M26)</f>
        <v/>
      </c>
      <c r="L26">
        <f>INDEX('Draft Engine'!$X$3:$X$232,$M26)</f>
        <v/>
      </c>
      <c r="M26" s="6">
        <f>MATCH($A26,'Draft Engine'!$Q$3:$Q$232,0)</f>
        <v/>
      </c>
    </row>
    <row r="27">
      <c r="A27">
        <f>25</f>
        <v/>
      </c>
      <c r="B27">
        <f>INDEX('Draft Engine'!$A$3:$A$232,$M27)</f>
        <v/>
      </c>
      <c r="C27">
        <f>INDEX('Draft Engine'!$F$3:$F$232,$M27)</f>
        <v/>
      </c>
      <c r="D27">
        <f>INDEX('Draft Engine'!$B$3:$B$232,$M27)</f>
        <v/>
      </c>
      <c r="E27" s="4">
        <f>INDEX('Draft Engine'!$E$3:$E$232,$M27)</f>
        <v/>
      </c>
      <c r="F27">
        <f>INDEX('LIVE SOURCE'!$H$3:$H$232,$M27)</f>
        <v/>
      </c>
      <c r="G27">
        <f>INDEX('LIVE SOURCE'!$I$3:$I$232,$M27)</f>
        <v/>
      </c>
      <c r="H27">
        <f>INDEX('LIVE SOURCE'!$J$3:$J$232,$M27)</f>
        <v/>
      </c>
      <c r="I27">
        <f>INDEX('Draft Engine'!$R$3:$R$232,$M27)</f>
        <v/>
      </c>
      <c r="J27">
        <f>INDEX('Draft Engine'!$S$3:$S$232,$M27)</f>
        <v/>
      </c>
      <c r="K27">
        <f>INDEX('Draft Engine'!$T$3:$T$232,$M27)</f>
        <v/>
      </c>
      <c r="L27">
        <f>INDEX('Draft Engine'!$X$3:$X$232,$M27)</f>
        <v/>
      </c>
      <c r="M27" s="6">
        <f>MATCH($A27,'Draft Engine'!$Q$3:$Q$232,0)</f>
        <v/>
      </c>
    </row>
    <row r="28">
      <c r="A28">
        <f>26</f>
        <v/>
      </c>
      <c r="B28">
        <f>INDEX('Draft Engine'!$A$3:$A$232,$M28)</f>
        <v/>
      </c>
      <c r="C28">
        <f>INDEX('Draft Engine'!$F$3:$F$232,$M28)</f>
        <v/>
      </c>
      <c r="D28">
        <f>INDEX('Draft Engine'!$B$3:$B$232,$M28)</f>
        <v/>
      </c>
      <c r="E28" s="4">
        <f>INDEX('Draft Engine'!$E$3:$E$232,$M28)</f>
        <v/>
      </c>
      <c r="F28">
        <f>INDEX('LIVE SOURCE'!$H$3:$H$232,$M28)</f>
        <v/>
      </c>
      <c r="G28">
        <f>INDEX('LIVE SOURCE'!$I$3:$I$232,$M28)</f>
        <v/>
      </c>
      <c r="H28">
        <f>INDEX('LIVE SOURCE'!$J$3:$J$232,$M28)</f>
        <v/>
      </c>
      <c r="I28">
        <f>INDEX('Draft Engine'!$R$3:$R$232,$M28)</f>
        <v/>
      </c>
      <c r="J28">
        <f>INDEX('Draft Engine'!$S$3:$S$232,$M28)</f>
        <v/>
      </c>
      <c r="K28">
        <f>INDEX('Draft Engine'!$T$3:$T$232,$M28)</f>
        <v/>
      </c>
      <c r="L28">
        <f>INDEX('Draft Engine'!$X$3:$X$232,$M28)</f>
        <v/>
      </c>
      <c r="M28" s="6">
        <f>MATCH($A28,'Draft Engine'!$Q$3:$Q$232,0)</f>
        <v/>
      </c>
    </row>
    <row r="29">
      <c r="A29">
        <f>27</f>
        <v/>
      </c>
      <c r="B29">
        <f>INDEX('Draft Engine'!$A$3:$A$232,$M29)</f>
        <v/>
      </c>
      <c r="C29">
        <f>INDEX('Draft Engine'!$F$3:$F$232,$M29)</f>
        <v/>
      </c>
      <c r="D29">
        <f>INDEX('Draft Engine'!$B$3:$B$232,$M29)</f>
        <v/>
      </c>
      <c r="E29" s="4">
        <f>INDEX('Draft Engine'!$E$3:$E$232,$M29)</f>
        <v/>
      </c>
      <c r="F29">
        <f>INDEX('LIVE SOURCE'!$H$3:$H$232,$M29)</f>
        <v/>
      </c>
      <c r="G29">
        <f>INDEX('LIVE SOURCE'!$I$3:$I$232,$M29)</f>
        <v/>
      </c>
      <c r="H29">
        <f>INDEX('LIVE SOURCE'!$J$3:$J$232,$M29)</f>
        <v/>
      </c>
      <c r="I29">
        <f>INDEX('Draft Engine'!$R$3:$R$232,$M29)</f>
        <v/>
      </c>
      <c r="J29">
        <f>INDEX('Draft Engine'!$S$3:$S$232,$M29)</f>
        <v/>
      </c>
      <c r="K29">
        <f>INDEX('Draft Engine'!$T$3:$T$232,$M29)</f>
        <v/>
      </c>
      <c r="L29">
        <f>INDEX('Draft Engine'!$X$3:$X$232,$M29)</f>
        <v/>
      </c>
      <c r="M29" s="6">
        <f>MATCH($A29,'Draft Engine'!$Q$3:$Q$232,0)</f>
        <v/>
      </c>
    </row>
    <row r="30">
      <c r="A30">
        <f>28</f>
        <v/>
      </c>
      <c r="B30">
        <f>INDEX('Draft Engine'!$A$3:$A$232,$M30)</f>
        <v/>
      </c>
      <c r="C30">
        <f>INDEX('Draft Engine'!$F$3:$F$232,$M30)</f>
        <v/>
      </c>
      <c r="D30">
        <f>INDEX('Draft Engine'!$B$3:$B$232,$M30)</f>
        <v/>
      </c>
      <c r="E30" s="4">
        <f>INDEX('Draft Engine'!$E$3:$E$232,$M30)</f>
        <v/>
      </c>
      <c r="F30">
        <f>INDEX('LIVE SOURCE'!$H$3:$H$232,$M30)</f>
        <v/>
      </c>
      <c r="G30">
        <f>INDEX('LIVE SOURCE'!$I$3:$I$232,$M30)</f>
        <v/>
      </c>
      <c r="H30">
        <f>INDEX('LIVE SOURCE'!$J$3:$J$232,$M30)</f>
        <v/>
      </c>
      <c r="I30">
        <f>INDEX('Draft Engine'!$R$3:$R$232,$M30)</f>
        <v/>
      </c>
      <c r="J30">
        <f>INDEX('Draft Engine'!$S$3:$S$232,$M30)</f>
        <v/>
      </c>
      <c r="K30">
        <f>INDEX('Draft Engine'!$T$3:$T$232,$M30)</f>
        <v/>
      </c>
      <c r="L30">
        <f>INDEX('Draft Engine'!$X$3:$X$232,$M30)</f>
        <v/>
      </c>
      <c r="M30" s="6">
        <f>MATCH($A30,'Draft Engine'!$Q$3:$Q$232,0)</f>
        <v/>
      </c>
    </row>
    <row r="31">
      <c r="A31">
        <f>29</f>
        <v/>
      </c>
      <c r="B31">
        <f>INDEX('Draft Engine'!$A$3:$A$232,$M31)</f>
        <v/>
      </c>
      <c r="C31">
        <f>INDEX('Draft Engine'!$F$3:$F$232,$M31)</f>
        <v/>
      </c>
      <c r="D31">
        <f>INDEX('Draft Engine'!$B$3:$B$232,$M31)</f>
        <v/>
      </c>
      <c r="E31" s="4">
        <f>INDEX('Draft Engine'!$E$3:$E$232,$M31)</f>
        <v/>
      </c>
      <c r="F31">
        <f>INDEX('LIVE SOURCE'!$H$3:$H$232,$M31)</f>
        <v/>
      </c>
      <c r="G31">
        <f>INDEX('LIVE SOURCE'!$I$3:$I$232,$M31)</f>
        <v/>
      </c>
      <c r="H31">
        <f>INDEX('LIVE SOURCE'!$J$3:$J$232,$M31)</f>
        <v/>
      </c>
      <c r="I31">
        <f>INDEX('Draft Engine'!$R$3:$R$232,$M31)</f>
        <v/>
      </c>
      <c r="J31">
        <f>INDEX('Draft Engine'!$S$3:$S$232,$M31)</f>
        <v/>
      </c>
      <c r="K31">
        <f>INDEX('Draft Engine'!$T$3:$T$232,$M31)</f>
        <v/>
      </c>
      <c r="L31">
        <f>INDEX('Draft Engine'!$X$3:$X$232,$M31)</f>
        <v/>
      </c>
      <c r="M31" s="6">
        <f>MATCH($A31,'Draft Engine'!$Q$3:$Q$232,0)</f>
        <v/>
      </c>
    </row>
    <row r="32">
      <c r="A32">
        <f>30</f>
        <v/>
      </c>
      <c r="B32">
        <f>INDEX('Draft Engine'!$A$3:$A$232,$M32)</f>
        <v/>
      </c>
      <c r="C32">
        <f>INDEX('Draft Engine'!$F$3:$F$232,$M32)</f>
        <v/>
      </c>
      <c r="D32">
        <f>INDEX('Draft Engine'!$B$3:$B$232,$M32)</f>
        <v/>
      </c>
      <c r="E32" s="4">
        <f>INDEX('Draft Engine'!$E$3:$E$232,$M32)</f>
        <v/>
      </c>
      <c r="F32">
        <f>INDEX('LIVE SOURCE'!$H$3:$H$232,$M32)</f>
        <v/>
      </c>
      <c r="G32">
        <f>INDEX('LIVE SOURCE'!$I$3:$I$232,$M32)</f>
        <v/>
      </c>
      <c r="H32">
        <f>INDEX('LIVE SOURCE'!$J$3:$J$232,$M32)</f>
        <v/>
      </c>
      <c r="I32">
        <f>INDEX('Draft Engine'!$R$3:$R$232,$M32)</f>
        <v/>
      </c>
      <c r="J32">
        <f>INDEX('Draft Engine'!$S$3:$S$232,$M32)</f>
        <v/>
      </c>
      <c r="K32">
        <f>INDEX('Draft Engine'!$T$3:$T$232,$M32)</f>
        <v/>
      </c>
      <c r="L32">
        <f>INDEX('Draft Engine'!$X$3:$X$232,$M32)</f>
        <v/>
      </c>
      <c r="M32" s="6">
        <f>MATCH($A32,'Draft Engine'!$Q$3:$Q$232,0)</f>
        <v/>
      </c>
    </row>
    <row r="33">
      <c r="A33">
        <f>31</f>
        <v/>
      </c>
      <c r="B33">
        <f>INDEX('Draft Engine'!$A$3:$A$232,$M33)</f>
        <v/>
      </c>
      <c r="C33">
        <f>INDEX('Draft Engine'!$F$3:$F$232,$M33)</f>
        <v/>
      </c>
      <c r="D33">
        <f>INDEX('Draft Engine'!$B$3:$B$232,$M33)</f>
        <v/>
      </c>
      <c r="E33" s="4">
        <f>INDEX('Draft Engine'!$E$3:$E$232,$M33)</f>
        <v/>
      </c>
      <c r="F33">
        <f>INDEX('LIVE SOURCE'!$H$3:$H$232,$M33)</f>
        <v/>
      </c>
      <c r="G33">
        <f>INDEX('LIVE SOURCE'!$I$3:$I$232,$M33)</f>
        <v/>
      </c>
      <c r="H33">
        <f>INDEX('LIVE SOURCE'!$J$3:$J$232,$M33)</f>
        <v/>
      </c>
      <c r="I33">
        <f>INDEX('Draft Engine'!$R$3:$R$232,$M33)</f>
        <v/>
      </c>
      <c r="J33">
        <f>INDEX('Draft Engine'!$S$3:$S$232,$M33)</f>
        <v/>
      </c>
      <c r="K33">
        <f>INDEX('Draft Engine'!$T$3:$T$232,$M33)</f>
        <v/>
      </c>
      <c r="L33">
        <f>INDEX('Draft Engine'!$X$3:$X$232,$M33)</f>
        <v/>
      </c>
      <c r="M33" s="6">
        <f>MATCH($A33,'Draft Engine'!$Q$3:$Q$232,0)</f>
        <v/>
      </c>
    </row>
    <row r="34">
      <c r="A34">
        <f>32</f>
        <v/>
      </c>
      <c r="B34">
        <f>INDEX('Draft Engine'!$A$3:$A$232,$M34)</f>
        <v/>
      </c>
      <c r="C34">
        <f>INDEX('Draft Engine'!$F$3:$F$232,$M34)</f>
        <v/>
      </c>
      <c r="D34">
        <f>INDEX('Draft Engine'!$B$3:$B$232,$M34)</f>
        <v/>
      </c>
      <c r="E34" s="4">
        <f>INDEX('Draft Engine'!$E$3:$E$232,$M34)</f>
        <v/>
      </c>
      <c r="F34">
        <f>INDEX('LIVE SOURCE'!$H$3:$H$232,$M34)</f>
        <v/>
      </c>
      <c r="G34">
        <f>INDEX('LIVE SOURCE'!$I$3:$I$232,$M34)</f>
        <v/>
      </c>
      <c r="H34">
        <f>INDEX('LIVE SOURCE'!$J$3:$J$232,$M34)</f>
        <v/>
      </c>
      <c r="I34">
        <f>INDEX('Draft Engine'!$R$3:$R$232,$M34)</f>
        <v/>
      </c>
      <c r="J34">
        <f>INDEX('Draft Engine'!$S$3:$S$232,$M34)</f>
        <v/>
      </c>
      <c r="K34">
        <f>INDEX('Draft Engine'!$T$3:$T$232,$M34)</f>
        <v/>
      </c>
      <c r="L34">
        <f>INDEX('Draft Engine'!$X$3:$X$232,$M34)</f>
        <v/>
      </c>
      <c r="M34" s="6">
        <f>MATCH($A34,'Draft Engine'!$Q$3:$Q$232,0)</f>
        <v/>
      </c>
    </row>
    <row r="35">
      <c r="A35">
        <f>33</f>
        <v/>
      </c>
      <c r="B35">
        <f>INDEX('Draft Engine'!$A$3:$A$232,$M35)</f>
        <v/>
      </c>
      <c r="C35">
        <f>INDEX('Draft Engine'!$F$3:$F$232,$M35)</f>
        <v/>
      </c>
      <c r="D35">
        <f>INDEX('Draft Engine'!$B$3:$B$232,$M35)</f>
        <v/>
      </c>
      <c r="E35" s="4">
        <f>INDEX('Draft Engine'!$E$3:$E$232,$M35)</f>
        <v/>
      </c>
      <c r="F35">
        <f>INDEX('LIVE SOURCE'!$H$3:$H$232,$M35)</f>
        <v/>
      </c>
      <c r="G35">
        <f>INDEX('LIVE SOURCE'!$I$3:$I$232,$M35)</f>
        <v/>
      </c>
      <c r="H35">
        <f>INDEX('LIVE SOURCE'!$J$3:$J$232,$M35)</f>
        <v/>
      </c>
      <c r="I35">
        <f>INDEX('Draft Engine'!$R$3:$R$232,$M35)</f>
        <v/>
      </c>
      <c r="J35">
        <f>INDEX('Draft Engine'!$S$3:$S$232,$M35)</f>
        <v/>
      </c>
      <c r="K35">
        <f>INDEX('Draft Engine'!$T$3:$T$232,$M35)</f>
        <v/>
      </c>
      <c r="L35">
        <f>INDEX('Draft Engine'!$X$3:$X$232,$M35)</f>
        <v/>
      </c>
      <c r="M35" s="6">
        <f>MATCH($A35,'Draft Engine'!$Q$3:$Q$232,0)</f>
        <v/>
      </c>
    </row>
    <row r="36">
      <c r="A36">
        <f>34</f>
        <v/>
      </c>
      <c r="B36">
        <f>INDEX('Draft Engine'!$A$3:$A$232,$M36)</f>
        <v/>
      </c>
      <c r="C36">
        <f>INDEX('Draft Engine'!$F$3:$F$232,$M36)</f>
        <v/>
      </c>
      <c r="D36">
        <f>INDEX('Draft Engine'!$B$3:$B$232,$M36)</f>
        <v/>
      </c>
      <c r="E36" s="4">
        <f>INDEX('Draft Engine'!$E$3:$E$232,$M36)</f>
        <v/>
      </c>
      <c r="F36">
        <f>INDEX('LIVE SOURCE'!$H$3:$H$232,$M36)</f>
        <v/>
      </c>
      <c r="G36">
        <f>INDEX('LIVE SOURCE'!$I$3:$I$232,$M36)</f>
        <v/>
      </c>
      <c r="H36">
        <f>INDEX('LIVE SOURCE'!$J$3:$J$232,$M36)</f>
        <v/>
      </c>
      <c r="I36">
        <f>INDEX('Draft Engine'!$R$3:$R$232,$M36)</f>
        <v/>
      </c>
      <c r="J36">
        <f>INDEX('Draft Engine'!$S$3:$S$232,$M36)</f>
        <v/>
      </c>
      <c r="K36">
        <f>INDEX('Draft Engine'!$T$3:$T$232,$M36)</f>
        <v/>
      </c>
      <c r="L36">
        <f>INDEX('Draft Engine'!$X$3:$X$232,$M36)</f>
        <v/>
      </c>
      <c r="M36" s="6">
        <f>MATCH($A36,'Draft Engine'!$Q$3:$Q$232,0)</f>
        <v/>
      </c>
    </row>
    <row r="37">
      <c r="A37">
        <f>35</f>
        <v/>
      </c>
      <c r="B37">
        <f>INDEX('Draft Engine'!$A$3:$A$232,$M37)</f>
        <v/>
      </c>
      <c r="C37">
        <f>INDEX('Draft Engine'!$F$3:$F$232,$M37)</f>
        <v/>
      </c>
      <c r="D37">
        <f>INDEX('Draft Engine'!$B$3:$B$232,$M37)</f>
        <v/>
      </c>
      <c r="E37" s="4">
        <f>INDEX('Draft Engine'!$E$3:$E$232,$M37)</f>
        <v/>
      </c>
      <c r="F37">
        <f>INDEX('LIVE SOURCE'!$H$3:$H$232,$M37)</f>
        <v/>
      </c>
      <c r="G37">
        <f>INDEX('LIVE SOURCE'!$I$3:$I$232,$M37)</f>
        <v/>
      </c>
      <c r="H37">
        <f>INDEX('LIVE SOURCE'!$J$3:$J$232,$M37)</f>
        <v/>
      </c>
      <c r="I37">
        <f>INDEX('Draft Engine'!$R$3:$R$232,$M37)</f>
        <v/>
      </c>
      <c r="J37">
        <f>INDEX('Draft Engine'!$S$3:$S$232,$M37)</f>
        <v/>
      </c>
      <c r="K37">
        <f>INDEX('Draft Engine'!$T$3:$T$232,$M37)</f>
        <v/>
      </c>
      <c r="L37">
        <f>INDEX('Draft Engine'!$X$3:$X$232,$M37)</f>
        <v/>
      </c>
      <c r="M37" s="6">
        <f>MATCH($A37,'Draft Engine'!$Q$3:$Q$232,0)</f>
        <v/>
      </c>
    </row>
    <row r="38">
      <c r="A38">
        <f>36</f>
        <v/>
      </c>
      <c r="B38">
        <f>INDEX('Draft Engine'!$A$3:$A$232,$M38)</f>
        <v/>
      </c>
      <c r="C38">
        <f>INDEX('Draft Engine'!$F$3:$F$232,$M38)</f>
        <v/>
      </c>
      <c r="D38">
        <f>INDEX('Draft Engine'!$B$3:$B$232,$M38)</f>
        <v/>
      </c>
      <c r="E38" s="4">
        <f>INDEX('Draft Engine'!$E$3:$E$232,$M38)</f>
        <v/>
      </c>
      <c r="F38">
        <f>INDEX('LIVE SOURCE'!$H$3:$H$232,$M38)</f>
        <v/>
      </c>
      <c r="G38">
        <f>INDEX('LIVE SOURCE'!$I$3:$I$232,$M38)</f>
        <v/>
      </c>
      <c r="H38">
        <f>INDEX('LIVE SOURCE'!$J$3:$J$232,$M38)</f>
        <v/>
      </c>
      <c r="I38">
        <f>INDEX('Draft Engine'!$R$3:$R$232,$M38)</f>
        <v/>
      </c>
      <c r="J38">
        <f>INDEX('Draft Engine'!$S$3:$S$232,$M38)</f>
        <v/>
      </c>
      <c r="K38">
        <f>INDEX('Draft Engine'!$T$3:$T$232,$M38)</f>
        <v/>
      </c>
      <c r="L38">
        <f>INDEX('Draft Engine'!$X$3:$X$232,$M38)</f>
        <v/>
      </c>
      <c r="M38" s="6">
        <f>MATCH($A38,'Draft Engine'!$Q$3:$Q$232,0)</f>
        <v/>
      </c>
    </row>
    <row r="39">
      <c r="A39">
        <f>37</f>
        <v/>
      </c>
      <c r="B39">
        <f>INDEX('Draft Engine'!$A$3:$A$232,$M39)</f>
        <v/>
      </c>
      <c r="C39">
        <f>INDEX('Draft Engine'!$F$3:$F$232,$M39)</f>
        <v/>
      </c>
      <c r="D39">
        <f>INDEX('Draft Engine'!$B$3:$B$232,$M39)</f>
        <v/>
      </c>
      <c r="E39" s="4">
        <f>INDEX('Draft Engine'!$E$3:$E$232,$M39)</f>
        <v/>
      </c>
      <c r="F39">
        <f>INDEX('LIVE SOURCE'!$H$3:$H$232,$M39)</f>
        <v/>
      </c>
      <c r="G39">
        <f>INDEX('LIVE SOURCE'!$I$3:$I$232,$M39)</f>
        <v/>
      </c>
      <c r="H39">
        <f>INDEX('LIVE SOURCE'!$J$3:$J$232,$M39)</f>
        <v/>
      </c>
      <c r="I39">
        <f>INDEX('Draft Engine'!$R$3:$R$232,$M39)</f>
        <v/>
      </c>
      <c r="J39">
        <f>INDEX('Draft Engine'!$S$3:$S$232,$M39)</f>
        <v/>
      </c>
      <c r="K39">
        <f>INDEX('Draft Engine'!$T$3:$T$232,$M39)</f>
        <v/>
      </c>
      <c r="L39">
        <f>INDEX('Draft Engine'!$X$3:$X$232,$M39)</f>
        <v/>
      </c>
      <c r="M39" s="6">
        <f>MATCH($A39,'Draft Engine'!$Q$3:$Q$232,0)</f>
        <v/>
      </c>
    </row>
    <row r="40">
      <c r="A40">
        <f>38</f>
        <v/>
      </c>
      <c r="B40">
        <f>INDEX('Draft Engine'!$A$3:$A$232,$M40)</f>
        <v/>
      </c>
      <c r="C40">
        <f>INDEX('Draft Engine'!$F$3:$F$232,$M40)</f>
        <v/>
      </c>
      <c r="D40">
        <f>INDEX('Draft Engine'!$B$3:$B$232,$M40)</f>
        <v/>
      </c>
      <c r="E40" s="4">
        <f>INDEX('Draft Engine'!$E$3:$E$232,$M40)</f>
        <v/>
      </c>
      <c r="F40">
        <f>INDEX('LIVE SOURCE'!$H$3:$H$232,$M40)</f>
        <v/>
      </c>
      <c r="G40">
        <f>INDEX('LIVE SOURCE'!$I$3:$I$232,$M40)</f>
        <v/>
      </c>
      <c r="H40">
        <f>INDEX('LIVE SOURCE'!$J$3:$J$232,$M40)</f>
        <v/>
      </c>
      <c r="I40">
        <f>INDEX('Draft Engine'!$R$3:$R$232,$M40)</f>
        <v/>
      </c>
      <c r="J40">
        <f>INDEX('Draft Engine'!$S$3:$S$232,$M40)</f>
        <v/>
      </c>
      <c r="K40">
        <f>INDEX('Draft Engine'!$T$3:$T$232,$M40)</f>
        <v/>
      </c>
      <c r="L40">
        <f>INDEX('Draft Engine'!$X$3:$X$232,$M40)</f>
        <v/>
      </c>
      <c r="M40" s="6">
        <f>MATCH($A40,'Draft Engine'!$Q$3:$Q$232,0)</f>
        <v/>
      </c>
    </row>
    <row r="41">
      <c r="A41">
        <f>39</f>
        <v/>
      </c>
      <c r="B41">
        <f>INDEX('Draft Engine'!$A$3:$A$232,$M41)</f>
        <v/>
      </c>
      <c r="C41">
        <f>INDEX('Draft Engine'!$F$3:$F$232,$M41)</f>
        <v/>
      </c>
      <c r="D41">
        <f>INDEX('Draft Engine'!$B$3:$B$232,$M41)</f>
        <v/>
      </c>
      <c r="E41" s="4">
        <f>INDEX('Draft Engine'!$E$3:$E$232,$M41)</f>
        <v/>
      </c>
      <c r="F41">
        <f>INDEX('LIVE SOURCE'!$H$3:$H$232,$M41)</f>
        <v/>
      </c>
      <c r="G41">
        <f>INDEX('LIVE SOURCE'!$I$3:$I$232,$M41)</f>
        <v/>
      </c>
      <c r="H41">
        <f>INDEX('LIVE SOURCE'!$J$3:$J$232,$M41)</f>
        <v/>
      </c>
      <c r="I41">
        <f>INDEX('Draft Engine'!$R$3:$R$232,$M41)</f>
        <v/>
      </c>
      <c r="J41">
        <f>INDEX('Draft Engine'!$S$3:$S$232,$M41)</f>
        <v/>
      </c>
      <c r="K41">
        <f>INDEX('Draft Engine'!$T$3:$T$232,$M41)</f>
        <v/>
      </c>
      <c r="L41">
        <f>INDEX('Draft Engine'!$X$3:$X$232,$M41)</f>
        <v/>
      </c>
      <c r="M41" s="6">
        <f>MATCH($A41,'Draft Engine'!$Q$3:$Q$232,0)</f>
        <v/>
      </c>
    </row>
    <row r="42">
      <c r="A42">
        <f>40</f>
        <v/>
      </c>
      <c r="B42">
        <f>INDEX('Draft Engine'!$A$3:$A$232,$M42)</f>
        <v/>
      </c>
      <c r="C42">
        <f>INDEX('Draft Engine'!$F$3:$F$232,$M42)</f>
        <v/>
      </c>
      <c r="D42">
        <f>INDEX('Draft Engine'!$B$3:$B$232,$M42)</f>
        <v/>
      </c>
      <c r="E42" s="4">
        <f>INDEX('Draft Engine'!$E$3:$E$232,$M42)</f>
        <v/>
      </c>
      <c r="F42">
        <f>INDEX('LIVE SOURCE'!$H$3:$H$232,$M42)</f>
        <v/>
      </c>
      <c r="G42">
        <f>INDEX('LIVE SOURCE'!$I$3:$I$232,$M42)</f>
        <v/>
      </c>
      <c r="H42">
        <f>INDEX('LIVE SOURCE'!$J$3:$J$232,$M42)</f>
        <v/>
      </c>
      <c r="I42">
        <f>INDEX('Draft Engine'!$R$3:$R$232,$M42)</f>
        <v/>
      </c>
      <c r="J42">
        <f>INDEX('Draft Engine'!$S$3:$S$232,$M42)</f>
        <v/>
      </c>
      <c r="K42">
        <f>INDEX('Draft Engine'!$T$3:$T$232,$M42)</f>
        <v/>
      </c>
      <c r="L42">
        <f>INDEX('Draft Engine'!$X$3:$X$232,$M42)</f>
        <v/>
      </c>
      <c r="M42" s="6">
        <f>MATCH($A42,'Draft Engine'!$Q$3:$Q$232,0)</f>
        <v/>
      </c>
    </row>
    <row r="43">
      <c r="A43">
        <f>41</f>
        <v/>
      </c>
      <c r="B43">
        <f>INDEX('Draft Engine'!$A$3:$A$232,$M43)</f>
        <v/>
      </c>
      <c r="C43">
        <f>INDEX('Draft Engine'!$F$3:$F$232,$M43)</f>
        <v/>
      </c>
      <c r="D43">
        <f>INDEX('Draft Engine'!$B$3:$B$232,$M43)</f>
        <v/>
      </c>
      <c r="E43" s="4">
        <f>INDEX('Draft Engine'!$E$3:$E$232,$M43)</f>
        <v/>
      </c>
      <c r="F43">
        <f>INDEX('LIVE SOURCE'!$H$3:$H$232,$M43)</f>
        <v/>
      </c>
      <c r="G43">
        <f>INDEX('LIVE SOURCE'!$I$3:$I$232,$M43)</f>
        <v/>
      </c>
      <c r="H43">
        <f>INDEX('LIVE SOURCE'!$J$3:$J$232,$M43)</f>
        <v/>
      </c>
      <c r="I43">
        <f>INDEX('Draft Engine'!$R$3:$R$232,$M43)</f>
        <v/>
      </c>
      <c r="J43">
        <f>INDEX('Draft Engine'!$S$3:$S$232,$M43)</f>
        <v/>
      </c>
      <c r="K43">
        <f>INDEX('Draft Engine'!$T$3:$T$232,$M43)</f>
        <v/>
      </c>
      <c r="L43">
        <f>INDEX('Draft Engine'!$X$3:$X$232,$M43)</f>
        <v/>
      </c>
      <c r="M43" s="6">
        <f>MATCH($A43,'Draft Engine'!$Q$3:$Q$232,0)</f>
        <v/>
      </c>
    </row>
    <row r="44">
      <c r="A44">
        <f>42</f>
        <v/>
      </c>
      <c r="B44">
        <f>INDEX('Draft Engine'!$A$3:$A$232,$M44)</f>
        <v/>
      </c>
      <c r="C44">
        <f>INDEX('Draft Engine'!$F$3:$F$232,$M44)</f>
        <v/>
      </c>
      <c r="D44">
        <f>INDEX('Draft Engine'!$B$3:$B$232,$M44)</f>
        <v/>
      </c>
      <c r="E44" s="4">
        <f>INDEX('Draft Engine'!$E$3:$E$232,$M44)</f>
        <v/>
      </c>
      <c r="F44">
        <f>INDEX('LIVE SOURCE'!$H$3:$H$232,$M44)</f>
        <v/>
      </c>
      <c r="G44">
        <f>INDEX('LIVE SOURCE'!$I$3:$I$232,$M44)</f>
        <v/>
      </c>
      <c r="H44">
        <f>INDEX('LIVE SOURCE'!$J$3:$J$232,$M44)</f>
        <v/>
      </c>
      <c r="I44">
        <f>INDEX('Draft Engine'!$R$3:$R$232,$M44)</f>
        <v/>
      </c>
      <c r="J44">
        <f>INDEX('Draft Engine'!$S$3:$S$232,$M44)</f>
        <v/>
      </c>
      <c r="K44">
        <f>INDEX('Draft Engine'!$T$3:$T$232,$M44)</f>
        <v/>
      </c>
      <c r="L44">
        <f>INDEX('Draft Engine'!$X$3:$X$232,$M44)</f>
        <v/>
      </c>
      <c r="M44" s="6">
        <f>MATCH($A44,'Draft Engine'!$Q$3:$Q$232,0)</f>
        <v/>
      </c>
    </row>
    <row r="45">
      <c r="A45">
        <f>43</f>
        <v/>
      </c>
      <c r="B45">
        <f>INDEX('Draft Engine'!$A$3:$A$232,$M45)</f>
        <v/>
      </c>
      <c r="C45">
        <f>INDEX('Draft Engine'!$F$3:$F$232,$M45)</f>
        <v/>
      </c>
      <c r="D45">
        <f>INDEX('Draft Engine'!$B$3:$B$232,$M45)</f>
        <v/>
      </c>
      <c r="E45" s="4">
        <f>INDEX('Draft Engine'!$E$3:$E$232,$M45)</f>
        <v/>
      </c>
      <c r="F45">
        <f>INDEX('LIVE SOURCE'!$H$3:$H$232,$M45)</f>
        <v/>
      </c>
      <c r="G45">
        <f>INDEX('LIVE SOURCE'!$I$3:$I$232,$M45)</f>
        <v/>
      </c>
      <c r="H45">
        <f>INDEX('LIVE SOURCE'!$J$3:$J$232,$M45)</f>
        <v/>
      </c>
      <c r="I45">
        <f>INDEX('Draft Engine'!$R$3:$R$232,$M45)</f>
        <v/>
      </c>
      <c r="J45">
        <f>INDEX('Draft Engine'!$S$3:$S$232,$M45)</f>
        <v/>
      </c>
      <c r="K45">
        <f>INDEX('Draft Engine'!$T$3:$T$232,$M45)</f>
        <v/>
      </c>
      <c r="L45">
        <f>INDEX('Draft Engine'!$X$3:$X$232,$M45)</f>
        <v/>
      </c>
      <c r="M45" s="6">
        <f>MATCH($A45,'Draft Engine'!$Q$3:$Q$232,0)</f>
        <v/>
      </c>
    </row>
    <row r="46">
      <c r="A46">
        <f>44</f>
        <v/>
      </c>
      <c r="B46">
        <f>INDEX('Draft Engine'!$A$3:$A$232,$M46)</f>
        <v/>
      </c>
      <c r="C46">
        <f>INDEX('Draft Engine'!$F$3:$F$232,$M46)</f>
        <v/>
      </c>
      <c r="D46">
        <f>INDEX('Draft Engine'!$B$3:$B$232,$M46)</f>
        <v/>
      </c>
      <c r="E46" s="4">
        <f>INDEX('Draft Engine'!$E$3:$E$232,$M46)</f>
        <v/>
      </c>
      <c r="F46">
        <f>INDEX('LIVE SOURCE'!$H$3:$H$232,$M46)</f>
        <v/>
      </c>
      <c r="G46">
        <f>INDEX('LIVE SOURCE'!$I$3:$I$232,$M46)</f>
        <v/>
      </c>
      <c r="H46">
        <f>INDEX('LIVE SOURCE'!$J$3:$J$232,$M46)</f>
        <v/>
      </c>
      <c r="I46">
        <f>INDEX('Draft Engine'!$R$3:$R$232,$M46)</f>
        <v/>
      </c>
      <c r="J46">
        <f>INDEX('Draft Engine'!$S$3:$S$232,$M46)</f>
        <v/>
      </c>
      <c r="K46">
        <f>INDEX('Draft Engine'!$T$3:$T$232,$M46)</f>
        <v/>
      </c>
      <c r="L46">
        <f>INDEX('Draft Engine'!$X$3:$X$232,$M46)</f>
        <v/>
      </c>
      <c r="M46" s="6">
        <f>MATCH($A46,'Draft Engine'!$Q$3:$Q$232,0)</f>
        <v/>
      </c>
    </row>
    <row r="47">
      <c r="A47">
        <f>45</f>
        <v/>
      </c>
      <c r="B47">
        <f>INDEX('Draft Engine'!$A$3:$A$232,$M47)</f>
        <v/>
      </c>
      <c r="C47">
        <f>INDEX('Draft Engine'!$F$3:$F$232,$M47)</f>
        <v/>
      </c>
      <c r="D47">
        <f>INDEX('Draft Engine'!$B$3:$B$232,$M47)</f>
        <v/>
      </c>
      <c r="E47" s="4">
        <f>INDEX('Draft Engine'!$E$3:$E$232,$M47)</f>
        <v/>
      </c>
      <c r="F47">
        <f>INDEX('LIVE SOURCE'!$H$3:$H$232,$M47)</f>
        <v/>
      </c>
      <c r="G47">
        <f>INDEX('LIVE SOURCE'!$I$3:$I$232,$M47)</f>
        <v/>
      </c>
      <c r="H47">
        <f>INDEX('LIVE SOURCE'!$J$3:$J$232,$M47)</f>
        <v/>
      </c>
      <c r="I47">
        <f>INDEX('Draft Engine'!$R$3:$R$232,$M47)</f>
        <v/>
      </c>
      <c r="J47">
        <f>INDEX('Draft Engine'!$S$3:$S$232,$M47)</f>
        <v/>
      </c>
      <c r="K47">
        <f>INDEX('Draft Engine'!$T$3:$T$232,$M47)</f>
        <v/>
      </c>
      <c r="L47">
        <f>INDEX('Draft Engine'!$X$3:$X$232,$M47)</f>
        <v/>
      </c>
      <c r="M47" s="6">
        <f>MATCH($A47,'Draft Engine'!$Q$3:$Q$232,0)</f>
        <v/>
      </c>
    </row>
    <row r="48">
      <c r="A48">
        <f>46</f>
        <v/>
      </c>
      <c r="B48">
        <f>INDEX('Draft Engine'!$A$3:$A$232,$M48)</f>
        <v/>
      </c>
      <c r="C48">
        <f>INDEX('Draft Engine'!$F$3:$F$232,$M48)</f>
        <v/>
      </c>
      <c r="D48">
        <f>INDEX('Draft Engine'!$B$3:$B$232,$M48)</f>
        <v/>
      </c>
      <c r="E48" s="4">
        <f>INDEX('Draft Engine'!$E$3:$E$232,$M48)</f>
        <v/>
      </c>
      <c r="F48">
        <f>INDEX('LIVE SOURCE'!$H$3:$H$232,$M48)</f>
        <v/>
      </c>
      <c r="G48">
        <f>INDEX('LIVE SOURCE'!$I$3:$I$232,$M48)</f>
        <v/>
      </c>
      <c r="H48">
        <f>INDEX('LIVE SOURCE'!$J$3:$J$232,$M48)</f>
        <v/>
      </c>
      <c r="I48">
        <f>INDEX('Draft Engine'!$R$3:$R$232,$M48)</f>
        <v/>
      </c>
      <c r="J48">
        <f>INDEX('Draft Engine'!$S$3:$S$232,$M48)</f>
        <v/>
      </c>
      <c r="K48">
        <f>INDEX('Draft Engine'!$T$3:$T$232,$M48)</f>
        <v/>
      </c>
      <c r="L48">
        <f>INDEX('Draft Engine'!$X$3:$X$232,$M48)</f>
        <v/>
      </c>
      <c r="M48" s="6">
        <f>MATCH($A48,'Draft Engine'!$Q$3:$Q$232,0)</f>
        <v/>
      </c>
    </row>
    <row r="49">
      <c r="A49">
        <f>47</f>
        <v/>
      </c>
      <c r="B49">
        <f>INDEX('Draft Engine'!$A$3:$A$232,$M49)</f>
        <v/>
      </c>
      <c r="C49">
        <f>INDEX('Draft Engine'!$F$3:$F$232,$M49)</f>
        <v/>
      </c>
      <c r="D49">
        <f>INDEX('Draft Engine'!$B$3:$B$232,$M49)</f>
        <v/>
      </c>
      <c r="E49" s="4">
        <f>INDEX('Draft Engine'!$E$3:$E$232,$M49)</f>
        <v/>
      </c>
      <c r="F49">
        <f>INDEX('LIVE SOURCE'!$H$3:$H$232,$M49)</f>
        <v/>
      </c>
      <c r="G49">
        <f>INDEX('LIVE SOURCE'!$I$3:$I$232,$M49)</f>
        <v/>
      </c>
      <c r="H49">
        <f>INDEX('LIVE SOURCE'!$J$3:$J$232,$M49)</f>
        <v/>
      </c>
      <c r="I49">
        <f>INDEX('Draft Engine'!$R$3:$R$232,$M49)</f>
        <v/>
      </c>
      <c r="J49">
        <f>INDEX('Draft Engine'!$S$3:$S$232,$M49)</f>
        <v/>
      </c>
      <c r="K49">
        <f>INDEX('Draft Engine'!$T$3:$T$232,$M49)</f>
        <v/>
      </c>
      <c r="L49">
        <f>INDEX('Draft Engine'!$X$3:$X$232,$M49)</f>
        <v/>
      </c>
      <c r="M49" s="6">
        <f>MATCH($A49,'Draft Engine'!$Q$3:$Q$232,0)</f>
        <v/>
      </c>
    </row>
    <row r="50">
      <c r="A50">
        <f>48</f>
        <v/>
      </c>
      <c r="B50">
        <f>INDEX('Draft Engine'!$A$3:$A$232,$M50)</f>
        <v/>
      </c>
      <c r="C50">
        <f>INDEX('Draft Engine'!$F$3:$F$232,$M50)</f>
        <v/>
      </c>
      <c r="D50">
        <f>INDEX('Draft Engine'!$B$3:$B$232,$M50)</f>
        <v/>
      </c>
      <c r="E50" s="4">
        <f>INDEX('Draft Engine'!$E$3:$E$232,$M50)</f>
        <v/>
      </c>
      <c r="F50">
        <f>INDEX('LIVE SOURCE'!$H$3:$H$232,$M50)</f>
        <v/>
      </c>
      <c r="G50">
        <f>INDEX('LIVE SOURCE'!$I$3:$I$232,$M50)</f>
        <v/>
      </c>
      <c r="H50">
        <f>INDEX('LIVE SOURCE'!$J$3:$J$232,$M50)</f>
        <v/>
      </c>
      <c r="I50">
        <f>INDEX('Draft Engine'!$R$3:$R$232,$M50)</f>
        <v/>
      </c>
      <c r="J50">
        <f>INDEX('Draft Engine'!$S$3:$S$232,$M50)</f>
        <v/>
      </c>
      <c r="K50">
        <f>INDEX('Draft Engine'!$T$3:$T$232,$M50)</f>
        <v/>
      </c>
      <c r="L50">
        <f>INDEX('Draft Engine'!$X$3:$X$232,$M50)</f>
        <v/>
      </c>
      <c r="M50" s="6">
        <f>MATCH($A50,'Draft Engine'!$Q$3:$Q$232,0)</f>
        <v/>
      </c>
    </row>
    <row r="51">
      <c r="A51">
        <f>49</f>
        <v/>
      </c>
      <c r="B51">
        <f>INDEX('Draft Engine'!$A$3:$A$232,$M51)</f>
        <v/>
      </c>
      <c r="C51">
        <f>INDEX('Draft Engine'!$F$3:$F$232,$M51)</f>
        <v/>
      </c>
      <c r="D51">
        <f>INDEX('Draft Engine'!$B$3:$B$232,$M51)</f>
        <v/>
      </c>
      <c r="E51" s="4">
        <f>INDEX('Draft Engine'!$E$3:$E$232,$M51)</f>
        <v/>
      </c>
      <c r="F51">
        <f>INDEX('LIVE SOURCE'!$H$3:$H$232,$M51)</f>
        <v/>
      </c>
      <c r="G51">
        <f>INDEX('LIVE SOURCE'!$I$3:$I$232,$M51)</f>
        <v/>
      </c>
      <c r="H51">
        <f>INDEX('LIVE SOURCE'!$J$3:$J$232,$M51)</f>
        <v/>
      </c>
      <c r="I51">
        <f>INDEX('Draft Engine'!$R$3:$R$232,$M51)</f>
        <v/>
      </c>
      <c r="J51">
        <f>INDEX('Draft Engine'!$S$3:$S$232,$M51)</f>
        <v/>
      </c>
      <c r="K51">
        <f>INDEX('Draft Engine'!$T$3:$T$232,$M51)</f>
        <v/>
      </c>
      <c r="L51">
        <f>INDEX('Draft Engine'!$X$3:$X$232,$M51)</f>
        <v/>
      </c>
      <c r="M51" s="6">
        <f>MATCH($A51,'Draft Engine'!$Q$3:$Q$232,0)</f>
        <v/>
      </c>
    </row>
    <row r="52">
      <c r="A52">
        <f>50</f>
        <v/>
      </c>
      <c r="B52">
        <f>INDEX('Draft Engine'!$A$3:$A$232,$M52)</f>
        <v/>
      </c>
      <c r="C52">
        <f>INDEX('Draft Engine'!$F$3:$F$232,$M52)</f>
        <v/>
      </c>
      <c r="D52">
        <f>INDEX('Draft Engine'!$B$3:$B$232,$M52)</f>
        <v/>
      </c>
      <c r="E52" s="4">
        <f>INDEX('Draft Engine'!$E$3:$E$232,$M52)</f>
        <v/>
      </c>
      <c r="F52">
        <f>INDEX('LIVE SOURCE'!$H$3:$H$232,$M52)</f>
        <v/>
      </c>
      <c r="G52">
        <f>INDEX('LIVE SOURCE'!$I$3:$I$232,$M52)</f>
        <v/>
      </c>
      <c r="H52">
        <f>INDEX('LIVE SOURCE'!$J$3:$J$232,$M52)</f>
        <v/>
      </c>
      <c r="I52">
        <f>INDEX('Draft Engine'!$R$3:$R$232,$M52)</f>
        <v/>
      </c>
      <c r="J52">
        <f>INDEX('Draft Engine'!$S$3:$S$232,$M52)</f>
        <v/>
      </c>
      <c r="K52">
        <f>INDEX('Draft Engine'!$T$3:$T$232,$M52)</f>
        <v/>
      </c>
      <c r="L52">
        <f>INDEX('Draft Engine'!$X$3:$X$232,$M52)</f>
        <v/>
      </c>
      <c r="M52" s="6">
        <f>MATCH($A52,'Draft Engine'!$Q$3:$Q$232,0)</f>
        <v/>
      </c>
    </row>
    <row r="53">
      <c r="A53">
        <f>51</f>
        <v/>
      </c>
      <c r="B53">
        <f>INDEX('Draft Engine'!$A$3:$A$232,$M53)</f>
        <v/>
      </c>
      <c r="C53">
        <f>INDEX('Draft Engine'!$F$3:$F$232,$M53)</f>
        <v/>
      </c>
      <c r="D53">
        <f>INDEX('Draft Engine'!$B$3:$B$232,$M53)</f>
        <v/>
      </c>
      <c r="E53" s="4">
        <f>INDEX('Draft Engine'!$E$3:$E$232,$M53)</f>
        <v/>
      </c>
      <c r="F53">
        <f>INDEX('LIVE SOURCE'!$H$3:$H$232,$M53)</f>
        <v/>
      </c>
      <c r="G53">
        <f>INDEX('LIVE SOURCE'!$I$3:$I$232,$M53)</f>
        <v/>
      </c>
      <c r="H53">
        <f>INDEX('LIVE SOURCE'!$J$3:$J$232,$M53)</f>
        <v/>
      </c>
      <c r="I53">
        <f>INDEX('Draft Engine'!$R$3:$R$232,$M53)</f>
        <v/>
      </c>
      <c r="J53">
        <f>INDEX('Draft Engine'!$S$3:$S$232,$M53)</f>
        <v/>
      </c>
      <c r="K53">
        <f>INDEX('Draft Engine'!$T$3:$T$232,$M53)</f>
        <v/>
      </c>
      <c r="L53">
        <f>INDEX('Draft Engine'!$X$3:$X$232,$M53)</f>
        <v/>
      </c>
      <c r="M53" s="6">
        <f>MATCH($A53,'Draft Engine'!$Q$3:$Q$232,0)</f>
        <v/>
      </c>
    </row>
    <row r="54">
      <c r="A54">
        <f>52</f>
        <v/>
      </c>
      <c r="B54">
        <f>INDEX('Draft Engine'!$A$3:$A$232,$M54)</f>
        <v/>
      </c>
      <c r="C54">
        <f>INDEX('Draft Engine'!$F$3:$F$232,$M54)</f>
        <v/>
      </c>
      <c r="D54">
        <f>INDEX('Draft Engine'!$B$3:$B$232,$M54)</f>
        <v/>
      </c>
      <c r="E54" s="4">
        <f>INDEX('Draft Engine'!$E$3:$E$232,$M54)</f>
        <v/>
      </c>
      <c r="F54">
        <f>INDEX('LIVE SOURCE'!$H$3:$H$232,$M54)</f>
        <v/>
      </c>
      <c r="G54">
        <f>INDEX('LIVE SOURCE'!$I$3:$I$232,$M54)</f>
        <v/>
      </c>
      <c r="H54">
        <f>INDEX('LIVE SOURCE'!$J$3:$J$232,$M54)</f>
        <v/>
      </c>
      <c r="I54">
        <f>INDEX('Draft Engine'!$R$3:$R$232,$M54)</f>
        <v/>
      </c>
      <c r="J54">
        <f>INDEX('Draft Engine'!$S$3:$S$232,$M54)</f>
        <v/>
      </c>
      <c r="K54">
        <f>INDEX('Draft Engine'!$T$3:$T$232,$M54)</f>
        <v/>
      </c>
      <c r="L54">
        <f>INDEX('Draft Engine'!$X$3:$X$232,$M54)</f>
        <v/>
      </c>
      <c r="M54" s="6">
        <f>MATCH($A54,'Draft Engine'!$Q$3:$Q$232,0)</f>
        <v/>
      </c>
    </row>
    <row r="55">
      <c r="A55">
        <f>53</f>
        <v/>
      </c>
      <c r="B55">
        <f>INDEX('Draft Engine'!$A$3:$A$232,$M55)</f>
        <v/>
      </c>
      <c r="C55">
        <f>INDEX('Draft Engine'!$F$3:$F$232,$M55)</f>
        <v/>
      </c>
      <c r="D55">
        <f>INDEX('Draft Engine'!$B$3:$B$232,$M55)</f>
        <v/>
      </c>
      <c r="E55" s="4">
        <f>INDEX('Draft Engine'!$E$3:$E$232,$M55)</f>
        <v/>
      </c>
      <c r="F55">
        <f>INDEX('LIVE SOURCE'!$H$3:$H$232,$M55)</f>
        <v/>
      </c>
      <c r="G55">
        <f>INDEX('LIVE SOURCE'!$I$3:$I$232,$M55)</f>
        <v/>
      </c>
      <c r="H55">
        <f>INDEX('LIVE SOURCE'!$J$3:$J$232,$M55)</f>
        <v/>
      </c>
      <c r="I55">
        <f>INDEX('Draft Engine'!$R$3:$R$232,$M55)</f>
        <v/>
      </c>
      <c r="J55">
        <f>INDEX('Draft Engine'!$S$3:$S$232,$M55)</f>
        <v/>
      </c>
      <c r="K55">
        <f>INDEX('Draft Engine'!$T$3:$T$232,$M55)</f>
        <v/>
      </c>
      <c r="L55">
        <f>INDEX('Draft Engine'!$X$3:$X$232,$M55)</f>
        <v/>
      </c>
      <c r="M55" s="6">
        <f>MATCH($A55,'Draft Engine'!$Q$3:$Q$232,0)</f>
        <v/>
      </c>
    </row>
    <row r="56">
      <c r="A56">
        <f>54</f>
        <v/>
      </c>
      <c r="B56">
        <f>INDEX('Draft Engine'!$A$3:$A$232,$M56)</f>
        <v/>
      </c>
      <c r="C56">
        <f>INDEX('Draft Engine'!$F$3:$F$232,$M56)</f>
        <v/>
      </c>
      <c r="D56">
        <f>INDEX('Draft Engine'!$B$3:$B$232,$M56)</f>
        <v/>
      </c>
      <c r="E56" s="4">
        <f>INDEX('Draft Engine'!$E$3:$E$232,$M56)</f>
        <v/>
      </c>
      <c r="F56">
        <f>INDEX('LIVE SOURCE'!$H$3:$H$232,$M56)</f>
        <v/>
      </c>
      <c r="G56">
        <f>INDEX('LIVE SOURCE'!$I$3:$I$232,$M56)</f>
        <v/>
      </c>
      <c r="H56">
        <f>INDEX('LIVE SOURCE'!$J$3:$J$232,$M56)</f>
        <v/>
      </c>
      <c r="I56">
        <f>INDEX('Draft Engine'!$R$3:$R$232,$M56)</f>
        <v/>
      </c>
      <c r="J56">
        <f>INDEX('Draft Engine'!$S$3:$S$232,$M56)</f>
        <v/>
      </c>
      <c r="K56">
        <f>INDEX('Draft Engine'!$T$3:$T$232,$M56)</f>
        <v/>
      </c>
      <c r="L56">
        <f>INDEX('Draft Engine'!$X$3:$X$232,$M56)</f>
        <v/>
      </c>
      <c r="M56" s="6">
        <f>MATCH($A56,'Draft Engine'!$Q$3:$Q$232,0)</f>
        <v/>
      </c>
    </row>
    <row r="57">
      <c r="A57">
        <f>55</f>
        <v/>
      </c>
      <c r="B57">
        <f>INDEX('Draft Engine'!$A$3:$A$232,$M57)</f>
        <v/>
      </c>
      <c r="C57">
        <f>INDEX('Draft Engine'!$F$3:$F$232,$M57)</f>
        <v/>
      </c>
      <c r="D57">
        <f>INDEX('Draft Engine'!$B$3:$B$232,$M57)</f>
        <v/>
      </c>
      <c r="E57" s="4">
        <f>INDEX('Draft Engine'!$E$3:$E$232,$M57)</f>
        <v/>
      </c>
      <c r="F57">
        <f>INDEX('LIVE SOURCE'!$H$3:$H$232,$M57)</f>
        <v/>
      </c>
      <c r="G57">
        <f>INDEX('LIVE SOURCE'!$I$3:$I$232,$M57)</f>
        <v/>
      </c>
      <c r="H57">
        <f>INDEX('LIVE SOURCE'!$J$3:$J$232,$M57)</f>
        <v/>
      </c>
      <c r="I57">
        <f>INDEX('Draft Engine'!$R$3:$R$232,$M57)</f>
        <v/>
      </c>
      <c r="J57">
        <f>INDEX('Draft Engine'!$S$3:$S$232,$M57)</f>
        <v/>
      </c>
      <c r="K57">
        <f>INDEX('Draft Engine'!$T$3:$T$232,$M57)</f>
        <v/>
      </c>
      <c r="L57">
        <f>INDEX('Draft Engine'!$X$3:$X$232,$M57)</f>
        <v/>
      </c>
      <c r="M57" s="6">
        <f>MATCH($A57,'Draft Engine'!$Q$3:$Q$232,0)</f>
        <v/>
      </c>
    </row>
    <row r="58">
      <c r="A58">
        <f>56</f>
        <v/>
      </c>
      <c r="B58">
        <f>INDEX('Draft Engine'!$A$3:$A$232,$M58)</f>
        <v/>
      </c>
      <c r="C58">
        <f>INDEX('Draft Engine'!$F$3:$F$232,$M58)</f>
        <v/>
      </c>
      <c r="D58">
        <f>INDEX('Draft Engine'!$B$3:$B$232,$M58)</f>
        <v/>
      </c>
      <c r="E58" s="4">
        <f>INDEX('Draft Engine'!$E$3:$E$232,$M58)</f>
        <v/>
      </c>
      <c r="F58">
        <f>INDEX('LIVE SOURCE'!$H$3:$H$232,$M58)</f>
        <v/>
      </c>
      <c r="G58">
        <f>INDEX('LIVE SOURCE'!$I$3:$I$232,$M58)</f>
        <v/>
      </c>
      <c r="H58">
        <f>INDEX('LIVE SOURCE'!$J$3:$J$232,$M58)</f>
        <v/>
      </c>
      <c r="I58">
        <f>INDEX('Draft Engine'!$R$3:$R$232,$M58)</f>
        <v/>
      </c>
      <c r="J58">
        <f>INDEX('Draft Engine'!$S$3:$S$232,$M58)</f>
        <v/>
      </c>
      <c r="K58">
        <f>INDEX('Draft Engine'!$T$3:$T$232,$M58)</f>
        <v/>
      </c>
      <c r="L58">
        <f>INDEX('Draft Engine'!$X$3:$X$232,$M58)</f>
        <v/>
      </c>
      <c r="M58" s="6">
        <f>MATCH($A58,'Draft Engine'!$Q$3:$Q$232,0)</f>
        <v/>
      </c>
    </row>
    <row r="59">
      <c r="A59">
        <f>57</f>
        <v/>
      </c>
      <c r="B59">
        <f>INDEX('Draft Engine'!$A$3:$A$232,$M59)</f>
        <v/>
      </c>
      <c r="C59">
        <f>INDEX('Draft Engine'!$F$3:$F$232,$M59)</f>
        <v/>
      </c>
      <c r="D59">
        <f>INDEX('Draft Engine'!$B$3:$B$232,$M59)</f>
        <v/>
      </c>
      <c r="E59" s="4">
        <f>INDEX('Draft Engine'!$E$3:$E$232,$M59)</f>
        <v/>
      </c>
      <c r="F59">
        <f>INDEX('LIVE SOURCE'!$H$3:$H$232,$M59)</f>
        <v/>
      </c>
      <c r="G59">
        <f>INDEX('LIVE SOURCE'!$I$3:$I$232,$M59)</f>
        <v/>
      </c>
      <c r="H59">
        <f>INDEX('LIVE SOURCE'!$J$3:$J$232,$M59)</f>
        <v/>
      </c>
      <c r="I59">
        <f>INDEX('Draft Engine'!$R$3:$R$232,$M59)</f>
        <v/>
      </c>
      <c r="J59">
        <f>INDEX('Draft Engine'!$S$3:$S$232,$M59)</f>
        <v/>
      </c>
      <c r="K59">
        <f>INDEX('Draft Engine'!$T$3:$T$232,$M59)</f>
        <v/>
      </c>
      <c r="L59">
        <f>INDEX('Draft Engine'!$X$3:$X$232,$M59)</f>
        <v/>
      </c>
      <c r="M59" s="6">
        <f>MATCH($A59,'Draft Engine'!$Q$3:$Q$232,0)</f>
        <v/>
      </c>
    </row>
    <row r="60">
      <c r="A60">
        <f>58</f>
        <v/>
      </c>
      <c r="B60">
        <f>INDEX('Draft Engine'!$A$3:$A$232,$M60)</f>
        <v/>
      </c>
      <c r="C60">
        <f>INDEX('Draft Engine'!$F$3:$F$232,$M60)</f>
        <v/>
      </c>
      <c r="D60">
        <f>INDEX('Draft Engine'!$B$3:$B$232,$M60)</f>
        <v/>
      </c>
      <c r="E60" s="4">
        <f>INDEX('Draft Engine'!$E$3:$E$232,$M60)</f>
        <v/>
      </c>
      <c r="F60">
        <f>INDEX('LIVE SOURCE'!$H$3:$H$232,$M60)</f>
        <v/>
      </c>
      <c r="G60">
        <f>INDEX('LIVE SOURCE'!$I$3:$I$232,$M60)</f>
        <v/>
      </c>
      <c r="H60">
        <f>INDEX('LIVE SOURCE'!$J$3:$J$232,$M60)</f>
        <v/>
      </c>
      <c r="I60">
        <f>INDEX('Draft Engine'!$R$3:$R$232,$M60)</f>
        <v/>
      </c>
      <c r="J60">
        <f>INDEX('Draft Engine'!$S$3:$S$232,$M60)</f>
        <v/>
      </c>
      <c r="K60">
        <f>INDEX('Draft Engine'!$T$3:$T$232,$M60)</f>
        <v/>
      </c>
      <c r="L60">
        <f>INDEX('Draft Engine'!$X$3:$X$232,$M60)</f>
        <v/>
      </c>
      <c r="M60" s="6">
        <f>MATCH($A60,'Draft Engine'!$Q$3:$Q$232,0)</f>
        <v/>
      </c>
    </row>
    <row r="61">
      <c r="A61">
        <f>59</f>
        <v/>
      </c>
      <c r="B61">
        <f>INDEX('Draft Engine'!$A$3:$A$232,$M61)</f>
        <v/>
      </c>
      <c r="C61">
        <f>INDEX('Draft Engine'!$F$3:$F$232,$M61)</f>
        <v/>
      </c>
      <c r="D61">
        <f>INDEX('Draft Engine'!$B$3:$B$232,$M61)</f>
        <v/>
      </c>
      <c r="E61" s="4">
        <f>INDEX('Draft Engine'!$E$3:$E$232,$M61)</f>
        <v/>
      </c>
      <c r="F61">
        <f>INDEX('LIVE SOURCE'!$H$3:$H$232,$M61)</f>
        <v/>
      </c>
      <c r="G61">
        <f>INDEX('LIVE SOURCE'!$I$3:$I$232,$M61)</f>
        <v/>
      </c>
      <c r="H61">
        <f>INDEX('LIVE SOURCE'!$J$3:$J$232,$M61)</f>
        <v/>
      </c>
      <c r="I61">
        <f>INDEX('Draft Engine'!$R$3:$R$232,$M61)</f>
        <v/>
      </c>
      <c r="J61">
        <f>INDEX('Draft Engine'!$S$3:$S$232,$M61)</f>
        <v/>
      </c>
      <c r="K61">
        <f>INDEX('Draft Engine'!$T$3:$T$232,$M61)</f>
        <v/>
      </c>
      <c r="L61">
        <f>INDEX('Draft Engine'!$X$3:$X$232,$M61)</f>
        <v/>
      </c>
      <c r="M61" s="6">
        <f>MATCH($A61,'Draft Engine'!$Q$3:$Q$232,0)</f>
        <v/>
      </c>
    </row>
    <row r="62">
      <c r="A62">
        <f>60</f>
        <v/>
      </c>
      <c r="B62">
        <f>INDEX('Draft Engine'!$A$3:$A$232,$M62)</f>
        <v/>
      </c>
      <c r="C62">
        <f>INDEX('Draft Engine'!$F$3:$F$232,$M62)</f>
        <v/>
      </c>
      <c r="D62">
        <f>INDEX('Draft Engine'!$B$3:$B$232,$M62)</f>
        <v/>
      </c>
      <c r="E62" s="4">
        <f>INDEX('Draft Engine'!$E$3:$E$232,$M62)</f>
        <v/>
      </c>
      <c r="F62">
        <f>INDEX('LIVE SOURCE'!$H$3:$H$232,$M62)</f>
        <v/>
      </c>
      <c r="G62">
        <f>INDEX('LIVE SOURCE'!$I$3:$I$232,$M62)</f>
        <v/>
      </c>
      <c r="H62">
        <f>INDEX('LIVE SOURCE'!$J$3:$J$232,$M62)</f>
        <v/>
      </c>
      <c r="I62">
        <f>INDEX('Draft Engine'!$R$3:$R$232,$M62)</f>
        <v/>
      </c>
      <c r="J62">
        <f>INDEX('Draft Engine'!$S$3:$S$232,$M62)</f>
        <v/>
      </c>
      <c r="K62">
        <f>INDEX('Draft Engine'!$T$3:$T$232,$M62)</f>
        <v/>
      </c>
      <c r="L62">
        <f>INDEX('Draft Engine'!$X$3:$X$232,$M62)</f>
        <v/>
      </c>
      <c r="M62" s="6">
        <f>MATCH($A62,'Draft Engine'!$Q$3:$Q$232,0)</f>
        <v/>
      </c>
    </row>
    <row r="63">
      <c r="A63">
        <f>61</f>
        <v/>
      </c>
      <c r="B63">
        <f>INDEX('Draft Engine'!$A$3:$A$232,$M63)</f>
        <v/>
      </c>
      <c r="C63">
        <f>INDEX('Draft Engine'!$F$3:$F$232,$M63)</f>
        <v/>
      </c>
      <c r="D63">
        <f>INDEX('Draft Engine'!$B$3:$B$232,$M63)</f>
        <v/>
      </c>
      <c r="E63" s="4">
        <f>INDEX('Draft Engine'!$E$3:$E$232,$M63)</f>
        <v/>
      </c>
      <c r="F63">
        <f>INDEX('LIVE SOURCE'!$H$3:$H$232,$M63)</f>
        <v/>
      </c>
      <c r="G63">
        <f>INDEX('LIVE SOURCE'!$I$3:$I$232,$M63)</f>
        <v/>
      </c>
      <c r="H63">
        <f>INDEX('LIVE SOURCE'!$J$3:$J$232,$M63)</f>
        <v/>
      </c>
      <c r="I63">
        <f>INDEX('Draft Engine'!$R$3:$R$232,$M63)</f>
        <v/>
      </c>
      <c r="J63">
        <f>INDEX('Draft Engine'!$S$3:$S$232,$M63)</f>
        <v/>
      </c>
      <c r="K63">
        <f>INDEX('Draft Engine'!$T$3:$T$232,$M63)</f>
        <v/>
      </c>
      <c r="L63">
        <f>INDEX('Draft Engine'!$X$3:$X$232,$M63)</f>
        <v/>
      </c>
      <c r="M63" s="6">
        <f>MATCH($A63,'Draft Engine'!$Q$3:$Q$232,0)</f>
        <v/>
      </c>
    </row>
    <row r="64">
      <c r="A64">
        <f>62</f>
        <v/>
      </c>
      <c r="B64">
        <f>INDEX('Draft Engine'!$A$3:$A$232,$M64)</f>
        <v/>
      </c>
      <c r="C64">
        <f>INDEX('Draft Engine'!$F$3:$F$232,$M64)</f>
        <v/>
      </c>
      <c r="D64">
        <f>INDEX('Draft Engine'!$B$3:$B$232,$M64)</f>
        <v/>
      </c>
      <c r="E64" s="4">
        <f>INDEX('Draft Engine'!$E$3:$E$232,$M64)</f>
        <v/>
      </c>
      <c r="F64">
        <f>INDEX('LIVE SOURCE'!$H$3:$H$232,$M64)</f>
        <v/>
      </c>
      <c r="G64">
        <f>INDEX('LIVE SOURCE'!$I$3:$I$232,$M64)</f>
        <v/>
      </c>
      <c r="H64">
        <f>INDEX('LIVE SOURCE'!$J$3:$J$232,$M64)</f>
        <v/>
      </c>
      <c r="I64">
        <f>INDEX('Draft Engine'!$R$3:$R$232,$M64)</f>
        <v/>
      </c>
      <c r="J64">
        <f>INDEX('Draft Engine'!$S$3:$S$232,$M64)</f>
        <v/>
      </c>
      <c r="K64">
        <f>INDEX('Draft Engine'!$T$3:$T$232,$M64)</f>
        <v/>
      </c>
      <c r="L64">
        <f>INDEX('Draft Engine'!$X$3:$X$232,$M64)</f>
        <v/>
      </c>
      <c r="M64" s="6">
        <f>MATCH($A64,'Draft Engine'!$Q$3:$Q$232,0)</f>
        <v/>
      </c>
    </row>
    <row r="65">
      <c r="A65">
        <f>63</f>
        <v/>
      </c>
      <c r="B65">
        <f>INDEX('Draft Engine'!$A$3:$A$232,$M65)</f>
        <v/>
      </c>
      <c r="C65">
        <f>INDEX('Draft Engine'!$F$3:$F$232,$M65)</f>
        <v/>
      </c>
      <c r="D65">
        <f>INDEX('Draft Engine'!$B$3:$B$232,$M65)</f>
        <v/>
      </c>
      <c r="E65" s="4">
        <f>INDEX('Draft Engine'!$E$3:$E$232,$M65)</f>
        <v/>
      </c>
      <c r="F65">
        <f>INDEX('LIVE SOURCE'!$H$3:$H$232,$M65)</f>
        <v/>
      </c>
      <c r="G65">
        <f>INDEX('LIVE SOURCE'!$I$3:$I$232,$M65)</f>
        <v/>
      </c>
      <c r="H65">
        <f>INDEX('LIVE SOURCE'!$J$3:$J$232,$M65)</f>
        <v/>
      </c>
      <c r="I65">
        <f>INDEX('Draft Engine'!$R$3:$R$232,$M65)</f>
        <v/>
      </c>
      <c r="J65">
        <f>INDEX('Draft Engine'!$S$3:$S$232,$M65)</f>
        <v/>
      </c>
      <c r="K65">
        <f>INDEX('Draft Engine'!$T$3:$T$232,$M65)</f>
        <v/>
      </c>
      <c r="L65">
        <f>INDEX('Draft Engine'!$X$3:$X$232,$M65)</f>
        <v/>
      </c>
      <c r="M65" s="6">
        <f>MATCH($A65,'Draft Engine'!$Q$3:$Q$232,0)</f>
        <v/>
      </c>
    </row>
    <row r="66">
      <c r="A66">
        <f>64</f>
        <v/>
      </c>
      <c r="B66">
        <f>INDEX('Draft Engine'!$A$3:$A$232,$M66)</f>
        <v/>
      </c>
      <c r="C66">
        <f>INDEX('Draft Engine'!$F$3:$F$232,$M66)</f>
        <v/>
      </c>
      <c r="D66">
        <f>INDEX('Draft Engine'!$B$3:$B$232,$M66)</f>
        <v/>
      </c>
      <c r="E66" s="4">
        <f>INDEX('Draft Engine'!$E$3:$E$232,$M66)</f>
        <v/>
      </c>
      <c r="F66">
        <f>INDEX('LIVE SOURCE'!$H$3:$H$232,$M66)</f>
        <v/>
      </c>
      <c r="G66">
        <f>INDEX('LIVE SOURCE'!$I$3:$I$232,$M66)</f>
        <v/>
      </c>
      <c r="H66">
        <f>INDEX('LIVE SOURCE'!$J$3:$J$232,$M66)</f>
        <v/>
      </c>
      <c r="I66">
        <f>INDEX('Draft Engine'!$R$3:$R$232,$M66)</f>
        <v/>
      </c>
      <c r="J66">
        <f>INDEX('Draft Engine'!$S$3:$S$232,$M66)</f>
        <v/>
      </c>
      <c r="K66">
        <f>INDEX('Draft Engine'!$T$3:$T$232,$M66)</f>
        <v/>
      </c>
      <c r="L66">
        <f>INDEX('Draft Engine'!$X$3:$X$232,$M66)</f>
        <v/>
      </c>
      <c r="M66" s="6">
        <f>MATCH($A66,'Draft Engine'!$Q$3:$Q$232,0)</f>
        <v/>
      </c>
    </row>
    <row r="67">
      <c r="A67">
        <f>65</f>
        <v/>
      </c>
      <c r="B67">
        <f>INDEX('Draft Engine'!$A$3:$A$232,$M67)</f>
        <v/>
      </c>
      <c r="C67">
        <f>INDEX('Draft Engine'!$F$3:$F$232,$M67)</f>
        <v/>
      </c>
      <c r="D67">
        <f>INDEX('Draft Engine'!$B$3:$B$232,$M67)</f>
        <v/>
      </c>
      <c r="E67" s="4">
        <f>INDEX('Draft Engine'!$E$3:$E$232,$M67)</f>
        <v/>
      </c>
      <c r="F67">
        <f>INDEX('LIVE SOURCE'!$H$3:$H$232,$M67)</f>
        <v/>
      </c>
      <c r="G67">
        <f>INDEX('LIVE SOURCE'!$I$3:$I$232,$M67)</f>
        <v/>
      </c>
      <c r="H67">
        <f>INDEX('LIVE SOURCE'!$J$3:$J$232,$M67)</f>
        <v/>
      </c>
      <c r="I67">
        <f>INDEX('Draft Engine'!$R$3:$R$232,$M67)</f>
        <v/>
      </c>
      <c r="J67">
        <f>INDEX('Draft Engine'!$S$3:$S$232,$M67)</f>
        <v/>
      </c>
      <c r="K67">
        <f>INDEX('Draft Engine'!$T$3:$T$232,$M67)</f>
        <v/>
      </c>
      <c r="L67">
        <f>INDEX('Draft Engine'!$X$3:$X$232,$M67)</f>
        <v/>
      </c>
      <c r="M67" s="6">
        <f>MATCH($A67,'Draft Engine'!$Q$3:$Q$232,0)</f>
        <v/>
      </c>
    </row>
    <row r="68">
      <c r="A68">
        <f>66</f>
        <v/>
      </c>
      <c r="B68">
        <f>INDEX('Draft Engine'!$A$3:$A$232,$M68)</f>
        <v/>
      </c>
      <c r="C68">
        <f>INDEX('Draft Engine'!$F$3:$F$232,$M68)</f>
        <v/>
      </c>
      <c r="D68">
        <f>INDEX('Draft Engine'!$B$3:$B$232,$M68)</f>
        <v/>
      </c>
      <c r="E68" s="4">
        <f>INDEX('Draft Engine'!$E$3:$E$232,$M68)</f>
        <v/>
      </c>
      <c r="F68">
        <f>INDEX('LIVE SOURCE'!$H$3:$H$232,$M68)</f>
        <v/>
      </c>
      <c r="G68">
        <f>INDEX('LIVE SOURCE'!$I$3:$I$232,$M68)</f>
        <v/>
      </c>
      <c r="H68">
        <f>INDEX('LIVE SOURCE'!$J$3:$J$232,$M68)</f>
        <v/>
      </c>
      <c r="I68">
        <f>INDEX('Draft Engine'!$R$3:$R$232,$M68)</f>
        <v/>
      </c>
      <c r="J68">
        <f>INDEX('Draft Engine'!$S$3:$S$232,$M68)</f>
        <v/>
      </c>
      <c r="K68">
        <f>INDEX('Draft Engine'!$T$3:$T$232,$M68)</f>
        <v/>
      </c>
      <c r="L68">
        <f>INDEX('Draft Engine'!$X$3:$X$232,$M68)</f>
        <v/>
      </c>
      <c r="M68" s="6">
        <f>MATCH($A68,'Draft Engine'!$Q$3:$Q$232,0)</f>
        <v/>
      </c>
    </row>
    <row r="69">
      <c r="A69">
        <f>67</f>
        <v/>
      </c>
      <c r="B69">
        <f>INDEX('Draft Engine'!$A$3:$A$232,$M69)</f>
        <v/>
      </c>
      <c r="C69">
        <f>INDEX('Draft Engine'!$F$3:$F$232,$M69)</f>
        <v/>
      </c>
      <c r="D69">
        <f>INDEX('Draft Engine'!$B$3:$B$232,$M69)</f>
        <v/>
      </c>
      <c r="E69" s="4">
        <f>INDEX('Draft Engine'!$E$3:$E$232,$M69)</f>
        <v/>
      </c>
      <c r="F69">
        <f>INDEX('LIVE SOURCE'!$H$3:$H$232,$M69)</f>
        <v/>
      </c>
      <c r="G69">
        <f>INDEX('LIVE SOURCE'!$I$3:$I$232,$M69)</f>
        <v/>
      </c>
      <c r="H69">
        <f>INDEX('LIVE SOURCE'!$J$3:$J$232,$M69)</f>
        <v/>
      </c>
      <c r="I69">
        <f>INDEX('Draft Engine'!$R$3:$R$232,$M69)</f>
        <v/>
      </c>
      <c r="J69">
        <f>INDEX('Draft Engine'!$S$3:$S$232,$M69)</f>
        <v/>
      </c>
      <c r="K69">
        <f>INDEX('Draft Engine'!$T$3:$T$232,$M69)</f>
        <v/>
      </c>
      <c r="L69">
        <f>INDEX('Draft Engine'!$X$3:$X$232,$M69)</f>
        <v/>
      </c>
      <c r="M69" s="6">
        <f>MATCH($A69,'Draft Engine'!$Q$3:$Q$232,0)</f>
        <v/>
      </c>
    </row>
    <row r="70">
      <c r="A70">
        <f>68</f>
        <v/>
      </c>
      <c r="B70">
        <f>INDEX('Draft Engine'!$A$3:$A$232,$M70)</f>
        <v/>
      </c>
      <c r="C70">
        <f>INDEX('Draft Engine'!$F$3:$F$232,$M70)</f>
        <v/>
      </c>
      <c r="D70">
        <f>INDEX('Draft Engine'!$B$3:$B$232,$M70)</f>
        <v/>
      </c>
      <c r="E70" s="4">
        <f>INDEX('Draft Engine'!$E$3:$E$232,$M70)</f>
        <v/>
      </c>
      <c r="F70">
        <f>INDEX('LIVE SOURCE'!$H$3:$H$232,$M70)</f>
        <v/>
      </c>
      <c r="G70">
        <f>INDEX('LIVE SOURCE'!$I$3:$I$232,$M70)</f>
        <v/>
      </c>
      <c r="H70">
        <f>INDEX('LIVE SOURCE'!$J$3:$J$232,$M70)</f>
        <v/>
      </c>
      <c r="I70">
        <f>INDEX('Draft Engine'!$R$3:$R$232,$M70)</f>
        <v/>
      </c>
      <c r="J70">
        <f>INDEX('Draft Engine'!$S$3:$S$232,$M70)</f>
        <v/>
      </c>
      <c r="K70">
        <f>INDEX('Draft Engine'!$T$3:$T$232,$M70)</f>
        <v/>
      </c>
      <c r="L70">
        <f>INDEX('Draft Engine'!$X$3:$X$232,$M70)</f>
        <v/>
      </c>
      <c r="M70" s="6">
        <f>MATCH($A70,'Draft Engine'!$Q$3:$Q$232,0)</f>
        <v/>
      </c>
    </row>
    <row r="71">
      <c r="A71">
        <f>69</f>
        <v/>
      </c>
      <c r="B71">
        <f>INDEX('Draft Engine'!$A$3:$A$232,$M71)</f>
        <v/>
      </c>
      <c r="C71">
        <f>INDEX('Draft Engine'!$F$3:$F$232,$M71)</f>
        <v/>
      </c>
      <c r="D71">
        <f>INDEX('Draft Engine'!$B$3:$B$232,$M71)</f>
        <v/>
      </c>
      <c r="E71" s="4">
        <f>INDEX('Draft Engine'!$E$3:$E$232,$M71)</f>
        <v/>
      </c>
      <c r="F71">
        <f>INDEX('LIVE SOURCE'!$H$3:$H$232,$M71)</f>
        <v/>
      </c>
      <c r="G71">
        <f>INDEX('LIVE SOURCE'!$I$3:$I$232,$M71)</f>
        <v/>
      </c>
      <c r="H71">
        <f>INDEX('LIVE SOURCE'!$J$3:$J$232,$M71)</f>
        <v/>
      </c>
      <c r="I71">
        <f>INDEX('Draft Engine'!$R$3:$R$232,$M71)</f>
        <v/>
      </c>
      <c r="J71">
        <f>INDEX('Draft Engine'!$S$3:$S$232,$M71)</f>
        <v/>
      </c>
      <c r="K71">
        <f>INDEX('Draft Engine'!$T$3:$T$232,$M71)</f>
        <v/>
      </c>
      <c r="L71">
        <f>INDEX('Draft Engine'!$X$3:$X$232,$M71)</f>
        <v/>
      </c>
      <c r="M71" s="6">
        <f>MATCH($A71,'Draft Engine'!$Q$3:$Q$232,0)</f>
        <v/>
      </c>
    </row>
    <row r="72">
      <c r="A72">
        <f>70</f>
        <v/>
      </c>
      <c r="B72">
        <f>INDEX('Draft Engine'!$A$3:$A$232,$M72)</f>
        <v/>
      </c>
      <c r="C72">
        <f>INDEX('Draft Engine'!$F$3:$F$232,$M72)</f>
        <v/>
      </c>
      <c r="D72">
        <f>INDEX('Draft Engine'!$B$3:$B$232,$M72)</f>
        <v/>
      </c>
      <c r="E72" s="4">
        <f>INDEX('Draft Engine'!$E$3:$E$232,$M72)</f>
        <v/>
      </c>
      <c r="F72">
        <f>INDEX('LIVE SOURCE'!$H$3:$H$232,$M72)</f>
        <v/>
      </c>
      <c r="G72">
        <f>INDEX('LIVE SOURCE'!$I$3:$I$232,$M72)</f>
        <v/>
      </c>
      <c r="H72">
        <f>INDEX('LIVE SOURCE'!$J$3:$J$232,$M72)</f>
        <v/>
      </c>
      <c r="I72">
        <f>INDEX('Draft Engine'!$R$3:$R$232,$M72)</f>
        <v/>
      </c>
      <c r="J72">
        <f>INDEX('Draft Engine'!$S$3:$S$232,$M72)</f>
        <v/>
      </c>
      <c r="K72">
        <f>INDEX('Draft Engine'!$T$3:$T$232,$M72)</f>
        <v/>
      </c>
      <c r="L72">
        <f>INDEX('Draft Engine'!$X$3:$X$232,$M72)</f>
        <v/>
      </c>
      <c r="M72" s="6">
        <f>MATCH($A72,'Draft Engine'!$Q$3:$Q$232,0)</f>
        <v/>
      </c>
    </row>
    <row r="73">
      <c r="A73">
        <f>71</f>
        <v/>
      </c>
      <c r="B73">
        <f>INDEX('Draft Engine'!$A$3:$A$232,$M73)</f>
        <v/>
      </c>
      <c r="C73">
        <f>INDEX('Draft Engine'!$F$3:$F$232,$M73)</f>
        <v/>
      </c>
      <c r="D73">
        <f>INDEX('Draft Engine'!$B$3:$B$232,$M73)</f>
        <v/>
      </c>
      <c r="E73" s="4">
        <f>INDEX('Draft Engine'!$E$3:$E$232,$M73)</f>
        <v/>
      </c>
      <c r="F73">
        <f>INDEX('LIVE SOURCE'!$H$3:$H$232,$M73)</f>
        <v/>
      </c>
      <c r="G73">
        <f>INDEX('LIVE SOURCE'!$I$3:$I$232,$M73)</f>
        <v/>
      </c>
      <c r="H73">
        <f>INDEX('LIVE SOURCE'!$J$3:$J$232,$M73)</f>
        <v/>
      </c>
      <c r="I73">
        <f>INDEX('Draft Engine'!$R$3:$R$232,$M73)</f>
        <v/>
      </c>
      <c r="J73">
        <f>INDEX('Draft Engine'!$S$3:$S$232,$M73)</f>
        <v/>
      </c>
      <c r="K73">
        <f>INDEX('Draft Engine'!$T$3:$T$232,$M73)</f>
        <v/>
      </c>
      <c r="L73">
        <f>INDEX('Draft Engine'!$X$3:$X$232,$M73)</f>
        <v/>
      </c>
      <c r="M73" s="6">
        <f>MATCH($A73,'Draft Engine'!$Q$3:$Q$232,0)</f>
        <v/>
      </c>
    </row>
    <row r="74">
      <c r="A74">
        <f>72</f>
        <v/>
      </c>
      <c r="B74">
        <f>INDEX('Draft Engine'!$A$3:$A$232,$M74)</f>
        <v/>
      </c>
      <c r="C74">
        <f>INDEX('Draft Engine'!$F$3:$F$232,$M74)</f>
        <v/>
      </c>
      <c r="D74">
        <f>INDEX('Draft Engine'!$B$3:$B$232,$M74)</f>
        <v/>
      </c>
      <c r="E74" s="4">
        <f>INDEX('Draft Engine'!$E$3:$E$232,$M74)</f>
        <v/>
      </c>
      <c r="F74">
        <f>INDEX('LIVE SOURCE'!$H$3:$H$232,$M74)</f>
        <v/>
      </c>
      <c r="G74">
        <f>INDEX('LIVE SOURCE'!$I$3:$I$232,$M74)</f>
        <v/>
      </c>
      <c r="H74">
        <f>INDEX('LIVE SOURCE'!$J$3:$J$232,$M74)</f>
        <v/>
      </c>
      <c r="I74">
        <f>INDEX('Draft Engine'!$R$3:$R$232,$M74)</f>
        <v/>
      </c>
      <c r="J74">
        <f>INDEX('Draft Engine'!$S$3:$S$232,$M74)</f>
        <v/>
      </c>
      <c r="K74">
        <f>INDEX('Draft Engine'!$T$3:$T$232,$M74)</f>
        <v/>
      </c>
      <c r="L74">
        <f>INDEX('Draft Engine'!$X$3:$X$232,$M74)</f>
        <v/>
      </c>
      <c r="M74" s="6">
        <f>MATCH($A74,'Draft Engine'!$Q$3:$Q$232,0)</f>
        <v/>
      </c>
    </row>
    <row r="75">
      <c r="A75">
        <f>73</f>
        <v/>
      </c>
      <c r="B75">
        <f>INDEX('Draft Engine'!$A$3:$A$232,$M75)</f>
        <v/>
      </c>
      <c r="C75">
        <f>INDEX('Draft Engine'!$F$3:$F$232,$M75)</f>
        <v/>
      </c>
      <c r="D75">
        <f>INDEX('Draft Engine'!$B$3:$B$232,$M75)</f>
        <v/>
      </c>
      <c r="E75" s="4">
        <f>INDEX('Draft Engine'!$E$3:$E$232,$M75)</f>
        <v/>
      </c>
      <c r="F75">
        <f>INDEX('LIVE SOURCE'!$H$3:$H$232,$M75)</f>
        <v/>
      </c>
      <c r="G75">
        <f>INDEX('LIVE SOURCE'!$I$3:$I$232,$M75)</f>
        <v/>
      </c>
      <c r="H75">
        <f>INDEX('LIVE SOURCE'!$J$3:$J$232,$M75)</f>
        <v/>
      </c>
      <c r="I75">
        <f>INDEX('Draft Engine'!$R$3:$R$232,$M75)</f>
        <v/>
      </c>
      <c r="J75">
        <f>INDEX('Draft Engine'!$S$3:$S$232,$M75)</f>
        <v/>
      </c>
      <c r="K75">
        <f>INDEX('Draft Engine'!$T$3:$T$232,$M75)</f>
        <v/>
      </c>
      <c r="L75">
        <f>INDEX('Draft Engine'!$X$3:$X$232,$M75)</f>
        <v/>
      </c>
      <c r="M75" s="6">
        <f>MATCH($A75,'Draft Engine'!$Q$3:$Q$232,0)</f>
        <v/>
      </c>
    </row>
    <row r="76">
      <c r="A76">
        <f>74</f>
        <v/>
      </c>
      <c r="B76">
        <f>INDEX('Draft Engine'!$A$3:$A$232,$M76)</f>
        <v/>
      </c>
      <c r="C76">
        <f>INDEX('Draft Engine'!$F$3:$F$232,$M76)</f>
        <v/>
      </c>
      <c r="D76">
        <f>INDEX('Draft Engine'!$B$3:$B$232,$M76)</f>
        <v/>
      </c>
      <c r="E76" s="4">
        <f>INDEX('Draft Engine'!$E$3:$E$232,$M76)</f>
        <v/>
      </c>
      <c r="F76">
        <f>INDEX('LIVE SOURCE'!$H$3:$H$232,$M76)</f>
        <v/>
      </c>
      <c r="G76">
        <f>INDEX('LIVE SOURCE'!$I$3:$I$232,$M76)</f>
        <v/>
      </c>
      <c r="H76">
        <f>INDEX('LIVE SOURCE'!$J$3:$J$232,$M76)</f>
        <v/>
      </c>
      <c r="I76">
        <f>INDEX('Draft Engine'!$R$3:$R$232,$M76)</f>
        <v/>
      </c>
      <c r="J76">
        <f>INDEX('Draft Engine'!$S$3:$S$232,$M76)</f>
        <v/>
      </c>
      <c r="K76">
        <f>INDEX('Draft Engine'!$T$3:$T$232,$M76)</f>
        <v/>
      </c>
      <c r="L76">
        <f>INDEX('Draft Engine'!$X$3:$X$232,$M76)</f>
        <v/>
      </c>
      <c r="M76" s="6">
        <f>MATCH($A76,'Draft Engine'!$Q$3:$Q$232,0)</f>
        <v/>
      </c>
    </row>
    <row r="77">
      <c r="A77">
        <f>75</f>
        <v/>
      </c>
      <c r="B77">
        <f>INDEX('Draft Engine'!$A$3:$A$232,$M77)</f>
        <v/>
      </c>
      <c r="C77">
        <f>INDEX('Draft Engine'!$F$3:$F$232,$M77)</f>
        <v/>
      </c>
      <c r="D77">
        <f>INDEX('Draft Engine'!$B$3:$B$232,$M77)</f>
        <v/>
      </c>
      <c r="E77" s="4">
        <f>INDEX('Draft Engine'!$E$3:$E$232,$M77)</f>
        <v/>
      </c>
      <c r="F77">
        <f>INDEX('LIVE SOURCE'!$H$3:$H$232,$M77)</f>
        <v/>
      </c>
      <c r="G77">
        <f>INDEX('LIVE SOURCE'!$I$3:$I$232,$M77)</f>
        <v/>
      </c>
      <c r="H77">
        <f>INDEX('LIVE SOURCE'!$J$3:$J$232,$M77)</f>
        <v/>
      </c>
      <c r="I77">
        <f>INDEX('Draft Engine'!$R$3:$R$232,$M77)</f>
        <v/>
      </c>
      <c r="J77">
        <f>INDEX('Draft Engine'!$S$3:$S$232,$M77)</f>
        <v/>
      </c>
      <c r="K77">
        <f>INDEX('Draft Engine'!$T$3:$T$232,$M77)</f>
        <v/>
      </c>
      <c r="L77">
        <f>INDEX('Draft Engine'!$X$3:$X$232,$M77)</f>
        <v/>
      </c>
      <c r="M77" s="6">
        <f>MATCH($A77,'Draft Engine'!$Q$3:$Q$232,0)</f>
        <v/>
      </c>
    </row>
    <row r="78">
      <c r="A78">
        <f>76</f>
        <v/>
      </c>
      <c r="B78">
        <f>INDEX('Draft Engine'!$A$3:$A$232,$M78)</f>
        <v/>
      </c>
      <c r="C78">
        <f>INDEX('Draft Engine'!$F$3:$F$232,$M78)</f>
        <v/>
      </c>
      <c r="D78">
        <f>INDEX('Draft Engine'!$B$3:$B$232,$M78)</f>
        <v/>
      </c>
      <c r="E78" s="4">
        <f>INDEX('Draft Engine'!$E$3:$E$232,$M78)</f>
        <v/>
      </c>
      <c r="F78">
        <f>INDEX('LIVE SOURCE'!$H$3:$H$232,$M78)</f>
        <v/>
      </c>
      <c r="G78">
        <f>INDEX('LIVE SOURCE'!$I$3:$I$232,$M78)</f>
        <v/>
      </c>
      <c r="H78">
        <f>INDEX('LIVE SOURCE'!$J$3:$J$232,$M78)</f>
        <v/>
      </c>
      <c r="I78">
        <f>INDEX('Draft Engine'!$R$3:$R$232,$M78)</f>
        <v/>
      </c>
      <c r="J78">
        <f>INDEX('Draft Engine'!$S$3:$S$232,$M78)</f>
        <v/>
      </c>
      <c r="K78">
        <f>INDEX('Draft Engine'!$T$3:$T$232,$M78)</f>
        <v/>
      </c>
      <c r="L78">
        <f>INDEX('Draft Engine'!$X$3:$X$232,$M78)</f>
        <v/>
      </c>
      <c r="M78" s="6">
        <f>MATCH($A78,'Draft Engine'!$Q$3:$Q$232,0)</f>
        <v/>
      </c>
    </row>
    <row r="79">
      <c r="A79">
        <f>77</f>
        <v/>
      </c>
      <c r="B79">
        <f>INDEX('Draft Engine'!$A$3:$A$232,$M79)</f>
        <v/>
      </c>
      <c r="C79">
        <f>INDEX('Draft Engine'!$F$3:$F$232,$M79)</f>
        <v/>
      </c>
      <c r="D79">
        <f>INDEX('Draft Engine'!$B$3:$B$232,$M79)</f>
        <v/>
      </c>
      <c r="E79" s="4">
        <f>INDEX('Draft Engine'!$E$3:$E$232,$M79)</f>
        <v/>
      </c>
      <c r="F79">
        <f>INDEX('LIVE SOURCE'!$H$3:$H$232,$M79)</f>
        <v/>
      </c>
      <c r="G79">
        <f>INDEX('LIVE SOURCE'!$I$3:$I$232,$M79)</f>
        <v/>
      </c>
      <c r="H79">
        <f>INDEX('LIVE SOURCE'!$J$3:$J$232,$M79)</f>
        <v/>
      </c>
      <c r="I79">
        <f>INDEX('Draft Engine'!$R$3:$R$232,$M79)</f>
        <v/>
      </c>
      <c r="J79">
        <f>INDEX('Draft Engine'!$S$3:$S$232,$M79)</f>
        <v/>
      </c>
      <c r="K79">
        <f>INDEX('Draft Engine'!$T$3:$T$232,$M79)</f>
        <v/>
      </c>
      <c r="L79">
        <f>INDEX('Draft Engine'!$X$3:$X$232,$M79)</f>
        <v/>
      </c>
      <c r="M79" s="6">
        <f>MATCH($A79,'Draft Engine'!$Q$3:$Q$232,0)</f>
        <v/>
      </c>
    </row>
    <row r="80">
      <c r="A80">
        <f>78</f>
        <v/>
      </c>
      <c r="B80">
        <f>INDEX('Draft Engine'!$A$3:$A$232,$M80)</f>
        <v/>
      </c>
      <c r="C80">
        <f>INDEX('Draft Engine'!$F$3:$F$232,$M80)</f>
        <v/>
      </c>
      <c r="D80">
        <f>INDEX('Draft Engine'!$B$3:$B$232,$M80)</f>
        <v/>
      </c>
      <c r="E80" s="4">
        <f>INDEX('Draft Engine'!$E$3:$E$232,$M80)</f>
        <v/>
      </c>
      <c r="F80">
        <f>INDEX('LIVE SOURCE'!$H$3:$H$232,$M80)</f>
        <v/>
      </c>
      <c r="G80">
        <f>INDEX('LIVE SOURCE'!$I$3:$I$232,$M80)</f>
        <v/>
      </c>
      <c r="H80">
        <f>INDEX('LIVE SOURCE'!$J$3:$J$232,$M80)</f>
        <v/>
      </c>
      <c r="I80">
        <f>INDEX('Draft Engine'!$R$3:$R$232,$M80)</f>
        <v/>
      </c>
      <c r="J80">
        <f>INDEX('Draft Engine'!$S$3:$S$232,$M80)</f>
        <v/>
      </c>
      <c r="K80">
        <f>INDEX('Draft Engine'!$T$3:$T$232,$M80)</f>
        <v/>
      </c>
      <c r="L80">
        <f>INDEX('Draft Engine'!$X$3:$X$232,$M80)</f>
        <v/>
      </c>
      <c r="M80" s="6">
        <f>MATCH($A80,'Draft Engine'!$Q$3:$Q$232,0)</f>
        <v/>
      </c>
    </row>
    <row r="81">
      <c r="A81">
        <f>79</f>
        <v/>
      </c>
      <c r="B81">
        <f>INDEX('Draft Engine'!$A$3:$A$232,$M81)</f>
        <v/>
      </c>
      <c r="C81">
        <f>INDEX('Draft Engine'!$F$3:$F$232,$M81)</f>
        <v/>
      </c>
      <c r="D81">
        <f>INDEX('Draft Engine'!$B$3:$B$232,$M81)</f>
        <v/>
      </c>
      <c r="E81" s="4">
        <f>INDEX('Draft Engine'!$E$3:$E$232,$M81)</f>
        <v/>
      </c>
      <c r="F81">
        <f>INDEX('LIVE SOURCE'!$H$3:$H$232,$M81)</f>
        <v/>
      </c>
      <c r="G81">
        <f>INDEX('LIVE SOURCE'!$I$3:$I$232,$M81)</f>
        <v/>
      </c>
      <c r="H81">
        <f>INDEX('LIVE SOURCE'!$J$3:$J$232,$M81)</f>
        <v/>
      </c>
      <c r="I81">
        <f>INDEX('Draft Engine'!$R$3:$R$232,$M81)</f>
        <v/>
      </c>
      <c r="J81">
        <f>INDEX('Draft Engine'!$S$3:$S$232,$M81)</f>
        <v/>
      </c>
      <c r="K81">
        <f>INDEX('Draft Engine'!$T$3:$T$232,$M81)</f>
        <v/>
      </c>
      <c r="L81">
        <f>INDEX('Draft Engine'!$X$3:$X$232,$M81)</f>
        <v/>
      </c>
      <c r="M81" s="6">
        <f>MATCH($A81,'Draft Engine'!$Q$3:$Q$232,0)</f>
        <v/>
      </c>
    </row>
    <row r="82">
      <c r="A82">
        <f>80</f>
        <v/>
      </c>
      <c r="B82">
        <f>INDEX('Draft Engine'!$A$3:$A$232,$M82)</f>
        <v/>
      </c>
      <c r="C82">
        <f>INDEX('Draft Engine'!$F$3:$F$232,$M82)</f>
        <v/>
      </c>
      <c r="D82">
        <f>INDEX('Draft Engine'!$B$3:$B$232,$M82)</f>
        <v/>
      </c>
      <c r="E82" s="4">
        <f>INDEX('Draft Engine'!$E$3:$E$232,$M82)</f>
        <v/>
      </c>
      <c r="F82">
        <f>INDEX('LIVE SOURCE'!$H$3:$H$232,$M82)</f>
        <v/>
      </c>
      <c r="G82">
        <f>INDEX('LIVE SOURCE'!$I$3:$I$232,$M82)</f>
        <v/>
      </c>
      <c r="H82">
        <f>INDEX('LIVE SOURCE'!$J$3:$J$232,$M82)</f>
        <v/>
      </c>
      <c r="I82">
        <f>INDEX('Draft Engine'!$R$3:$R$232,$M82)</f>
        <v/>
      </c>
      <c r="J82">
        <f>INDEX('Draft Engine'!$S$3:$S$232,$M82)</f>
        <v/>
      </c>
      <c r="K82">
        <f>INDEX('Draft Engine'!$T$3:$T$232,$M82)</f>
        <v/>
      </c>
      <c r="L82">
        <f>INDEX('Draft Engine'!$X$3:$X$232,$M82)</f>
        <v/>
      </c>
      <c r="M82" s="6">
        <f>MATCH($A82,'Draft Engine'!$Q$3:$Q$232,0)</f>
        <v/>
      </c>
    </row>
    <row r="83">
      <c r="A83">
        <f>81</f>
        <v/>
      </c>
      <c r="B83">
        <f>INDEX('Draft Engine'!$A$3:$A$232,$M83)</f>
        <v/>
      </c>
      <c r="C83">
        <f>INDEX('Draft Engine'!$F$3:$F$232,$M83)</f>
        <v/>
      </c>
      <c r="D83">
        <f>INDEX('Draft Engine'!$B$3:$B$232,$M83)</f>
        <v/>
      </c>
      <c r="E83" s="4">
        <f>INDEX('Draft Engine'!$E$3:$E$232,$M83)</f>
        <v/>
      </c>
      <c r="F83">
        <f>INDEX('LIVE SOURCE'!$H$3:$H$232,$M83)</f>
        <v/>
      </c>
      <c r="G83">
        <f>INDEX('LIVE SOURCE'!$I$3:$I$232,$M83)</f>
        <v/>
      </c>
      <c r="H83">
        <f>INDEX('LIVE SOURCE'!$J$3:$J$232,$M83)</f>
        <v/>
      </c>
      <c r="I83">
        <f>INDEX('Draft Engine'!$R$3:$R$232,$M83)</f>
        <v/>
      </c>
      <c r="J83">
        <f>INDEX('Draft Engine'!$S$3:$S$232,$M83)</f>
        <v/>
      </c>
      <c r="K83">
        <f>INDEX('Draft Engine'!$T$3:$T$232,$M83)</f>
        <v/>
      </c>
      <c r="L83">
        <f>INDEX('Draft Engine'!$X$3:$X$232,$M83)</f>
        <v/>
      </c>
      <c r="M83" s="6">
        <f>MATCH($A83,'Draft Engine'!$Q$3:$Q$232,0)</f>
        <v/>
      </c>
    </row>
    <row r="84">
      <c r="A84">
        <f>82</f>
        <v/>
      </c>
      <c r="B84">
        <f>INDEX('Draft Engine'!$A$3:$A$232,$M84)</f>
        <v/>
      </c>
      <c r="C84">
        <f>INDEX('Draft Engine'!$F$3:$F$232,$M84)</f>
        <v/>
      </c>
      <c r="D84">
        <f>INDEX('Draft Engine'!$B$3:$B$232,$M84)</f>
        <v/>
      </c>
      <c r="E84" s="4">
        <f>INDEX('Draft Engine'!$E$3:$E$232,$M84)</f>
        <v/>
      </c>
      <c r="F84">
        <f>INDEX('LIVE SOURCE'!$H$3:$H$232,$M84)</f>
        <v/>
      </c>
      <c r="G84">
        <f>INDEX('LIVE SOURCE'!$I$3:$I$232,$M84)</f>
        <v/>
      </c>
      <c r="H84">
        <f>INDEX('LIVE SOURCE'!$J$3:$J$232,$M84)</f>
        <v/>
      </c>
      <c r="I84">
        <f>INDEX('Draft Engine'!$R$3:$R$232,$M84)</f>
        <v/>
      </c>
      <c r="J84">
        <f>INDEX('Draft Engine'!$S$3:$S$232,$M84)</f>
        <v/>
      </c>
      <c r="K84">
        <f>INDEX('Draft Engine'!$T$3:$T$232,$M84)</f>
        <v/>
      </c>
      <c r="L84">
        <f>INDEX('Draft Engine'!$X$3:$X$232,$M84)</f>
        <v/>
      </c>
      <c r="M84" s="6">
        <f>MATCH($A84,'Draft Engine'!$Q$3:$Q$232,0)</f>
        <v/>
      </c>
    </row>
    <row r="85">
      <c r="A85">
        <f>83</f>
        <v/>
      </c>
      <c r="B85">
        <f>INDEX('Draft Engine'!$A$3:$A$232,$M85)</f>
        <v/>
      </c>
      <c r="C85">
        <f>INDEX('Draft Engine'!$F$3:$F$232,$M85)</f>
        <v/>
      </c>
      <c r="D85">
        <f>INDEX('Draft Engine'!$B$3:$B$232,$M85)</f>
        <v/>
      </c>
      <c r="E85" s="4">
        <f>INDEX('Draft Engine'!$E$3:$E$232,$M85)</f>
        <v/>
      </c>
      <c r="F85">
        <f>INDEX('LIVE SOURCE'!$H$3:$H$232,$M85)</f>
        <v/>
      </c>
      <c r="G85">
        <f>INDEX('LIVE SOURCE'!$I$3:$I$232,$M85)</f>
        <v/>
      </c>
      <c r="H85">
        <f>INDEX('LIVE SOURCE'!$J$3:$J$232,$M85)</f>
        <v/>
      </c>
      <c r="I85">
        <f>INDEX('Draft Engine'!$R$3:$R$232,$M85)</f>
        <v/>
      </c>
      <c r="J85">
        <f>INDEX('Draft Engine'!$S$3:$S$232,$M85)</f>
        <v/>
      </c>
      <c r="K85">
        <f>INDEX('Draft Engine'!$T$3:$T$232,$M85)</f>
        <v/>
      </c>
      <c r="L85">
        <f>INDEX('Draft Engine'!$X$3:$X$232,$M85)</f>
        <v/>
      </c>
      <c r="M85" s="6">
        <f>MATCH($A85,'Draft Engine'!$Q$3:$Q$232,0)</f>
        <v/>
      </c>
    </row>
    <row r="86">
      <c r="A86">
        <f>84</f>
        <v/>
      </c>
      <c r="B86">
        <f>INDEX('Draft Engine'!$A$3:$A$232,$M86)</f>
        <v/>
      </c>
      <c r="C86">
        <f>INDEX('Draft Engine'!$F$3:$F$232,$M86)</f>
        <v/>
      </c>
      <c r="D86">
        <f>INDEX('Draft Engine'!$B$3:$B$232,$M86)</f>
        <v/>
      </c>
      <c r="E86" s="4">
        <f>INDEX('Draft Engine'!$E$3:$E$232,$M86)</f>
        <v/>
      </c>
      <c r="F86">
        <f>INDEX('LIVE SOURCE'!$H$3:$H$232,$M86)</f>
        <v/>
      </c>
      <c r="G86">
        <f>INDEX('LIVE SOURCE'!$I$3:$I$232,$M86)</f>
        <v/>
      </c>
      <c r="H86">
        <f>INDEX('LIVE SOURCE'!$J$3:$J$232,$M86)</f>
        <v/>
      </c>
      <c r="I86">
        <f>INDEX('Draft Engine'!$R$3:$R$232,$M86)</f>
        <v/>
      </c>
      <c r="J86">
        <f>INDEX('Draft Engine'!$S$3:$S$232,$M86)</f>
        <v/>
      </c>
      <c r="K86">
        <f>INDEX('Draft Engine'!$T$3:$T$232,$M86)</f>
        <v/>
      </c>
      <c r="L86">
        <f>INDEX('Draft Engine'!$X$3:$X$232,$M86)</f>
        <v/>
      </c>
      <c r="M86" s="6">
        <f>MATCH($A86,'Draft Engine'!$Q$3:$Q$232,0)</f>
        <v/>
      </c>
    </row>
    <row r="87">
      <c r="A87">
        <f>85</f>
        <v/>
      </c>
      <c r="B87">
        <f>INDEX('Draft Engine'!$A$3:$A$232,$M87)</f>
        <v/>
      </c>
      <c r="C87">
        <f>INDEX('Draft Engine'!$F$3:$F$232,$M87)</f>
        <v/>
      </c>
      <c r="D87">
        <f>INDEX('Draft Engine'!$B$3:$B$232,$M87)</f>
        <v/>
      </c>
      <c r="E87" s="4">
        <f>INDEX('Draft Engine'!$E$3:$E$232,$M87)</f>
        <v/>
      </c>
      <c r="F87">
        <f>INDEX('LIVE SOURCE'!$H$3:$H$232,$M87)</f>
        <v/>
      </c>
      <c r="G87">
        <f>INDEX('LIVE SOURCE'!$I$3:$I$232,$M87)</f>
        <v/>
      </c>
      <c r="H87">
        <f>INDEX('LIVE SOURCE'!$J$3:$J$232,$M87)</f>
        <v/>
      </c>
      <c r="I87">
        <f>INDEX('Draft Engine'!$R$3:$R$232,$M87)</f>
        <v/>
      </c>
      <c r="J87">
        <f>INDEX('Draft Engine'!$S$3:$S$232,$M87)</f>
        <v/>
      </c>
      <c r="K87">
        <f>INDEX('Draft Engine'!$T$3:$T$232,$M87)</f>
        <v/>
      </c>
      <c r="L87">
        <f>INDEX('Draft Engine'!$X$3:$X$232,$M87)</f>
        <v/>
      </c>
      <c r="M87" s="6">
        <f>MATCH($A87,'Draft Engine'!$Q$3:$Q$232,0)</f>
        <v/>
      </c>
    </row>
    <row r="88">
      <c r="A88">
        <f>86</f>
        <v/>
      </c>
      <c r="B88">
        <f>INDEX('Draft Engine'!$A$3:$A$232,$M88)</f>
        <v/>
      </c>
      <c r="C88">
        <f>INDEX('Draft Engine'!$F$3:$F$232,$M88)</f>
        <v/>
      </c>
      <c r="D88">
        <f>INDEX('Draft Engine'!$B$3:$B$232,$M88)</f>
        <v/>
      </c>
      <c r="E88" s="4">
        <f>INDEX('Draft Engine'!$E$3:$E$232,$M88)</f>
        <v/>
      </c>
      <c r="F88">
        <f>INDEX('LIVE SOURCE'!$H$3:$H$232,$M88)</f>
        <v/>
      </c>
      <c r="G88">
        <f>INDEX('LIVE SOURCE'!$I$3:$I$232,$M88)</f>
        <v/>
      </c>
      <c r="H88">
        <f>INDEX('LIVE SOURCE'!$J$3:$J$232,$M88)</f>
        <v/>
      </c>
      <c r="I88">
        <f>INDEX('Draft Engine'!$R$3:$R$232,$M88)</f>
        <v/>
      </c>
      <c r="J88">
        <f>INDEX('Draft Engine'!$S$3:$S$232,$M88)</f>
        <v/>
      </c>
      <c r="K88">
        <f>INDEX('Draft Engine'!$T$3:$T$232,$M88)</f>
        <v/>
      </c>
      <c r="L88">
        <f>INDEX('Draft Engine'!$X$3:$X$232,$M88)</f>
        <v/>
      </c>
      <c r="M88" s="6">
        <f>MATCH($A88,'Draft Engine'!$Q$3:$Q$232,0)</f>
        <v/>
      </c>
    </row>
    <row r="89">
      <c r="A89">
        <f>87</f>
        <v/>
      </c>
      <c r="B89">
        <f>INDEX('Draft Engine'!$A$3:$A$232,$M89)</f>
        <v/>
      </c>
      <c r="C89">
        <f>INDEX('Draft Engine'!$F$3:$F$232,$M89)</f>
        <v/>
      </c>
      <c r="D89">
        <f>INDEX('Draft Engine'!$B$3:$B$232,$M89)</f>
        <v/>
      </c>
      <c r="E89" s="4">
        <f>INDEX('Draft Engine'!$E$3:$E$232,$M89)</f>
        <v/>
      </c>
      <c r="F89">
        <f>INDEX('LIVE SOURCE'!$H$3:$H$232,$M89)</f>
        <v/>
      </c>
      <c r="G89">
        <f>INDEX('LIVE SOURCE'!$I$3:$I$232,$M89)</f>
        <v/>
      </c>
      <c r="H89">
        <f>INDEX('LIVE SOURCE'!$J$3:$J$232,$M89)</f>
        <v/>
      </c>
      <c r="I89">
        <f>INDEX('Draft Engine'!$R$3:$R$232,$M89)</f>
        <v/>
      </c>
      <c r="J89">
        <f>INDEX('Draft Engine'!$S$3:$S$232,$M89)</f>
        <v/>
      </c>
      <c r="K89">
        <f>INDEX('Draft Engine'!$T$3:$T$232,$M89)</f>
        <v/>
      </c>
      <c r="L89">
        <f>INDEX('Draft Engine'!$X$3:$X$232,$M89)</f>
        <v/>
      </c>
      <c r="M89" s="6">
        <f>MATCH($A89,'Draft Engine'!$Q$3:$Q$232,0)</f>
        <v/>
      </c>
    </row>
    <row r="90">
      <c r="A90">
        <f>88</f>
        <v/>
      </c>
      <c r="B90">
        <f>INDEX('Draft Engine'!$A$3:$A$232,$M90)</f>
        <v/>
      </c>
      <c r="C90">
        <f>INDEX('Draft Engine'!$F$3:$F$232,$M90)</f>
        <v/>
      </c>
      <c r="D90">
        <f>INDEX('Draft Engine'!$B$3:$B$232,$M90)</f>
        <v/>
      </c>
      <c r="E90" s="4">
        <f>INDEX('Draft Engine'!$E$3:$E$232,$M90)</f>
        <v/>
      </c>
      <c r="F90">
        <f>INDEX('LIVE SOURCE'!$H$3:$H$232,$M90)</f>
        <v/>
      </c>
      <c r="G90">
        <f>INDEX('LIVE SOURCE'!$I$3:$I$232,$M90)</f>
        <v/>
      </c>
      <c r="H90">
        <f>INDEX('LIVE SOURCE'!$J$3:$J$232,$M90)</f>
        <v/>
      </c>
      <c r="I90">
        <f>INDEX('Draft Engine'!$R$3:$R$232,$M90)</f>
        <v/>
      </c>
      <c r="J90">
        <f>INDEX('Draft Engine'!$S$3:$S$232,$M90)</f>
        <v/>
      </c>
      <c r="K90">
        <f>INDEX('Draft Engine'!$T$3:$T$232,$M90)</f>
        <v/>
      </c>
      <c r="L90">
        <f>INDEX('Draft Engine'!$X$3:$X$232,$M90)</f>
        <v/>
      </c>
      <c r="M90" s="6">
        <f>MATCH($A90,'Draft Engine'!$Q$3:$Q$232,0)</f>
        <v/>
      </c>
    </row>
    <row r="91">
      <c r="A91">
        <f>89</f>
        <v/>
      </c>
      <c r="B91">
        <f>INDEX('Draft Engine'!$A$3:$A$232,$M91)</f>
        <v/>
      </c>
      <c r="C91">
        <f>INDEX('Draft Engine'!$F$3:$F$232,$M91)</f>
        <v/>
      </c>
      <c r="D91">
        <f>INDEX('Draft Engine'!$B$3:$B$232,$M91)</f>
        <v/>
      </c>
      <c r="E91" s="4">
        <f>INDEX('Draft Engine'!$E$3:$E$232,$M91)</f>
        <v/>
      </c>
      <c r="F91">
        <f>INDEX('LIVE SOURCE'!$H$3:$H$232,$M91)</f>
        <v/>
      </c>
      <c r="G91">
        <f>INDEX('LIVE SOURCE'!$I$3:$I$232,$M91)</f>
        <v/>
      </c>
      <c r="H91">
        <f>INDEX('LIVE SOURCE'!$J$3:$J$232,$M91)</f>
        <v/>
      </c>
      <c r="I91">
        <f>INDEX('Draft Engine'!$R$3:$R$232,$M91)</f>
        <v/>
      </c>
      <c r="J91">
        <f>INDEX('Draft Engine'!$S$3:$S$232,$M91)</f>
        <v/>
      </c>
      <c r="K91">
        <f>INDEX('Draft Engine'!$T$3:$T$232,$M91)</f>
        <v/>
      </c>
      <c r="L91">
        <f>INDEX('Draft Engine'!$X$3:$X$232,$M91)</f>
        <v/>
      </c>
      <c r="M91" s="6">
        <f>MATCH($A91,'Draft Engine'!$Q$3:$Q$232,0)</f>
        <v/>
      </c>
    </row>
    <row r="92">
      <c r="A92">
        <f>90</f>
        <v/>
      </c>
      <c r="B92">
        <f>INDEX('Draft Engine'!$A$3:$A$232,$M92)</f>
        <v/>
      </c>
      <c r="C92">
        <f>INDEX('Draft Engine'!$F$3:$F$232,$M92)</f>
        <v/>
      </c>
      <c r="D92">
        <f>INDEX('Draft Engine'!$B$3:$B$232,$M92)</f>
        <v/>
      </c>
      <c r="E92" s="4">
        <f>INDEX('Draft Engine'!$E$3:$E$232,$M92)</f>
        <v/>
      </c>
      <c r="F92">
        <f>INDEX('LIVE SOURCE'!$H$3:$H$232,$M92)</f>
        <v/>
      </c>
      <c r="G92">
        <f>INDEX('LIVE SOURCE'!$I$3:$I$232,$M92)</f>
        <v/>
      </c>
      <c r="H92">
        <f>INDEX('LIVE SOURCE'!$J$3:$J$232,$M92)</f>
        <v/>
      </c>
      <c r="I92">
        <f>INDEX('Draft Engine'!$R$3:$R$232,$M92)</f>
        <v/>
      </c>
      <c r="J92">
        <f>INDEX('Draft Engine'!$S$3:$S$232,$M92)</f>
        <v/>
      </c>
      <c r="K92">
        <f>INDEX('Draft Engine'!$T$3:$T$232,$M92)</f>
        <v/>
      </c>
      <c r="L92">
        <f>INDEX('Draft Engine'!$X$3:$X$232,$M92)</f>
        <v/>
      </c>
      <c r="M92" s="6">
        <f>MATCH($A92,'Draft Engine'!$Q$3:$Q$232,0)</f>
        <v/>
      </c>
    </row>
    <row r="93">
      <c r="A93">
        <f>91</f>
        <v/>
      </c>
      <c r="B93">
        <f>INDEX('Draft Engine'!$A$3:$A$232,$M93)</f>
        <v/>
      </c>
      <c r="C93">
        <f>INDEX('Draft Engine'!$F$3:$F$232,$M93)</f>
        <v/>
      </c>
      <c r="D93">
        <f>INDEX('Draft Engine'!$B$3:$B$232,$M93)</f>
        <v/>
      </c>
      <c r="E93" s="4">
        <f>INDEX('Draft Engine'!$E$3:$E$232,$M93)</f>
        <v/>
      </c>
      <c r="F93">
        <f>INDEX('LIVE SOURCE'!$H$3:$H$232,$M93)</f>
        <v/>
      </c>
      <c r="G93">
        <f>INDEX('LIVE SOURCE'!$I$3:$I$232,$M93)</f>
        <v/>
      </c>
      <c r="H93">
        <f>INDEX('LIVE SOURCE'!$J$3:$J$232,$M93)</f>
        <v/>
      </c>
      <c r="I93">
        <f>INDEX('Draft Engine'!$R$3:$R$232,$M93)</f>
        <v/>
      </c>
      <c r="J93">
        <f>INDEX('Draft Engine'!$S$3:$S$232,$M93)</f>
        <v/>
      </c>
      <c r="K93">
        <f>INDEX('Draft Engine'!$T$3:$T$232,$M93)</f>
        <v/>
      </c>
      <c r="L93">
        <f>INDEX('Draft Engine'!$X$3:$X$232,$M93)</f>
        <v/>
      </c>
      <c r="M93" s="6">
        <f>MATCH($A93,'Draft Engine'!$Q$3:$Q$232,0)</f>
        <v/>
      </c>
    </row>
    <row r="94">
      <c r="A94">
        <f>92</f>
        <v/>
      </c>
      <c r="B94">
        <f>INDEX('Draft Engine'!$A$3:$A$232,$M94)</f>
        <v/>
      </c>
      <c r="C94">
        <f>INDEX('Draft Engine'!$F$3:$F$232,$M94)</f>
        <v/>
      </c>
      <c r="D94">
        <f>INDEX('Draft Engine'!$B$3:$B$232,$M94)</f>
        <v/>
      </c>
      <c r="E94" s="4">
        <f>INDEX('Draft Engine'!$E$3:$E$232,$M94)</f>
        <v/>
      </c>
      <c r="F94">
        <f>INDEX('LIVE SOURCE'!$H$3:$H$232,$M94)</f>
        <v/>
      </c>
      <c r="G94">
        <f>INDEX('LIVE SOURCE'!$I$3:$I$232,$M94)</f>
        <v/>
      </c>
      <c r="H94">
        <f>INDEX('LIVE SOURCE'!$J$3:$J$232,$M94)</f>
        <v/>
      </c>
      <c r="I94">
        <f>INDEX('Draft Engine'!$R$3:$R$232,$M94)</f>
        <v/>
      </c>
      <c r="J94">
        <f>INDEX('Draft Engine'!$S$3:$S$232,$M94)</f>
        <v/>
      </c>
      <c r="K94">
        <f>INDEX('Draft Engine'!$T$3:$T$232,$M94)</f>
        <v/>
      </c>
      <c r="L94">
        <f>INDEX('Draft Engine'!$X$3:$X$232,$M94)</f>
        <v/>
      </c>
      <c r="M94" s="6">
        <f>MATCH($A94,'Draft Engine'!$Q$3:$Q$232,0)</f>
        <v/>
      </c>
    </row>
    <row r="95">
      <c r="A95">
        <f>93</f>
        <v/>
      </c>
      <c r="B95">
        <f>INDEX('Draft Engine'!$A$3:$A$232,$M95)</f>
        <v/>
      </c>
      <c r="C95">
        <f>INDEX('Draft Engine'!$F$3:$F$232,$M95)</f>
        <v/>
      </c>
      <c r="D95">
        <f>INDEX('Draft Engine'!$B$3:$B$232,$M95)</f>
        <v/>
      </c>
      <c r="E95" s="4">
        <f>INDEX('Draft Engine'!$E$3:$E$232,$M95)</f>
        <v/>
      </c>
      <c r="F95">
        <f>INDEX('LIVE SOURCE'!$H$3:$H$232,$M95)</f>
        <v/>
      </c>
      <c r="G95">
        <f>INDEX('LIVE SOURCE'!$I$3:$I$232,$M95)</f>
        <v/>
      </c>
      <c r="H95">
        <f>INDEX('LIVE SOURCE'!$J$3:$J$232,$M95)</f>
        <v/>
      </c>
      <c r="I95">
        <f>INDEX('Draft Engine'!$R$3:$R$232,$M95)</f>
        <v/>
      </c>
      <c r="J95">
        <f>INDEX('Draft Engine'!$S$3:$S$232,$M95)</f>
        <v/>
      </c>
      <c r="K95">
        <f>INDEX('Draft Engine'!$T$3:$T$232,$M95)</f>
        <v/>
      </c>
      <c r="L95">
        <f>INDEX('Draft Engine'!$X$3:$X$232,$M95)</f>
        <v/>
      </c>
      <c r="M95" s="6">
        <f>MATCH($A95,'Draft Engine'!$Q$3:$Q$232,0)</f>
        <v/>
      </c>
    </row>
    <row r="96">
      <c r="A96">
        <f>94</f>
        <v/>
      </c>
      <c r="B96">
        <f>INDEX('Draft Engine'!$A$3:$A$232,$M96)</f>
        <v/>
      </c>
      <c r="C96">
        <f>INDEX('Draft Engine'!$F$3:$F$232,$M96)</f>
        <v/>
      </c>
      <c r="D96">
        <f>INDEX('Draft Engine'!$B$3:$B$232,$M96)</f>
        <v/>
      </c>
      <c r="E96" s="4">
        <f>INDEX('Draft Engine'!$E$3:$E$232,$M96)</f>
        <v/>
      </c>
      <c r="F96">
        <f>INDEX('LIVE SOURCE'!$H$3:$H$232,$M96)</f>
        <v/>
      </c>
      <c r="G96">
        <f>INDEX('LIVE SOURCE'!$I$3:$I$232,$M96)</f>
        <v/>
      </c>
      <c r="H96">
        <f>INDEX('LIVE SOURCE'!$J$3:$J$232,$M96)</f>
        <v/>
      </c>
      <c r="I96">
        <f>INDEX('Draft Engine'!$R$3:$R$232,$M96)</f>
        <v/>
      </c>
      <c r="J96">
        <f>INDEX('Draft Engine'!$S$3:$S$232,$M96)</f>
        <v/>
      </c>
      <c r="K96">
        <f>INDEX('Draft Engine'!$T$3:$T$232,$M96)</f>
        <v/>
      </c>
      <c r="L96">
        <f>INDEX('Draft Engine'!$X$3:$X$232,$M96)</f>
        <v/>
      </c>
      <c r="M96" s="6">
        <f>MATCH($A96,'Draft Engine'!$Q$3:$Q$232,0)</f>
        <v/>
      </c>
    </row>
    <row r="97">
      <c r="A97">
        <f>95</f>
        <v/>
      </c>
      <c r="B97">
        <f>INDEX('Draft Engine'!$A$3:$A$232,$M97)</f>
        <v/>
      </c>
      <c r="C97">
        <f>INDEX('Draft Engine'!$F$3:$F$232,$M97)</f>
        <v/>
      </c>
      <c r="D97">
        <f>INDEX('Draft Engine'!$B$3:$B$232,$M97)</f>
        <v/>
      </c>
      <c r="E97" s="4">
        <f>INDEX('Draft Engine'!$E$3:$E$232,$M97)</f>
        <v/>
      </c>
      <c r="F97">
        <f>INDEX('LIVE SOURCE'!$H$3:$H$232,$M97)</f>
        <v/>
      </c>
      <c r="G97">
        <f>INDEX('LIVE SOURCE'!$I$3:$I$232,$M97)</f>
        <v/>
      </c>
      <c r="H97">
        <f>INDEX('LIVE SOURCE'!$J$3:$J$232,$M97)</f>
        <v/>
      </c>
      <c r="I97">
        <f>INDEX('Draft Engine'!$R$3:$R$232,$M97)</f>
        <v/>
      </c>
      <c r="J97">
        <f>INDEX('Draft Engine'!$S$3:$S$232,$M97)</f>
        <v/>
      </c>
      <c r="K97">
        <f>INDEX('Draft Engine'!$T$3:$T$232,$M97)</f>
        <v/>
      </c>
      <c r="L97">
        <f>INDEX('Draft Engine'!$X$3:$X$232,$M97)</f>
        <v/>
      </c>
      <c r="M97" s="6">
        <f>MATCH($A97,'Draft Engine'!$Q$3:$Q$232,0)</f>
        <v/>
      </c>
    </row>
    <row r="98">
      <c r="A98">
        <f>96</f>
        <v/>
      </c>
      <c r="B98">
        <f>INDEX('Draft Engine'!$A$3:$A$232,$M98)</f>
        <v/>
      </c>
      <c r="C98">
        <f>INDEX('Draft Engine'!$F$3:$F$232,$M98)</f>
        <v/>
      </c>
      <c r="D98">
        <f>INDEX('Draft Engine'!$B$3:$B$232,$M98)</f>
        <v/>
      </c>
      <c r="E98" s="4">
        <f>INDEX('Draft Engine'!$E$3:$E$232,$M98)</f>
        <v/>
      </c>
      <c r="F98">
        <f>INDEX('LIVE SOURCE'!$H$3:$H$232,$M98)</f>
        <v/>
      </c>
      <c r="G98">
        <f>INDEX('LIVE SOURCE'!$I$3:$I$232,$M98)</f>
        <v/>
      </c>
      <c r="H98">
        <f>INDEX('LIVE SOURCE'!$J$3:$J$232,$M98)</f>
        <v/>
      </c>
      <c r="I98">
        <f>INDEX('Draft Engine'!$R$3:$R$232,$M98)</f>
        <v/>
      </c>
      <c r="J98">
        <f>INDEX('Draft Engine'!$S$3:$S$232,$M98)</f>
        <v/>
      </c>
      <c r="K98">
        <f>INDEX('Draft Engine'!$T$3:$T$232,$M98)</f>
        <v/>
      </c>
      <c r="L98">
        <f>INDEX('Draft Engine'!$X$3:$X$232,$M98)</f>
        <v/>
      </c>
      <c r="M98" s="6">
        <f>MATCH($A98,'Draft Engine'!$Q$3:$Q$232,0)</f>
        <v/>
      </c>
    </row>
    <row r="99">
      <c r="A99">
        <f>97</f>
        <v/>
      </c>
      <c r="B99">
        <f>INDEX('Draft Engine'!$A$3:$A$232,$M99)</f>
        <v/>
      </c>
      <c r="C99">
        <f>INDEX('Draft Engine'!$F$3:$F$232,$M99)</f>
        <v/>
      </c>
      <c r="D99">
        <f>INDEX('Draft Engine'!$B$3:$B$232,$M99)</f>
        <v/>
      </c>
      <c r="E99" s="4">
        <f>INDEX('Draft Engine'!$E$3:$E$232,$M99)</f>
        <v/>
      </c>
      <c r="F99">
        <f>INDEX('LIVE SOURCE'!$H$3:$H$232,$M99)</f>
        <v/>
      </c>
      <c r="G99">
        <f>INDEX('LIVE SOURCE'!$I$3:$I$232,$M99)</f>
        <v/>
      </c>
      <c r="H99">
        <f>INDEX('LIVE SOURCE'!$J$3:$J$232,$M99)</f>
        <v/>
      </c>
      <c r="I99">
        <f>INDEX('Draft Engine'!$R$3:$R$232,$M99)</f>
        <v/>
      </c>
      <c r="J99">
        <f>INDEX('Draft Engine'!$S$3:$S$232,$M99)</f>
        <v/>
      </c>
      <c r="K99">
        <f>INDEX('Draft Engine'!$T$3:$T$232,$M99)</f>
        <v/>
      </c>
      <c r="L99">
        <f>INDEX('Draft Engine'!$X$3:$X$232,$M99)</f>
        <v/>
      </c>
      <c r="M99" s="6">
        <f>MATCH($A99,'Draft Engine'!$Q$3:$Q$232,0)</f>
        <v/>
      </c>
    </row>
    <row r="100">
      <c r="A100">
        <f>98</f>
        <v/>
      </c>
      <c r="B100">
        <f>INDEX('Draft Engine'!$A$3:$A$232,$M100)</f>
        <v/>
      </c>
      <c r="C100">
        <f>INDEX('Draft Engine'!$F$3:$F$232,$M100)</f>
        <v/>
      </c>
      <c r="D100">
        <f>INDEX('Draft Engine'!$B$3:$B$232,$M100)</f>
        <v/>
      </c>
      <c r="E100" s="4">
        <f>INDEX('Draft Engine'!$E$3:$E$232,$M100)</f>
        <v/>
      </c>
      <c r="F100">
        <f>INDEX('LIVE SOURCE'!$H$3:$H$232,$M100)</f>
        <v/>
      </c>
      <c r="G100">
        <f>INDEX('LIVE SOURCE'!$I$3:$I$232,$M100)</f>
        <v/>
      </c>
      <c r="H100">
        <f>INDEX('LIVE SOURCE'!$J$3:$J$232,$M100)</f>
        <v/>
      </c>
      <c r="I100">
        <f>INDEX('Draft Engine'!$R$3:$R$232,$M100)</f>
        <v/>
      </c>
      <c r="J100">
        <f>INDEX('Draft Engine'!$S$3:$S$232,$M100)</f>
        <v/>
      </c>
      <c r="K100">
        <f>INDEX('Draft Engine'!$T$3:$T$232,$M100)</f>
        <v/>
      </c>
      <c r="L100">
        <f>INDEX('Draft Engine'!$X$3:$X$232,$M100)</f>
        <v/>
      </c>
      <c r="M100" s="6">
        <f>MATCH($A100,'Draft Engine'!$Q$3:$Q$232,0)</f>
        <v/>
      </c>
    </row>
    <row r="101">
      <c r="A101">
        <f>99</f>
        <v/>
      </c>
      <c r="B101">
        <f>INDEX('Draft Engine'!$A$3:$A$232,$M101)</f>
        <v/>
      </c>
      <c r="C101">
        <f>INDEX('Draft Engine'!$F$3:$F$232,$M101)</f>
        <v/>
      </c>
      <c r="D101">
        <f>INDEX('Draft Engine'!$B$3:$B$232,$M101)</f>
        <v/>
      </c>
      <c r="E101" s="4">
        <f>INDEX('Draft Engine'!$E$3:$E$232,$M101)</f>
        <v/>
      </c>
      <c r="F101">
        <f>INDEX('LIVE SOURCE'!$H$3:$H$232,$M101)</f>
        <v/>
      </c>
      <c r="G101">
        <f>INDEX('LIVE SOURCE'!$I$3:$I$232,$M101)</f>
        <v/>
      </c>
      <c r="H101">
        <f>INDEX('LIVE SOURCE'!$J$3:$J$232,$M101)</f>
        <v/>
      </c>
      <c r="I101">
        <f>INDEX('Draft Engine'!$R$3:$R$232,$M101)</f>
        <v/>
      </c>
      <c r="J101">
        <f>INDEX('Draft Engine'!$S$3:$S$232,$M101)</f>
        <v/>
      </c>
      <c r="K101">
        <f>INDEX('Draft Engine'!$T$3:$T$232,$M101)</f>
        <v/>
      </c>
      <c r="L101">
        <f>INDEX('Draft Engine'!$X$3:$X$232,$M101)</f>
        <v/>
      </c>
      <c r="M101" s="6">
        <f>MATCH($A101,'Draft Engine'!$Q$3:$Q$232,0)</f>
        <v/>
      </c>
    </row>
    <row r="102">
      <c r="A102">
        <f>100</f>
        <v/>
      </c>
      <c r="B102">
        <f>INDEX('Draft Engine'!$A$3:$A$232,$M102)</f>
        <v/>
      </c>
      <c r="C102">
        <f>INDEX('Draft Engine'!$F$3:$F$232,$M102)</f>
        <v/>
      </c>
      <c r="D102">
        <f>INDEX('Draft Engine'!$B$3:$B$232,$M102)</f>
        <v/>
      </c>
      <c r="E102" s="4">
        <f>INDEX('Draft Engine'!$E$3:$E$232,$M102)</f>
        <v/>
      </c>
      <c r="F102">
        <f>INDEX('LIVE SOURCE'!$H$3:$H$232,$M102)</f>
        <v/>
      </c>
      <c r="G102">
        <f>INDEX('LIVE SOURCE'!$I$3:$I$232,$M102)</f>
        <v/>
      </c>
      <c r="H102">
        <f>INDEX('LIVE SOURCE'!$J$3:$J$232,$M102)</f>
        <v/>
      </c>
      <c r="I102">
        <f>INDEX('Draft Engine'!$R$3:$R$232,$M102)</f>
        <v/>
      </c>
      <c r="J102">
        <f>INDEX('Draft Engine'!$S$3:$S$232,$M102)</f>
        <v/>
      </c>
      <c r="K102">
        <f>INDEX('Draft Engine'!$T$3:$T$232,$M102)</f>
        <v/>
      </c>
      <c r="L102">
        <f>INDEX('Draft Engine'!$X$3:$X$232,$M102)</f>
        <v/>
      </c>
      <c r="M102" s="6">
        <f>MATCH($A102,'Draft Engine'!$Q$3:$Q$232,0)</f>
        <v/>
      </c>
    </row>
    <row r="103">
      <c r="A103">
        <f>101</f>
        <v/>
      </c>
      <c r="B103">
        <f>INDEX('Draft Engine'!$A$3:$A$232,$M103)</f>
        <v/>
      </c>
      <c r="C103">
        <f>INDEX('Draft Engine'!$F$3:$F$232,$M103)</f>
        <v/>
      </c>
      <c r="D103">
        <f>INDEX('Draft Engine'!$B$3:$B$232,$M103)</f>
        <v/>
      </c>
      <c r="E103" s="4">
        <f>INDEX('Draft Engine'!$E$3:$E$232,$M103)</f>
        <v/>
      </c>
      <c r="F103">
        <f>INDEX('LIVE SOURCE'!$H$3:$H$232,$M103)</f>
        <v/>
      </c>
      <c r="G103">
        <f>INDEX('LIVE SOURCE'!$I$3:$I$232,$M103)</f>
        <v/>
      </c>
      <c r="H103">
        <f>INDEX('LIVE SOURCE'!$J$3:$J$232,$M103)</f>
        <v/>
      </c>
      <c r="I103">
        <f>INDEX('Draft Engine'!$R$3:$R$232,$M103)</f>
        <v/>
      </c>
      <c r="J103">
        <f>INDEX('Draft Engine'!$S$3:$S$232,$M103)</f>
        <v/>
      </c>
      <c r="K103">
        <f>INDEX('Draft Engine'!$T$3:$T$232,$M103)</f>
        <v/>
      </c>
      <c r="L103">
        <f>INDEX('Draft Engine'!$X$3:$X$232,$M103)</f>
        <v/>
      </c>
      <c r="M103" s="6">
        <f>MATCH($A103,'Draft Engine'!$Q$3:$Q$232,0)</f>
        <v/>
      </c>
    </row>
    <row r="104">
      <c r="A104">
        <f>102</f>
        <v/>
      </c>
      <c r="B104">
        <f>INDEX('Draft Engine'!$A$3:$A$232,$M104)</f>
        <v/>
      </c>
      <c r="C104">
        <f>INDEX('Draft Engine'!$F$3:$F$232,$M104)</f>
        <v/>
      </c>
      <c r="D104">
        <f>INDEX('Draft Engine'!$B$3:$B$232,$M104)</f>
        <v/>
      </c>
      <c r="E104" s="4">
        <f>INDEX('Draft Engine'!$E$3:$E$232,$M104)</f>
        <v/>
      </c>
      <c r="F104">
        <f>INDEX('LIVE SOURCE'!$H$3:$H$232,$M104)</f>
        <v/>
      </c>
      <c r="G104">
        <f>INDEX('LIVE SOURCE'!$I$3:$I$232,$M104)</f>
        <v/>
      </c>
      <c r="H104">
        <f>INDEX('LIVE SOURCE'!$J$3:$J$232,$M104)</f>
        <v/>
      </c>
      <c r="I104">
        <f>INDEX('Draft Engine'!$R$3:$R$232,$M104)</f>
        <v/>
      </c>
      <c r="J104">
        <f>INDEX('Draft Engine'!$S$3:$S$232,$M104)</f>
        <v/>
      </c>
      <c r="K104">
        <f>INDEX('Draft Engine'!$T$3:$T$232,$M104)</f>
        <v/>
      </c>
      <c r="L104">
        <f>INDEX('Draft Engine'!$X$3:$X$232,$M104)</f>
        <v/>
      </c>
      <c r="M104" s="6">
        <f>MATCH($A104,'Draft Engine'!$Q$3:$Q$232,0)</f>
        <v/>
      </c>
    </row>
    <row r="105">
      <c r="A105">
        <f>103</f>
        <v/>
      </c>
      <c r="B105">
        <f>INDEX('Draft Engine'!$A$3:$A$232,$M105)</f>
        <v/>
      </c>
      <c r="C105">
        <f>INDEX('Draft Engine'!$F$3:$F$232,$M105)</f>
        <v/>
      </c>
      <c r="D105">
        <f>INDEX('Draft Engine'!$B$3:$B$232,$M105)</f>
        <v/>
      </c>
      <c r="E105" s="4">
        <f>INDEX('Draft Engine'!$E$3:$E$232,$M105)</f>
        <v/>
      </c>
      <c r="F105">
        <f>INDEX('LIVE SOURCE'!$H$3:$H$232,$M105)</f>
        <v/>
      </c>
      <c r="G105">
        <f>INDEX('LIVE SOURCE'!$I$3:$I$232,$M105)</f>
        <v/>
      </c>
      <c r="H105">
        <f>INDEX('LIVE SOURCE'!$J$3:$J$232,$M105)</f>
        <v/>
      </c>
      <c r="I105">
        <f>INDEX('Draft Engine'!$R$3:$R$232,$M105)</f>
        <v/>
      </c>
      <c r="J105">
        <f>INDEX('Draft Engine'!$S$3:$S$232,$M105)</f>
        <v/>
      </c>
      <c r="K105">
        <f>INDEX('Draft Engine'!$T$3:$T$232,$M105)</f>
        <v/>
      </c>
      <c r="L105">
        <f>INDEX('Draft Engine'!$X$3:$X$232,$M105)</f>
        <v/>
      </c>
      <c r="M105" s="6">
        <f>MATCH($A105,'Draft Engine'!$Q$3:$Q$232,0)</f>
        <v/>
      </c>
    </row>
    <row r="106">
      <c r="A106">
        <f>104</f>
        <v/>
      </c>
      <c r="B106">
        <f>INDEX('Draft Engine'!$A$3:$A$232,$M106)</f>
        <v/>
      </c>
      <c r="C106">
        <f>INDEX('Draft Engine'!$F$3:$F$232,$M106)</f>
        <v/>
      </c>
      <c r="D106">
        <f>INDEX('Draft Engine'!$B$3:$B$232,$M106)</f>
        <v/>
      </c>
      <c r="E106" s="4">
        <f>INDEX('Draft Engine'!$E$3:$E$232,$M106)</f>
        <v/>
      </c>
      <c r="F106">
        <f>INDEX('LIVE SOURCE'!$H$3:$H$232,$M106)</f>
        <v/>
      </c>
      <c r="G106">
        <f>INDEX('LIVE SOURCE'!$I$3:$I$232,$M106)</f>
        <v/>
      </c>
      <c r="H106">
        <f>INDEX('LIVE SOURCE'!$J$3:$J$232,$M106)</f>
        <v/>
      </c>
      <c r="I106">
        <f>INDEX('Draft Engine'!$R$3:$R$232,$M106)</f>
        <v/>
      </c>
      <c r="J106">
        <f>INDEX('Draft Engine'!$S$3:$S$232,$M106)</f>
        <v/>
      </c>
      <c r="K106">
        <f>INDEX('Draft Engine'!$T$3:$T$232,$M106)</f>
        <v/>
      </c>
      <c r="L106">
        <f>INDEX('Draft Engine'!$X$3:$X$232,$M106)</f>
        <v/>
      </c>
      <c r="M106" s="6">
        <f>MATCH($A106,'Draft Engine'!$Q$3:$Q$232,0)</f>
        <v/>
      </c>
    </row>
    <row r="107">
      <c r="A107">
        <f>105</f>
        <v/>
      </c>
      <c r="B107">
        <f>INDEX('Draft Engine'!$A$3:$A$232,$M107)</f>
        <v/>
      </c>
      <c r="C107">
        <f>INDEX('Draft Engine'!$F$3:$F$232,$M107)</f>
        <v/>
      </c>
      <c r="D107">
        <f>INDEX('Draft Engine'!$B$3:$B$232,$M107)</f>
        <v/>
      </c>
      <c r="E107" s="4">
        <f>INDEX('Draft Engine'!$E$3:$E$232,$M107)</f>
        <v/>
      </c>
      <c r="F107">
        <f>INDEX('LIVE SOURCE'!$H$3:$H$232,$M107)</f>
        <v/>
      </c>
      <c r="G107">
        <f>INDEX('LIVE SOURCE'!$I$3:$I$232,$M107)</f>
        <v/>
      </c>
      <c r="H107">
        <f>INDEX('LIVE SOURCE'!$J$3:$J$232,$M107)</f>
        <v/>
      </c>
      <c r="I107">
        <f>INDEX('Draft Engine'!$R$3:$R$232,$M107)</f>
        <v/>
      </c>
      <c r="J107">
        <f>INDEX('Draft Engine'!$S$3:$S$232,$M107)</f>
        <v/>
      </c>
      <c r="K107">
        <f>INDEX('Draft Engine'!$T$3:$T$232,$M107)</f>
        <v/>
      </c>
      <c r="L107">
        <f>INDEX('Draft Engine'!$X$3:$X$232,$M107)</f>
        <v/>
      </c>
      <c r="M107" s="6">
        <f>MATCH($A107,'Draft Engine'!$Q$3:$Q$232,0)</f>
        <v/>
      </c>
    </row>
    <row r="108">
      <c r="A108">
        <f>106</f>
        <v/>
      </c>
      <c r="B108">
        <f>INDEX('Draft Engine'!$A$3:$A$232,$M108)</f>
        <v/>
      </c>
      <c r="C108">
        <f>INDEX('Draft Engine'!$F$3:$F$232,$M108)</f>
        <v/>
      </c>
      <c r="D108">
        <f>INDEX('Draft Engine'!$B$3:$B$232,$M108)</f>
        <v/>
      </c>
      <c r="E108" s="4">
        <f>INDEX('Draft Engine'!$E$3:$E$232,$M108)</f>
        <v/>
      </c>
      <c r="F108">
        <f>INDEX('LIVE SOURCE'!$H$3:$H$232,$M108)</f>
        <v/>
      </c>
      <c r="G108">
        <f>INDEX('LIVE SOURCE'!$I$3:$I$232,$M108)</f>
        <v/>
      </c>
      <c r="H108">
        <f>INDEX('LIVE SOURCE'!$J$3:$J$232,$M108)</f>
        <v/>
      </c>
      <c r="I108">
        <f>INDEX('Draft Engine'!$R$3:$R$232,$M108)</f>
        <v/>
      </c>
      <c r="J108">
        <f>INDEX('Draft Engine'!$S$3:$S$232,$M108)</f>
        <v/>
      </c>
      <c r="K108">
        <f>INDEX('Draft Engine'!$T$3:$T$232,$M108)</f>
        <v/>
      </c>
      <c r="L108">
        <f>INDEX('Draft Engine'!$X$3:$X$232,$M108)</f>
        <v/>
      </c>
      <c r="M108" s="6">
        <f>MATCH($A108,'Draft Engine'!$Q$3:$Q$232,0)</f>
        <v/>
      </c>
    </row>
    <row r="109">
      <c r="A109">
        <f>107</f>
        <v/>
      </c>
      <c r="B109">
        <f>INDEX('Draft Engine'!$A$3:$A$232,$M109)</f>
        <v/>
      </c>
      <c r="C109">
        <f>INDEX('Draft Engine'!$F$3:$F$232,$M109)</f>
        <v/>
      </c>
      <c r="D109">
        <f>INDEX('Draft Engine'!$B$3:$B$232,$M109)</f>
        <v/>
      </c>
      <c r="E109" s="4">
        <f>INDEX('Draft Engine'!$E$3:$E$232,$M109)</f>
        <v/>
      </c>
      <c r="F109">
        <f>INDEX('LIVE SOURCE'!$H$3:$H$232,$M109)</f>
        <v/>
      </c>
      <c r="G109">
        <f>INDEX('LIVE SOURCE'!$I$3:$I$232,$M109)</f>
        <v/>
      </c>
      <c r="H109">
        <f>INDEX('LIVE SOURCE'!$J$3:$J$232,$M109)</f>
        <v/>
      </c>
      <c r="I109">
        <f>INDEX('Draft Engine'!$R$3:$R$232,$M109)</f>
        <v/>
      </c>
      <c r="J109">
        <f>INDEX('Draft Engine'!$S$3:$S$232,$M109)</f>
        <v/>
      </c>
      <c r="K109">
        <f>INDEX('Draft Engine'!$T$3:$T$232,$M109)</f>
        <v/>
      </c>
      <c r="L109">
        <f>INDEX('Draft Engine'!$X$3:$X$232,$M109)</f>
        <v/>
      </c>
      <c r="M109" s="6">
        <f>MATCH($A109,'Draft Engine'!$Q$3:$Q$232,0)</f>
        <v/>
      </c>
    </row>
    <row r="110">
      <c r="A110">
        <f>108</f>
        <v/>
      </c>
      <c r="B110">
        <f>INDEX('Draft Engine'!$A$3:$A$232,$M110)</f>
        <v/>
      </c>
      <c r="C110">
        <f>INDEX('Draft Engine'!$F$3:$F$232,$M110)</f>
        <v/>
      </c>
      <c r="D110">
        <f>INDEX('Draft Engine'!$B$3:$B$232,$M110)</f>
        <v/>
      </c>
      <c r="E110" s="4">
        <f>INDEX('Draft Engine'!$E$3:$E$232,$M110)</f>
        <v/>
      </c>
      <c r="F110">
        <f>INDEX('LIVE SOURCE'!$H$3:$H$232,$M110)</f>
        <v/>
      </c>
      <c r="G110">
        <f>INDEX('LIVE SOURCE'!$I$3:$I$232,$M110)</f>
        <v/>
      </c>
      <c r="H110">
        <f>INDEX('LIVE SOURCE'!$J$3:$J$232,$M110)</f>
        <v/>
      </c>
      <c r="I110">
        <f>INDEX('Draft Engine'!$R$3:$R$232,$M110)</f>
        <v/>
      </c>
      <c r="J110">
        <f>INDEX('Draft Engine'!$S$3:$S$232,$M110)</f>
        <v/>
      </c>
      <c r="K110">
        <f>INDEX('Draft Engine'!$T$3:$T$232,$M110)</f>
        <v/>
      </c>
      <c r="L110">
        <f>INDEX('Draft Engine'!$X$3:$X$232,$M110)</f>
        <v/>
      </c>
      <c r="M110" s="6">
        <f>MATCH($A110,'Draft Engine'!$Q$3:$Q$232,0)</f>
        <v/>
      </c>
    </row>
    <row r="111">
      <c r="A111">
        <f>109</f>
        <v/>
      </c>
      <c r="B111">
        <f>INDEX('Draft Engine'!$A$3:$A$232,$M111)</f>
        <v/>
      </c>
      <c r="C111">
        <f>INDEX('Draft Engine'!$F$3:$F$232,$M111)</f>
        <v/>
      </c>
      <c r="D111">
        <f>INDEX('Draft Engine'!$B$3:$B$232,$M111)</f>
        <v/>
      </c>
      <c r="E111" s="4">
        <f>INDEX('Draft Engine'!$E$3:$E$232,$M111)</f>
        <v/>
      </c>
      <c r="F111">
        <f>INDEX('LIVE SOURCE'!$H$3:$H$232,$M111)</f>
        <v/>
      </c>
      <c r="G111">
        <f>INDEX('LIVE SOURCE'!$I$3:$I$232,$M111)</f>
        <v/>
      </c>
      <c r="H111">
        <f>INDEX('LIVE SOURCE'!$J$3:$J$232,$M111)</f>
        <v/>
      </c>
      <c r="I111">
        <f>INDEX('Draft Engine'!$R$3:$R$232,$M111)</f>
        <v/>
      </c>
      <c r="J111">
        <f>INDEX('Draft Engine'!$S$3:$S$232,$M111)</f>
        <v/>
      </c>
      <c r="K111">
        <f>INDEX('Draft Engine'!$T$3:$T$232,$M111)</f>
        <v/>
      </c>
      <c r="L111">
        <f>INDEX('Draft Engine'!$X$3:$X$232,$M111)</f>
        <v/>
      </c>
      <c r="M111" s="6">
        <f>MATCH($A111,'Draft Engine'!$Q$3:$Q$232,0)</f>
        <v/>
      </c>
    </row>
    <row r="112">
      <c r="A112">
        <f>110</f>
        <v/>
      </c>
      <c r="B112">
        <f>INDEX('Draft Engine'!$A$3:$A$232,$M112)</f>
        <v/>
      </c>
      <c r="C112">
        <f>INDEX('Draft Engine'!$F$3:$F$232,$M112)</f>
        <v/>
      </c>
      <c r="D112">
        <f>INDEX('Draft Engine'!$B$3:$B$232,$M112)</f>
        <v/>
      </c>
      <c r="E112" s="4">
        <f>INDEX('Draft Engine'!$E$3:$E$232,$M112)</f>
        <v/>
      </c>
      <c r="F112">
        <f>INDEX('LIVE SOURCE'!$H$3:$H$232,$M112)</f>
        <v/>
      </c>
      <c r="G112">
        <f>INDEX('LIVE SOURCE'!$I$3:$I$232,$M112)</f>
        <v/>
      </c>
      <c r="H112">
        <f>INDEX('LIVE SOURCE'!$J$3:$J$232,$M112)</f>
        <v/>
      </c>
      <c r="I112">
        <f>INDEX('Draft Engine'!$R$3:$R$232,$M112)</f>
        <v/>
      </c>
      <c r="J112">
        <f>INDEX('Draft Engine'!$S$3:$S$232,$M112)</f>
        <v/>
      </c>
      <c r="K112">
        <f>INDEX('Draft Engine'!$T$3:$T$232,$M112)</f>
        <v/>
      </c>
      <c r="L112">
        <f>INDEX('Draft Engine'!$X$3:$X$232,$M112)</f>
        <v/>
      </c>
      <c r="M112" s="6">
        <f>MATCH($A112,'Draft Engine'!$Q$3:$Q$232,0)</f>
        <v/>
      </c>
    </row>
    <row r="113">
      <c r="A113">
        <f>111</f>
        <v/>
      </c>
      <c r="B113">
        <f>INDEX('Draft Engine'!$A$3:$A$232,$M113)</f>
        <v/>
      </c>
      <c r="C113">
        <f>INDEX('Draft Engine'!$F$3:$F$232,$M113)</f>
        <v/>
      </c>
      <c r="D113">
        <f>INDEX('Draft Engine'!$B$3:$B$232,$M113)</f>
        <v/>
      </c>
      <c r="E113" s="4">
        <f>INDEX('Draft Engine'!$E$3:$E$232,$M113)</f>
        <v/>
      </c>
      <c r="F113">
        <f>INDEX('LIVE SOURCE'!$H$3:$H$232,$M113)</f>
        <v/>
      </c>
      <c r="G113">
        <f>INDEX('LIVE SOURCE'!$I$3:$I$232,$M113)</f>
        <v/>
      </c>
      <c r="H113">
        <f>INDEX('LIVE SOURCE'!$J$3:$J$232,$M113)</f>
        <v/>
      </c>
      <c r="I113">
        <f>INDEX('Draft Engine'!$R$3:$R$232,$M113)</f>
        <v/>
      </c>
      <c r="J113">
        <f>INDEX('Draft Engine'!$S$3:$S$232,$M113)</f>
        <v/>
      </c>
      <c r="K113">
        <f>INDEX('Draft Engine'!$T$3:$T$232,$M113)</f>
        <v/>
      </c>
      <c r="L113">
        <f>INDEX('Draft Engine'!$X$3:$X$232,$M113)</f>
        <v/>
      </c>
      <c r="M113" s="6">
        <f>MATCH($A113,'Draft Engine'!$Q$3:$Q$232,0)</f>
        <v/>
      </c>
    </row>
    <row r="114">
      <c r="A114">
        <f>112</f>
        <v/>
      </c>
      <c r="B114">
        <f>INDEX('Draft Engine'!$A$3:$A$232,$M114)</f>
        <v/>
      </c>
      <c r="C114">
        <f>INDEX('Draft Engine'!$F$3:$F$232,$M114)</f>
        <v/>
      </c>
      <c r="D114">
        <f>INDEX('Draft Engine'!$B$3:$B$232,$M114)</f>
        <v/>
      </c>
      <c r="E114" s="4">
        <f>INDEX('Draft Engine'!$E$3:$E$232,$M114)</f>
        <v/>
      </c>
      <c r="F114">
        <f>INDEX('LIVE SOURCE'!$H$3:$H$232,$M114)</f>
        <v/>
      </c>
      <c r="G114">
        <f>INDEX('LIVE SOURCE'!$I$3:$I$232,$M114)</f>
        <v/>
      </c>
      <c r="H114">
        <f>INDEX('LIVE SOURCE'!$J$3:$J$232,$M114)</f>
        <v/>
      </c>
      <c r="I114">
        <f>INDEX('Draft Engine'!$R$3:$R$232,$M114)</f>
        <v/>
      </c>
      <c r="J114">
        <f>INDEX('Draft Engine'!$S$3:$S$232,$M114)</f>
        <v/>
      </c>
      <c r="K114">
        <f>INDEX('Draft Engine'!$T$3:$T$232,$M114)</f>
        <v/>
      </c>
      <c r="L114">
        <f>INDEX('Draft Engine'!$X$3:$X$232,$M114)</f>
        <v/>
      </c>
      <c r="M114" s="6">
        <f>MATCH($A114,'Draft Engine'!$Q$3:$Q$232,0)</f>
        <v/>
      </c>
    </row>
    <row r="115">
      <c r="A115">
        <f>113</f>
        <v/>
      </c>
      <c r="B115">
        <f>INDEX('Draft Engine'!$A$3:$A$232,$M115)</f>
        <v/>
      </c>
      <c r="C115">
        <f>INDEX('Draft Engine'!$F$3:$F$232,$M115)</f>
        <v/>
      </c>
      <c r="D115">
        <f>INDEX('Draft Engine'!$B$3:$B$232,$M115)</f>
        <v/>
      </c>
      <c r="E115" s="4">
        <f>INDEX('Draft Engine'!$E$3:$E$232,$M115)</f>
        <v/>
      </c>
      <c r="F115">
        <f>INDEX('LIVE SOURCE'!$H$3:$H$232,$M115)</f>
        <v/>
      </c>
      <c r="G115">
        <f>INDEX('LIVE SOURCE'!$I$3:$I$232,$M115)</f>
        <v/>
      </c>
      <c r="H115">
        <f>INDEX('LIVE SOURCE'!$J$3:$J$232,$M115)</f>
        <v/>
      </c>
      <c r="I115">
        <f>INDEX('Draft Engine'!$R$3:$R$232,$M115)</f>
        <v/>
      </c>
      <c r="J115">
        <f>INDEX('Draft Engine'!$S$3:$S$232,$M115)</f>
        <v/>
      </c>
      <c r="K115">
        <f>INDEX('Draft Engine'!$T$3:$T$232,$M115)</f>
        <v/>
      </c>
      <c r="L115">
        <f>INDEX('Draft Engine'!$X$3:$X$232,$M115)</f>
        <v/>
      </c>
      <c r="M115" s="6">
        <f>MATCH($A115,'Draft Engine'!$Q$3:$Q$232,0)</f>
        <v/>
      </c>
    </row>
    <row r="116">
      <c r="A116">
        <f>114</f>
        <v/>
      </c>
      <c r="B116">
        <f>INDEX('Draft Engine'!$A$3:$A$232,$M116)</f>
        <v/>
      </c>
      <c r="C116">
        <f>INDEX('Draft Engine'!$F$3:$F$232,$M116)</f>
        <v/>
      </c>
      <c r="D116">
        <f>INDEX('Draft Engine'!$B$3:$B$232,$M116)</f>
        <v/>
      </c>
      <c r="E116" s="4">
        <f>INDEX('Draft Engine'!$E$3:$E$232,$M116)</f>
        <v/>
      </c>
      <c r="F116">
        <f>INDEX('LIVE SOURCE'!$H$3:$H$232,$M116)</f>
        <v/>
      </c>
      <c r="G116">
        <f>INDEX('LIVE SOURCE'!$I$3:$I$232,$M116)</f>
        <v/>
      </c>
      <c r="H116">
        <f>INDEX('LIVE SOURCE'!$J$3:$J$232,$M116)</f>
        <v/>
      </c>
      <c r="I116">
        <f>INDEX('Draft Engine'!$R$3:$R$232,$M116)</f>
        <v/>
      </c>
      <c r="J116">
        <f>INDEX('Draft Engine'!$S$3:$S$232,$M116)</f>
        <v/>
      </c>
      <c r="K116">
        <f>INDEX('Draft Engine'!$T$3:$T$232,$M116)</f>
        <v/>
      </c>
      <c r="L116">
        <f>INDEX('Draft Engine'!$X$3:$X$232,$M116)</f>
        <v/>
      </c>
      <c r="M116" s="6">
        <f>MATCH($A116,'Draft Engine'!$Q$3:$Q$232,0)</f>
        <v/>
      </c>
    </row>
    <row r="117">
      <c r="A117">
        <f>115</f>
        <v/>
      </c>
      <c r="B117">
        <f>INDEX('Draft Engine'!$A$3:$A$232,$M117)</f>
        <v/>
      </c>
      <c r="C117">
        <f>INDEX('Draft Engine'!$F$3:$F$232,$M117)</f>
        <v/>
      </c>
      <c r="D117">
        <f>INDEX('Draft Engine'!$B$3:$B$232,$M117)</f>
        <v/>
      </c>
      <c r="E117" s="4">
        <f>INDEX('Draft Engine'!$E$3:$E$232,$M117)</f>
        <v/>
      </c>
      <c r="F117">
        <f>INDEX('LIVE SOURCE'!$H$3:$H$232,$M117)</f>
        <v/>
      </c>
      <c r="G117">
        <f>INDEX('LIVE SOURCE'!$I$3:$I$232,$M117)</f>
        <v/>
      </c>
      <c r="H117">
        <f>INDEX('LIVE SOURCE'!$J$3:$J$232,$M117)</f>
        <v/>
      </c>
      <c r="I117">
        <f>INDEX('Draft Engine'!$R$3:$R$232,$M117)</f>
        <v/>
      </c>
      <c r="J117">
        <f>INDEX('Draft Engine'!$S$3:$S$232,$M117)</f>
        <v/>
      </c>
      <c r="K117">
        <f>INDEX('Draft Engine'!$T$3:$T$232,$M117)</f>
        <v/>
      </c>
      <c r="L117">
        <f>INDEX('Draft Engine'!$X$3:$X$232,$M117)</f>
        <v/>
      </c>
      <c r="M117" s="6">
        <f>MATCH($A117,'Draft Engine'!$Q$3:$Q$232,0)</f>
        <v/>
      </c>
    </row>
    <row r="118">
      <c r="A118">
        <f>116</f>
        <v/>
      </c>
      <c r="B118">
        <f>INDEX('Draft Engine'!$A$3:$A$232,$M118)</f>
        <v/>
      </c>
      <c r="C118">
        <f>INDEX('Draft Engine'!$F$3:$F$232,$M118)</f>
        <v/>
      </c>
      <c r="D118">
        <f>INDEX('Draft Engine'!$B$3:$B$232,$M118)</f>
        <v/>
      </c>
      <c r="E118" s="4">
        <f>INDEX('Draft Engine'!$E$3:$E$232,$M118)</f>
        <v/>
      </c>
      <c r="F118">
        <f>INDEX('LIVE SOURCE'!$H$3:$H$232,$M118)</f>
        <v/>
      </c>
      <c r="G118">
        <f>INDEX('LIVE SOURCE'!$I$3:$I$232,$M118)</f>
        <v/>
      </c>
      <c r="H118">
        <f>INDEX('LIVE SOURCE'!$J$3:$J$232,$M118)</f>
        <v/>
      </c>
      <c r="I118">
        <f>INDEX('Draft Engine'!$R$3:$R$232,$M118)</f>
        <v/>
      </c>
      <c r="J118">
        <f>INDEX('Draft Engine'!$S$3:$S$232,$M118)</f>
        <v/>
      </c>
      <c r="K118">
        <f>INDEX('Draft Engine'!$T$3:$T$232,$M118)</f>
        <v/>
      </c>
      <c r="L118">
        <f>INDEX('Draft Engine'!$X$3:$X$232,$M118)</f>
        <v/>
      </c>
      <c r="M118" s="6">
        <f>MATCH($A118,'Draft Engine'!$Q$3:$Q$232,0)</f>
        <v/>
      </c>
    </row>
    <row r="119">
      <c r="A119">
        <f>117</f>
        <v/>
      </c>
      <c r="B119">
        <f>INDEX('Draft Engine'!$A$3:$A$232,$M119)</f>
        <v/>
      </c>
      <c r="C119">
        <f>INDEX('Draft Engine'!$F$3:$F$232,$M119)</f>
        <v/>
      </c>
      <c r="D119">
        <f>INDEX('Draft Engine'!$B$3:$B$232,$M119)</f>
        <v/>
      </c>
      <c r="E119" s="4">
        <f>INDEX('Draft Engine'!$E$3:$E$232,$M119)</f>
        <v/>
      </c>
      <c r="F119">
        <f>INDEX('LIVE SOURCE'!$H$3:$H$232,$M119)</f>
        <v/>
      </c>
      <c r="G119">
        <f>INDEX('LIVE SOURCE'!$I$3:$I$232,$M119)</f>
        <v/>
      </c>
      <c r="H119">
        <f>INDEX('LIVE SOURCE'!$J$3:$J$232,$M119)</f>
        <v/>
      </c>
      <c r="I119">
        <f>INDEX('Draft Engine'!$R$3:$R$232,$M119)</f>
        <v/>
      </c>
      <c r="J119">
        <f>INDEX('Draft Engine'!$S$3:$S$232,$M119)</f>
        <v/>
      </c>
      <c r="K119">
        <f>INDEX('Draft Engine'!$T$3:$T$232,$M119)</f>
        <v/>
      </c>
      <c r="L119">
        <f>INDEX('Draft Engine'!$X$3:$X$232,$M119)</f>
        <v/>
      </c>
      <c r="M119" s="6">
        <f>MATCH($A119,'Draft Engine'!$Q$3:$Q$232,0)</f>
        <v/>
      </c>
    </row>
    <row r="120">
      <c r="A120">
        <f>118</f>
        <v/>
      </c>
      <c r="B120">
        <f>INDEX('Draft Engine'!$A$3:$A$232,$M120)</f>
        <v/>
      </c>
      <c r="C120">
        <f>INDEX('Draft Engine'!$F$3:$F$232,$M120)</f>
        <v/>
      </c>
      <c r="D120">
        <f>INDEX('Draft Engine'!$B$3:$B$232,$M120)</f>
        <v/>
      </c>
      <c r="E120" s="4">
        <f>INDEX('Draft Engine'!$E$3:$E$232,$M120)</f>
        <v/>
      </c>
      <c r="F120">
        <f>INDEX('LIVE SOURCE'!$H$3:$H$232,$M120)</f>
        <v/>
      </c>
      <c r="G120">
        <f>INDEX('LIVE SOURCE'!$I$3:$I$232,$M120)</f>
        <v/>
      </c>
      <c r="H120">
        <f>INDEX('LIVE SOURCE'!$J$3:$J$232,$M120)</f>
        <v/>
      </c>
      <c r="I120">
        <f>INDEX('Draft Engine'!$R$3:$R$232,$M120)</f>
        <v/>
      </c>
      <c r="J120">
        <f>INDEX('Draft Engine'!$S$3:$S$232,$M120)</f>
        <v/>
      </c>
      <c r="K120">
        <f>INDEX('Draft Engine'!$T$3:$T$232,$M120)</f>
        <v/>
      </c>
      <c r="L120">
        <f>INDEX('Draft Engine'!$X$3:$X$232,$M120)</f>
        <v/>
      </c>
      <c r="M120" s="6">
        <f>MATCH($A120,'Draft Engine'!$Q$3:$Q$232,0)</f>
        <v/>
      </c>
    </row>
    <row r="121">
      <c r="A121">
        <f>119</f>
        <v/>
      </c>
      <c r="B121">
        <f>INDEX('Draft Engine'!$A$3:$A$232,$M121)</f>
        <v/>
      </c>
      <c r="C121">
        <f>INDEX('Draft Engine'!$F$3:$F$232,$M121)</f>
        <v/>
      </c>
      <c r="D121">
        <f>INDEX('Draft Engine'!$B$3:$B$232,$M121)</f>
        <v/>
      </c>
      <c r="E121" s="4">
        <f>INDEX('Draft Engine'!$E$3:$E$232,$M121)</f>
        <v/>
      </c>
      <c r="F121">
        <f>INDEX('LIVE SOURCE'!$H$3:$H$232,$M121)</f>
        <v/>
      </c>
      <c r="G121">
        <f>INDEX('LIVE SOURCE'!$I$3:$I$232,$M121)</f>
        <v/>
      </c>
      <c r="H121">
        <f>INDEX('LIVE SOURCE'!$J$3:$J$232,$M121)</f>
        <v/>
      </c>
      <c r="I121">
        <f>INDEX('Draft Engine'!$R$3:$R$232,$M121)</f>
        <v/>
      </c>
      <c r="J121">
        <f>INDEX('Draft Engine'!$S$3:$S$232,$M121)</f>
        <v/>
      </c>
      <c r="K121">
        <f>INDEX('Draft Engine'!$T$3:$T$232,$M121)</f>
        <v/>
      </c>
      <c r="L121">
        <f>INDEX('Draft Engine'!$X$3:$X$232,$M121)</f>
        <v/>
      </c>
      <c r="M121" s="6">
        <f>MATCH($A121,'Draft Engine'!$Q$3:$Q$232,0)</f>
        <v/>
      </c>
    </row>
    <row r="122">
      <c r="A122">
        <f>120</f>
        <v/>
      </c>
      <c r="B122">
        <f>INDEX('Draft Engine'!$A$3:$A$232,$M122)</f>
        <v/>
      </c>
      <c r="C122">
        <f>INDEX('Draft Engine'!$F$3:$F$232,$M122)</f>
        <v/>
      </c>
      <c r="D122">
        <f>INDEX('Draft Engine'!$B$3:$B$232,$M122)</f>
        <v/>
      </c>
      <c r="E122" s="4">
        <f>INDEX('Draft Engine'!$E$3:$E$232,$M122)</f>
        <v/>
      </c>
      <c r="F122">
        <f>INDEX('LIVE SOURCE'!$H$3:$H$232,$M122)</f>
        <v/>
      </c>
      <c r="G122">
        <f>INDEX('LIVE SOURCE'!$I$3:$I$232,$M122)</f>
        <v/>
      </c>
      <c r="H122">
        <f>INDEX('LIVE SOURCE'!$J$3:$J$232,$M122)</f>
        <v/>
      </c>
      <c r="I122">
        <f>INDEX('Draft Engine'!$R$3:$R$232,$M122)</f>
        <v/>
      </c>
      <c r="J122">
        <f>INDEX('Draft Engine'!$S$3:$S$232,$M122)</f>
        <v/>
      </c>
      <c r="K122">
        <f>INDEX('Draft Engine'!$T$3:$T$232,$M122)</f>
        <v/>
      </c>
      <c r="L122">
        <f>INDEX('Draft Engine'!$X$3:$X$232,$M122)</f>
        <v/>
      </c>
      <c r="M122" s="6">
        <f>MATCH($A122,'Draft Engine'!$Q$3:$Q$232,0)</f>
        <v/>
      </c>
    </row>
    <row r="123">
      <c r="A123">
        <f>121</f>
        <v/>
      </c>
      <c r="B123">
        <f>INDEX('Draft Engine'!$A$3:$A$232,$M123)</f>
        <v/>
      </c>
      <c r="C123">
        <f>INDEX('Draft Engine'!$F$3:$F$232,$M123)</f>
        <v/>
      </c>
      <c r="D123">
        <f>INDEX('Draft Engine'!$B$3:$B$232,$M123)</f>
        <v/>
      </c>
      <c r="E123" s="4">
        <f>INDEX('Draft Engine'!$E$3:$E$232,$M123)</f>
        <v/>
      </c>
      <c r="F123">
        <f>INDEX('LIVE SOURCE'!$H$3:$H$232,$M123)</f>
        <v/>
      </c>
      <c r="G123">
        <f>INDEX('LIVE SOURCE'!$I$3:$I$232,$M123)</f>
        <v/>
      </c>
      <c r="H123">
        <f>INDEX('LIVE SOURCE'!$J$3:$J$232,$M123)</f>
        <v/>
      </c>
      <c r="I123">
        <f>INDEX('Draft Engine'!$R$3:$R$232,$M123)</f>
        <v/>
      </c>
      <c r="J123">
        <f>INDEX('Draft Engine'!$S$3:$S$232,$M123)</f>
        <v/>
      </c>
      <c r="K123">
        <f>INDEX('Draft Engine'!$T$3:$T$232,$M123)</f>
        <v/>
      </c>
      <c r="L123">
        <f>INDEX('Draft Engine'!$X$3:$X$232,$M123)</f>
        <v/>
      </c>
      <c r="M123" s="6">
        <f>MATCH($A123,'Draft Engine'!$Q$3:$Q$232,0)</f>
        <v/>
      </c>
    </row>
    <row r="124">
      <c r="A124">
        <f>122</f>
        <v/>
      </c>
      <c r="B124">
        <f>INDEX('Draft Engine'!$A$3:$A$232,$M124)</f>
        <v/>
      </c>
      <c r="C124">
        <f>INDEX('Draft Engine'!$F$3:$F$232,$M124)</f>
        <v/>
      </c>
      <c r="D124">
        <f>INDEX('Draft Engine'!$B$3:$B$232,$M124)</f>
        <v/>
      </c>
      <c r="E124" s="4">
        <f>INDEX('Draft Engine'!$E$3:$E$232,$M124)</f>
        <v/>
      </c>
      <c r="F124">
        <f>INDEX('LIVE SOURCE'!$H$3:$H$232,$M124)</f>
        <v/>
      </c>
      <c r="G124">
        <f>INDEX('LIVE SOURCE'!$I$3:$I$232,$M124)</f>
        <v/>
      </c>
      <c r="H124">
        <f>INDEX('LIVE SOURCE'!$J$3:$J$232,$M124)</f>
        <v/>
      </c>
      <c r="I124">
        <f>INDEX('Draft Engine'!$R$3:$R$232,$M124)</f>
        <v/>
      </c>
      <c r="J124">
        <f>INDEX('Draft Engine'!$S$3:$S$232,$M124)</f>
        <v/>
      </c>
      <c r="K124">
        <f>INDEX('Draft Engine'!$T$3:$T$232,$M124)</f>
        <v/>
      </c>
      <c r="L124">
        <f>INDEX('Draft Engine'!$X$3:$X$232,$M124)</f>
        <v/>
      </c>
      <c r="M124" s="6">
        <f>MATCH($A124,'Draft Engine'!$Q$3:$Q$232,0)</f>
        <v/>
      </c>
    </row>
    <row r="125">
      <c r="A125">
        <f>123</f>
        <v/>
      </c>
      <c r="B125">
        <f>INDEX('Draft Engine'!$A$3:$A$232,$M125)</f>
        <v/>
      </c>
      <c r="C125">
        <f>INDEX('Draft Engine'!$F$3:$F$232,$M125)</f>
        <v/>
      </c>
      <c r="D125">
        <f>INDEX('Draft Engine'!$B$3:$B$232,$M125)</f>
        <v/>
      </c>
      <c r="E125" s="4">
        <f>INDEX('Draft Engine'!$E$3:$E$232,$M125)</f>
        <v/>
      </c>
      <c r="F125">
        <f>INDEX('LIVE SOURCE'!$H$3:$H$232,$M125)</f>
        <v/>
      </c>
      <c r="G125">
        <f>INDEX('LIVE SOURCE'!$I$3:$I$232,$M125)</f>
        <v/>
      </c>
      <c r="H125">
        <f>INDEX('LIVE SOURCE'!$J$3:$J$232,$M125)</f>
        <v/>
      </c>
      <c r="I125">
        <f>INDEX('Draft Engine'!$R$3:$R$232,$M125)</f>
        <v/>
      </c>
      <c r="J125">
        <f>INDEX('Draft Engine'!$S$3:$S$232,$M125)</f>
        <v/>
      </c>
      <c r="K125">
        <f>INDEX('Draft Engine'!$T$3:$T$232,$M125)</f>
        <v/>
      </c>
      <c r="L125">
        <f>INDEX('Draft Engine'!$X$3:$X$232,$M125)</f>
        <v/>
      </c>
      <c r="M125" s="6">
        <f>MATCH($A125,'Draft Engine'!$Q$3:$Q$232,0)</f>
        <v/>
      </c>
    </row>
    <row r="126">
      <c r="A126">
        <f>124</f>
        <v/>
      </c>
      <c r="B126">
        <f>INDEX('Draft Engine'!$A$3:$A$232,$M126)</f>
        <v/>
      </c>
      <c r="C126">
        <f>INDEX('Draft Engine'!$F$3:$F$232,$M126)</f>
        <v/>
      </c>
      <c r="D126">
        <f>INDEX('Draft Engine'!$B$3:$B$232,$M126)</f>
        <v/>
      </c>
      <c r="E126" s="4">
        <f>INDEX('Draft Engine'!$E$3:$E$232,$M126)</f>
        <v/>
      </c>
      <c r="F126">
        <f>INDEX('LIVE SOURCE'!$H$3:$H$232,$M126)</f>
        <v/>
      </c>
      <c r="G126">
        <f>INDEX('LIVE SOURCE'!$I$3:$I$232,$M126)</f>
        <v/>
      </c>
      <c r="H126">
        <f>INDEX('LIVE SOURCE'!$J$3:$J$232,$M126)</f>
        <v/>
      </c>
      <c r="I126">
        <f>INDEX('Draft Engine'!$R$3:$R$232,$M126)</f>
        <v/>
      </c>
      <c r="J126">
        <f>INDEX('Draft Engine'!$S$3:$S$232,$M126)</f>
        <v/>
      </c>
      <c r="K126">
        <f>INDEX('Draft Engine'!$T$3:$T$232,$M126)</f>
        <v/>
      </c>
      <c r="L126">
        <f>INDEX('Draft Engine'!$X$3:$X$232,$M126)</f>
        <v/>
      </c>
      <c r="M126" s="6">
        <f>MATCH($A126,'Draft Engine'!$Q$3:$Q$232,0)</f>
        <v/>
      </c>
    </row>
    <row r="127">
      <c r="A127">
        <f>125</f>
        <v/>
      </c>
      <c r="B127">
        <f>INDEX('Draft Engine'!$A$3:$A$232,$M127)</f>
        <v/>
      </c>
      <c r="C127">
        <f>INDEX('Draft Engine'!$F$3:$F$232,$M127)</f>
        <v/>
      </c>
      <c r="D127">
        <f>INDEX('Draft Engine'!$B$3:$B$232,$M127)</f>
        <v/>
      </c>
      <c r="E127" s="4">
        <f>INDEX('Draft Engine'!$E$3:$E$232,$M127)</f>
        <v/>
      </c>
      <c r="F127">
        <f>INDEX('LIVE SOURCE'!$H$3:$H$232,$M127)</f>
        <v/>
      </c>
      <c r="G127">
        <f>INDEX('LIVE SOURCE'!$I$3:$I$232,$M127)</f>
        <v/>
      </c>
      <c r="H127">
        <f>INDEX('LIVE SOURCE'!$J$3:$J$232,$M127)</f>
        <v/>
      </c>
      <c r="I127">
        <f>INDEX('Draft Engine'!$R$3:$R$232,$M127)</f>
        <v/>
      </c>
      <c r="J127">
        <f>INDEX('Draft Engine'!$S$3:$S$232,$M127)</f>
        <v/>
      </c>
      <c r="K127">
        <f>INDEX('Draft Engine'!$T$3:$T$232,$M127)</f>
        <v/>
      </c>
      <c r="L127">
        <f>INDEX('Draft Engine'!$X$3:$X$232,$M127)</f>
        <v/>
      </c>
      <c r="M127" s="6">
        <f>MATCH($A127,'Draft Engine'!$Q$3:$Q$232,0)</f>
        <v/>
      </c>
    </row>
    <row r="128">
      <c r="A128">
        <f>126</f>
        <v/>
      </c>
      <c r="B128">
        <f>INDEX('Draft Engine'!$A$3:$A$232,$M128)</f>
        <v/>
      </c>
      <c r="C128">
        <f>INDEX('Draft Engine'!$F$3:$F$232,$M128)</f>
        <v/>
      </c>
      <c r="D128">
        <f>INDEX('Draft Engine'!$B$3:$B$232,$M128)</f>
        <v/>
      </c>
      <c r="E128" s="4">
        <f>INDEX('Draft Engine'!$E$3:$E$232,$M128)</f>
        <v/>
      </c>
      <c r="F128">
        <f>INDEX('LIVE SOURCE'!$H$3:$H$232,$M128)</f>
        <v/>
      </c>
      <c r="G128">
        <f>INDEX('LIVE SOURCE'!$I$3:$I$232,$M128)</f>
        <v/>
      </c>
      <c r="H128">
        <f>INDEX('LIVE SOURCE'!$J$3:$J$232,$M128)</f>
        <v/>
      </c>
      <c r="I128">
        <f>INDEX('Draft Engine'!$R$3:$R$232,$M128)</f>
        <v/>
      </c>
      <c r="J128">
        <f>INDEX('Draft Engine'!$S$3:$S$232,$M128)</f>
        <v/>
      </c>
      <c r="K128">
        <f>INDEX('Draft Engine'!$T$3:$T$232,$M128)</f>
        <v/>
      </c>
      <c r="L128">
        <f>INDEX('Draft Engine'!$X$3:$X$232,$M128)</f>
        <v/>
      </c>
      <c r="M128" s="6">
        <f>MATCH($A128,'Draft Engine'!$Q$3:$Q$232,0)</f>
        <v/>
      </c>
    </row>
    <row r="129">
      <c r="A129">
        <f>127</f>
        <v/>
      </c>
      <c r="B129">
        <f>INDEX('Draft Engine'!$A$3:$A$232,$M129)</f>
        <v/>
      </c>
      <c r="C129">
        <f>INDEX('Draft Engine'!$F$3:$F$232,$M129)</f>
        <v/>
      </c>
      <c r="D129">
        <f>INDEX('Draft Engine'!$B$3:$B$232,$M129)</f>
        <v/>
      </c>
      <c r="E129" s="4">
        <f>INDEX('Draft Engine'!$E$3:$E$232,$M129)</f>
        <v/>
      </c>
      <c r="F129">
        <f>INDEX('LIVE SOURCE'!$H$3:$H$232,$M129)</f>
        <v/>
      </c>
      <c r="G129">
        <f>INDEX('LIVE SOURCE'!$I$3:$I$232,$M129)</f>
        <v/>
      </c>
      <c r="H129">
        <f>INDEX('LIVE SOURCE'!$J$3:$J$232,$M129)</f>
        <v/>
      </c>
      <c r="I129">
        <f>INDEX('Draft Engine'!$R$3:$R$232,$M129)</f>
        <v/>
      </c>
      <c r="J129">
        <f>INDEX('Draft Engine'!$S$3:$S$232,$M129)</f>
        <v/>
      </c>
      <c r="K129">
        <f>INDEX('Draft Engine'!$T$3:$T$232,$M129)</f>
        <v/>
      </c>
      <c r="L129">
        <f>INDEX('Draft Engine'!$X$3:$X$232,$M129)</f>
        <v/>
      </c>
      <c r="M129" s="6">
        <f>MATCH($A129,'Draft Engine'!$Q$3:$Q$232,0)</f>
        <v/>
      </c>
    </row>
    <row r="130">
      <c r="A130">
        <f>128</f>
        <v/>
      </c>
      <c r="B130">
        <f>INDEX('Draft Engine'!$A$3:$A$232,$M130)</f>
        <v/>
      </c>
      <c r="C130">
        <f>INDEX('Draft Engine'!$F$3:$F$232,$M130)</f>
        <v/>
      </c>
      <c r="D130">
        <f>INDEX('Draft Engine'!$B$3:$B$232,$M130)</f>
        <v/>
      </c>
      <c r="E130" s="4">
        <f>INDEX('Draft Engine'!$E$3:$E$232,$M130)</f>
        <v/>
      </c>
      <c r="F130">
        <f>INDEX('LIVE SOURCE'!$H$3:$H$232,$M130)</f>
        <v/>
      </c>
      <c r="G130">
        <f>INDEX('LIVE SOURCE'!$I$3:$I$232,$M130)</f>
        <v/>
      </c>
      <c r="H130">
        <f>INDEX('LIVE SOURCE'!$J$3:$J$232,$M130)</f>
        <v/>
      </c>
      <c r="I130">
        <f>INDEX('Draft Engine'!$R$3:$R$232,$M130)</f>
        <v/>
      </c>
      <c r="J130">
        <f>INDEX('Draft Engine'!$S$3:$S$232,$M130)</f>
        <v/>
      </c>
      <c r="K130">
        <f>INDEX('Draft Engine'!$T$3:$T$232,$M130)</f>
        <v/>
      </c>
      <c r="L130">
        <f>INDEX('Draft Engine'!$X$3:$X$232,$M130)</f>
        <v/>
      </c>
      <c r="M130" s="6">
        <f>MATCH($A130,'Draft Engine'!$Q$3:$Q$232,0)</f>
        <v/>
      </c>
    </row>
    <row r="131">
      <c r="A131">
        <f>129</f>
        <v/>
      </c>
      <c r="B131">
        <f>INDEX('Draft Engine'!$A$3:$A$232,$M131)</f>
        <v/>
      </c>
      <c r="C131">
        <f>INDEX('Draft Engine'!$F$3:$F$232,$M131)</f>
        <v/>
      </c>
      <c r="D131">
        <f>INDEX('Draft Engine'!$B$3:$B$232,$M131)</f>
        <v/>
      </c>
      <c r="E131" s="4">
        <f>INDEX('Draft Engine'!$E$3:$E$232,$M131)</f>
        <v/>
      </c>
      <c r="F131">
        <f>INDEX('LIVE SOURCE'!$H$3:$H$232,$M131)</f>
        <v/>
      </c>
      <c r="G131">
        <f>INDEX('LIVE SOURCE'!$I$3:$I$232,$M131)</f>
        <v/>
      </c>
      <c r="H131">
        <f>INDEX('LIVE SOURCE'!$J$3:$J$232,$M131)</f>
        <v/>
      </c>
      <c r="I131">
        <f>INDEX('Draft Engine'!$R$3:$R$232,$M131)</f>
        <v/>
      </c>
      <c r="J131">
        <f>INDEX('Draft Engine'!$S$3:$S$232,$M131)</f>
        <v/>
      </c>
      <c r="K131">
        <f>INDEX('Draft Engine'!$T$3:$T$232,$M131)</f>
        <v/>
      </c>
      <c r="L131">
        <f>INDEX('Draft Engine'!$X$3:$X$232,$M131)</f>
        <v/>
      </c>
      <c r="M131" s="6">
        <f>MATCH($A131,'Draft Engine'!$Q$3:$Q$232,0)</f>
        <v/>
      </c>
    </row>
    <row r="132">
      <c r="A132">
        <f>130</f>
        <v/>
      </c>
      <c r="B132">
        <f>INDEX('Draft Engine'!$A$3:$A$232,$M132)</f>
        <v/>
      </c>
      <c r="C132">
        <f>INDEX('Draft Engine'!$F$3:$F$232,$M132)</f>
        <v/>
      </c>
      <c r="D132">
        <f>INDEX('Draft Engine'!$B$3:$B$232,$M132)</f>
        <v/>
      </c>
      <c r="E132" s="4">
        <f>INDEX('Draft Engine'!$E$3:$E$232,$M132)</f>
        <v/>
      </c>
      <c r="F132">
        <f>INDEX('LIVE SOURCE'!$H$3:$H$232,$M132)</f>
        <v/>
      </c>
      <c r="G132">
        <f>INDEX('LIVE SOURCE'!$I$3:$I$232,$M132)</f>
        <v/>
      </c>
      <c r="H132">
        <f>INDEX('LIVE SOURCE'!$J$3:$J$232,$M132)</f>
        <v/>
      </c>
      <c r="I132">
        <f>INDEX('Draft Engine'!$R$3:$R$232,$M132)</f>
        <v/>
      </c>
      <c r="J132">
        <f>INDEX('Draft Engine'!$S$3:$S$232,$M132)</f>
        <v/>
      </c>
      <c r="K132">
        <f>INDEX('Draft Engine'!$T$3:$T$232,$M132)</f>
        <v/>
      </c>
      <c r="L132">
        <f>INDEX('Draft Engine'!$X$3:$X$232,$M132)</f>
        <v/>
      </c>
      <c r="M132" s="6">
        <f>MATCH($A132,'Draft Engine'!$Q$3:$Q$232,0)</f>
        <v/>
      </c>
    </row>
    <row r="133">
      <c r="A133">
        <f>131</f>
        <v/>
      </c>
      <c r="B133">
        <f>INDEX('Draft Engine'!$A$3:$A$232,$M133)</f>
        <v/>
      </c>
      <c r="C133">
        <f>INDEX('Draft Engine'!$F$3:$F$232,$M133)</f>
        <v/>
      </c>
      <c r="D133">
        <f>INDEX('Draft Engine'!$B$3:$B$232,$M133)</f>
        <v/>
      </c>
      <c r="E133" s="4">
        <f>INDEX('Draft Engine'!$E$3:$E$232,$M133)</f>
        <v/>
      </c>
      <c r="F133">
        <f>INDEX('LIVE SOURCE'!$H$3:$H$232,$M133)</f>
        <v/>
      </c>
      <c r="G133">
        <f>INDEX('LIVE SOURCE'!$I$3:$I$232,$M133)</f>
        <v/>
      </c>
      <c r="H133">
        <f>INDEX('LIVE SOURCE'!$J$3:$J$232,$M133)</f>
        <v/>
      </c>
      <c r="I133">
        <f>INDEX('Draft Engine'!$R$3:$R$232,$M133)</f>
        <v/>
      </c>
      <c r="J133">
        <f>INDEX('Draft Engine'!$S$3:$S$232,$M133)</f>
        <v/>
      </c>
      <c r="K133">
        <f>INDEX('Draft Engine'!$T$3:$T$232,$M133)</f>
        <v/>
      </c>
      <c r="L133">
        <f>INDEX('Draft Engine'!$X$3:$X$232,$M133)</f>
        <v/>
      </c>
      <c r="M133" s="6">
        <f>MATCH($A133,'Draft Engine'!$Q$3:$Q$232,0)</f>
        <v/>
      </c>
    </row>
    <row r="134">
      <c r="A134">
        <f>132</f>
        <v/>
      </c>
      <c r="B134">
        <f>INDEX('Draft Engine'!$A$3:$A$232,$M134)</f>
        <v/>
      </c>
      <c r="C134">
        <f>INDEX('Draft Engine'!$F$3:$F$232,$M134)</f>
        <v/>
      </c>
      <c r="D134">
        <f>INDEX('Draft Engine'!$B$3:$B$232,$M134)</f>
        <v/>
      </c>
      <c r="E134" s="4">
        <f>INDEX('Draft Engine'!$E$3:$E$232,$M134)</f>
        <v/>
      </c>
      <c r="F134">
        <f>INDEX('LIVE SOURCE'!$H$3:$H$232,$M134)</f>
        <v/>
      </c>
      <c r="G134">
        <f>INDEX('LIVE SOURCE'!$I$3:$I$232,$M134)</f>
        <v/>
      </c>
      <c r="H134">
        <f>INDEX('LIVE SOURCE'!$J$3:$J$232,$M134)</f>
        <v/>
      </c>
      <c r="I134">
        <f>INDEX('Draft Engine'!$R$3:$R$232,$M134)</f>
        <v/>
      </c>
      <c r="J134">
        <f>INDEX('Draft Engine'!$S$3:$S$232,$M134)</f>
        <v/>
      </c>
      <c r="K134">
        <f>INDEX('Draft Engine'!$T$3:$T$232,$M134)</f>
        <v/>
      </c>
      <c r="L134">
        <f>INDEX('Draft Engine'!$X$3:$X$232,$M134)</f>
        <v/>
      </c>
      <c r="M134" s="6">
        <f>MATCH($A134,'Draft Engine'!$Q$3:$Q$232,0)</f>
        <v/>
      </c>
    </row>
    <row r="135">
      <c r="A135">
        <f>133</f>
        <v/>
      </c>
      <c r="B135">
        <f>INDEX('Draft Engine'!$A$3:$A$232,$M135)</f>
        <v/>
      </c>
      <c r="C135">
        <f>INDEX('Draft Engine'!$F$3:$F$232,$M135)</f>
        <v/>
      </c>
      <c r="D135">
        <f>INDEX('Draft Engine'!$B$3:$B$232,$M135)</f>
        <v/>
      </c>
      <c r="E135" s="4">
        <f>INDEX('Draft Engine'!$E$3:$E$232,$M135)</f>
        <v/>
      </c>
      <c r="F135">
        <f>INDEX('LIVE SOURCE'!$H$3:$H$232,$M135)</f>
        <v/>
      </c>
      <c r="G135">
        <f>INDEX('LIVE SOURCE'!$I$3:$I$232,$M135)</f>
        <v/>
      </c>
      <c r="H135">
        <f>INDEX('LIVE SOURCE'!$J$3:$J$232,$M135)</f>
        <v/>
      </c>
      <c r="I135">
        <f>INDEX('Draft Engine'!$R$3:$R$232,$M135)</f>
        <v/>
      </c>
      <c r="J135">
        <f>INDEX('Draft Engine'!$S$3:$S$232,$M135)</f>
        <v/>
      </c>
      <c r="K135">
        <f>INDEX('Draft Engine'!$T$3:$T$232,$M135)</f>
        <v/>
      </c>
      <c r="L135">
        <f>INDEX('Draft Engine'!$X$3:$X$232,$M135)</f>
        <v/>
      </c>
      <c r="M135" s="6">
        <f>MATCH($A135,'Draft Engine'!$Q$3:$Q$232,0)</f>
        <v/>
      </c>
    </row>
    <row r="136">
      <c r="A136">
        <f>134</f>
        <v/>
      </c>
      <c r="B136">
        <f>INDEX('Draft Engine'!$A$3:$A$232,$M136)</f>
        <v/>
      </c>
      <c r="C136">
        <f>INDEX('Draft Engine'!$F$3:$F$232,$M136)</f>
        <v/>
      </c>
      <c r="D136">
        <f>INDEX('Draft Engine'!$B$3:$B$232,$M136)</f>
        <v/>
      </c>
      <c r="E136" s="4">
        <f>INDEX('Draft Engine'!$E$3:$E$232,$M136)</f>
        <v/>
      </c>
      <c r="F136">
        <f>INDEX('LIVE SOURCE'!$H$3:$H$232,$M136)</f>
        <v/>
      </c>
      <c r="G136">
        <f>INDEX('LIVE SOURCE'!$I$3:$I$232,$M136)</f>
        <v/>
      </c>
      <c r="H136">
        <f>INDEX('LIVE SOURCE'!$J$3:$J$232,$M136)</f>
        <v/>
      </c>
      <c r="I136">
        <f>INDEX('Draft Engine'!$R$3:$R$232,$M136)</f>
        <v/>
      </c>
      <c r="J136">
        <f>INDEX('Draft Engine'!$S$3:$S$232,$M136)</f>
        <v/>
      </c>
      <c r="K136">
        <f>INDEX('Draft Engine'!$T$3:$T$232,$M136)</f>
        <v/>
      </c>
      <c r="L136">
        <f>INDEX('Draft Engine'!$X$3:$X$232,$M136)</f>
        <v/>
      </c>
      <c r="M136" s="6">
        <f>MATCH($A136,'Draft Engine'!$Q$3:$Q$232,0)</f>
        <v/>
      </c>
    </row>
    <row r="137">
      <c r="A137">
        <f>135</f>
        <v/>
      </c>
      <c r="B137">
        <f>INDEX('Draft Engine'!$A$3:$A$232,$M137)</f>
        <v/>
      </c>
      <c r="C137">
        <f>INDEX('Draft Engine'!$F$3:$F$232,$M137)</f>
        <v/>
      </c>
      <c r="D137">
        <f>INDEX('Draft Engine'!$B$3:$B$232,$M137)</f>
        <v/>
      </c>
      <c r="E137" s="4">
        <f>INDEX('Draft Engine'!$E$3:$E$232,$M137)</f>
        <v/>
      </c>
      <c r="F137">
        <f>INDEX('LIVE SOURCE'!$H$3:$H$232,$M137)</f>
        <v/>
      </c>
      <c r="G137">
        <f>INDEX('LIVE SOURCE'!$I$3:$I$232,$M137)</f>
        <v/>
      </c>
      <c r="H137">
        <f>INDEX('LIVE SOURCE'!$J$3:$J$232,$M137)</f>
        <v/>
      </c>
      <c r="I137">
        <f>INDEX('Draft Engine'!$R$3:$R$232,$M137)</f>
        <v/>
      </c>
      <c r="J137">
        <f>INDEX('Draft Engine'!$S$3:$S$232,$M137)</f>
        <v/>
      </c>
      <c r="K137">
        <f>INDEX('Draft Engine'!$T$3:$T$232,$M137)</f>
        <v/>
      </c>
      <c r="L137">
        <f>INDEX('Draft Engine'!$X$3:$X$232,$M137)</f>
        <v/>
      </c>
      <c r="M137" s="6">
        <f>MATCH($A137,'Draft Engine'!$Q$3:$Q$232,0)</f>
        <v/>
      </c>
    </row>
    <row r="138">
      <c r="A138">
        <f>136</f>
        <v/>
      </c>
      <c r="B138">
        <f>INDEX('Draft Engine'!$A$3:$A$232,$M138)</f>
        <v/>
      </c>
      <c r="C138">
        <f>INDEX('Draft Engine'!$F$3:$F$232,$M138)</f>
        <v/>
      </c>
      <c r="D138">
        <f>INDEX('Draft Engine'!$B$3:$B$232,$M138)</f>
        <v/>
      </c>
      <c r="E138" s="4">
        <f>INDEX('Draft Engine'!$E$3:$E$232,$M138)</f>
        <v/>
      </c>
      <c r="F138">
        <f>INDEX('LIVE SOURCE'!$H$3:$H$232,$M138)</f>
        <v/>
      </c>
      <c r="G138">
        <f>INDEX('LIVE SOURCE'!$I$3:$I$232,$M138)</f>
        <v/>
      </c>
      <c r="H138">
        <f>INDEX('LIVE SOURCE'!$J$3:$J$232,$M138)</f>
        <v/>
      </c>
      <c r="I138">
        <f>INDEX('Draft Engine'!$R$3:$R$232,$M138)</f>
        <v/>
      </c>
      <c r="J138">
        <f>INDEX('Draft Engine'!$S$3:$S$232,$M138)</f>
        <v/>
      </c>
      <c r="K138">
        <f>INDEX('Draft Engine'!$T$3:$T$232,$M138)</f>
        <v/>
      </c>
      <c r="L138">
        <f>INDEX('Draft Engine'!$X$3:$X$232,$M138)</f>
        <v/>
      </c>
      <c r="M138" s="6">
        <f>MATCH($A138,'Draft Engine'!$Q$3:$Q$232,0)</f>
        <v/>
      </c>
    </row>
    <row r="139">
      <c r="A139">
        <f>137</f>
        <v/>
      </c>
      <c r="B139">
        <f>INDEX('Draft Engine'!$A$3:$A$232,$M139)</f>
        <v/>
      </c>
      <c r="C139">
        <f>INDEX('Draft Engine'!$F$3:$F$232,$M139)</f>
        <v/>
      </c>
      <c r="D139">
        <f>INDEX('Draft Engine'!$B$3:$B$232,$M139)</f>
        <v/>
      </c>
      <c r="E139" s="4">
        <f>INDEX('Draft Engine'!$E$3:$E$232,$M139)</f>
        <v/>
      </c>
      <c r="F139">
        <f>INDEX('LIVE SOURCE'!$H$3:$H$232,$M139)</f>
        <v/>
      </c>
      <c r="G139">
        <f>INDEX('LIVE SOURCE'!$I$3:$I$232,$M139)</f>
        <v/>
      </c>
      <c r="H139">
        <f>INDEX('LIVE SOURCE'!$J$3:$J$232,$M139)</f>
        <v/>
      </c>
      <c r="I139">
        <f>INDEX('Draft Engine'!$R$3:$R$232,$M139)</f>
        <v/>
      </c>
      <c r="J139">
        <f>INDEX('Draft Engine'!$S$3:$S$232,$M139)</f>
        <v/>
      </c>
      <c r="K139">
        <f>INDEX('Draft Engine'!$T$3:$T$232,$M139)</f>
        <v/>
      </c>
      <c r="L139">
        <f>INDEX('Draft Engine'!$X$3:$X$232,$M139)</f>
        <v/>
      </c>
      <c r="M139" s="6">
        <f>MATCH($A139,'Draft Engine'!$Q$3:$Q$232,0)</f>
        <v/>
      </c>
    </row>
    <row r="140">
      <c r="A140">
        <f>138</f>
        <v/>
      </c>
      <c r="B140">
        <f>INDEX('Draft Engine'!$A$3:$A$232,$M140)</f>
        <v/>
      </c>
      <c r="C140">
        <f>INDEX('Draft Engine'!$F$3:$F$232,$M140)</f>
        <v/>
      </c>
      <c r="D140">
        <f>INDEX('Draft Engine'!$B$3:$B$232,$M140)</f>
        <v/>
      </c>
      <c r="E140" s="4">
        <f>INDEX('Draft Engine'!$E$3:$E$232,$M140)</f>
        <v/>
      </c>
      <c r="F140">
        <f>INDEX('LIVE SOURCE'!$H$3:$H$232,$M140)</f>
        <v/>
      </c>
      <c r="G140">
        <f>INDEX('LIVE SOURCE'!$I$3:$I$232,$M140)</f>
        <v/>
      </c>
      <c r="H140">
        <f>INDEX('LIVE SOURCE'!$J$3:$J$232,$M140)</f>
        <v/>
      </c>
      <c r="I140">
        <f>INDEX('Draft Engine'!$R$3:$R$232,$M140)</f>
        <v/>
      </c>
      <c r="J140">
        <f>INDEX('Draft Engine'!$S$3:$S$232,$M140)</f>
        <v/>
      </c>
      <c r="K140">
        <f>INDEX('Draft Engine'!$T$3:$T$232,$M140)</f>
        <v/>
      </c>
      <c r="L140">
        <f>INDEX('Draft Engine'!$X$3:$X$232,$M140)</f>
        <v/>
      </c>
      <c r="M140" s="6">
        <f>MATCH($A140,'Draft Engine'!$Q$3:$Q$232,0)</f>
        <v/>
      </c>
    </row>
    <row r="141">
      <c r="A141">
        <f>139</f>
        <v/>
      </c>
      <c r="B141">
        <f>INDEX('Draft Engine'!$A$3:$A$232,$M141)</f>
        <v/>
      </c>
      <c r="C141">
        <f>INDEX('Draft Engine'!$F$3:$F$232,$M141)</f>
        <v/>
      </c>
      <c r="D141">
        <f>INDEX('Draft Engine'!$B$3:$B$232,$M141)</f>
        <v/>
      </c>
      <c r="E141" s="4">
        <f>INDEX('Draft Engine'!$E$3:$E$232,$M141)</f>
        <v/>
      </c>
      <c r="F141">
        <f>INDEX('LIVE SOURCE'!$H$3:$H$232,$M141)</f>
        <v/>
      </c>
      <c r="G141">
        <f>INDEX('LIVE SOURCE'!$I$3:$I$232,$M141)</f>
        <v/>
      </c>
      <c r="H141">
        <f>INDEX('LIVE SOURCE'!$J$3:$J$232,$M141)</f>
        <v/>
      </c>
      <c r="I141">
        <f>INDEX('Draft Engine'!$R$3:$R$232,$M141)</f>
        <v/>
      </c>
      <c r="J141">
        <f>INDEX('Draft Engine'!$S$3:$S$232,$M141)</f>
        <v/>
      </c>
      <c r="K141">
        <f>INDEX('Draft Engine'!$T$3:$T$232,$M141)</f>
        <v/>
      </c>
      <c r="L141">
        <f>INDEX('Draft Engine'!$X$3:$X$232,$M141)</f>
        <v/>
      </c>
      <c r="M141" s="6">
        <f>MATCH($A141,'Draft Engine'!$Q$3:$Q$232,0)</f>
        <v/>
      </c>
    </row>
    <row r="142">
      <c r="A142">
        <f>140</f>
        <v/>
      </c>
      <c r="B142">
        <f>INDEX('Draft Engine'!$A$3:$A$232,$M142)</f>
        <v/>
      </c>
      <c r="C142">
        <f>INDEX('Draft Engine'!$F$3:$F$232,$M142)</f>
        <v/>
      </c>
      <c r="D142">
        <f>INDEX('Draft Engine'!$B$3:$B$232,$M142)</f>
        <v/>
      </c>
      <c r="E142" s="4">
        <f>INDEX('Draft Engine'!$E$3:$E$232,$M142)</f>
        <v/>
      </c>
      <c r="F142">
        <f>INDEX('LIVE SOURCE'!$H$3:$H$232,$M142)</f>
        <v/>
      </c>
      <c r="G142">
        <f>INDEX('LIVE SOURCE'!$I$3:$I$232,$M142)</f>
        <v/>
      </c>
      <c r="H142">
        <f>INDEX('LIVE SOURCE'!$J$3:$J$232,$M142)</f>
        <v/>
      </c>
      <c r="I142">
        <f>INDEX('Draft Engine'!$R$3:$R$232,$M142)</f>
        <v/>
      </c>
      <c r="J142">
        <f>INDEX('Draft Engine'!$S$3:$S$232,$M142)</f>
        <v/>
      </c>
      <c r="K142">
        <f>INDEX('Draft Engine'!$T$3:$T$232,$M142)</f>
        <v/>
      </c>
      <c r="L142">
        <f>INDEX('Draft Engine'!$X$3:$X$232,$M142)</f>
        <v/>
      </c>
      <c r="M142" s="6">
        <f>MATCH($A142,'Draft Engine'!$Q$3:$Q$232,0)</f>
        <v/>
      </c>
    </row>
    <row r="143">
      <c r="A143">
        <f>141</f>
        <v/>
      </c>
      <c r="B143">
        <f>INDEX('Draft Engine'!$A$3:$A$232,$M143)</f>
        <v/>
      </c>
      <c r="C143">
        <f>INDEX('Draft Engine'!$F$3:$F$232,$M143)</f>
        <v/>
      </c>
      <c r="D143">
        <f>INDEX('Draft Engine'!$B$3:$B$232,$M143)</f>
        <v/>
      </c>
      <c r="E143" s="4">
        <f>INDEX('Draft Engine'!$E$3:$E$232,$M143)</f>
        <v/>
      </c>
      <c r="F143">
        <f>INDEX('LIVE SOURCE'!$H$3:$H$232,$M143)</f>
        <v/>
      </c>
      <c r="G143">
        <f>INDEX('LIVE SOURCE'!$I$3:$I$232,$M143)</f>
        <v/>
      </c>
      <c r="H143">
        <f>INDEX('LIVE SOURCE'!$J$3:$J$232,$M143)</f>
        <v/>
      </c>
      <c r="I143">
        <f>INDEX('Draft Engine'!$R$3:$R$232,$M143)</f>
        <v/>
      </c>
      <c r="J143">
        <f>INDEX('Draft Engine'!$S$3:$S$232,$M143)</f>
        <v/>
      </c>
      <c r="K143">
        <f>INDEX('Draft Engine'!$T$3:$T$232,$M143)</f>
        <v/>
      </c>
      <c r="L143">
        <f>INDEX('Draft Engine'!$X$3:$X$232,$M143)</f>
        <v/>
      </c>
      <c r="M143" s="6">
        <f>MATCH($A143,'Draft Engine'!$Q$3:$Q$232,0)</f>
        <v/>
      </c>
    </row>
    <row r="144">
      <c r="A144">
        <f>142</f>
        <v/>
      </c>
      <c r="B144">
        <f>INDEX('Draft Engine'!$A$3:$A$232,$M144)</f>
        <v/>
      </c>
      <c r="C144">
        <f>INDEX('Draft Engine'!$F$3:$F$232,$M144)</f>
        <v/>
      </c>
      <c r="D144">
        <f>INDEX('Draft Engine'!$B$3:$B$232,$M144)</f>
        <v/>
      </c>
      <c r="E144" s="4">
        <f>INDEX('Draft Engine'!$E$3:$E$232,$M144)</f>
        <v/>
      </c>
      <c r="F144">
        <f>INDEX('LIVE SOURCE'!$H$3:$H$232,$M144)</f>
        <v/>
      </c>
      <c r="G144">
        <f>INDEX('LIVE SOURCE'!$I$3:$I$232,$M144)</f>
        <v/>
      </c>
      <c r="H144">
        <f>INDEX('LIVE SOURCE'!$J$3:$J$232,$M144)</f>
        <v/>
      </c>
      <c r="I144">
        <f>INDEX('Draft Engine'!$R$3:$R$232,$M144)</f>
        <v/>
      </c>
      <c r="J144">
        <f>INDEX('Draft Engine'!$S$3:$S$232,$M144)</f>
        <v/>
      </c>
      <c r="K144">
        <f>INDEX('Draft Engine'!$T$3:$T$232,$M144)</f>
        <v/>
      </c>
      <c r="L144">
        <f>INDEX('Draft Engine'!$X$3:$X$232,$M144)</f>
        <v/>
      </c>
      <c r="M144" s="6">
        <f>MATCH($A144,'Draft Engine'!$Q$3:$Q$232,0)</f>
        <v/>
      </c>
    </row>
    <row r="145">
      <c r="A145">
        <f>143</f>
        <v/>
      </c>
      <c r="B145">
        <f>INDEX('Draft Engine'!$A$3:$A$232,$M145)</f>
        <v/>
      </c>
      <c r="C145">
        <f>INDEX('Draft Engine'!$F$3:$F$232,$M145)</f>
        <v/>
      </c>
      <c r="D145">
        <f>INDEX('Draft Engine'!$B$3:$B$232,$M145)</f>
        <v/>
      </c>
      <c r="E145" s="4">
        <f>INDEX('Draft Engine'!$E$3:$E$232,$M145)</f>
        <v/>
      </c>
      <c r="F145">
        <f>INDEX('LIVE SOURCE'!$H$3:$H$232,$M145)</f>
        <v/>
      </c>
      <c r="G145">
        <f>INDEX('LIVE SOURCE'!$I$3:$I$232,$M145)</f>
        <v/>
      </c>
      <c r="H145">
        <f>INDEX('LIVE SOURCE'!$J$3:$J$232,$M145)</f>
        <v/>
      </c>
      <c r="I145">
        <f>INDEX('Draft Engine'!$R$3:$R$232,$M145)</f>
        <v/>
      </c>
      <c r="J145">
        <f>INDEX('Draft Engine'!$S$3:$S$232,$M145)</f>
        <v/>
      </c>
      <c r="K145">
        <f>INDEX('Draft Engine'!$T$3:$T$232,$M145)</f>
        <v/>
      </c>
      <c r="L145">
        <f>INDEX('Draft Engine'!$X$3:$X$232,$M145)</f>
        <v/>
      </c>
      <c r="M145" s="6">
        <f>MATCH($A145,'Draft Engine'!$Q$3:$Q$232,0)</f>
        <v/>
      </c>
    </row>
    <row r="146">
      <c r="A146">
        <f>144</f>
        <v/>
      </c>
      <c r="B146">
        <f>INDEX('Draft Engine'!$A$3:$A$232,$M146)</f>
        <v/>
      </c>
      <c r="C146">
        <f>INDEX('Draft Engine'!$F$3:$F$232,$M146)</f>
        <v/>
      </c>
      <c r="D146">
        <f>INDEX('Draft Engine'!$B$3:$B$232,$M146)</f>
        <v/>
      </c>
      <c r="E146" s="4">
        <f>INDEX('Draft Engine'!$E$3:$E$232,$M146)</f>
        <v/>
      </c>
      <c r="F146">
        <f>INDEX('LIVE SOURCE'!$H$3:$H$232,$M146)</f>
        <v/>
      </c>
      <c r="G146">
        <f>INDEX('LIVE SOURCE'!$I$3:$I$232,$M146)</f>
        <v/>
      </c>
      <c r="H146">
        <f>INDEX('LIVE SOURCE'!$J$3:$J$232,$M146)</f>
        <v/>
      </c>
      <c r="I146">
        <f>INDEX('Draft Engine'!$R$3:$R$232,$M146)</f>
        <v/>
      </c>
      <c r="J146">
        <f>INDEX('Draft Engine'!$S$3:$S$232,$M146)</f>
        <v/>
      </c>
      <c r="K146">
        <f>INDEX('Draft Engine'!$T$3:$T$232,$M146)</f>
        <v/>
      </c>
      <c r="L146">
        <f>INDEX('Draft Engine'!$X$3:$X$232,$M146)</f>
        <v/>
      </c>
      <c r="M146" s="6">
        <f>MATCH($A146,'Draft Engine'!$Q$3:$Q$232,0)</f>
        <v/>
      </c>
    </row>
    <row r="147">
      <c r="A147">
        <f>145</f>
        <v/>
      </c>
      <c r="B147">
        <f>INDEX('Draft Engine'!$A$3:$A$232,$M147)</f>
        <v/>
      </c>
      <c r="C147">
        <f>INDEX('Draft Engine'!$F$3:$F$232,$M147)</f>
        <v/>
      </c>
      <c r="D147">
        <f>INDEX('Draft Engine'!$B$3:$B$232,$M147)</f>
        <v/>
      </c>
      <c r="E147" s="4">
        <f>INDEX('Draft Engine'!$E$3:$E$232,$M147)</f>
        <v/>
      </c>
      <c r="F147">
        <f>INDEX('LIVE SOURCE'!$H$3:$H$232,$M147)</f>
        <v/>
      </c>
      <c r="G147">
        <f>INDEX('LIVE SOURCE'!$I$3:$I$232,$M147)</f>
        <v/>
      </c>
      <c r="H147">
        <f>INDEX('LIVE SOURCE'!$J$3:$J$232,$M147)</f>
        <v/>
      </c>
      <c r="I147">
        <f>INDEX('Draft Engine'!$R$3:$R$232,$M147)</f>
        <v/>
      </c>
      <c r="J147">
        <f>INDEX('Draft Engine'!$S$3:$S$232,$M147)</f>
        <v/>
      </c>
      <c r="K147">
        <f>INDEX('Draft Engine'!$T$3:$T$232,$M147)</f>
        <v/>
      </c>
      <c r="L147">
        <f>INDEX('Draft Engine'!$X$3:$X$232,$M147)</f>
        <v/>
      </c>
      <c r="M147" s="6">
        <f>MATCH($A147,'Draft Engine'!$Q$3:$Q$232,0)</f>
        <v/>
      </c>
    </row>
    <row r="148">
      <c r="A148">
        <f>146</f>
        <v/>
      </c>
      <c r="B148">
        <f>INDEX('Draft Engine'!$A$3:$A$232,$M148)</f>
        <v/>
      </c>
      <c r="C148">
        <f>INDEX('Draft Engine'!$F$3:$F$232,$M148)</f>
        <v/>
      </c>
      <c r="D148">
        <f>INDEX('Draft Engine'!$B$3:$B$232,$M148)</f>
        <v/>
      </c>
      <c r="E148" s="4">
        <f>INDEX('Draft Engine'!$E$3:$E$232,$M148)</f>
        <v/>
      </c>
      <c r="F148">
        <f>INDEX('LIVE SOURCE'!$H$3:$H$232,$M148)</f>
        <v/>
      </c>
      <c r="G148">
        <f>INDEX('LIVE SOURCE'!$I$3:$I$232,$M148)</f>
        <v/>
      </c>
      <c r="H148">
        <f>INDEX('LIVE SOURCE'!$J$3:$J$232,$M148)</f>
        <v/>
      </c>
      <c r="I148">
        <f>INDEX('Draft Engine'!$R$3:$R$232,$M148)</f>
        <v/>
      </c>
      <c r="J148">
        <f>INDEX('Draft Engine'!$S$3:$S$232,$M148)</f>
        <v/>
      </c>
      <c r="K148">
        <f>INDEX('Draft Engine'!$T$3:$T$232,$M148)</f>
        <v/>
      </c>
      <c r="L148">
        <f>INDEX('Draft Engine'!$X$3:$X$232,$M148)</f>
        <v/>
      </c>
      <c r="M148" s="6">
        <f>MATCH($A148,'Draft Engine'!$Q$3:$Q$232,0)</f>
        <v/>
      </c>
    </row>
    <row r="149">
      <c r="A149">
        <f>147</f>
        <v/>
      </c>
      <c r="B149">
        <f>INDEX('Draft Engine'!$A$3:$A$232,$M149)</f>
        <v/>
      </c>
      <c r="C149">
        <f>INDEX('Draft Engine'!$F$3:$F$232,$M149)</f>
        <v/>
      </c>
      <c r="D149">
        <f>INDEX('Draft Engine'!$B$3:$B$232,$M149)</f>
        <v/>
      </c>
      <c r="E149" s="4">
        <f>INDEX('Draft Engine'!$E$3:$E$232,$M149)</f>
        <v/>
      </c>
      <c r="F149">
        <f>INDEX('LIVE SOURCE'!$H$3:$H$232,$M149)</f>
        <v/>
      </c>
      <c r="G149">
        <f>INDEX('LIVE SOURCE'!$I$3:$I$232,$M149)</f>
        <v/>
      </c>
      <c r="H149">
        <f>INDEX('LIVE SOURCE'!$J$3:$J$232,$M149)</f>
        <v/>
      </c>
      <c r="I149">
        <f>INDEX('Draft Engine'!$R$3:$R$232,$M149)</f>
        <v/>
      </c>
      <c r="J149">
        <f>INDEX('Draft Engine'!$S$3:$S$232,$M149)</f>
        <v/>
      </c>
      <c r="K149">
        <f>INDEX('Draft Engine'!$T$3:$T$232,$M149)</f>
        <v/>
      </c>
      <c r="L149">
        <f>INDEX('Draft Engine'!$X$3:$X$232,$M149)</f>
        <v/>
      </c>
      <c r="M149" s="6">
        <f>MATCH($A149,'Draft Engine'!$Q$3:$Q$232,0)</f>
        <v/>
      </c>
    </row>
    <row r="150">
      <c r="A150">
        <f>148</f>
        <v/>
      </c>
      <c r="B150">
        <f>INDEX('Draft Engine'!$A$3:$A$232,$M150)</f>
        <v/>
      </c>
      <c r="C150">
        <f>INDEX('Draft Engine'!$F$3:$F$232,$M150)</f>
        <v/>
      </c>
      <c r="D150">
        <f>INDEX('Draft Engine'!$B$3:$B$232,$M150)</f>
        <v/>
      </c>
      <c r="E150" s="4">
        <f>INDEX('Draft Engine'!$E$3:$E$232,$M150)</f>
        <v/>
      </c>
      <c r="F150">
        <f>INDEX('LIVE SOURCE'!$H$3:$H$232,$M150)</f>
        <v/>
      </c>
      <c r="G150">
        <f>INDEX('LIVE SOURCE'!$I$3:$I$232,$M150)</f>
        <v/>
      </c>
      <c r="H150">
        <f>INDEX('LIVE SOURCE'!$J$3:$J$232,$M150)</f>
        <v/>
      </c>
      <c r="I150">
        <f>INDEX('Draft Engine'!$R$3:$R$232,$M150)</f>
        <v/>
      </c>
      <c r="J150">
        <f>INDEX('Draft Engine'!$S$3:$S$232,$M150)</f>
        <v/>
      </c>
      <c r="K150">
        <f>INDEX('Draft Engine'!$T$3:$T$232,$M150)</f>
        <v/>
      </c>
      <c r="L150">
        <f>INDEX('Draft Engine'!$X$3:$X$232,$M150)</f>
        <v/>
      </c>
      <c r="M150" s="6">
        <f>MATCH($A150,'Draft Engine'!$Q$3:$Q$232,0)</f>
        <v/>
      </c>
    </row>
    <row r="151">
      <c r="A151">
        <f>149</f>
        <v/>
      </c>
      <c r="B151">
        <f>INDEX('Draft Engine'!$A$3:$A$232,$M151)</f>
        <v/>
      </c>
      <c r="C151">
        <f>INDEX('Draft Engine'!$F$3:$F$232,$M151)</f>
        <v/>
      </c>
      <c r="D151">
        <f>INDEX('Draft Engine'!$B$3:$B$232,$M151)</f>
        <v/>
      </c>
      <c r="E151" s="4">
        <f>INDEX('Draft Engine'!$E$3:$E$232,$M151)</f>
        <v/>
      </c>
      <c r="F151">
        <f>INDEX('LIVE SOURCE'!$H$3:$H$232,$M151)</f>
        <v/>
      </c>
      <c r="G151">
        <f>INDEX('LIVE SOURCE'!$I$3:$I$232,$M151)</f>
        <v/>
      </c>
      <c r="H151">
        <f>INDEX('LIVE SOURCE'!$J$3:$J$232,$M151)</f>
        <v/>
      </c>
      <c r="I151">
        <f>INDEX('Draft Engine'!$R$3:$R$232,$M151)</f>
        <v/>
      </c>
      <c r="J151">
        <f>INDEX('Draft Engine'!$S$3:$S$232,$M151)</f>
        <v/>
      </c>
      <c r="K151">
        <f>INDEX('Draft Engine'!$T$3:$T$232,$M151)</f>
        <v/>
      </c>
      <c r="L151">
        <f>INDEX('Draft Engine'!$X$3:$X$232,$M151)</f>
        <v/>
      </c>
      <c r="M151" s="6">
        <f>MATCH($A151,'Draft Engine'!$Q$3:$Q$232,0)</f>
        <v/>
      </c>
    </row>
    <row r="152">
      <c r="A152">
        <f>150</f>
        <v/>
      </c>
      <c r="B152">
        <f>INDEX('Draft Engine'!$A$3:$A$232,$M152)</f>
        <v/>
      </c>
      <c r="C152">
        <f>INDEX('Draft Engine'!$F$3:$F$232,$M152)</f>
        <v/>
      </c>
      <c r="D152">
        <f>INDEX('Draft Engine'!$B$3:$B$232,$M152)</f>
        <v/>
      </c>
      <c r="E152" s="4">
        <f>INDEX('Draft Engine'!$E$3:$E$232,$M152)</f>
        <v/>
      </c>
      <c r="F152">
        <f>INDEX('LIVE SOURCE'!$H$3:$H$232,$M152)</f>
        <v/>
      </c>
      <c r="G152">
        <f>INDEX('LIVE SOURCE'!$I$3:$I$232,$M152)</f>
        <v/>
      </c>
      <c r="H152">
        <f>INDEX('LIVE SOURCE'!$J$3:$J$232,$M152)</f>
        <v/>
      </c>
      <c r="I152">
        <f>INDEX('Draft Engine'!$R$3:$R$232,$M152)</f>
        <v/>
      </c>
      <c r="J152">
        <f>INDEX('Draft Engine'!$S$3:$S$232,$M152)</f>
        <v/>
      </c>
      <c r="K152">
        <f>INDEX('Draft Engine'!$T$3:$T$232,$M152)</f>
        <v/>
      </c>
      <c r="L152">
        <f>INDEX('Draft Engine'!$X$3:$X$232,$M152)</f>
        <v/>
      </c>
      <c r="M152" s="6">
        <f>MATCH($A152,'Draft Engine'!$Q$3:$Q$232,0)</f>
        <v/>
      </c>
    </row>
    <row r="153">
      <c r="A153">
        <f>151</f>
        <v/>
      </c>
      <c r="B153">
        <f>INDEX('Draft Engine'!$A$3:$A$232,$M153)</f>
        <v/>
      </c>
      <c r="C153">
        <f>INDEX('Draft Engine'!$F$3:$F$232,$M153)</f>
        <v/>
      </c>
      <c r="D153">
        <f>INDEX('Draft Engine'!$B$3:$B$232,$M153)</f>
        <v/>
      </c>
      <c r="E153" s="4">
        <f>INDEX('Draft Engine'!$E$3:$E$232,$M153)</f>
        <v/>
      </c>
      <c r="F153">
        <f>INDEX('LIVE SOURCE'!$H$3:$H$232,$M153)</f>
        <v/>
      </c>
      <c r="G153">
        <f>INDEX('LIVE SOURCE'!$I$3:$I$232,$M153)</f>
        <v/>
      </c>
      <c r="H153">
        <f>INDEX('LIVE SOURCE'!$J$3:$J$232,$M153)</f>
        <v/>
      </c>
      <c r="I153">
        <f>INDEX('Draft Engine'!$R$3:$R$232,$M153)</f>
        <v/>
      </c>
      <c r="J153">
        <f>INDEX('Draft Engine'!$S$3:$S$232,$M153)</f>
        <v/>
      </c>
      <c r="K153">
        <f>INDEX('Draft Engine'!$T$3:$T$232,$M153)</f>
        <v/>
      </c>
      <c r="L153">
        <f>INDEX('Draft Engine'!$X$3:$X$232,$M153)</f>
        <v/>
      </c>
      <c r="M153" s="6">
        <f>MATCH($A153,'Draft Engine'!$Q$3:$Q$232,0)</f>
        <v/>
      </c>
    </row>
    <row r="154">
      <c r="A154">
        <f>152</f>
        <v/>
      </c>
      <c r="B154">
        <f>INDEX('Draft Engine'!$A$3:$A$232,$M154)</f>
        <v/>
      </c>
      <c r="C154">
        <f>INDEX('Draft Engine'!$F$3:$F$232,$M154)</f>
        <v/>
      </c>
      <c r="D154">
        <f>INDEX('Draft Engine'!$B$3:$B$232,$M154)</f>
        <v/>
      </c>
      <c r="E154" s="4">
        <f>INDEX('Draft Engine'!$E$3:$E$232,$M154)</f>
        <v/>
      </c>
      <c r="F154">
        <f>INDEX('LIVE SOURCE'!$H$3:$H$232,$M154)</f>
        <v/>
      </c>
      <c r="G154">
        <f>INDEX('LIVE SOURCE'!$I$3:$I$232,$M154)</f>
        <v/>
      </c>
      <c r="H154">
        <f>INDEX('LIVE SOURCE'!$J$3:$J$232,$M154)</f>
        <v/>
      </c>
      <c r="I154">
        <f>INDEX('Draft Engine'!$R$3:$R$232,$M154)</f>
        <v/>
      </c>
      <c r="J154">
        <f>INDEX('Draft Engine'!$S$3:$S$232,$M154)</f>
        <v/>
      </c>
      <c r="K154">
        <f>INDEX('Draft Engine'!$T$3:$T$232,$M154)</f>
        <v/>
      </c>
      <c r="L154">
        <f>INDEX('Draft Engine'!$X$3:$X$232,$M154)</f>
        <v/>
      </c>
      <c r="M154" s="6">
        <f>MATCH($A154,'Draft Engine'!$Q$3:$Q$232,0)</f>
        <v/>
      </c>
    </row>
    <row r="155">
      <c r="A155">
        <f>153</f>
        <v/>
      </c>
      <c r="B155">
        <f>INDEX('Draft Engine'!$A$3:$A$232,$M155)</f>
        <v/>
      </c>
      <c r="C155">
        <f>INDEX('Draft Engine'!$F$3:$F$232,$M155)</f>
        <v/>
      </c>
      <c r="D155">
        <f>INDEX('Draft Engine'!$B$3:$B$232,$M155)</f>
        <v/>
      </c>
      <c r="E155" s="4">
        <f>INDEX('Draft Engine'!$E$3:$E$232,$M155)</f>
        <v/>
      </c>
      <c r="F155">
        <f>INDEX('LIVE SOURCE'!$H$3:$H$232,$M155)</f>
        <v/>
      </c>
      <c r="G155">
        <f>INDEX('LIVE SOURCE'!$I$3:$I$232,$M155)</f>
        <v/>
      </c>
      <c r="H155">
        <f>INDEX('LIVE SOURCE'!$J$3:$J$232,$M155)</f>
        <v/>
      </c>
      <c r="I155">
        <f>INDEX('Draft Engine'!$R$3:$R$232,$M155)</f>
        <v/>
      </c>
      <c r="J155">
        <f>INDEX('Draft Engine'!$S$3:$S$232,$M155)</f>
        <v/>
      </c>
      <c r="K155">
        <f>INDEX('Draft Engine'!$T$3:$T$232,$M155)</f>
        <v/>
      </c>
      <c r="L155">
        <f>INDEX('Draft Engine'!$X$3:$X$232,$M155)</f>
        <v/>
      </c>
      <c r="M155" s="6">
        <f>MATCH($A155,'Draft Engine'!$Q$3:$Q$232,0)</f>
        <v/>
      </c>
    </row>
    <row r="156">
      <c r="A156">
        <f>154</f>
        <v/>
      </c>
      <c r="B156">
        <f>INDEX('Draft Engine'!$A$3:$A$232,$M156)</f>
        <v/>
      </c>
      <c r="C156">
        <f>INDEX('Draft Engine'!$F$3:$F$232,$M156)</f>
        <v/>
      </c>
      <c r="D156">
        <f>INDEX('Draft Engine'!$B$3:$B$232,$M156)</f>
        <v/>
      </c>
      <c r="E156" s="4">
        <f>INDEX('Draft Engine'!$E$3:$E$232,$M156)</f>
        <v/>
      </c>
      <c r="F156">
        <f>INDEX('LIVE SOURCE'!$H$3:$H$232,$M156)</f>
        <v/>
      </c>
      <c r="G156">
        <f>INDEX('LIVE SOURCE'!$I$3:$I$232,$M156)</f>
        <v/>
      </c>
      <c r="H156">
        <f>INDEX('LIVE SOURCE'!$J$3:$J$232,$M156)</f>
        <v/>
      </c>
      <c r="I156">
        <f>INDEX('Draft Engine'!$R$3:$R$232,$M156)</f>
        <v/>
      </c>
      <c r="J156">
        <f>INDEX('Draft Engine'!$S$3:$S$232,$M156)</f>
        <v/>
      </c>
      <c r="K156">
        <f>INDEX('Draft Engine'!$T$3:$T$232,$M156)</f>
        <v/>
      </c>
      <c r="L156">
        <f>INDEX('Draft Engine'!$X$3:$X$232,$M156)</f>
        <v/>
      </c>
      <c r="M156" s="6">
        <f>MATCH($A156,'Draft Engine'!$Q$3:$Q$232,0)</f>
        <v/>
      </c>
    </row>
    <row r="157">
      <c r="A157">
        <f>155</f>
        <v/>
      </c>
      <c r="B157">
        <f>INDEX('Draft Engine'!$A$3:$A$232,$M157)</f>
        <v/>
      </c>
      <c r="C157">
        <f>INDEX('Draft Engine'!$F$3:$F$232,$M157)</f>
        <v/>
      </c>
      <c r="D157">
        <f>INDEX('Draft Engine'!$B$3:$B$232,$M157)</f>
        <v/>
      </c>
      <c r="E157" s="4">
        <f>INDEX('Draft Engine'!$E$3:$E$232,$M157)</f>
        <v/>
      </c>
      <c r="F157">
        <f>INDEX('LIVE SOURCE'!$H$3:$H$232,$M157)</f>
        <v/>
      </c>
      <c r="G157">
        <f>INDEX('LIVE SOURCE'!$I$3:$I$232,$M157)</f>
        <v/>
      </c>
      <c r="H157">
        <f>INDEX('LIVE SOURCE'!$J$3:$J$232,$M157)</f>
        <v/>
      </c>
      <c r="I157">
        <f>INDEX('Draft Engine'!$R$3:$R$232,$M157)</f>
        <v/>
      </c>
      <c r="J157">
        <f>INDEX('Draft Engine'!$S$3:$S$232,$M157)</f>
        <v/>
      </c>
      <c r="K157">
        <f>INDEX('Draft Engine'!$T$3:$T$232,$M157)</f>
        <v/>
      </c>
      <c r="L157">
        <f>INDEX('Draft Engine'!$X$3:$X$232,$M157)</f>
        <v/>
      </c>
      <c r="M157" s="6">
        <f>MATCH($A157,'Draft Engine'!$Q$3:$Q$232,0)</f>
        <v/>
      </c>
    </row>
    <row r="158">
      <c r="A158">
        <f>156</f>
        <v/>
      </c>
      <c r="B158">
        <f>INDEX('Draft Engine'!$A$3:$A$232,$M158)</f>
        <v/>
      </c>
      <c r="C158">
        <f>INDEX('Draft Engine'!$F$3:$F$232,$M158)</f>
        <v/>
      </c>
      <c r="D158">
        <f>INDEX('Draft Engine'!$B$3:$B$232,$M158)</f>
        <v/>
      </c>
      <c r="E158" s="4">
        <f>INDEX('Draft Engine'!$E$3:$E$232,$M158)</f>
        <v/>
      </c>
      <c r="F158">
        <f>INDEX('LIVE SOURCE'!$H$3:$H$232,$M158)</f>
        <v/>
      </c>
      <c r="G158">
        <f>INDEX('LIVE SOURCE'!$I$3:$I$232,$M158)</f>
        <v/>
      </c>
      <c r="H158">
        <f>INDEX('LIVE SOURCE'!$J$3:$J$232,$M158)</f>
        <v/>
      </c>
      <c r="I158">
        <f>INDEX('Draft Engine'!$R$3:$R$232,$M158)</f>
        <v/>
      </c>
      <c r="J158">
        <f>INDEX('Draft Engine'!$S$3:$S$232,$M158)</f>
        <v/>
      </c>
      <c r="K158">
        <f>INDEX('Draft Engine'!$T$3:$T$232,$M158)</f>
        <v/>
      </c>
      <c r="L158">
        <f>INDEX('Draft Engine'!$X$3:$X$232,$M158)</f>
        <v/>
      </c>
      <c r="M158" s="6">
        <f>MATCH($A158,'Draft Engine'!$Q$3:$Q$232,0)</f>
        <v/>
      </c>
    </row>
    <row r="159">
      <c r="A159">
        <f>157</f>
        <v/>
      </c>
      <c r="B159">
        <f>INDEX('Draft Engine'!$A$3:$A$232,$M159)</f>
        <v/>
      </c>
      <c r="C159">
        <f>INDEX('Draft Engine'!$F$3:$F$232,$M159)</f>
        <v/>
      </c>
      <c r="D159">
        <f>INDEX('Draft Engine'!$B$3:$B$232,$M159)</f>
        <v/>
      </c>
      <c r="E159" s="4">
        <f>INDEX('Draft Engine'!$E$3:$E$232,$M159)</f>
        <v/>
      </c>
      <c r="F159">
        <f>INDEX('LIVE SOURCE'!$H$3:$H$232,$M159)</f>
        <v/>
      </c>
      <c r="G159">
        <f>INDEX('LIVE SOURCE'!$I$3:$I$232,$M159)</f>
        <v/>
      </c>
      <c r="H159">
        <f>INDEX('LIVE SOURCE'!$J$3:$J$232,$M159)</f>
        <v/>
      </c>
      <c r="I159">
        <f>INDEX('Draft Engine'!$R$3:$R$232,$M159)</f>
        <v/>
      </c>
      <c r="J159">
        <f>INDEX('Draft Engine'!$S$3:$S$232,$M159)</f>
        <v/>
      </c>
      <c r="K159">
        <f>INDEX('Draft Engine'!$T$3:$T$232,$M159)</f>
        <v/>
      </c>
      <c r="L159">
        <f>INDEX('Draft Engine'!$X$3:$X$232,$M159)</f>
        <v/>
      </c>
      <c r="M159" s="6">
        <f>MATCH($A159,'Draft Engine'!$Q$3:$Q$232,0)</f>
        <v/>
      </c>
    </row>
    <row r="160">
      <c r="A160">
        <f>158</f>
        <v/>
      </c>
      <c r="B160">
        <f>INDEX('Draft Engine'!$A$3:$A$232,$M160)</f>
        <v/>
      </c>
      <c r="C160">
        <f>INDEX('Draft Engine'!$F$3:$F$232,$M160)</f>
        <v/>
      </c>
      <c r="D160">
        <f>INDEX('Draft Engine'!$B$3:$B$232,$M160)</f>
        <v/>
      </c>
      <c r="E160" s="4">
        <f>INDEX('Draft Engine'!$E$3:$E$232,$M160)</f>
        <v/>
      </c>
      <c r="F160">
        <f>INDEX('LIVE SOURCE'!$H$3:$H$232,$M160)</f>
        <v/>
      </c>
      <c r="G160">
        <f>INDEX('LIVE SOURCE'!$I$3:$I$232,$M160)</f>
        <v/>
      </c>
      <c r="H160">
        <f>INDEX('LIVE SOURCE'!$J$3:$J$232,$M160)</f>
        <v/>
      </c>
      <c r="I160">
        <f>INDEX('Draft Engine'!$R$3:$R$232,$M160)</f>
        <v/>
      </c>
      <c r="J160">
        <f>INDEX('Draft Engine'!$S$3:$S$232,$M160)</f>
        <v/>
      </c>
      <c r="K160">
        <f>INDEX('Draft Engine'!$T$3:$T$232,$M160)</f>
        <v/>
      </c>
      <c r="L160">
        <f>INDEX('Draft Engine'!$X$3:$X$232,$M160)</f>
        <v/>
      </c>
      <c r="M160" s="6">
        <f>MATCH($A160,'Draft Engine'!$Q$3:$Q$232,0)</f>
        <v/>
      </c>
    </row>
    <row r="161">
      <c r="A161">
        <f>159</f>
        <v/>
      </c>
      <c r="B161">
        <f>INDEX('Draft Engine'!$A$3:$A$232,$M161)</f>
        <v/>
      </c>
      <c r="C161">
        <f>INDEX('Draft Engine'!$F$3:$F$232,$M161)</f>
        <v/>
      </c>
      <c r="D161">
        <f>INDEX('Draft Engine'!$B$3:$B$232,$M161)</f>
        <v/>
      </c>
      <c r="E161" s="4">
        <f>INDEX('Draft Engine'!$E$3:$E$232,$M161)</f>
        <v/>
      </c>
      <c r="F161">
        <f>INDEX('LIVE SOURCE'!$H$3:$H$232,$M161)</f>
        <v/>
      </c>
      <c r="G161">
        <f>INDEX('LIVE SOURCE'!$I$3:$I$232,$M161)</f>
        <v/>
      </c>
      <c r="H161">
        <f>INDEX('LIVE SOURCE'!$J$3:$J$232,$M161)</f>
        <v/>
      </c>
      <c r="I161">
        <f>INDEX('Draft Engine'!$R$3:$R$232,$M161)</f>
        <v/>
      </c>
      <c r="J161">
        <f>INDEX('Draft Engine'!$S$3:$S$232,$M161)</f>
        <v/>
      </c>
      <c r="K161">
        <f>INDEX('Draft Engine'!$T$3:$T$232,$M161)</f>
        <v/>
      </c>
      <c r="L161">
        <f>INDEX('Draft Engine'!$X$3:$X$232,$M161)</f>
        <v/>
      </c>
      <c r="M161" s="6">
        <f>MATCH($A161,'Draft Engine'!$Q$3:$Q$232,0)</f>
        <v/>
      </c>
    </row>
    <row r="162">
      <c r="A162">
        <f>160</f>
        <v/>
      </c>
      <c r="B162">
        <f>INDEX('Draft Engine'!$A$3:$A$232,$M162)</f>
        <v/>
      </c>
      <c r="C162">
        <f>INDEX('Draft Engine'!$F$3:$F$232,$M162)</f>
        <v/>
      </c>
      <c r="D162">
        <f>INDEX('Draft Engine'!$B$3:$B$232,$M162)</f>
        <v/>
      </c>
      <c r="E162" s="4">
        <f>INDEX('Draft Engine'!$E$3:$E$232,$M162)</f>
        <v/>
      </c>
      <c r="F162">
        <f>INDEX('LIVE SOURCE'!$H$3:$H$232,$M162)</f>
        <v/>
      </c>
      <c r="G162">
        <f>INDEX('LIVE SOURCE'!$I$3:$I$232,$M162)</f>
        <v/>
      </c>
      <c r="H162">
        <f>INDEX('LIVE SOURCE'!$J$3:$J$232,$M162)</f>
        <v/>
      </c>
      <c r="I162">
        <f>INDEX('Draft Engine'!$R$3:$R$232,$M162)</f>
        <v/>
      </c>
      <c r="J162">
        <f>INDEX('Draft Engine'!$S$3:$S$232,$M162)</f>
        <v/>
      </c>
      <c r="K162">
        <f>INDEX('Draft Engine'!$T$3:$T$232,$M162)</f>
        <v/>
      </c>
      <c r="L162">
        <f>INDEX('Draft Engine'!$X$3:$X$232,$M162)</f>
        <v/>
      </c>
      <c r="M162" s="6">
        <f>MATCH($A162,'Draft Engine'!$Q$3:$Q$232,0)</f>
        <v/>
      </c>
    </row>
    <row r="163">
      <c r="A163">
        <f>161</f>
        <v/>
      </c>
      <c r="B163">
        <f>INDEX('Draft Engine'!$A$3:$A$232,$M163)</f>
        <v/>
      </c>
      <c r="C163">
        <f>INDEX('Draft Engine'!$F$3:$F$232,$M163)</f>
        <v/>
      </c>
      <c r="D163">
        <f>INDEX('Draft Engine'!$B$3:$B$232,$M163)</f>
        <v/>
      </c>
      <c r="E163" s="4">
        <f>INDEX('Draft Engine'!$E$3:$E$232,$M163)</f>
        <v/>
      </c>
      <c r="F163">
        <f>INDEX('LIVE SOURCE'!$H$3:$H$232,$M163)</f>
        <v/>
      </c>
      <c r="G163">
        <f>INDEX('LIVE SOURCE'!$I$3:$I$232,$M163)</f>
        <v/>
      </c>
      <c r="H163">
        <f>INDEX('LIVE SOURCE'!$J$3:$J$232,$M163)</f>
        <v/>
      </c>
      <c r="I163">
        <f>INDEX('Draft Engine'!$R$3:$R$232,$M163)</f>
        <v/>
      </c>
      <c r="J163">
        <f>INDEX('Draft Engine'!$S$3:$S$232,$M163)</f>
        <v/>
      </c>
      <c r="K163">
        <f>INDEX('Draft Engine'!$T$3:$T$232,$M163)</f>
        <v/>
      </c>
      <c r="L163">
        <f>INDEX('Draft Engine'!$X$3:$X$232,$M163)</f>
        <v/>
      </c>
      <c r="M163" s="6">
        <f>MATCH($A163,'Draft Engine'!$Q$3:$Q$232,0)</f>
        <v/>
      </c>
    </row>
    <row r="164">
      <c r="A164">
        <f>162</f>
        <v/>
      </c>
      <c r="B164">
        <f>INDEX('Draft Engine'!$A$3:$A$232,$M164)</f>
        <v/>
      </c>
      <c r="C164">
        <f>INDEX('Draft Engine'!$F$3:$F$232,$M164)</f>
        <v/>
      </c>
      <c r="D164">
        <f>INDEX('Draft Engine'!$B$3:$B$232,$M164)</f>
        <v/>
      </c>
      <c r="E164" s="4">
        <f>INDEX('Draft Engine'!$E$3:$E$232,$M164)</f>
        <v/>
      </c>
      <c r="F164">
        <f>INDEX('LIVE SOURCE'!$H$3:$H$232,$M164)</f>
        <v/>
      </c>
      <c r="G164">
        <f>INDEX('LIVE SOURCE'!$I$3:$I$232,$M164)</f>
        <v/>
      </c>
      <c r="H164">
        <f>INDEX('LIVE SOURCE'!$J$3:$J$232,$M164)</f>
        <v/>
      </c>
      <c r="I164">
        <f>INDEX('Draft Engine'!$R$3:$R$232,$M164)</f>
        <v/>
      </c>
      <c r="J164">
        <f>INDEX('Draft Engine'!$S$3:$S$232,$M164)</f>
        <v/>
      </c>
      <c r="K164">
        <f>INDEX('Draft Engine'!$T$3:$T$232,$M164)</f>
        <v/>
      </c>
      <c r="L164">
        <f>INDEX('Draft Engine'!$X$3:$X$232,$M164)</f>
        <v/>
      </c>
      <c r="M164" s="6">
        <f>MATCH($A164,'Draft Engine'!$Q$3:$Q$232,0)</f>
        <v/>
      </c>
    </row>
    <row r="165">
      <c r="A165">
        <f>163</f>
        <v/>
      </c>
      <c r="B165">
        <f>INDEX('Draft Engine'!$A$3:$A$232,$M165)</f>
        <v/>
      </c>
      <c r="C165">
        <f>INDEX('Draft Engine'!$F$3:$F$232,$M165)</f>
        <v/>
      </c>
      <c r="D165">
        <f>INDEX('Draft Engine'!$B$3:$B$232,$M165)</f>
        <v/>
      </c>
      <c r="E165" s="4">
        <f>INDEX('Draft Engine'!$E$3:$E$232,$M165)</f>
        <v/>
      </c>
      <c r="F165">
        <f>INDEX('LIVE SOURCE'!$H$3:$H$232,$M165)</f>
        <v/>
      </c>
      <c r="G165">
        <f>INDEX('LIVE SOURCE'!$I$3:$I$232,$M165)</f>
        <v/>
      </c>
      <c r="H165">
        <f>INDEX('LIVE SOURCE'!$J$3:$J$232,$M165)</f>
        <v/>
      </c>
      <c r="I165">
        <f>INDEX('Draft Engine'!$R$3:$R$232,$M165)</f>
        <v/>
      </c>
      <c r="J165">
        <f>INDEX('Draft Engine'!$S$3:$S$232,$M165)</f>
        <v/>
      </c>
      <c r="K165">
        <f>INDEX('Draft Engine'!$T$3:$T$232,$M165)</f>
        <v/>
      </c>
      <c r="L165">
        <f>INDEX('Draft Engine'!$X$3:$X$232,$M165)</f>
        <v/>
      </c>
      <c r="M165" s="6">
        <f>MATCH($A165,'Draft Engine'!$Q$3:$Q$232,0)</f>
        <v/>
      </c>
    </row>
    <row r="166">
      <c r="A166">
        <f>164</f>
        <v/>
      </c>
      <c r="B166">
        <f>INDEX('Draft Engine'!$A$3:$A$232,$M166)</f>
        <v/>
      </c>
      <c r="C166">
        <f>INDEX('Draft Engine'!$F$3:$F$232,$M166)</f>
        <v/>
      </c>
      <c r="D166">
        <f>INDEX('Draft Engine'!$B$3:$B$232,$M166)</f>
        <v/>
      </c>
      <c r="E166" s="4">
        <f>INDEX('Draft Engine'!$E$3:$E$232,$M166)</f>
        <v/>
      </c>
      <c r="F166">
        <f>INDEX('LIVE SOURCE'!$H$3:$H$232,$M166)</f>
        <v/>
      </c>
      <c r="G166">
        <f>INDEX('LIVE SOURCE'!$I$3:$I$232,$M166)</f>
        <v/>
      </c>
      <c r="H166">
        <f>INDEX('LIVE SOURCE'!$J$3:$J$232,$M166)</f>
        <v/>
      </c>
      <c r="I166">
        <f>INDEX('Draft Engine'!$R$3:$R$232,$M166)</f>
        <v/>
      </c>
      <c r="J166">
        <f>INDEX('Draft Engine'!$S$3:$S$232,$M166)</f>
        <v/>
      </c>
      <c r="K166">
        <f>INDEX('Draft Engine'!$T$3:$T$232,$M166)</f>
        <v/>
      </c>
      <c r="L166">
        <f>INDEX('Draft Engine'!$X$3:$X$232,$M166)</f>
        <v/>
      </c>
      <c r="M166" s="6">
        <f>MATCH($A166,'Draft Engine'!$Q$3:$Q$232,0)</f>
        <v/>
      </c>
    </row>
    <row r="167">
      <c r="A167">
        <f>165</f>
        <v/>
      </c>
      <c r="B167">
        <f>INDEX('Draft Engine'!$A$3:$A$232,$M167)</f>
        <v/>
      </c>
      <c r="C167">
        <f>INDEX('Draft Engine'!$F$3:$F$232,$M167)</f>
        <v/>
      </c>
      <c r="D167">
        <f>INDEX('Draft Engine'!$B$3:$B$232,$M167)</f>
        <v/>
      </c>
      <c r="E167" s="4">
        <f>INDEX('Draft Engine'!$E$3:$E$232,$M167)</f>
        <v/>
      </c>
      <c r="F167">
        <f>INDEX('LIVE SOURCE'!$H$3:$H$232,$M167)</f>
        <v/>
      </c>
      <c r="G167">
        <f>INDEX('LIVE SOURCE'!$I$3:$I$232,$M167)</f>
        <v/>
      </c>
      <c r="H167">
        <f>INDEX('LIVE SOURCE'!$J$3:$J$232,$M167)</f>
        <v/>
      </c>
      <c r="I167">
        <f>INDEX('Draft Engine'!$R$3:$R$232,$M167)</f>
        <v/>
      </c>
      <c r="J167">
        <f>INDEX('Draft Engine'!$S$3:$S$232,$M167)</f>
        <v/>
      </c>
      <c r="K167">
        <f>INDEX('Draft Engine'!$T$3:$T$232,$M167)</f>
        <v/>
      </c>
      <c r="L167">
        <f>INDEX('Draft Engine'!$X$3:$X$232,$M167)</f>
        <v/>
      </c>
      <c r="M167" s="6">
        <f>MATCH($A167,'Draft Engine'!$Q$3:$Q$232,0)</f>
        <v/>
      </c>
    </row>
    <row r="168">
      <c r="A168">
        <f>166</f>
        <v/>
      </c>
      <c r="B168">
        <f>INDEX('Draft Engine'!$A$3:$A$232,$M168)</f>
        <v/>
      </c>
      <c r="C168">
        <f>INDEX('Draft Engine'!$F$3:$F$232,$M168)</f>
        <v/>
      </c>
      <c r="D168">
        <f>INDEX('Draft Engine'!$B$3:$B$232,$M168)</f>
        <v/>
      </c>
      <c r="E168" s="4">
        <f>INDEX('Draft Engine'!$E$3:$E$232,$M168)</f>
        <v/>
      </c>
      <c r="F168">
        <f>INDEX('LIVE SOURCE'!$H$3:$H$232,$M168)</f>
        <v/>
      </c>
      <c r="G168">
        <f>INDEX('LIVE SOURCE'!$I$3:$I$232,$M168)</f>
        <v/>
      </c>
      <c r="H168">
        <f>INDEX('LIVE SOURCE'!$J$3:$J$232,$M168)</f>
        <v/>
      </c>
      <c r="I168">
        <f>INDEX('Draft Engine'!$R$3:$R$232,$M168)</f>
        <v/>
      </c>
      <c r="J168">
        <f>INDEX('Draft Engine'!$S$3:$S$232,$M168)</f>
        <v/>
      </c>
      <c r="K168">
        <f>INDEX('Draft Engine'!$T$3:$T$232,$M168)</f>
        <v/>
      </c>
      <c r="L168">
        <f>INDEX('Draft Engine'!$X$3:$X$232,$M168)</f>
        <v/>
      </c>
      <c r="M168" s="6">
        <f>MATCH($A168,'Draft Engine'!$Q$3:$Q$232,0)</f>
        <v/>
      </c>
    </row>
    <row r="169">
      <c r="A169">
        <f>167</f>
        <v/>
      </c>
      <c r="B169">
        <f>INDEX('Draft Engine'!$A$3:$A$232,$M169)</f>
        <v/>
      </c>
      <c r="C169">
        <f>INDEX('Draft Engine'!$F$3:$F$232,$M169)</f>
        <v/>
      </c>
      <c r="D169">
        <f>INDEX('Draft Engine'!$B$3:$B$232,$M169)</f>
        <v/>
      </c>
      <c r="E169" s="4">
        <f>INDEX('Draft Engine'!$E$3:$E$232,$M169)</f>
        <v/>
      </c>
      <c r="F169">
        <f>INDEX('LIVE SOURCE'!$H$3:$H$232,$M169)</f>
        <v/>
      </c>
      <c r="G169">
        <f>INDEX('LIVE SOURCE'!$I$3:$I$232,$M169)</f>
        <v/>
      </c>
      <c r="H169">
        <f>INDEX('LIVE SOURCE'!$J$3:$J$232,$M169)</f>
        <v/>
      </c>
      <c r="I169">
        <f>INDEX('Draft Engine'!$R$3:$R$232,$M169)</f>
        <v/>
      </c>
      <c r="J169">
        <f>INDEX('Draft Engine'!$S$3:$S$232,$M169)</f>
        <v/>
      </c>
      <c r="K169">
        <f>INDEX('Draft Engine'!$T$3:$T$232,$M169)</f>
        <v/>
      </c>
      <c r="L169">
        <f>INDEX('Draft Engine'!$X$3:$X$232,$M169)</f>
        <v/>
      </c>
      <c r="M169" s="6">
        <f>MATCH($A169,'Draft Engine'!$Q$3:$Q$232,0)</f>
        <v/>
      </c>
    </row>
    <row r="170">
      <c r="A170">
        <f>168</f>
        <v/>
      </c>
      <c r="B170">
        <f>INDEX('Draft Engine'!$A$3:$A$232,$M170)</f>
        <v/>
      </c>
      <c r="C170">
        <f>INDEX('Draft Engine'!$F$3:$F$232,$M170)</f>
        <v/>
      </c>
      <c r="D170">
        <f>INDEX('Draft Engine'!$B$3:$B$232,$M170)</f>
        <v/>
      </c>
      <c r="E170" s="4">
        <f>INDEX('Draft Engine'!$E$3:$E$232,$M170)</f>
        <v/>
      </c>
      <c r="F170">
        <f>INDEX('LIVE SOURCE'!$H$3:$H$232,$M170)</f>
        <v/>
      </c>
      <c r="G170">
        <f>INDEX('LIVE SOURCE'!$I$3:$I$232,$M170)</f>
        <v/>
      </c>
      <c r="H170">
        <f>INDEX('LIVE SOURCE'!$J$3:$J$232,$M170)</f>
        <v/>
      </c>
      <c r="I170">
        <f>INDEX('Draft Engine'!$R$3:$R$232,$M170)</f>
        <v/>
      </c>
      <c r="J170">
        <f>INDEX('Draft Engine'!$S$3:$S$232,$M170)</f>
        <v/>
      </c>
      <c r="K170">
        <f>INDEX('Draft Engine'!$T$3:$T$232,$M170)</f>
        <v/>
      </c>
      <c r="L170">
        <f>INDEX('Draft Engine'!$X$3:$X$232,$M170)</f>
        <v/>
      </c>
      <c r="M170" s="6">
        <f>MATCH($A170,'Draft Engine'!$Q$3:$Q$232,0)</f>
        <v/>
      </c>
    </row>
    <row r="171">
      <c r="A171">
        <f>169</f>
        <v/>
      </c>
      <c r="B171">
        <f>INDEX('Draft Engine'!$A$3:$A$232,$M171)</f>
        <v/>
      </c>
      <c r="C171">
        <f>INDEX('Draft Engine'!$F$3:$F$232,$M171)</f>
        <v/>
      </c>
      <c r="D171">
        <f>INDEX('Draft Engine'!$B$3:$B$232,$M171)</f>
        <v/>
      </c>
      <c r="E171" s="4">
        <f>INDEX('Draft Engine'!$E$3:$E$232,$M171)</f>
        <v/>
      </c>
      <c r="F171">
        <f>INDEX('LIVE SOURCE'!$H$3:$H$232,$M171)</f>
        <v/>
      </c>
      <c r="G171">
        <f>INDEX('LIVE SOURCE'!$I$3:$I$232,$M171)</f>
        <v/>
      </c>
      <c r="H171">
        <f>INDEX('LIVE SOURCE'!$J$3:$J$232,$M171)</f>
        <v/>
      </c>
      <c r="I171">
        <f>INDEX('Draft Engine'!$R$3:$R$232,$M171)</f>
        <v/>
      </c>
      <c r="J171">
        <f>INDEX('Draft Engine'!$S$3:$S$232,$M171)</f>
        <v/>
      </c>
      <c r="K171">
        <f>INDEX('Draft Engine'!$T$3:$T$232,$M171)</f>
        <v/>
      </c>
      <c r="L171">
        <f>INDEX('Draft Engine'!$X$3:$X$232,$M171)</f>
        <v/>
      </c>
      <c r="M171" s="6">
        <f>MATCH($A171,'Draft Engine'!$Q$3:$Q$232,0)</f>
        <v/>
      </c>
    </row>
    <row r="172">
      <c r="A172">
        <f>170</f>
        <v/>
      </c>
      <c r="B172">
        <f>INDEX('Draft Engine'!$A$3:$A$232,$M172)</f>
        <v/>
      </c>
      <c r="C172">
        <f>INDEX('Draft Engine'!$F$3:$F$232,$M172)</f>
        <v/>
      </c>
      <c r="D172">
        <f>INDEX('Draft Engine'!$B$3:$B$232,$M172)</f>
        <v/>
      </c>
      <c r="E172" s="4">
        <f>INDEX('Draft Engine'!$E$3:$E$232,$M172)</f>
        <v/>
      </c>
      <c r="F172">
        <f>INDEX('LIVE SOURCE'!$H$3:$H$232,$M172)</f>
        <v/>
      </c>
      <c r="G172">
        <f>INDEX('LIVE SOURCE'!$I$3:$I$232,$M172)</f>
        <v/>
      </c>
      <c r="H172">
        <f>INDEX('LIVE SOURCE'!$J$3:$J$232,$M172)</f>
        <v/>
      </c>
      <c r="I172">
        <f>INDEX('Draft Engine'!$R$3:$R$232,$M172)</f>
        <v/>
      </c>
      <c r="J172">
        <f>INDEX('Draft Engine'!$S$3:$S$232,$M172)</f>
        <v/>
      </c>
      <c r="K172">
        <f>INDEX('Draft Engine'!$T$3:$T$232,$M172)</f>
        <v/>
      </c>
      <c r="L172">
        <f>INDEX('Draft Engine'!$X$3:$X$232,$M172)</f>
        <v/>
      </c>
      <c r="M172" s="6">
        <f>MATCH($A172,'Draft Engine'!$Q$3:$Q$232,0)</f>
        <v/>
      </c>
    </row>
    <row r="173">
      <c r="A173">
        <f>171</f>
        <v/>
      </c>
      <c r="B173">
        <f>INDEX('Draft Engine'!$A$3:$A$232,$M173)</f>
        <v/>
      </c>
      <c r="C173">
        <f>INDEX('Draft Engine'!$F$3:$F$232,$M173)</f>
        <v/>
      </c>
      <c r="D173">
        <f>INDEX('Draft Engine'!$B$3:$B$232,$M173)</f>
        <v/>
      </c>
      <c r="E173" s="4">
        <f>INDEX('Draft Engine'!$E$3:$E$232,$M173)</f>
        <v/>
      </c>
      <c r="F173">
        <f>INDEX('LIVE SOURCE'!$H$3:$H$232,$M173)</f>
        <v/>
      </c>
      <c r="G173">
        <f>INDEX('LIVE SOURCE'!$I$3:$I$232,$M173)</f>
        <v/>
      </c>
      <c r="H173">
        <f>INDEX('LIVE SOURCE'!$J$3:$J$232,$M173)</f>
        <v/>
      </c>
      <c r="I173">
        <f>INDEX('Draft Engine'!$R$3:$R$232,$M173)</f>
        <v/>
      </c>
      <c r="J173">
        <f>INDEX('Draft Engine'!$S$3:$S$232,$M173)</f>
        <v/>
      </c>
      <c r="K173">
        <f>INDEX('Draft Engine'!$T$3:$T$232,$M173)</f>
        <v/>
      </c>
      <c r="L173">
        <f>INDEX('Draft Engine'!$X$3:$X$232,$M173)</f>
        <v/>
      </c>
      <c r="M173" s="6">
        <f>MATCH($A173,'Draft Engine'!$Q$3:$Q$232,0)</f>
        <v/>
      </c>
    </row>
    <row r="174">
      <c r="A174">
        <f>172</f>
        <v/>
      </c>
      <c r="B174">
        <f>INDEX('Draft Engine'!$A$3:$A$232,$M174)</f>
        <v/>
      </c>
      <c r="C174">
        <f>INDEX('Draft Engine'!$F$3:$F$232,$M174)</f>
        <v/>
      </c>
      <c r="D174">
        <f>INDEX('Draft Engine'!$B$3:$B$232,$M174)</f>
        <v/>
      </c>
      <c r="E174" s="4">
        <f>INDEX('Draft Engine'!$E$3:$E$232,$M174)</f>
        <v/>
      </c>
      <c r="F174">
        <f>INDEX('LIVE SOURCE'!$H$3:$H$232,$M174)</f>
        <v/>
      </c>
      <c r="G174">
        <f>INDEX('LIVE SOURCE'!$I$3:$I$232,$M174)</f>
        <v/>
      </c>
      <c r="H174">
        <f>INDEX('LIVE SOURCE'!$J$3:$J$232,$M174)</f>
        <v/>
      </c>
      <c r="I174">
        <f>INDEX('Draft Engine'!$R$3:$R$232,$M174)</f>
        <v/>
      </c>
      <c r="J174">
        <f>INDEX('Draft Engine'!$S$3:$S$232,$M174)</f>
        <v/>
      </c>
      <c r="K174">
        <f>INDEX('Draft Engine'!$T$3:$T$232,$M174)</f>
        <v/>
      </c>
      <c r="L174">
        <f>INDEX('Draft Engine'!$X$3:$X$232,$M174)</f>
        <v/>
      </c>
      <c r="M174" s="6">
        <f>MATCH($A174,'Draft Engine'!$Q$3:$Q$232,0)</f>
        <v/>
      </c>
    </row>
    <row r="175">
      <c r="A175">
        <f>173</f>
        <v/>
      </c>
      <c r="B175">
        <f>INDEX('Draft Engine'!$A$3:$A$232,$M175)</f>
        <v/>
      </c>
      <c r="C175">
        <f>INDEX('Draft Engine'!$F$3:$F$232,$M175)</f>
        <v/>
      </c>
      <c r="D175">
        <f>INDEX('Draft Engine'!$B$3:$B$232,$M175)</f>
        <v/>
      </c>
      <c r="E175" s="4">
        <f>INDEX('Draft Engine'!$E$3:$E$232,$M175)</f>
        <v/>
      </c>
      <c r="F175">
        <f>INDEX('LIVE SOURCE'!$H$3:$H$232,$M175)</f>
        <v/>
      </c>
      <c r="G175">
        <f>INDEX('LIVE SOURCE'!$I$3:$I$232,$M175)</f>
        <v/>
      </c>
      <c r="H175">
        <f>INDEX('LIVE SOURCE'!$J$3:$J$232,$M175)</f>
        <v/>
      </c>
      <c r="I175">
        <f>INDEX('Draft Engine'!$R$3:$R$232,$M175)</f>
        <v/>
      </c>
      <c r="J175">
        <f>INDEX('Draft Engine'!$S$3:$S$232,$M175)</f>
        <v/>
      </c>
      <c r="K175">
        <f>INDEX('Draft Engine'!$T$3:$T$232,$M175)</f>
        <v/>
      </c>
      <c r="L175">
        <f>INDEX('Draft Engine'!$X$3:$X$232,$M175)</f>
        <v/>
      </c>
      <c r="M175" s="6">
        <f>MATCH($A175,'Draft Engine'!$Q$3:$Q$232,0)</f>
        <v/>
      </c>
    </row>
    <row r="176">
      <c r="A176">
        <f>174</f>
        <v/>
      </c>
      <c r="B176">
        <f>INDEX('Draft Engine'!$A$3:$A$232,$M176)</f>
        <v/>
      </c>
      <c r="C176">
        <f>INDEX('Draft Engine'!$F$3:$F$232,$M176)</f>
        <v/>
      </c>
      <c r="D176">
        <f>INDEX('Draft Engine'!$B$3:$B$232,$M176)</f>
        <v/>
      </c>
      <c r="E176" s="4">
        <f>INDEX('Draft Engine'!$E$3:$E$232,$M176)</f>
        <v/>
      </c>
      <c r="F176">
        <f>INDEX('LIVE SOURCE'!$H$3:$H$232,$M176)</f>
        <v/>
      </c>
      <c r="G176">
        <f>INDEX('LIVE SOURCE'!$I$3:$I$232,$M176)</f>
        <v/>
      </c>
      <c r="H176">
        <f>INDEX('LIVE SOURCE'!$J$3:$J$232,$M176)</f>
        <v/>
      </c>
      <c r="I176">
        <f>INDEX('Draft Engine'!$R$3:$R$232,$M176)</f>
        <v/>
      </c>
      <c r="J176">
        <f>INDEX('Draft Engine'!$S$3:$S$232,$M176)</f>
        <v/>
      </c>
      <c r="K176">
        <f>INDEX('Draft Engine'!$T$3:$T$232,$M176)</f>
        <v/>
      </c>
      <c r="L176">
        <f>INDEX('Draft Engine'!$X$3:$X$232,$M176)</f>
        <v/>
      </c>
      <c r="M176" s="6">
        <f>MATCH($A176,'Draft Engine'!$Q$3:$Q$232,0)</f>
        <v/>
      </c>
    </row>
    <row r="177">
      <c r="A177">
        <f>175</f>
        <v/>
      </c>
      <c r="B177">
        <f>INDEX('Draft Engine'!$A$3:$A$232,$M177)</f>
        <v/>
      </c>
      <c r="C177">
        <f>INDEX('Draft Engine'!$F$3:$F$232,$M177)</f>
        <v/>
      </c>
      <c r="D177">
        <f>INDEX('Draft Engine'!$B$3:$B$232,$M177)</f>
        <v/>
      </c>
      <c r="E177" s="4">
        <f>INDEX('Draft Engine'!$E$3:$E$232,$M177)</f>
        <v/>
      </c>
      <c r="F177">
        <f>INDEX('LIVE SOURCE'!$H$3:$H$232,$M177)</f>
        <v/>
      </c>
      <c r="G177">
        <f>INDEX('LIVE SOURCE'!$I$3:$I$232,$M177)</f>
        <v/>
      </c>
      <c r="H177">
        <f>INDEX('LIVE SOURCE'!$J$3:$J$232,$M177)</f>
        <v/>
      </c>
      <c r="I177">
        <f>INDEX('Draft Engine'!$R$3:$R$232,$M177)</f>
        <v/>
      </c>
      <c r="J177">
        <f>INDEX('Draft Engine'!$S$3:$S$232,$M177)</f>
        <v/>
      </c>
      <c r="K177">
        <f>INDEX('Draft Engine'!$T$3:$T$232,$M177)</f>
        <v/>
      </c>
      <c r="L177">
        <f>INDEX('Draft Engine'!$X$3:$X$232,$M177)</f>
        <v/>
      </c>
      <c r="M177" s="6">
        <f>MATCH($A177,'Draft Engine'!$Q$3:$Q$232,0)</f>
        <v/>
      </c>
    </row>
    <row r="178">
      <c r="A178">
        <f>176</f>
        <v/>
      </c>
      <c r="B178">
        <f>INDEX('Draft Engine'!$A$3:$A$232,$M178)</f>
        <v/>
      </c>
      <c r="C178">
        <f>INDEX('Draft Engine'!$F$3:$F$232,$M178)</f>
        <v/>
      </c>
      <c r="D178">
        <f>INDEX('Draft Engine'!$B$3:$B$232,$M178)</f>
        <v/>
      </c>
      <c r="E178" s="4">
        <f>INDEX('Draft Engine'!$E$3:$E$232,$M178)</f>
        <v/>
      </c>
      <c r="F178">
        <f>INDEX('LIVE SOURCE'!$H$3:$H$232,$M178)</f>
        <v/>
      </c>
      <c r="G178">
        <f>INDEX('LIVE SOURCE'!$I$3:$I$232,$M178)</f>
        <v/>
      </c>
      <c r="H178">
        <f>INDEX('LIVE SOURCE'!$J$3:$J$232,$M178)</f>
        <v/>
      </c>
      <c r="I178">
        <f>INDEX('Draft Engine'!$R$3:$R$232,$M178)</f>
        <v/>
      </c>
      <c r="J178">
        <f>INDEX('Draft Engine'!$S$3:$S$232,$M178)</f>
        <v/>
      </c>
      <c r="K178">
        <f>INDEX('Draft Engine'!$T$3:$T$232,$M178)</f>
        <v/>
      </c>
      <c r="L178">
        <f>INDEX('Draft Engine'!$X$3:$X$232,$M178)</f>
        <v/>
      </c>
      <c r="M178" s="6">
        <f>MATCH($A178,'Draft Engine'!$Q$3:$Q$232,0)</f>
        <v/>
      </c>
    </row>
    <row r="179">
      <c r="A179">
        <f>177</f>
        <v/>
      </c>
      <c r="B179">
        <f>INDEX('Draft Engine'!$A$3:$A$232,$M179)</f>
        <v/>
      </c>
      <c r="C179">
        <f>INDEX('Draft Engine'!$F$3:$F$232,$M179)</f>
        <v/>
      </c>
      <c r="D179">
        <f>INDEX('Draft Engine'!$B$3:$B$232,$M179)</f>
        <v/>
      </c>
      <c r="E179" s="4">
        <f>INDEX('Draft Engine'!$E$3:$E$232,$M179)</f>
        <v/>
      </c>
      <c r="F179">
        <f>INDEX('LIVE SOURCE'!$H$3:$H$232,$M179)</f>
        <v/>
      </c>
      <c r="G179">
        <f>INDEX('LIVE SOURCE'!$I$3:$I$232,$M179)</f>
        <v/>
      </c>
      <c r="H179">
        <f>INDEX('LIVE SOURCE'!$J$3:$J$232,$M179)</f>
        <v/>
      </c>
      <c r="I179">
        <f>INDEX('Draft Engine'!$R$3:$R$232,$M179)</f>
        <v/>
      </c>
      <c r="J179">
        <f>INDEX('Draft Engine'!$S$3:$S$232,$M179)</f>
        <v/>
      </c>
      <c r="K179">
        <f>INDEX('Draft Engine'!$T$3:$T$232,$M179)</f>
        <v/>
      </c>
      <c r="L179">
        <f>INDEX('Draft Engine'!$X$3:$X$232,$M179)</f>
        <v/>
      </c>
      <c r="M179" s="6">
        <f>MATCH($A179,'Draft Engine'!$Q$3:$Q$232,0)</f>
        <v/>
      </c>
    </row>
    <row r="180">
      <c r="A180">
        <f>178</f>
        <v/>
      </c>
      <c r="B180">
        <f>INDEX('Draft Engine'!$A$3:$A$232,$M180)</f>
        <v/>
      </c>
      <c r="C180">
        <f>INDEX('Draft Engine'!$F$3:$F$232,$M180)</f>
        <v/>
      </c>
      <c r="D180">
        <f>INDEX('Draft Engine'!$B$3:$B$232,$M180)</f>
        <v/>
      </c>
      <c r="E180" s="4">
        <f>INDEX('Draft Engine'!$E$3:$E$232,$M180)</f>
        <v/>
      </c>
      <c r="F180">
        <f>INDEX('LIVE SOURCE'!$H$3:$H$232,$M180)</f>
        <v/>
      </c>
      <c r="G180">
        <f>INDEX('LIVE SOURCE'!$I$3:$I$232,$M180)</f>
        <v/>
      </c>
      <c r="H180">
        <f>INDEX('LIVE SOURCE'!$J$3:$J$232,$M180)</f>
        <v/>
      </c>
      <c r="I180">
        <f>INDEX('Draft Engine'!$R$3:$R$232,$M180)</f>
        <v/>
      </c>
      <c r="J180">
        <f>INDEX('Draft Engine'!$S$3:$S$232,$M180)</f>
        <v/>
      </c>
      <c r="K180">
        <f>INDEX('Draft Engine'!$T$3:$T$232,$M180)</f>
        <v/>
      </c>
      <c r="L180">
        <f>INDEX('Draft Engine'!$X$3:$X$232,$M180)</f>
        <v/>
      </c>
      <c r="M180" s="6">
        <f>MATCH($A180,'Draft Engine'!$Q$3:$Q$232,0)</f>
        <v/>
      </c>
    </row>
    <row r="181">
      <c r="A181">
        <f>179</f>
        <v/>
      </c>
      <c r="B181">
        <f>INDEX('Draft Engine'!$A$3:$A$232,$M181)</f>
        <v/>
      </c>
      <c r="C181">
        <f>INDEX('Draft Engine'!$F$3:$F$232,$M181)</f>
        <v/>
      </c>
      <c r="D181">
        <f>INDEX('Draft Engine'!$B$3:$B$232,$M181)</f>
        <v/>
      </c>
      <c r="E181" s="4">
        <f>INDEX('Draft Engine'!$E$3:$E$232,$M181)</f>
        <v/>
      </c>
      <c r="F181">
        <f>INDEX('LIVE SOURCE'!$H$3:$H$232,$M181)</f>
        <v/>
      </c>
      <c r="G181">
        <f>INDEX('LIVE SOURCE'!$I$3:$I$232,$M181)</f>
        <v/>
      </c>
      <c r="H181">
        <f>INDEX('LIVE SOURCE'!$J$3:$J$232,$M181)</f>
        <v/>
      </c>
      <c r="I181">
        <f>INDEX('Draft Engine'!$R$3:$R$232,$M181)</f>
        <v/>
      </c>
      <c r="J181">
        <f>INDEX('Draft Engine'!$S$3:$S$232,$M181)</f>
        <v/>
      </c>
      <c r="K181">
        <f>INDEX('Draft Engine'!$T$3:$T$232,$M181)</f>
        <v/>
      </c>
      <c r="L181">
        <f>INDEX('Draft Engine'!$X$3:$X$232,$M181)</f>
        <v/>
      </c>
      <c r="M181" s="6">
        <f>MATCH($A181,'Draft Engine'!$Q$3:$Q$232,0)</f>
        <v/>
      </c>
    </row>
    <row r="182">
      <c r="A182">
        <f>180</f>
        <v/>
      </c>
      <c r="B182">
        <f>INDEX('Draft Engine'!$A$3:$A$232,$M182)</f>
        <v/>
      </c>
      <c r="C182">
        <f>INDEX('Draft Engine'!$F$3:$F$232,$M182)</f>
        <v/>
      </c>
      <c r="D182">
        <f>INDEX('Draft Engine'!$B$3:$B$232,$M182)</f>
        <v/>
      </c>
      <c r="E182" s="4">
        <f>INDEX('Draft Engine'!$E$3:$E$232,$M182)</f>
        <v/>
      </c>
      <c r="F182">
        <f>INDEX('LIVE SOURCE'!$H$3:$H$232,$M182)</f>
        <v/>
      </c>
      <c r="G182">
        <f>INDEX('LIVE SOURCE'!$I$3:$I$232,$M182)</f>
        <v/>
      </c>
      <c r="H182">
        <f>INDEX('LIVE SOURCE'!$J$3:$J$232,$M182)</f>
        <v/>
      </c>
      <c r="I182">
        <f>INDEX('Draft Engine'!$R$3:$R$232,$M182)</f>
        <v/>
      </c>
      <c r="J182">
        <f>INDEX('Draft Engine'!$S$3:$S$232,$M182)</f>
        <v/>
      </c>
      <c r="K182">
        <f>INDEX('Draft Engine'!$T$3:$T$232,$M182)</f>
        <v/>
      </c>
      <c r="L182">
        <f>INDEX('Draft Engine'!$X$3:$X$232,$M182)</f>
        <v/>
      </c>
      <c r="M182" s="6">
        <f>MATCH($A182,'Draft Engine'!$Q$3:$Q$232,0)</f>
        <v/>
      </c>
    </row>
    <row r="183">
      <c r="A183">
        <f>181</f>
        <v/>
      </c>
      <c r="B183">
        <f>INDEX('Draft Engine'!$A$3:$A$232,$M183)</f>
        <v/>
      </c>
      <c r="C183">
        <f>INDEX('Draft Engine'!$F$3:$F$232,$M183)</f>
        <v/>
      </c>
      <c r="D183">
        <f>INDEX('Draft Engine'!$B$3:$B$232,$M183)</f>
        <v/>
      </c>
      <c r="E183" s="4">
        <f>INDEX('Draft Engine'!$E$3:$E$232,$M183)</f>
        <v/>
      </c>
      <c r="F183">
        <f>INDEX('LIVE SOURCE'!$H$3:$H$232,$M183)</f>
        <v/>
      </c>
      <c r="G183">
        <f>INDEX('LIVE SOURCE'!$I$3:$I$232,$M183)</f>
        <v/>
      </c>
      <c r="H183">
        <f>INDEX('LIVE SOURCE'!$J$3:$J$232,$M183)</f>
        <v/>
      </c>
      <c r="I183">
        <f>INDEX('Draft Engine'!$R$3:$R$232,$M183)</f>
        <v/>
      </c>
      <c r="J183">
        <f>INDEX('Draft Engine'!$S$3:$S$232,$M183)</f>
        <v/>
      </c>
      <c r="K183">
        <f>INDEX('Draft Engine'!$T$3:$T$232,$M183)</f>
        <v/>
      </c>
      <c r="L183">
        <f>INDEX('Draft Engine'!$X$3:$X$232,$M183)</f>
        <v/>
      </c>
      <c r="M183" s="6">
        <f>MATCH($A183,'Draft Engine'!$Q$3:$Q$232,0)</f>
        <v/>
      </c>
    </row>
    <row r="184">
      <c r="A184">
        <f>182</f>
        <v/>
      </c>
      <c r="B184">
        <f>INDEX('Draft Engine'!$A$3:$A$232,$M184)</f>
        <v/>
      </c>
      <c r="C184">
        <f>INDEX('Draft Engine'!$F$3:$F$232,$M184)</f>
        <v/>
      </c>
      <c r="D184">
        <f>INDEX('Draft Engine'!$B$3:$B$232,$M184)</f>
        <v/>
      </c>
      <c r="E184" s="4">
        <f>INDEX('Draft Engine'!$E$3:$E$232,$M184)</f>
        <v/>
      </c>
      <c r="F184">
        <f>INDEX('LIVE SOURCE'!$H$3:$H$232,$M184)</f>
        <v/>
      </c>
      <c r="G184">
        <f>INDEX('LIVE SOURCE'!$I$3:$I$232,$M184)</f>
        <v/>
      </c>
      <c r="H184">
        <f>INDEX('LIVE SOURCE'!$J$3:$J$232,$M184)</f>
        <v/>
      </c>
      <c r="I184">
        <f>INDEX('Draft Engine'!$R$3:$R$232,$M184)</f>
        <v/>
      </c>
      <c r="J184">
        <f>INDEX('Draft Engine'!$S$3:$S$232,$M184)</f>
        <v/>
      </c>
      <c r="K184">
        <f>INDEX('Draft Engine'!$T$3:$T$232,$M184)</f>
        <v/>
      </c>
      <c r="L184">
        <f>INDEX('Draft Engine'!$X$3:$X$232,$M184)</f>
        <v/>
      </c>
      <c r="M184" s="6">
        <f>MATCH($A184,'Draft Engine'!$Q$3:$Q$232,0)</f>
        <v/>
      </c>
    </row>
    <row r="185">
      <c r="A185">
        <f>183</f>
        <v/>
      </c>
      <c r="B185">
        <f>INDEX('Draft Engine'!$A$3:$A$232,$M185)</f>
        <v/>
      </c>
      <c r="C185">
        <f>INDEX('Draft Engine'!$F$3:$F$232,$M185)</f>
        <v/>
      </c>
      <c r="D185">
        <f>INDEX('Draft Engine'!$B$3:$B$232,$M185)</f>
        <v/>
      </c>
      <c r="E185" s="4">
        <f>INDEX('Draft Engine'!$E$3:$E$232,$M185)</f>
        <v/>
      </c>
      <c r="F185">
        <f>INDEX('LIVE SOURCE'!$H$3:$H$232,$M185)</f>
        <v/>
      </c>
      <c r="G185">
        <f>INDEX('LIVE SOURCE'!$I$3:$I$232,$M185)</f>
        <v/>
      </c>
      <c r="H185">
        <f>INDEX('LIVE SOURCE'!$J$3:$J$232,$M185)</f>
        <v/>
      </c>
      <c r="I185">
        <f>INDEX('Draft Engine'!$R$3:$R$232,$M185)</f>
        <v/>
      </c>
      <c r="J185">
        <f>INDEX('Draft Engine'!$S$3:$S$232,$M185)</f>
        <v/>
      </c>
      <c r="K185">
        <f>INDEX('Draft Engine'!$T$3:$T$232,$M185)</f>
        <v/>
      </c>
      <c r="L185">
        <f>INDEX('Draft Engine'!$X$3:$X$232,$M185)</f>
        <v/>
      </c>
      <c r="M185" s="6">
        <f>MATCH($A185,'Draft Engine'!$Q$3:$Q$232,0)</f>
        <v/>
      </c>
    </row>
    <row r="186">
      <c r="A186">
        <f>184</f>
        <v/>
      </c>
      <c r="B186">
        <f>INDEX('Draft Engine'!$A$3:$A$232,$M186)</f>
        <v/>
      </c>
      <c r="C186">
        <f>INDEX('Draft Engine'!$F$3:$F$232,$M186)</f>
        <v/>
      </c>
      <c r="D186">
        <f>INDEX('Draft Engine'!$B$3:$B$232,$M186)</f>
        <v/>
      </c>
      <c r="E186" s="4">
        <f>INDEX('Draft Engine'!$E$3:$E$232,$M186)</f>
        <v/>
      </c>
      <c r="F186">
        <f>INDEX('LIVE SOURCE'!$H$3:$H$232,$M186)</f>
        <v/>
      </c>
      <c r="G186">
        <f>INDEX('LIVE SOURCE'!$I$3:$I$232,$M186)</f>
        <v/>
      </c>
      <c r="H186">
        <f>INDEX('LIVE SOURCE'!$J$3:$J$232,$M186)</f>
        <v/>
      </c>
      <c r="I186">
        <f>INDEX('Draft Engine'!$R$3:$R$232,$M186)</f>
        <v/>
      </c>
      <c r="J186">
        <f>INDEX('Draft Engine'!$S$3:$S$232,$M186)</f>
        <v/>
      </c>
      <c r="K186">
        <f>INDEX('Draft Engine'!$T$3:$T$232,$M186)</f>
        <v/>
      </c>
      <c r="L186">
        <f>INDEX('Draft Engine'!$X$3:$X$232,$M186)</f>
        <v/>
      </c>
      <c r="M186" s="6">
        <f>MATCH($A186,'Draft Engine'!$Q$3:$Q$232,0)</f>
        <v/>
      </c>
    </row>
    <row r="187">
      <c r="A187">
        <f>185</f>
        <v/>
      </c>
      <c r="B187">
        <f>INDEX('Draft Engine'!$A$3:$A$232,$M187)</f>
        <v/>
      </c>
      <c r="C187">
        <f>INDEX('Draft Engine'!$F$3:$F$232,$M187)</f>
        <v/>
      </c>
      <c r="D187">
        <f>INDEX('Draft Engine'!$B$3:$B$232,$M187)</f>
        <v/>
      </c>
      <c r="E187" s="4">
        <f>INDEX('Draft Engine'!$E$3:$E$232,$M187)</f>
        <v/>
      </c>
      <c r="F187">
        <f>INDEX('LIVE SOURCE'!$H$3:$H$232,$M187)</f>
        <v/>
      </c>
      <c r="G187">
        <f>INDEX('LIVE SOURCE'!$I$3:$I$232,$M187)</f>
        <v/>
      </c>
      <c r="H187">
        <f>INDEX('LIVE SOURCE'!$J$3:$J$232,$M187)</f>
        <v/>
      </c>
      <c r="I187">
        <f>INDEX('Draft Engine'!$R$3:$R$232,$M187)</f>
        <v/>
      </c>
      <c r="J187">
        <f>INDEX('Draft Engine'!$S$3:$S$232,$M187)</f>
        <v/>
      </c>
      <c r="K187">
        <f>INDEX('Draft Engine'!$T$3:$T$232,$M187)</f>
        <v/>
      </c>
      <c r="L187">
        <f>INDEX('Draft Engine'!$X$3:$X$232,$M187)</f>
        <v/>
      </c>
      <c r="M187" s="6">
        <f>MATCH($A187,'Draft Engine'!$Q$3:$Q$232,0)</f>
        <v/>
      </c>
    </row>
    <row r="188">
      <c r="A188">
        <f>186</f>
        <v/>
      </c>
      <c r="B188">
        <f>INDEX('Draft Engine'!$A$3:$A$232,$M188)</f>
        <v/>
      </c>
      <c r="C188">
        <f>INDEX('Draft Engine'!$F$3:$F$232,$M188)</f>
        <v/>
      </c>
      <c r="D188">
        <f>INDEX('Draft Engine'!$B$3:$B$232,$M188)</f>
        <v/>
      </c>
      <c r="E188" s="4">
        <f>INDEX('Draft Engine'!$E$3:$E$232,$M188)</f>
        <v/>
      </c>
      <c r="F188">
        <f>INDEX('LIVE SOURCE'!$H$3:$H$232,$M188)</f>
        <v/>
      </c>
      <c r="G188">
        <f>INDEX('LIVE SOURCE'!$I$3:$I$232,$M188)</f>
        <v/>
      </c>
      <c r="H188">
        <f>INDEX('LIVE SOURCE'!$J$3:$J$232,$M188)</f>
        <v/>
      </c>
      <c r="I188">
        <f>INDEX('Draft Engine'!$R$3:$R$232,$M188)</f>
        <v/>
      </c>
      <c r="J188">
        <f>INDEX('Draft Engine'!$S$3:$S$232,$M188)</f>
        <v/>
      </c>
      <c r="K188">
        <f>INDEX('Draft Engine'!$T$3:$T$232,$M188)</f>
        <v/>
      </c>
      <c r="L188">
        <f>INDEX('Draft Engine'!$X$3:$X$232,$M188)</f>
        <v/>
      </c>
      <c r="M188" s="6">
        <f>MATCH($A188,'Draft Engine'!$Q$3:$Q$232,0)</f>
        <v/>
      </c>
    </row>
    <row r="189">
      <c r="A189">
        <f>187</f>
        <v/>
      </c>
      <c r="B189">
        <f>INDEX('Draft Engine'!$A$3:$A$232,$M189)</f>
        <v/>
      </c>
      <c r="C189">
        <f>INDEX('Draft Engine'!$F$3:$F$232,$M189)</f>
        <v/>
      </c>
      <c r="D189">
        <f>INDEX('Draft Engine'!$B$3:$B$232,$M189)</f>
        <v/>
      </c>
      <c r="E189" s="4">
        <f>INDEX('Draft Engine'!$E$3:$E$232,$M189)</f>
        <v/>
      </c>
      <c r="F189">
        <f>INDEX('LIVE SOURCE'!$H$3:$H$232,$M189)</f>
        <v/>
      </c>
      <c r="G189">
        <f>INDEX('LIVE SOURCE'!$I$3:$I$232,$M189)</f>
        <v/>
      </c>
      <c r="H189">
        <f>INDEX('LIVE SOURCE'!$J$3:$J$232,$M189)</f>
        <v/>
      </c>
      <c r="I189">
        <f>INDEX('Draft Engine'!$R$3:$R$232,$M189)</f>
        <v/>
      </c>
      <c r="J189">
        <f>INDEX('Draft Engine'!$S$3:$S$232,$M189)</f>
        <v/>
      </c>
      <c r="K189">
        <f>INDEX('Draft Engine'!$T$3:$T$232,$M189)</f>
        <v/>
      </c>
      <c r="L189">
        <f>INDEX('Draft Engine'!$X$3:$X$232,$M189)</f>
        <v/>
      </c>
      <c r="M189" s="6">
        <f>MATCH($A189,'Draft Engine'!$Q$3:$Q$232,0)</f>
        <v/>
      </c>
    </row>
    <row r="190">
      <c r="A190">
        <f>188</f>
        <v/>
      </c>
      <c r="B190">
        <f>INDEX('Draft Engine'!$A$3:$A$232,$M190)</f>
        <v/>
      </c>
      <c r="C190">
        <f>INDEX('Draft Engine'!$F$3:$F$232,$M190)</f>
        <v/>
      </c>
      <c r="D190">
        <f>INDEX('Draft Engine'!$B$3:$B$232,$M190)</f>
        <v/>
      </c>
      <c r="E190" s="4">
        <f>INDEX('Draft Engine'!$E$3:$E$232,$M190)</f>
        <v/>
      </c>
      <c r="F190">
        <f>INDEX('LIVE SOURCE'!$H$3:$H$232,$M190)</f>
        <v/>
      </c>
      <c r="G190">
        <f>INDEX('LIVE SOURCE'!$I$3:$I$232,$M190)</f>
        <v/>
      </c>
      <c r="H190">
        <f>INDEX('LIVE SOURCE'!$J$3:$J$232,$M190)</f>
        <v/>
      </c>
      <c r="I190">
        <f>INDEX('Draft Engine'!$R$3:$R$232,$M190)</f>
        <v/>
      </c>
      <c r="J190">
        <f>INDEX('Draft Engine'!$S$3:$S$232,$M190)</f>
        <v/>
      </c>
      <c r="K190">
        <f>INDEX('Draft Engine'!$T$3:$T$232,$M190)</f>
        <v/>
      </c>
      <c r="L190">
        <f>INDEX('Draft Engine'!$X$3:$X$232,$M190)</f>
        <v/>
      </c>
      <c r="M190" s="6">
        <f>MATCH($A190,'Draft Engine'!$Q$3:$Q$232,0)</f>
        <v/>
      </c>
    </row>
    <row r="191">
      <c r="A191">
        <f>189</f>
        <v/>
      </c>
      <c r="B191">
        <f>INDEX('Draft Engine'!$A$3:$A$232,$M191)</f>
        <v/>
      </c>
      <c r="C191">
        <f>INDEX('Draft Engine'!$F$3:$F$232,$M191)</f>
        <v/>
      </c>
      <c r="D191">
        <f>INDEX('Draft Engine'!$B$3:$B$232,$M191)</f>
        <v/>
      </c>
      <c r="E191" s="4">
        <f>INDEX('Draft Engine'!$E$3:$E$232,$M191)</f>
        <v/>
      </c>
      <c r="F191">
        <f>INDEX('LIVE SOURCE'!$H$3:$H$232,$M191)</f>
        <v/>
      </c>
      <c r="G191">
        <f>INDEX('LIVE SOURCE'!$I$3:$I$232,$M191)</f>
        <v/>
      </c>
      <c r="H191">
        <f>INDEX('LIVE SOURCE'!$J$3:$J$232,$M191)</f>
        <v/>
      </c>
      <c r="I191">
        <f>INDEX('Draft Engine'!$R$3:$R$232,$M191)</f>
        <v/>
      </c>
      <c r="J191">
        <f>INDEX('Draft Engine'!$S$3:$S$232,$M191)</f>
        <v/>
      </c>
      <c r="K191">
        <f>INDEX('Draft Engine'!$T$3:$T$232,$M191)</f>
        <v/>
      </c>
      <c r="L191">
        <f>INDEX('Draft Engine'!$X$3:$X$232,$M191)</f>
        <v/>
      </c>
      <c r="M191" s="6">
        <f>MATCH($A191,'Draft Engine'!$Q$3:$Q$232,0)</f>
        <v/>
      </c>
    </row>
    <row r="192">
      <c r="A192">
        <f>190</f>
        <v/>
      </c>
      <c r="B192">
        <f>INDEX('Draft Engine'!$A$3:$A$232,$M192)</f>
        <v/>
      </c>
      <c r="C192">
        <f>INDEX('Draft Engine'!$F$3:$F$232,$M192)</f>
        <v/>
      </c>
      <c r="D192">
        <f>INDEX('Draft Engine'!$B$3:$B$232,$M192)</f>
        <v/>
      </c>
      <c r="E192" s="4">
        <f>INDEX('Draft Engine'!$E$3:$E$232,$M192)</f>
        <v/>
      </c>
      <c r="F192">
        <f>INDEX('LIVE SOURCE'!$H$3:$H$232,$M192)</f>
        <v/>
      </c>
      <c r="G192">
        <f>INDEX('LIVE SOURCE'!$I$3:$I$232,$M192)</f>
        <v/>
      </c>
      <c r="H192">
        <f>INDEX('LIVE SOURCE'!$J$3:$J$232,$M192)</f>
        <v/>
      </c>
      <c r="I192">
        <f>INDEX('Draft Engine'!$R$3:$R$232,$M192)</f>
        <v/>
      </c>
      <c r="J192">
        <f>INDEX('Draft Engine'!$S$3:$S$232,$M192)</f>
        <v/>
      </c>
      <c r="K192">
        <f>INDEX('Draft Engine'!$T$3:$T$232,$M192)</f>
        <v/>
      </c>
      <c r="L192">
        <f>INDEX('Draft Engine'!$X$3:$X$232,$M192)</f>
        <v/>
      </c>
      <c r="M192" s="6">
        <f>MATCH($A192,'Draft Engine'!$Q$3:$Q$232,0)</f>
        <v/>
      </c>
    </row>
    <row r="193">
      <c r="A193">
        <f>191</f>
        <v/>
      </c>
      <c r="B193">
        <f>INDEX('Draft Engine'!$A$3:$A$232,$M193)</f>
        <v/>
      </c>
      <c r="C193">
        <f>INDEX('Draft Engine'!$F$3:$F$232,$M193)</f>
        <v/>
      </c>
      <c r="D193">
        <f>INDEX('Draft Engine'!$B$3:$B$232,$M193)</f>
        <v/>
      </c>
      <c r="E193" s="4">
        <f>INDEX('Draft Engine'!$E$3:$E$232,$M193)</f>
        <v/>
      </c>
      <c r="F193">
        <f>INDEX('LIVE SOURCE'!$H$3:$H$232,$M193)</f>
        <v/>
      </c>
      <c r="G193">
        <f>INDEX('LIVE SOURCE'!$I$3:$I$232,$M193)</f>
        <v/>
      </c>
      <c r="H193">
        <f>INDEX('LIVE SOURCE'!$J$3:$J$232,$M193)</f>
        <v/>
      </c>
      <c r="I193">
        <f>INDEX('Draft Engine'!$R$3:$R$232,$M193)</f>
        <v/>
      </c>
      <c r="J193">
        <f>INDEX('Draft Engine'!$S$3:$S$232,$M193)</f>
        <v/>
      </c>
      <c r="K193">
        <f>INDEX('Draft Engine'!$T$3:$T$232,$M193)</f>
        <v/>
      </c>
      <c r="L193">
        <f>INDEX('Draft Engine'!$X$3:$X$232,$M193)</f>
        <v/>
      </c>
      <c r="M193" s="6">
        <f>MATCH($A193,'Draft Engine'!$Q$3:$Q$232,0)</f>
        <v/>
      </c>
    </row>
    <row r="194">
      <c r="A194">
        <f>192</f>
        <v/>
      </c>
      <c r="B194">
        <f>INDEX('Draft Engine'!$A$3:$A$232,$M194)</f>
        <v/>
      </c>
      <c r="C194">
        <f>INDEX('Draft Engine'!$F$3:$F$232,$M194)</f>
        <v/>
      </c>
      <c r="D194">
        <f>INDEX('Draft Engine'!$B$3:$B$232,$M194)</f>
        <v/>
      </c>
      <c r="E194" s="4">
        <f>INDEX('Draft Engine'!$E$3:$E$232,$M194)</f>
        <v/>
      </c>
      <c r="F194">
        <f>INDEX('LIVE SOURCE'!$H$3:$H$232,$M194)</f>
        <v/>
      </c>
      <c r="G194">
        <f>INDEX('LIVE SOURCE'!$I$3:$I$232,$M194)</f>
        <v/>
      </c>
      <c r="H194">
        <f>INDEX('LIVE SOURCE'!$J$3:$J$232,$M194)</f>
        <v/>
      </c>
      <c r="I194">
        <f>INDEX('Draft Engine'!$R$3:$R$232,$M194)</f>
        <v/>
      </c>
      <c r="J194">
        <f>INDEX('Draft Engine'!$S$3:$S$232,$M194)</f>
        <v/>
      </c>
      <c r="K194">
        <f>INDEX('Draft Engine'!$T$3:$T$232,$M194)</f>
        <v/>
      </c>
      <c r="L194">
        <f>INDEX('Draft Engine'!$X$3:$X$232,$M194)</f>
        <v/>
      </c>
      <c r="M194" s="6">
        <f>MATCH($A194,'Draft Engine'!$Q$3:$Q$232,0)</f>
        <v/>
      </c>
    </row>
    <row r="195">
      <c r="A195">
        <f>193</f>
        <v/>
      </c>
      <c r="B195">
        <f>INDEX('Draft Engine'!$A$3:$A$232,$M195)</f>
        <v/>
      </c>
      <c r="C195">
        <f>INDEX('Draft Engine'!$F$3:$F$232,$M195)</f>
        <v/>
      </c>
      <c r="D195">
        <f>INDEX('Draft Engine'!$B$3:$B$232,$M195)</f>
        <v/>
      </c>
      <c r="E195" s="4">
        <f>INDEX('Draft Engine'!$E$3:$E$232,$M195)</f>
        <v/>
      </c>
      <c r="F195">
        <f>INDEX('LIVE SOURCE'!$H$3:$H$232,$M195)</f>
        <v/>
      </c>
      <c r="G195">
        <f>INDEX('LIVE SOURCE'!$I$3:$I$232,$M195)</f>
        <v/>
      </c>
      <c r="H195">
        <f>INDEX('LIVE SOURCE'!$J$3:$J$232,$M195)</f>
        <v/>
      </c>
      <c r="I195">
        <f>INDEX('Draft Engine'!$R$3:$R$232,$M195)</f>
        <v/>
      </c>
      <c r="J195">
        <f>INDEX('Draft Engine'!$S$3:$S$232,$M195)</f>
        <v/>
      </c>
      <c r="K195">
        <f>INDEX('Draft Engine'!$T$3:$T$232,$M195)</f>
        <v/>
      </c>
      <c r="L195">
        <f>INDEX('Draft Engine'!$X$3:$X$232,$M195)</f>
        <v/>
      </c>
      <c r="M195" s="6">
        <f>MATCH($A195,'Draft Engine'!$Q$3:$Q$232,0)</f>
        <v/>
      </c>
    </row>
    <row r="196">
      <c r="A196">
        <f>194</f>
        <v/>
      </c>
      <c r="B196">
        <f>INDEX('Draft Engine'!$A$3:$A$232,$M196)</f>
        <v/>
      </c>
      <c r="C196">
        <f>INDEX('Draft Engine'!$F$3:$F$232,$M196)</f>
        <v/>
      </c>
      <c r="D196">
        <f>INDEX('Draft Engine'!$B$3:$B$232,$M196)</f>
        <v/>
      </c>
      <c r="E196" s="4">
        <f>INDEX('Draft Engine'!$E$3:$E$232,$M196)</f>
        <v/>
      </c>
      <c r="F196">
        <f>INDEX('LIVE SOURCE'!$H$3:$H$232,$M196)</f>
        <v/>
      </c>
      <c r="G196">
        <f>INDEX('LIVE SOURCE'!$I$3:$I$232,$M196)</f>
        <v/>
      </c>
      <c r="H196">
        <f>INDEX('LIVE SOURCE'!$J$3:$J$232,$M196)</f>
        <v/>
      </c>
      <c r="I196">
        <f>INDEX('Draft Engine'!$R$3:$R$232,$M196)</f>
        <v/>
      </c>
      <c r="J196">
        <f>INDEX('Draft Engine'!$S$3:$S$232,$M196)</f>
        <v/>
      </c>
      <c r="K196">
        <f>INDEX('Draft Engine'!$T$3:$T$232,$M196)</f>
        <v/>
      </c>
      <c r="L196">
        <f>INDEX('Draft Engine'!$X$3:$X$232,$M196)</f>
        <v/>
      </c>
      <c r="M196" s="6">
        <f>MATCH($A196,'Draft Engine'!$Q$3:$Q$232,0)</f>
        <v/>
      </c>
    </row>
    <row r="197">
      <c r="A197">
        <f>195</f>
        <v/>
      </c>
      <c r="B197">
        <f>INDEX('Draft Engine'!$A$3:$A$232,$M197)</f>
        <v/>
      </c>
      <c r="C197">
        <f>INDEX('Draft Engine'!$F$3:$F$232,$M197)</f>
        <v/>
      </c>
      <c r="D197">
        <f>INDEX('Draft Engine'!$B$3:$B$232,$M197)</f>
        <v/>
      </c>
      <c r="E197" s="4">
        <f>INDEX('Draft Engine'!$E$3:$E$232,$M197)</f>
        <v/>
      </c>
      <c r="F197">
        <f>INDEX('LIVE SOURCE'!$H$3:$H$232,$M197)</f>
        <v/>
      </c>
      <c r="G197">
        <f>INDEX('LIVE SOURCE'!$I$3:$I$232,$M197)</f>
        <v/>
      </c>
      <c r="H197">
        <f>INDEX('LIVE SOURCE'!$J$3:$J$232,$M197)</f>
        <v/>
      </c>
      <c r="I197">
        <f>INDEX('Draft Engine'!$R$3:$R$232,$M197)</f>
        <v/>
      </c>
      <c r="J197">
        <f>INDEX('Draft Engine'!$S$3:$S$232,$M197)</f>
        <v/>
      </c>
      <c r="K197">
        <f>INDEX('Draft Engine'!$T$3:$T$232,$M197)</f>
        <v/>
      </c>
      <c r="L197">
        <f>INDEX('Draft Engine'!$X$3:$X$232,$M197)</f>
        <v/>
      </c>
      <c r="M197" s="6">
        <f>MATCH($A197,'Draft Engine'!$Q$3:$Q$232,0)</f>
        <v/>
      </c>
    </row>
    <row r="198">
      <c r="A198">
        <f>196</f>
        <v/>
      </c>
      <c r="B198">
        <f>INDEX('Draft Engine'!$A$3:$A$232,$M198)</f>
        <v/>
      </c>
      <c r="C198">
        <f>INDEX('Draft Engine'!$F$3:$F$232,$M198)</f>
        <v/>
      </c>
      <c r="D198">
        <f>INDEX('Draft Engine'!$B$3:$B$232,$M198)</f>
        <v/>
      </c>
      <c r="E198" s="4">
        <f>INDEX('Draft Engine'!$E$3:$E$232,$M198)</f>
        <v/>
      </c>
      <c r="F198">
        <f>INDEX('LIVE SOURCE'!$H$3:$H$232,$M198)</f>
        <v/>
      </c>
      <c r="G198">
        <f>INDEX('LIVE SOURCE'!$I$3:$I$232,$M198)</f>
        <v/>
      </c>
      <c r="H198">
        <f>INDEX('LIVE SOURCE'!$J$3:$J$232,$M198)</f>
        <v/>
      </c>
      <c r="I198">
        <f>INDEX('Draft Engine'!$R$3:$R$232,$M198)</f>
        <v/>
      </c>
      <c r="J198">
        <f>INDEX('Draft Engine'!$S$3:$S$232,$M198)</f>
        <v/>
      </c>
      <c r="K198">
        <f>INDEX('Draft Engine'!$T$3:$T$232,$M198)</f>
        <v/>
      </c>
      <c r="L198">
        <f>INDEX('Draft Engine'!$X$3:$X$232,$M198)</f>
        <v/>
      </c>
      <c r="M198" s="6">
        <f>MATCH($A198,'Draft Engine'!$Q$3:$Q$232,0)</f>
        <v/>
      </c>
    </row>
    <row r="199">
      <c r="A199">
        <f>197</f>
        <v/>
      </c>
      <c r="B199">
        <f>INDEX('Draft Engine'!$A$3:$A$232,$M199)</f>
        <v/>
      </c>
      <c r="C199">
        <f>INDEX('Draft Engine'!$F$3:$F$232,$M199)</f>
        <v/>
      </c>
      <c r="D199">
        <f>INDEX('Draft Engine'!$B$3:$B$232,$M199)</f>
        <v/>
      </c>
      <c r="E199" s="4">
        <f>INDEX('Draft Engine'!$E$3:$E$232,$M199)</f>
        <v/>
      </c>
      <c r="F199">
        <f>INDEX('LIVE SOURCE'!$H$3:$H$232,$M199)</f>
        <v/>
      </c>
      <c r="G199">
        <f>INDEX('LIVE SOURCE'!$I$3:$I$232,$M199)</f>
        <v/>
      </c>
      <c r="H199">
        <f>INDEX('LIVE SOURCE'!$J$3:$J$232,$M199)</f>
        <v/>
      </c>
      <c r="I199">
        <f>INDEX('Draft Engine'!$R$3:$R$232,$M199)</f>
        <v/>
      </c>
      <c r="J199">
        <f>INDEX('Draft Engine'!$S$3:$S$232,$M199)</f>
        <v/>
      </c>
      <c r="K199">
        <f>INDEX('Draft Engine'!$T$3:$T$232,$M199)</f>
        <v/>
      </c>
      <c r="L199">
        <f>INDEX('Draft Engine'!$X$3:$X$232,$M199)</f>
        <v/>
      </c>
      <c r="M199" s="6">
        <f>MATCH($A199,'Draft Engine'!$Q$3:$Q$232,0)</f>
        <v/>
      </c>
    </row>
    <row r="200">
      <c r="A200">
        <f>198</f>
        <v/>
      </c>
      <c r="B200">
        <f>INDEX('Draft Engine'!$A$3:$A$232,$M200)</f>
        <v/>
      </c>
      <c r="C200">
        <f>INDEX('Draft Engine'!$F$3:$F$232,$M200)</f>
        <v/>
      </c>
      <c r="D200">
        <f>INDEX('Draft Engine'!$B$3:$B$232,$M200)</f>
        <v/>
      </c>
      <c r="E200" s="4">
        <f>INDEX('Draft Engine'!$E$3:$E$232,$M200)</f>
        <v/>
      </c>
      <c r="F200">
        <f>INDEX('LIVE SOURCE'!$H$3:$H$232,$M200)</f>
        <v/>
      </c>
      <c r="G200">
        <f>INDEX('LIVE SOURCE'!$I$3:$I$232,$M200)</f>
        <v/>
      </c>
      <c r="H200">
        <f>INDEX('LIVE SOURCE'!$J$3:$J$232,$M200)</f>
        <v/>
      </c>
      <c r="I200">
        <f>INDEX('Draft Engine'!$R$3:$R$232,$M200)</f>
        <v/>
      </c>
      <c r="J200">
        <f>INDEX('Draft Engine'!$S$3:$S$232,$M200)</f>
        <v/>
      </c>
      <c r="K200">
        <f>INDEX('Draft Engine'!$T$3:$T$232,$M200)</f>
        <v/>
      </c>
      <c r="L200">
        <f>INDEX('Draft Engine'!$X$3:$X$232,$M200)</f>
        <v/>
      </c>
      <c r="M200" s="6">
        <f>MATCH($A200,'Draft Engine'!$Q$3:$Q$232,0)</f>
        <v/>
      </c>
    </row>
    <row r="201">
      <c r="A201">
        <f>199</f>
        <v/>
      </c>
      <c r="B201">
        <f>INDEX('Draft Engine'!$A$3:$A$232,$M201)</f>
        <v/>
      </c>
      <c r="C201">
        <f>INDEX('Draft Engine'!$F$3:$F$232,$M201)</f>
        <v/>
      </c>
      <c r="D201">
        <f>INDEX('Draft Engine'!$B$3:$B$232,$M201)</f>
        <v/>
      </c>
      <c r="E201" s="4">
        <f>INDEX('Draft Engine'!$E$3:$E$232,$M201)</f>
        <v/>
      </c>
      <c r="F201">
        <f>INDEX('LIVE SOURCE'!$H$3:$H$232,$M201)</f>
        <v/>
      </c>
      <c r="G201">
        <f>INDEX('LIVE SOURCE'!$I$3:$I$232,$M201)</f>
        <v/>
      </c>
      <c r="H201">
        <f>INDEX('LIVE SOURCE'!$J$3:$J$232,$M201)</f>
        <v/>
      </c>
      <c r="I201">
        <f>INDEX('Draft Engine'!$R$3:$R$232,$M201)</f>
        <v/>
      </c>
      <c r="J201">
        <f>INDEX('Draft Engine'!$S$3:$S$232,$M201)</f>
        <v/>
      </c>
      <c r="K201">
        <f>INDEX('Draft Engine'!$T$3:$T$232,$M201)</f>
        <v/>
      </c>
      <c r="L201">
        <f>INDEX('Draft Engine'!$X$3:$X$232,$M201)</f>
        <v/>
      </c>
      <c r="M201" s="6">
        <f>MATCH($A201,'Draft Engine'!$Q$3:$Q$232,0)</f>
        <v/>
      </c>
    </row>
    <row r="202">
      <c r="A202">
        <f>200</f>
        <v/>
      </c>
      <c r="B202">
        <f>INDEX('Draft Engine'!$A$3:$A$232,$M202)</f>
        <v/>
      </c>
      <c r="C202">
        <f>INDEX('Draft Engine'!$F$3:$F$232,$M202)</f>
        <v/>
      </c>
      <c r="D202">
        <f>INDEX('Draft Engine'!$B$3:$B$232,$M202)</f>
        <v/>
      </c>
      <c r="E202" s="4">
        <f>INDEX('Draft Engine'!$E$3:$E$232,$M202)</f>
        <v/>
      </c>
      <c r="F202">
        <f>INDEX('LIVE SOURCE'!$H$3:$H$232,$M202)</f>
        <v/>
      </c>
      <c r="G202">
        <f>INDEX('LIVE SOURCE'!$I$3:$I$232,$M202)</f>
        <v/>
      </c>
      <c r="H202">
        <f>INDEX('LIVE SOURCE'!$J$3:$J$232,$M202)</f>
        <v/>
      </c>
      <c r="I202">
        <f>INDEX('Draft Engine'!$R$3:$R$232,$M202)</f>
        <v/>
      </c>
      <c r="J202">
        <f>INDEX('Draft Engine'!$S$3:$S$232,$M202)</f>
        <v/>
      </c>
      <c r="K202">
        <f>INDEX('Draft Engine'!$T$3:$T$232,$M202)</f>
        <v/>
      </c>
      <c r="L202">
        <f>INDEX('Draft Engine'!$X$3:$X$232,$M202)</f>
        <v/>
      </c>
      <c r="M202" s="6">
        <f>MATCH($A202,'Draft Engine'!$Q$3:$Q$232,0)</f>
        <v/>
      </c>
    </row>
    <row r="203">
      <c r="A203">
        <f>201</f>
        <v/>
      </c>
      <c r="B203">
        <f>INDEX('Draft Engine'!$A$3:$A$232,$M203)</f>
        <v/>
      </c>
      <c r="C203">
        <f>INDEX('Draft Engine'!$F$3:$F$232,$M203)</f>
        <v/>
      </c>
      <c r="D203">
        <f>INDEX('Draft Engine'!$B$3:$B$232,$M203)</f>
        <v/>
      </c>
      <c r="E203" s="4">
        <f>INDEX('Draft Engine'!$E$3:$E$232,$M203)</f>
        <v/>
      </c>
      <c r="F203">
        <f>INDEX('LIVE SOURCE'!$H$3:$H$232,$M203)</f>
        <v/>
      </c>
      <c r="G203">
        <f>INDEX('LIVE SOURCE'!$I$3:$I$232,$M203)</f>
        <v/>
      </c>
      <c r="H203">
        <f>INDEX('LIVE SOURCE'!$J$3:$J$232,$M203)</f>
        <v/>
      </c>
      <c r="I203">
        <f>INDEX('Draft Engine'!$R$3:$R$232,$M203)</f>
        <v/>
      </c>
      <c r="J203">
        <f>INDEX('Draft Engine'!$S$3:$S$232,$M203)</f>
        <v/>
      </c>
      <c r="K203">
        <f>INDEX('Draft Engine'!$T$3:$T$232,$M203)</f>
        <v/>
      </c>
      <c r="L203">
        <f>INDEX('Draft Engine'!$X$3:$X$232,$M203)</f>
        <v/>
      </c>
      <c r="M203" s="6">
        <f>MATCH($A203,'Draft Engine'!$Q$3:$Q$232,0)</f>
        <v/>
      </c>
    </row>
    <row r="204">
      <c r="A204">
        <f>202</f>
        <v/>
      </c>
      <c r="B204">
        <f>INDEX('Draft Engine'!$A$3:$A$232,$M204)</f>
        <v/>
      </c>
      <c r="C204">
        <f>INDEX('Draft Engine'!$F$3:$F$232,$M204)</f>
        <v/>
      </c>
      <c r="D204">
        <f>INDEX('Draft Engine'!$B$3:$B$232,$M204)</f>
        <v/>
      </c>
      <c r="E204" s="4">
        <f>INDEX('Draft Engine'!$E$3:$E$232,$M204)</f>
        <v/>
      </c>
      <c r="F204">
        <f>INDEX('LIVE SOURCE'!$H$3:$H$232,$M204)</f>
        <v/>
      </c>
      <c r="G204">
        <f>INDEX('LIVE SOURCE'!$I$3:$I$232,$M204)</f>
        <v/>
      </c>
      <c r="H204">
        <f>INDEX('LIVE SOURCE'!$J$3:$J$232,$M204)</f>
        <v/>
      </c>
      <c r="I204">
        <f>INDEX('Draft Engine'!$R$3:$R$232,$M204)</f>
        <v/>
      </c>
      <c r="J204">
        <f>INDEX('Draft Engine'!$S$3:$S$232,$M204)</f>
        <v/>
      </c>
      <c r="K204">
        <f>INDEX('Draft Engine'!$T$3:$T$232,$M204)</f>
        <v/>
      </c>
      <c r="L204">
        <f>INDEX('Draft Engine'!$X$3:$X$232,$M204)</f>
        <v/>
      </c>
      <c r="M204" s="6">
        <f>MATCH($A204,'Draft Engine'!$Q$3:$Q$232,0)</f>
        <v/>
      </c>
    </row>
    <row r="205">
      <c r="A205">
        <f>203</f>
        <v/>
      </c>
      <c r="B205">
        <f>INDEX('Draft Engine'!$A$3:$A$232,$M205)</f>
        <v/>
      </c>
      <c r="C205">
        <f>INDEX('Draft Engine'!$F$3:$F$232,$M205)</f>
        <v/>
      </c>
      <c r="D205">
        <f>INDEX('Draft Engine'!$B$3:$B$232,$M205)</f>
        <v/>
      </c>
      <c r="E205" s="4">
        <f>INDEX('Draft Engine'!$E$3:$E$232,$M205)</f>
        <v/>
      </c>
      <c r="F205">
        <f>INDEX('LIVE SOURCE'!$H$3:$H$232,$M205)</f>
        <v/>
      </c>
      <c r="G205">
        <f>INDEX('LIVE SOURCE'!$I$3:$I$232,$M205)</f>
        <v/>
      </c>
      <c r="H205">
        <f>INDEX('LIVE SOURCE'!$J$3:$J$232,$M205)</f>
        <v/>
      </c>
      <c r="I205">
        <f>INDEX('Draft Engine'!$R$3:$R$232,$M205)</f>
        <v/>
      </c>
      <c r="J205">
        <f>INDEX('Draft Engine'!$S$3:$S$232,$M205)</f>
        <v/>
      </c>
      <c r="K205">
        <f>INDEX('Draft Engine'!$T$3:$T$232,$M205)</f>
        <v/>
      </c>
      <c r="L205">
        <f>INDEX('Draft Engine'!$X$3:$X$232,$M205)</f>
        <v/>
      </c>
      <c r="M205" s="6">
        <f>MATCH($A205,'Draft Engine'!$Q$3:$Q$232,0)</f>
        <v/>
      </c>
    </row>
    <row r="206">
      <c r="A206">
        <f>204</f>
        <v/>
      </c>
      <c r="B206">
        <f>INDEX('Draft Engine'!$A$3:$A$232,$M206)</f>
        <v/>
      </c>
      <c r="C206">
        <f>INDEX('Draft Engine'!$F$3:$F$232,$M206)</f>
        <v/>
      </c>
      <c r="D206">
        <f>INDEX('Draft Engine'!$B$3:$B$232,$M206)</f>
        <v/>
      </c>
      <c r="E206" s="4">
        <f>INDEX('Draft Engine'!$E$3:$E$232,$M206)</f>
        <v/>
      </c>
      <c r="F206">
        <f>INDEX('LIVE SOURCE'!$H$3:$H$232,$M206)</f>
        <v/>
      </c>
      <c r="G206">
        <f>INDEX('LIVE SOURCE'!$I$3:$I$232,$M206)</f>
        <v/>
      </c>
      <c r="H206">
        <f>INDEX('LIVE SOURCE'!$J$3:$J$232,$M206)</f>
        <v/>
      </c>
      <c r="I206">
        <f>INDEX('Draft Engine'!$R$3:$R$232,$M206)</f>
        <v/>
      </c>
      <c r="J206">
        <f>INDEX('Draft Engine'!$S$3:$S$232,$M206)</f>
        <v/>
      </c>
      <c r="K206">
        <f>INDEX('Draft Engine'!$T$3:$T$232,$M206)</f>
        <v/>
      </c>
      <c r="L206">
        <f>INDEX('Draft Engine'!$X$3:$X$232,$M206)</f>
        <v/>
      </c>
      <c r="M206" s="6">
        <f>MATCH($A206,'Draft Engine'!$Q$3:$Q$232,0)</f>
        <v/>
      </c>
    </row>
    <row r="207">
      <c r="A207">
        <f>205</f>
        <v/>
      </c>
      <c r="B207">
        <f>INDEX('Draft Engine'!$A$3:$A$232,$M207)</f>
        <v/>
      </c>
      <c r="C207">
        <f>INDEX('Draft Engine'!$F$3:$F$232,$M207)</f>
        <v/>
      </c>
      <c r="D207">
        <f>INDEX('Draft Engine'!$B$3:$B$232,$M207)</f>
        <v/>
      </c>
      <c r="E207" s="4">
        <f>INDEX('Draft Engine'!$E$3:$E$232,$M207)</f>
        <v/>
      </c>
      <c r="F207">
        <f>INDEX('LIVE SOURCE'!$H$3:$H$232,$M207)</f>
        <v/>
      </c>
      <c r="G207">
        <f>INDEX('LIVE SOURCE'!$I$3:$I$232,$M207)</f>
        <v/>
      </c>
      <c r="H207">
        <f>INDEX('LIVE SOURCE'!$J$3:$J$232,$M207)</f>
        <v/>
      </c>
      <c r="I207">
        <f>INDEX('Draft Engine'!$R$3:$R$232,$M207)</f>
        <v/>
      </c>
      <c r="J207">
        <f>INDEX('Draft Engine'!$S$3:$S$232,$M207)</f>
        <v/>
      </c>
      <c r="K207">
        <f>INDEX('Draft Engine'!$T$3:$T$232,$M207)</f>
        <v/>
      </c>
      <c r="L207">
        <f>INDEX('Draft Engine'!$X$3:$X$232,$M207)</f>
        <v/>
      </c>
      <c r="M207" s="6">
        <f>MATCH($A207,'Draft Engine'!$Q$3:$Q$232,0)</f>
        <v/>
      </c>
    </row>
    <row r="208">
      <c r="A208">
        <f>206</f>
        <v/>
      </c>
      <c r="B208">
        <f>INDEX('Draft Engine'!$A$3:$A$232,$M208)</f>
        <v/>
      </c>
      <c r="C208">
        <f>INDEX('Draft Engine'!$F$3:$F$232,$M208)</f>
        <v/>
      </c>
      <c r="D208">
        <f>INDEX('Draft Engine'!$B$3:$B$232,$M208)</f>
        <v/>
      </c>
      <c r="E208" s="4">
        <f>INDEX('Draft Engine'!$E$3:$E$232,$M208)</f>
        <v/>
      </c>
      <c r="F208">
        <f>INDEX('LIVE SOURCE'!$H$3:$H$232,$M208)</f>
        <v/>
      </c>
      <c r="G208">
        <f>INDEX('LIVE SOURCE'!$I$3:$I$232,$M208)</f>
        <v/>
      </c>
      <c r="H208">
        <f>INDEX('LIVE SOURCE'!$J$3:$J$232,$M208)</f>
        <v/>
      </c>
      <c r="I208">
        <f>INDEX('Draft Engine'!$R$3:$R$232,$M208)</f>
        <v/>
      </c>
      <c r="J208">
        <f>INDEX('Draft Engine'!$S$3:$S$232,$M208)</f>
        <v/>
      </c>
      <c r="K208">
        <f>INDEX('Draft Engine'!$T$3:$T$232,$M208)</f>
        <v/>
      </c>
      <c r="L208">
        <f>INDEX('Draft Engine'!$X$3:$X$232,$M208)</f>
        <v/>
      </c>
      <c r="M208" s="6">
        <f>MATCH($A208,'Draft Engine'!$Q$3:$Q$232,0)</f>
        <v/>
      </c>
    </row>
    <row r="209">
      <c r="A209">
        <f>207</f>
        <v/>
      </c>
      <c r="B209">
        <f>INDEX('Draft Engine'!$A$3:$A$232,$M209)</f>
        <v/>
      </c>
      <c r="C209">
        <f>INDEX('Draft Engine'!$F$3:$F$232,$M209)</f>
        <v/>
      </c>
      <c r="D209">
        <f>INDEX('Draft Engine'!$B$3:$B$232,$M209)</f>
        <v/>
      </c>
      <c r="E209" s="4">
        <f>INDEX('Draft Engine'!$E$3:$E$232,$M209)</f>
        <v/>
      </c>
      <c r="F209">
        <f>INDEX('LIVE SOURCE'!$H$3:$H$232,$M209)</f>
        <v/>
      </c>
      <c r="G209">
        <f>INDEX('LIVE SOURCE'!$I$3:$I$232,$M209)</f>
        <v/>
      </c>
      <c r="H209">
        <f>INDEX('LIVE SOURCE'!$J$3:$J$232,$M209)</f>
        <v/>
      </c>
      <c r="I209">
        <f>INDEX('Draft Engine'!$R$3:$R$232,$M209)</f>
        <v/>
      </c>
      <c r="J209">
        <f>INDEX('Draft Engine'!$S$3:$S$232,$M209)</f>
        <v/>
      </c>
      <c r="K209">
        <f>INDEX('Draft Engine'!$T$3:$T$232,$M209)</f>
        <v/>
      </c>
      <c r="L209">
        <f>INDEX('Draft Engine'!$X$3:$X$232,$M209)</f>
        <v/>
      </c>
      <c r="M209" s="6">
        <f>MATCH($A209,'Draft Engine'!$Q$3:$Q$232,0)</f>
        <v/>
      </c>
    </row>
    <row r="210">
      <c r="A210">
        <f>208</f>
        <v/>
      </c>
      <c r="B210">
        <f>INDEX('Draft Engine'!$A$3:$A$232,$M210)</f>
        <v/>
      </c>
      <c r="C210">
        <f>INDEX('Draft Engine'!$F$3:$F$232,$M210)</f>
        <v/>
      </c>
      <c r="D210">
        <f>INDEX('Draft Engine'!$B$3:$B$232,$M210)</f>
        <v/>
      </c>
      <c r="E210" s="4">
        <f>INDEX('Draft Engine'!$E$3:$E$232,$M210)</f>
        <v/>
      </c>
      <c r="F210">
        <f>INDEX('LIVE SOURCE'!$H$3:$H$232,$M210)</f>
        <v/>
      </c>
      <c r="G210">
        <f>INDEX('LIVE SOURCE'!$I$3:$I$232,$M210)</f>
        <v/>
      </c>
      <c r="H210">
        <f>INDEX('LIVE SOURCE'!$J$3:$J$232,$M210)</f>
        <v/>
      </c>
      <c r="I210">
        <f>INDEX('Draft Engine'!$R$3:$R$232,$M210)</f>
        <v/>
      </c>
      <c r="J210">
        <f>INDEX('Draft Engine'!$S$3:$S$232,$M210)</f>
        <v/>
      </c>
      <c r="K210">
        <f>INDEX('Draft Engine'!$T$3:$T$232,$M210)</f>
        <v/>
      </c>
      <c r="L210">
        <f>INDEX('Draft Engine'!$X$3:$X$232,$M210)</f>
        <v/>
      </c>
      <c r="M210" s="6">
        <f>MATCH($A210,'Draft Engine'!$Q$3:$Q$232,0)</f>
        <v/>
      </c>
    </row>
    <row r="211">
      <c r="A211">
        <f>209</f>
        <v/>
      </c>
      <c r="B211">
        <f>INDEX('Draft Engine'!$A$3:$A$232,$M211)</f>
        <v/>
      </c>
      <c r="C211">
        <f>INDEX('Draft Engine'!$F$3:$F$232,$M211)</f>
        <v/>
      </c>
      <c r="D211">
        <f>INDEX('Draft Engine'!$B$3:$B$232,$M211)</f>
        <v/>
      </c>
      <c r="E211" s="4">
        <f>INDEX('Draft Engine'!$E$3:$E$232,$M211)</f>
        <v/>
      </c>
      <c r="F211">
        <f>INDEX('LIVE SOURCE'!$H$3:$H$232,$M211)</f>
        <v/>
      </c>
      <c r="G211">
        <f>INDEX('LIVE SOURCE'!$I$3:$I$232,$M211)</f>
        <v/>
      </c>
      <c r="H211">
        <f>INDEX('LIVE SOURCE'!$J$3:$J$232,$M211)</f>
        <v/>
      </c>
      <c r="I211">
        <f>INDEX('Draft Engine'!$R$3:$R$232,$M211)</f>
        <v/>
      </c>
      <c r="J211">
        <f>INDEX('Draft Engine'!$S$3:$S$232,$M211)</f>
        <v/>
      </c>
      <c r="K211">
        <f>INDEX('Draft Engine'!$T$3:$T$232,$M211)</f>
        <v/>
      </c>
      <c r="L211">
        <f>INDEX('Draft Engine'!$X$3:$X$232,$M211)</f>
        <v/>
      </c>
      <c r="M211" s="6">
        <f>MATCH($A211,'Draft Engine'!$Q$3:$Q$232,0)</f>
        <v/>
      </c>
    </row>
    <row r="212">
      <c r="A212">
        <f>210</f>
        <v/>
      </c>
      <c r="B212">
        <f>INDEX('Draft Engine'!$A$3:$A$232,$M212)</f>
        <v/>
      </c>
      <c r="C212">
        <f>INDEX('Draft Engine'!$F$3:$F$232,$M212)</f>
        <v/>
      </c>
      <c r="D212">
        <f>INDEX('Draft Engine'!$B$3:$B$232,$M212)</f>
        <v/>
      </c>
      <c r="E212" s="4">
        <f>INDEX('Draft Engine'!$E$3:$E$232,$M212)</f>
        <v/>
      </c>
      <c r="F212">
        <f>INDEX('LIVE SOURCE'!$H$3:$H$232,$M212)</f>
        <v/>
      </c>
      <c r="G212">
        <f>INDEX('LIVE SOURCE'!$I$3:$I$232,$M212)</f>
        <v/>
      </c>
      <c r="H212">
        <f>INDEX('LIVE SOURCE'!$J$3:$J$232,$M212)</f>
        <v/>
      </c>
      <c r="I212">
        <f>INDEX('Draft Engine'!$R$3:$R$232,$M212)</f>
        <v/>
      </c>
      <c r="J212">
        <f>INDEX('Draft Engine'!$S$3:$S$232,$M212)</f>
        <v/>
      </c>
      <c r="K212">
        <f>INDEX('Draft Engine'!$T$3:$T$232,$M212)</f>
        <v/>
      </c>
      <c r="L212">
        <f>INDEX('Draft Engine'!$X$3:$X$232,$M212)</f>
        <v/>
      </c>
      <c r="M212" s="6">
        <f>MATCH($A212,'Draft Engine'!$Q$3:$Q$232,0)</f>
        <v/>
      </c>
    </row>
    <row r="213">
      <c r="A213">
        <f>211</f>
        <v/>
      </c>
      <c r="B213">
        <f>INDEX('Draft Engine'!$A$3:$A$232,$M213)</f>
        <v/>
      </c>
      <c r="C213">
        <f>INDEX('Draft Engine'!$F$3:$F$232,$M213)</f>
        <v/>
      </c>
      <c r="D213">
        <f>INDEX('Draft Engine'!$B$3:$B$232,$M213)</f>
        <v/>
      </c>
      <c r="E213" s="4">
        <f>INDEX('Draft Engine'!$E$3:$E$232,$M213)</f>
        <v/>
      </c>
      <c r="F213">
        <f>INDEX('LIVE SOURCE'!$H$3:$H$232,$M213)</f>
        <v/>
      </c>
      <c r="G213">
        <f>INDEX('LIVE SOURCE'!$I$3:$I$232,$M213)</f>
        <v/>
      </c>
      <c r="H213">
        <f>INDEX('LIVE SOURCE'!$J$3:$J$232,$M213)</f>
        <v/>
      </c>
      <c r="I213">
        <f>INDEX('Draft Engine'!$R$3:$R$232,$M213)</f>
        <v/>
      </c>
      <c r="J213">
        <f>INDEX('Draft Engine'!$S$3:$S$232,$M213)</f>
        <v/>
      </c>
      <c r="K213">
        <f>INDEX('Draft Engine'!$T$3:$T$232,$M213)</f>
        <v/>
      </c>
      <c r="L213">
        <f>INDEX('Draft Engine'!$X$3:$X$232,$M213)</f>
        <v/>
      </c>
      <c r="M213" s="6">
        <f>MATCH($A213,'Draft Engine'!$Q$3:$Q$232,0)</f>
        <v/>
      </c>
    </row>
    <row r="214">
      <c r="A214">
        <f>212</f>
        <v/>
      </c>
      <c r="B214">
        <f>INDEX('Draft Engine'!$A$3:$A$232,$M214)</f>
        <v/>
      </c>
      <c r="C214">
        <f>INDEX('Draft Engine'!$F$3:$F$232,$M214)</f>
        <v/>
      </c>
      <c r="D214">
        <f>INDEX('Draft Engine'!$B$3:$B$232,$M214)</f>
        <v/>
      </c>
      <c r="E214" s="4">
        <f>INDEX('Draft Engine'!$E$3:$E$232,$M214)</f>
        <v/>
      </c>
      <c r="F214">
        <f>INDEX('LIVE SOURCE'!$H$3:$H$232,$M214)</f>
        <v/>
      </c>
      <c r="G214">
        <f>INDEX('LIVE SOURCE'!$I$3:$I$232,$M214)</f>
        <v/>
      </c>
      <c r="H214">
        <f>INDEX('LIVE SOURCE'!$J$3:$J$232,$M214)</f>
        <v/>
      </c>
      <c r="I214">
        <f>INDEX('Draft Engine'!$R$3:$R$232,$M214)</f>
        <v/>
      </c>
      <c r="J214">
        <f>INDEX('Draft Engine'!$S$3:$S$232,$M214)</f>
        <v/>
      </c>
      <c r="K214">
        <f>INDEX('Draft Engine'!$T$3:$T$232,$M214)</f>
        <v/>
      </c>
      <c r="L214">
        <f>INDEX('Draft Engine'!$X$3:$X$232,$M214)</f>
        <v/>
      </c>
      <c r="M214" s="6">
        <f>MATCH($A214,'Draft Engine'!$Q$3:$Q$232,0)</f>
        <v/>
      </c>
    </row>
    <row r="215">
      <c r="A215">
        <f>213</f>
        <v/>
      </c>
      <c r="B215">
        <f>INDEX('Draft Engine'!$A$3:$A$232,$M215)</f>
        <v/>
      </c>
      <c r="C215">
        <f>INDEX('Draft Engine'!$F$3:$F$232,$M215)</f>
        <v/>
      </c>
      <c r="D215">
        <f>INDEX('Draft Engine'!$B$3:$B$232,$M215)</f>
        <v/>
      </c>
      <c r="E215" s="4">
        <f>INDEX('Draft Engine'!$E$3:$E$232,$M215)</f>
        <v/>
      </c>
      <c r="F215">
        <f>INDEX('LIVE SOURCE'!$H$3:$H$232,$M215)</f>
        <v/>
      </c>
      <c r="G215">
        <f>INDEX('LIVE SOURCE'!$I$3:$I$232,$M215)</f>
        <v/>
      </c>
      <c r="H215">
        <f>INDEX('LIVE SOURCE'!$J$3:$J$232,$M215)</f>
        <v/>
      </c>
      <c r="I215">
        <f>INDEX('Draft Engine'!$R$3:$R$232,$M215)</f>
        <v/>
      </c>
      <c r="J215">
        <f>INDEX('Draft Engine'!$S$3:$S$232,$M215)</f>
        <v/>
      </c>
      <c r="K215">
        <f>INDEX('Draft Engine'!$T$3:$T$232,$M215)</f>
        <v/>
      </c>
      <c r="L215">
        <f>INDEX('Draft Engine'!$X$3:$X$232,$M215)</f>
        <v/>
      </c>
      <c r="M215" s="6">
        <f>MATCH($A215,'Draft Engine'!$Q$3:$Q$232,0)</f>
        <v/>
      </c>
    </row>
    <row r="216">
      <c r="A216">
        <f>214</f>
        <v/>
      </c>
      <c r="B216">
        <f>INDEX('Draft Engine'!$A$3:$A$232,$M216)</f>
        <v/>
      </c>
      <c r="C216">
        <f>INDEX('Draft Engine'!$F$3:$F$232,$M216)</f>
        <v/>
      </c>
      <c r="D216">
        <f>INDEX('Draft Engine'!$B$3:$B$232,$M216)</f>
        <v/>
      </c>
      <c r="E216" s="4">
        <f>INDEX('Draft Engine'!$E$3:$E$232,$M216)</f>
        <v/>
      </c>
      <c r="F216">
        <f>INDEX('LIVE SOURCE'!$H$3:$H$232,$M216)</f>
        <v/>
      </c>
      <c r="G216">
        <f>INDEX('LIVE SOURCE'!$I$3:$I$232,$M216)</f>
        <v/>
      </c>
      <c r="H216">
        <f>INDEX('LIVE SOURCE'!$J$3:$J$232,$M216)</f>
        <v/>
      </c>
      <c r="I216">
        <f>INDEX('Draft Engine'!$R$3:$R$232,$M216)</f>
        <v/>
      </c>
      <c r="J216">
        <f>INDEX('Draft Engine'!$S$3:$S$232,$M216)</f>
        <v/>
      </c>
      <c r="K216">
        <f>INDEX('Draft Engine'!$T$3:$T$232,$M216)</f>
        <v/>
      </c>
      <c r="L216">
        <f>INDEX('Draft Engine'!$X$3:$X$232,$M216)</f>
        <v/>
      </c>
      <c r="M216" s="6">
        <f>MATCH($A216,'Draft Engine'!$Q$3:$Q$232,0)</f>
        <v/>
      </c>
    </row>
    <row r="217">
      <c r="A217">
        <f>215</f>
        <v/>
      </c>
      <c r="B217">
        <f>INDEX('Draft Engine'!$A$3:$A$232,$M217)</f>
        <v/>
      </c>
      <c r="C217">
        <f>INDEX('Draft Engine'!$F$3:$F$232,$M217)</f>
        <v/>
      </c>
      <c r="D217">
        <f>INDEX('Draft Engine'!$B$3:$B$232,$M217)</f>
        <v/>
      </c>
      <c r="E217" s="4">
        <f>INDEX('Draft Engine'!$E$3:$E$232,$M217)</f>
        <v/>
      </c>
      <c r="F217">
        <f>INDEX('LIVE SOURCE'!$H$3:$H$232,$M217)</f>
        <v/>
      </c>
      <c r="G217">
        <f>INDEX('LIVE SOURCE'!$I$3:$I$232,$M217)</f>
        <v/>
      </c>
      <c r="H217">
        <f>INDEX('LIVE SOURCE'!$J$3:$J$232,$M217)</f>
        <v/>
      </c>
      <c r="I217">
        <f>INDEX('Draft Engine'!$R$3:$R$232,$M217)</f>
        <v/>
      </c>
      <c r="J217">
        <f>INDEX('Draft Engine'!$S$3:$S$232,$M217)</f>
        <v/>
      </c>
      <c r="K217">
        <f>INDEX('Draft Engine'!$T$3:$T$232,$M217)</f>
        <v/>
      </c>
      <c r="L217">
        <f>INDEX('Draft Engine'!$X$3:$X$232,$M217)</f>
        <v/>
      </c>
      <c r="M217" s="6">
        <f>MATCH($A217,'Draft Engine'!$Q$3:$Q$232,0)</f>
        <v/>
      </c>
    </row>
    <row r="218">
      <c r="A218">
        <f>216</f>
        <v/>
      </c>
      <c r="B218">
        <f>INDEX('Draft Engine'!$A$3:$A$232,$M218)</f>
        <v/>
      </c>
      <c r="C218">
        <f>INDEX('Draft Engine'!$F$3:$F$232,$M218)</f>
        <v/>
      </c>
      <c r="D218">
        <f>INDEX('Draft Engine'!$B$3:$B$232,$M218)</f>
        <v/>
      </c>
      <c r="E218" s="4">
        <f>INDEX('Draft Engine'!$E$3:$E$232,$M218)</f>
        <v/>
      </c>
      <c r="F218">
        <f>INDEX('LIVE SOURCE'!$H$3:$H$232,$M218)</f>
        <v/>
      </c>
      <c r="G218">
        <f>INDEX('LIVE SOURCE'!$I$3:$I$232,$M218)</f>
        <v/>
      </c>
      <c r="H218">
        <f>INDEX('LIVE SOURCE'!$J$3:$J$232,$M218)</f>
        <v/>
      </c>
      <c r="I218">
        <f>INDEX('Draft Engine'!$R$3:$R$232,$M218)</f>
        <v/>
      </c>
      <c r="J218">
        <f>INDEX('Draft Engine'!$S$3:$S$232,$M218)</f>
        <v/>
      </c>
      <c r="K218">
        <f>INDEX('Draft Engine'!$T$3:$T$232,$M218)</f>
        <v/>
      </c>
      <c r="L218">
        <f>INDEX('Draft Engine'!$X$3:$X$232,$M218)</f>
        <v/>
      </c>
      <c r="M218" s="6">
        <f>MATCH($A218,'Draft Engine'!$Q$3:$Q$232,0)</f>
        <v/>
      </c>
    </row>
    <row r="219">
      <c r="A219">
        <f>217</f>
        <v/>
      </c>
      <c r="B219">
        <f>INDEX('Draft Engine'!$A$3:$A$232,$M219)</f>
        <v/>
      </c>
      <c r="C219">
        <f>INDEX('Draft Engine'!$F$3:$F$232,$M219)</f>
        <v/>
      </c>
      <c r="D219">
        <f>INDEX('Draft Engine'!$B$3:$B$232,$M219)</f>
        <v/>
      </c>
      <c r="E219" s="4">
        <f>INDEX('Draft Engine'!$E$3:$E$232,$M219)</f>
        <v/>
      </c>
      <c r="F219">
        <f>INDEX('LIVE SOURCE'!$H$3:$H$232,$M219)</f>
        <v/>
      </c>
      <c r="G219">
        <f>INDEX('LIVE SOURCE'!$I$3:$I$232,$M219)</f>
        <v/>
      </c>
      <c r="H219">
        <f>INDEX('LIVE SOURCE'!$J$3:$J$232,$M219)</f>
        <v/>
      </c>
      <c r="I219">
        <f>INDEX('Draft Engine'!$R$3:$R$232,$M219)</f>
        <v/>
      </c>
      <c r="J219">
        <f>INDEX('Draft Engine'!$S$3:$S$232,$M219)</f>
        <v/>
      </c>
      <c r="K219">
        <f>INDEX('Draft Engine'!$T$3:$T$232,$M219)</f>
        <v/>
      </c>
      <c r="L219">
        <f>INDEX('Draft Engine'!$X$3:$X$232,$M219)</f>
        <v/>
      </c>
      <c r="M219" s="6">
        <f>MATCH($A219,'Draft Engine'!$Q$3:$Q$232,0)</f>
        <v/>
      </c>
    </row>
    <row r="220">
      <c r="A220">
        <f>218</f>
        <v/>
      </c>
      <c r="B220">
        <f>INDEX('Draft Engine'!$A$3:$A$232,$M220)</f>
        <v/>
      </c>
      <c r="C220">
        <f>INDEX('Draft Engine'!$F$3:$F$232,$M220)</f>
        <v/>
      </c>
      <c r="D220">
        <f>INDEX('Draft Engine'!$B$3:$B$232,$M220)</f>
        <v/>
      </c>
      <c r="E220" s="4">
        <f>INDEX('Draft Engine'!$E$3:$E$232,$M220)</f>
        <v/>
      </c>
      <c r="F220">
        <f>INDEX('LIVE SOURCE'!$H$3:$H$232,$M220)</f>
        <v/>
      </c>
      <c r="G220">
        <f>INDEX('LIVE SOURCE'!$I$3:$I$232,$M220)</f>
        <v/>
      </c>
      <c r="H220">
        <f>INDEX('LIVE SOURCE'!$J$3:$J$232,$M220)</f>
        <v/>
      </c>
      <c r="I220">
        <f>INDEX('Draft Engine'!$R$3:$R$232,$M220)</f>
        <v/>
      </c>
      <c r="J220">
        <f>INDEX('Draft Engine'!$S$3:$S$232,$M220)</f>
        <v/>
      </c>
      <c r="K220">
        <f>INDEX('Draft Engine'!$T$3:$T$232,$M220)</f>
        <v/>
      </c>
      <c r="L220">
        <f>INDEX('Draft Engine'!$X$3:$X$232,$M220)</f>
        <v/>
      </c>
      <c r="M220" s="6">
        <f>MATCH($A220,'Draft Engine'!$Q$3:$Q$232,0)</f>
        <v/>
      </c>
    </row>
    <row r="221">
      <c r="A221">
        <f>219</f>
        <v/>
      </c>
      <c r="B221">
        <f>INDEX('Draft Engine'!$A$3:$A$232,$M221)</f>
        <v/>
      </c>
      <c r="C221">
        <f>INDEX('Draft Engine'!$F$3:$F$232,$M221)</f>
        <v/>
      </c>
      <c r="D221">
        <f>INDEX('Draft Engine'!$B$3:$B$232,$M221)</f>
        <v/>
      </c>
      <c r="E221" s="4">
        <f>INDEX('Draft Engine'!$E$3:$E$232,$M221)</f>
        <v/>
      </c>
      <c r="F221">
        <f>INDEX('LIVE SOURCE'!$H$3:$H$232,$M221)</f>
        <v/>
      </c>
      <c r="G221">
        <f>INDEX('LIVE SOURCE'!$I$3:$I$232,$M221)</f>
        <v/>
      </c>
      <c r="H221">
        <f>INDEX('LIVE SOURCE'!$J$3:$J$232,$M221)</f>
        <v/>
      </c>
      <c r="I221">
        <f>INDEX('Draft Engine'!$R$3:$R$232,$M221)</f>
        <v/>
      </c>
      <c r="J221">
        <f>INDEX('Draft Engine'!$S$3:$S$232,$M221)</f>
        <v/>
      </c>
      <c r="K221">
        <f>INDEX('Draft Engine'!$T$3:$T$232,$M221)</f>
        <v/>
      </c>
      <c r="L221">
        <f>INDEX('Draft Engine'!$X$3:$X$232,$M221)</f>
        <v/>
      </c>
      <c r="M221" s="6">
        <f>MATCH($A221,'Draft Engine'!$Q$3:$Q$232,0)</f>
        <v/>
      </c>
    </row>
    <row r="222">
      <c r="A222">
        <f>220</f>
        <v/>
      </c>
      <c r="B222">
        <f>INDEX('Draft Engine'!$A$3:$A$232,$M222)</f>
        <v/>
      </c>
      <c r="C222">
        <f>INDEX('Draft Engine'!$F$3:$F$232,$M222)</f>
        <v/>
      </c>
      <c r="D222">
        <f>INDEX('Draft Engine'!$B$3:$B$232,$M222)</f>
        <v/>
      </c>
      <c r="E222" s="4">
        <f>INDEX('Draft Engine'!$E$3:$E$232,$M222)</f>
        <v/>
      </c>
      <c r="F222">
        <f>INDEX('LIVE SOURCE'!$H$3:$H$232,$M222)</f>
        <v/>
      </c>
      <c r="G222">
        <f>INDEX('LIVE SOURCE'!$I$3:$I$232,$M222)</f>
        <v/>
      </c>
      <c r="H222">
        <f>INDEX('LIVE SOURCE'!$J$3:$J$232,$M222)</f>
        <v/>
      </c>
      <c r="I222">
        <f>INDEX('Draft Engine'!$R$3:$R$232,$M222)</f>
        <v/>
      </c>
      <c r="J222">
        <f>INDEX('Draft Engine'!$S$3:$S$232,$M222)</f>
        <v/>
      </c>
      <c r="K222">
        <f>INDEX('Draft Engine'!$T$3:$T$232,$M222)</f>
        <v/>
      </c>
      <c r="L222">
        <f>INDEX('Draft Engine'!$X$3:$X$232,$M222)</f>
        <v/>
      </c>
      <c r="M222" s="6">
        <f>MATCH($A222,'Draft Engine'!$Q$3:$Q$232,0)</f>
        <v/>
      </c>
    </row>
    <row r="223">
      <c r="A223">
        <f>221</f>
        <v/>
      </c>
      <c r="B223">
        <f>INDEX('Draft Engine'!$A$3:$A$232,$M223)</f>
        <v/>
      </c>
      <c r="C223">
        <f>INDEX('Draft Engine'!$F$3:$F$232,$M223)</f>
        <v/>
      </c>
      <c r="D223">
        <f>INDEX('Draft Engine'!$B$3:$B$232,$M223)</f>
        <v/>
      </c>
      <c r="E223" s="4">
        <f>INDEX('Draft Engine'!$E$3:$E$232,$M223)</f>
        <v/>
      </c>
      <c r="F223">
        <f>INDEX('LIVE SOURCE'!$H$3:$H$232,$M223)</f>
        <v/>
      </c>
      <c r="G223">
        <f>INDEX('LIVE SOURCE'!$I$3:$I$232,$M223)</f>
        <v/>
      </c>
      <c r="H223">
        <f>INDEX('LIVE SOURCE'!$J$3:$J$232,$M223)</f>
        <v/>
      </c>
      <c r="I223">
        <f>INDEX('Draft Engine'!$R$3:$R$232,$M223)</f>
        <v/>
      </c>
      <c r="J223">
        <f>INDEX('Draft Engine'!$S$3:$S$232,$M223)</f>
        <v/>
      </c>
      <c r="K223">
        <f>INDEX('Draft Engine'!$T$3:$T$232,$M223)</f>
        <v/>
      </c>
      <c r="L223">
        <f>INDEX('Draft Engine'!$X$3:$X$232,$M223)</f>
        <v/>
      </c>
      <c r="M223" s="6">
        <f>MATCH($A223,'Draft Engine'!$Q$3:$Q$232,0)</f>
        <v/>
      </c>
    </row>
    <row r="224">
      <c r="A224">
        <f>222</f>
        <v/>
      </c>
      <c r="B224">
        <f>INDEX('Draft Engine'!$A$3:$A$232,$M224)</f>
        <v/>
      </c>
      <c r="C224">
        <f>INDEX('Draft Engine'!$F$3:$F$232,$M224)</f>
        <v/>
      </c>
      <c r="D224">
        <f>INDEX('Draft Engine'!$B$3:$B$232,$M224)</f>
        <v/>
      </c>
      <c r="E224" s="4">
        <f>INDEX('Draft Engine'!$E$3:$E$232,$M224)</f>
        <v/>
      </c>
      <c r="F224">
        <f>INDEX('LIVE SOURCE'!$H$3:$H$232,$M224)</f>
        <v/>
      </c>
      <c r="G224">
        <f>INDEX('LIVE SOURCE'!$I$3:$I$232,$M224)</f>
        <v/>
      </c>
      <c r="H224">
        <f>INDEX('LIVE SOURCE'!$J$3:$J$232,$M224)</f>
        <v/>
      </c>
      <c r="I224">
        <f>INDEX('Draft Engine'!$R$3:$R$232,$M224)</f>
        <v/>
      </c>
      <c r="J224">
        <f>INDEX('Draft Engine'!$S$3:$S$232,$M224)</f>
        <v/>
      </c>
      <c r="K224">
        <f>INDEX('Draft Engine'!$T$3:$T$232,$M224)</f>
        <v/>
      </c>
      <c r="L224">
        <f>INDEX('Draft Engine'!$X$3:$X$232,$M224)</f>
        <v/>
      </c>
      <c r="M224" s="6">
        <f>MATCH($A224,'Draft Engine'!$Q$3:$Q$232,0)</f>
        <v/>
      </c>
    </row>
    <row r="225">
      <c r="A225">
        <f>223</f>
        <v/>
      </c>
      <c r="B225">
        <f>INDEX('Draft Engine'!$A$3:$A$232,$M225)</f>
        <v/>
      </c>
      <c r="C225">
        <f>INDEX('Draft Engine'!$F$3:$F$232,$M225)</f>
        <v/>
      </c>
      <c r="D225">
        <f>INDEX('Draft Engine'!$B$3:$B$232,$M225)</f>
        <v/>
      </c>
      <c r="E225" s="4">
        <f>INDEX('Draft Engine'!$E$3:$E$232,$M225)</f>
        <v/>
      </c>
      <c r="F225">
        <f>INDEX('LIVE SOURCE'!$H$3:$H$232,$M225)</f>
        <v/>
      </c>
      <c r="G225">
        <f>INDEX('LIVE SOURCE'!$I$3:$I$232,$M225)</f>
        <v/>
      </c>
      <c r="H225">
        <f>INDEX('LIVE SOURCE'!$J$3:$J$232,$M225)</f>
        <v/>
      </c>
      <c r="I225">
        <f>INDEX('Draft Engine'!$R$3:$R$232,$M225)</f>
        <v/>
      </c>
      <c r="J225">
        <f>INDEX('Draft Engine'!$S$3:$S$232,$M225)</f>
        <v/>
      </c>
      <c r="K225">
        <f>INDEX('Draft Engine'!$T$3:$T$232,$M225)</f>
        <v/>
      </c>
      <c r="L225">
        <f>INDEX('Draft Engine'!$X$3:$X$232,$M225)</f>
        <v/>
      </c>
      <c r="M225" s="6">
        <f>MATCH($A225,'Draft Engine'!$Q$3:$Q$232,0)</f>
        <v/>
      </c>
    </row>
    <row r="226">
      <c r="A226">
        <f>224</f>
        <v/>
      </c>
      <c r="B226">
        <f>INDEX('Draft Engine'!$A$3:$A$232,$M226)</f>
        <v/>
      </c>
      <c r="C226">
        <f>INDEX('Draft Engine'!$F$3:$F$232,$M226)</f>
        <v/>
      </c>
      <c r="D226">
        <f>INDEX('Draft Engine'!$B$3:$B$232,$M226)</f>
        <v/>
      </c>
      <c r="E226" s="4">
        <f>INDEX('Draft Engine'!$E$3:$E$232,$M226)</f>
        <v/>
      </c>
      <c r="F226">
        <f>INDEX('LIVE SOURCE'!$H$3:$H$232,$M226)</f>
        <v/>
      </c>
      <c r="G226">
        <f>INDEX('LIVE SOURCE'!$I$3:$I$232,$M226)</f>
        <v/>
      </c>
      <c r="H226">
        <f>INDEX('LIVE SOURCE'!$J$3:$J$232,$M226)</f>
        <v/>
      </c>
      <c r="I226">
        <f>INDEX('Draft Engine'!$R$3:$R$232,$M226)</f>
        <v/>
      </c>
      <c r="J226">
        <f>INDEX('Draft Engine'!$S$3:$S$232,$M226)</f>
        <v/>
      </c>
      <c r="K226">
        <f>INDEX('Draft Engine'!$T$3:$T$232,$M226)</f>
        <v/>
      </c>
      <c r="L226">
        <f>INDEX('Draft Engine'!$X$3:$X$232,$M226)</f>
        <v/>
      </c>
      <c r="M226" s="6">
        <f>MATCH($A226,'Draft Engine'!$Q$3:$Q$232,0)</f>
        <v/>
      </c>
    </row>
    <row r="227">
      <c r="A227">
        <f>225</f>
        <v/>
      </c>
      <c r="B227">
        <f>INDEX('Draft Engine'!$A$3:$A$232,$M227)</f>
        <v/>
      </c>
      <c r="C227">
        <f>INDEX('Draft Engine'!$F$3:$F$232,$M227)</f>
        <v/>
      </c>
      <c r="D227">
        <f>INDEX('Draft Engine'!$B$3:$B$232,$M227)</f>
        <v/>
      </c>
      <c r="E227" s="4">
        <f>INDEX('Draft Engine'!$E$3:$E$232,$M227)</f>
        <v/>
      </c>
      <c r="F227">
        <f>INDEX('LIVE SOURCE'!$H$3:$H$232,$M227)</f>
        <v/>
      </c>
      <c r="G227">
        <f>INDEX('LIVE SOURCE'!$I$3:$I$232,$M227)</f>
        <v/>
      </c>
      <c r="H227">
        <f>INDEX('LIVE SOURCE'!$J$3:$J$232,$M227)</f>
        <v/>
      </c>
      <c r="I227">
        <f>INDEX('Draft Engine'!$R$3:$R$232,$M227)</f>
        <v/>
      </c>
      <c r="J227">
        <f>INDEX('Draft Engine'!$S$3:$S$232,$M227)</f>
        <v/>
      </c>
      <c r="K227">
        <f>INDEX('Draft Engine'!$T$3:$T$232,$M227)</f>
        <v/>
      </c>
      <c r="L227">
        <f>INDEX('Draft Engine'!$X$3:$X$232,$M227)</f>
        <v/>
      </c>
      <c r="M227" s="6">
        <f>MATCH($A227,'Draft Engine'!$Q$3:$Q$232,0)</f>
        <v/>
      </c>
    </row>
    <row r="228">
      <c r="A228">
        <f>226</f>
        <v/>
      </c>
      <c r="B228">
        <f>INDEX('Draft Engine'!$A$3:$A$232,$M228)</f>
        <v/>
      </c>
      <c r="C228">
        <f>INDEX('Draft Engine'!$F$3:$F$232,$M228)</f>
        <v/>
      </c>
      <c r="D228">
        <f>INDEX('Draft Engine'!$B$3:$B$232,$M228)</f>
        <v/>
      </c>
      <c r="E228" s="4">
        <f>INDEX('Draft Engine'!$E$3:$E$232,$M228)</f>
        <v/>
      </c>
      <c r="F228">
        <f>INDEX('LIVE SOURCE'!$H$3:$H$232,$M228)</f>
        <v/>
      </c>
      <c r="G228">
        <f>INDEX('LIVE SOURCE'!$I$3:$I$232,$M228)</f>
        <v/>
      </c>
      <c r="H228">
        <f>INDEX('LIVE SOURCE'!$J$3:$J$232,$M228)</f>
        <v/>
      </c>
      <c r="I228">
        <f>INDEX('Draft Engine'!$R$3:$R$232,$M228)</f>
        <v/>
      </c>
      <c r="J228">
        <f>INDEX('Draft Engine'!$S$3:$S$232,$M228)</f>
        <v/>
      </c>
      <c r="K228">
        <f>INDEX('Draft Engine'!$T$3:$T$232,$M228)</f>
        <v/>
      </c>
      <c r="L228">
        <f>INDEX('Draft Engine'!$X$3:$X$232,$M228)</f>
        <v/>
      </c>
      <c r="M228" s="6">
        <f>MATCH($A228,'Draft Engine'!$Q$3:$Q$232,0)</f>
        <v/>
      </c>
    </row>
    <row r="229">
      <c r="A229">
        <f>227</f>
        <v/>
      </c>
      <c r="B229">
        <f>INDEX('Draft Engine'!$A$3:$A$232,$M229)</f>
        <v/>
      </c>
      <c r="C229">
        <f>INDEX('Draft Engine'!$F$3:$F$232,$M229)</f>
        <v/>
      </c>
      <c r="D229">
        <f>INDEX('Draft Engine'!$B$3:$B$232,$M229)</f>
        <v/>
      </c>
      <c r="E229" s="4">
        <f>INDEX('Draft Engine'!$E$3:$E$232,$M229)</f>
        <v/>
      </c>
      <c r="F229">
        <f>INDEX('LIVE SOURCE'!$H$3:$H$232,$M229)</f>
        <v/>
      </c>
      <c r="G229">
        <f>INDEX('LIVE SOURCE'!$I$3:$I$232,$M229)</f>
        <v/>
      </c>
      <c r="H229">
        <f>INDEX('LIVE SOURCE'!$J$3:$J$232,$M229)</f>
        <v/>
      </c>
      <c r="I229">
        <f>INDEX('Draft Engine'!$R$3:$R$232,$M229)</f>
        <v/>
      </c>
      <c r="J229">
        <f>INDEX('Draft Engine'!$S$3:$S$232,$M229)</f>
        <v/>
      </c>
      <c r="K229">
        <f>INDEX('Draft Engine'!$T$3:$T$232,$M229)</f>
        <v/>
      </c>
      <c r="L229">
        <f>INDEX('Draft Engine'!$X$3:$X$232,$M229)</f>
        <v/>
      </c>
      <c r="M229" s="6">
        <f>MATCH($A229,'Draft Engine'!$Q$3:$Q$232,0)</f>
        <v/>
      </c>
    </row>
    <row r="230">
      <c r="A230">
        <f>228</f>
        <v/>
      </c>
      <c r="B230">
        <f>INDEX('Draft Engine'!$A$3:$A$232,$M230)</f>
        <v/>
      </c>
      <c r="C230">
        <f>INDEX('Draft Engine'!$F$3:$F$232,$M230)</f>
        <v/>
      </c>
      <c r="D230">
        <f>INDEX('Draft Engine'!$B$3:$B$232,$M230)</f>
        <v/>
      </c>
      <c r="E230" s="4">
        <f>INDEX('Draft Engine'!$E$3:$E$232,$M230)</f>
        <v/>
      </c>
      <c r="F230">
        <f>INDEX('LIVE SOURCE'!$H$3:$H$232,$M230)</f>
        <v/>
      </c>
      <c r="G230">
        <f>INDEX('LIVE SOURCE'!$I$3:$I$232,$M230)</f>
        <v/>
      </c>
      <c r="H230">
        <f>INDEX('LIVE SOURCE'!$J$3:$J$232,$M230)</f>
        <v/>
      </c>
      <c r="I230">
        <f>INDEX('Draft Engine'!$R$3:$R$232,$M230)</f>
        <v/>
      </c>
      <c r="J230">
        <f>INDEX('Draft Engine'!$S$3:$S$232,$M230)</f>
        <v/>
      </c>
      <c r="K230">
        <f>INDEX('Draft Engine'!$T$3:$T$232,$M230)</f>
        <v/>
      </c>
      <c r="L230">
        <f>INDEX('Draft Engine'!$X$3:$X$232,$M230)</f>
        <v/>
      </c>
      <c r="M230" s="6">
        <f>MATCH($A230,'Draft Engine'!$Q$3:$Q$232,0)</f>
        <v/>
      </c>
    </row>
    <row r="231">
      <c r="A231">
        <f>229</f>
        <v/>
      </c>
      <c r="B231">
        <f>INDEX('Draft Engine'!$A$3:$A$232,$M231)</f>
        <v/>
      </c>
      <c r="C231">
        <f>INDEX('Draft Engine'!$F$3:$F$232,$M231)</f>
        <v/>
      </c>
      <c r="D231">
        <f>INDEX('Draft Engine'!$B$3:$B$232,$M231)</f>
        <v/>
      </c>
      <c r="E231" s="4">
        <f>INDEX('Draft Engine'!$E$3:$E$232,$M231)</f>
        <v/>
      </c>
      <c r="F231">
        <f>INDEX('LIVE SOURCE'!$H$3:$H$232,$M231)</f>
        <v/>
      </c>
      <c r="G231">
        <f>INDEX('LIVE SOURCE'!$I$3:$I$232,$M231)</f>
        <v/>
      </c>
      <c r="H231">
        <f>INDEX('LIVE SOURCE'!$J$3:$J$232,$M231)</f>
        <v/>
      </c>
      <c r="I231">
        <f>INDEX('Draft Engine'!$R$3:$R$232,$M231)</f>
        <v/>
      </c>
      <c r="J231">
        <f>INDEX('Draft Engine'!$S$3:$S$232,$M231)</f>
        <v/>
      </c>
      <c r="K231">
        <f>INDEX('Draft Engine'!$T$3:$T$232,$M231)</f>
        <v/>
      </c>
      <c r="L231">
        <f>INDEX('Draft Engine'!$X$3:$X$232,$M231)</f>
        <v/>
      </c>
      <c r="M231" s="6">
        <f>MATCH($A231,'Draft Engine'!$Q$3:$Q$232,0)</f>
        <v/>
      </c>
    </row>
    <row r="232">
      <c r="A232">
        <f>230</f>
        <v/>
      </c>
      <c r="B232">
        <f>INDEX('Draft Engine'!$A$3:$A$232,$M232)</f>
        <v/>
      </c>
      <c r="C232">
        <f>INDEX('Draft Engine'!$F$3:$F$232,$M232)</f>
        <v/>
      </c>
      <c r="D232">
        <f>INDEX('Draft Engine'!$B$3:$B$232,$M232)</f>
        <v/>
      </c>
      <c r="E232" s="4">
        <f>INDEX('Draft Engine'!$E$3:$E$232,$M232)</f>
        <v/>
      </c>
      <c r="F232">
        <f>INDEX('LIVE SOURCE'!$H$3:$H$232,$M232)</f>
        <v/>
      </c>
      <c r="G232">
        <f>INDEX('LIVE SOURCE'!$I$3:$I$232,$M232)</f>
        <v/>
      </c>
      <c r="H232">
        <f>INDEX('LIVE SOURCE'!$J$3:$J$232,$M232)</f>
        <v/>
      </c>
      <c r="I232">
        <f>INDEX('Draft Engine'!$R$3:$R$232,$M232)</f>
        <v/>
      </c>
      <c r="J232">
        <f>INDEX('Draft Engine'!$S$3:$S$232,$M232)</f>
        <v/>
      </c>
      <c r="K232">
        <f>INDEX('Draft Engine'!$T$3:$T$232,$M232)</f>
        <v/>
      </c>
      <c r="L232">
        <f>INDEX('Draft Engine'!$X$3:$X$232,$M232)</f>
        <v/>
      </c>
      <c r="M232" s="6">
        <f>MATCH($A232,'Draft Engine'!$Q$3:$Q$232,0)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2" customWidth="1" min="3" max="3"/>
    <col width="20" customWidth="1" min="4" max="4"/>
  </cols>
  <sheetData>
    <row r="1">
      <c r="A1" s="1" t="inlineStr">
        <is>
          <t>QA Checks: every number below must PASS before you trust the board</t>
        </is>
      </c>
    </row>
    <row r="3">
      <c r="A3" s="7" t="inlineStr">
        <is>
          <t>Check</t>
        </is>
      </c>
      <c r="B3" s="7" t="inlineStr">
        <is>
          <t>Expected</t>
        </is>
      </c>
      <c r="C3" s="7" t="inlineStr">
        <is>
          <t>Actual</t>
        </is>
      </c>
      <c r="D3" s="7" t="inlineStr">
        <is>
          <t>Status</t>
        </is>
      </c>
    </row>
    <row r="4">
      <c r="A4" t="inlineStr">
        <is>
          <t>Player count (LIVE SOURCE)</t>
        </is>
      </c>
      <c r="B4" t="n">
        <v>230</v>
      </c>
      <c r="C4">
        <f>COUNTA('LIVE SOURCE'!$B$3:$B$232)</f>
        <v/>
      </c>
      <c r="D4">
        <f>IF($C4=$B4,"PASS","FAIL")</f>
        <v/>
      </c>
    </row>
    <row r="5">
      <c r="A5" t="inlineStr">
        <is>
          <t>Row alignment errors (LS vs Draft Engine)</t>
        </is>
      </c>
      <c r="B5" t="n">
        <v>0</v>
      </c>
      <c r="C5">
        <f>SUMPRODUCT(--('LIVE SOURCE'!$B$3:$B$232&lt;&gt;'Draft Engine'!$B$3:$B$232))</f>
        <v/>
      </c>
      <c r="D5">
        <f>IF($C5=$B5,"PASS","FAIL")</f>
        <v/>
      </c>
    </row>
    <row r="6">
      <c r="A6" t="inlineStr">
        <is>
          <t>Row alignment errors (LS vs Manual Adj)</t>
        </is>
      </c>
      <c r="B6" t="n">
        <v>0</v>
      </c>
      <c r="C6">
        <f>SUMPRODUCT(--('LIVE SOURCE'!$B$3:$B$232&lt;&gt;'Manual Adjustments'!$B$3:$B$232))</f>
        <v/>
      </c>
      <c r="D6">
        <f>IF($C6=$B6,"PASS","FAIL")</f>
        <v/>
      </c>
    </row>
    <row r="7">
      <c r="A7" t="inlineStr">
        <is>
          <t>Master mismatches (dupes + errors)</t>
        </is>
      </c>
      <c r="B7" t="n">
        <v>0</v>
      </c>
      <c r="C7">
        <f>IFERROR(230-SUMPRODUCT(1/COUNTIF('FINAL Master'!$D$3:$D$232,'FINAL Master'!$D$3:$D$232)),999)+SUMPRODUCT(--ISERROR('FINAL Master'!$A$3:$P$232))</f>
        <v/>
      </c>
      <c r="D7">
        <f>IF($C7=$B7,"PASS","FAIL")</f>
        <v/>
      </c>
    </row>
    <row r="8">
      <c r="A8" t="inlineStr">
        <is>
          <t>Top 200 mismatches (dupes + errors)</t>
        </is>
      </c>
      <c r="B8" t="n">
        <v>0</v>
      </c>
      <c r="C8">
        <f>IFERROR(200-SUMPRODUCT(1/COUNTIF('Top 200'!$D$3:$D$202,'Top 200'!$D$3:$D$202)),999)+SUMPRODUCT(--ISERROR('Top 200'!$A$3:$O$202))</f>
        <v/>
      </c>
      <c r="D8">
        <f>IF($C8=$B8,"PASS","FAIL")</f>
        <v/>
      </c>
    </row>
    <row r="9">
      <c r="A9" t="inlineStr">
        <is>
          <t>Positional-rank conflicts</t>
        </is>
      </c>
      <c r="B9" t="n">
        <v>0</v>
      </c>
      <c r="C9">
        <f>SUMPRODUCT(--(COUNTIFS('Draft Engine'!$A$3:$A$232,'Draft Engine'!$A$3:$A$232,'Draft Engine'!$F$3:$F$232,'Draft Engine'!$F$3:$F$232)&gt;1))</f>
        <v/>
      </c>
      <c r="D9">
        <f>IF($C9=$B9,"PASS","FAIL")</f>
        <v/>
      </c>
    </row>
    <row r="10">
      <c r="A10" t="inlineStr">
        <is>
          <t>Overall-rank conflicts</t>
        </is>
      </c>
      <c r="B10" t="n">
        <v>0</v>
      </c>
      <c r="C10">
        <f>SUMPRODUCT(--(COUNTIF('Draft Engine'!$Q$3:$Q$232,'Draft Engine'!$Q$3:$Q$232)&gt;1))</f>
        <v/>
      </c>
      <c r="D10">
        <f>IF($C10=$B10,"PASS","FAIL")</f>
        <v/>
      </c>
    </row>
    <row r="11">
      <c r="A11" t="inlineStr">
        <is>
          <t>DST1 overall rank</t>
        </is>
      </c>
      <c r="B11" t="n">
        <v>131</v>
      </c>
      <c r="C11">
        <f>SUMPRODUCT(('Draft Engine'!$A$3:$A$232="DST")*('Draft Engine'!$F$3:$F$232=1)*'Draft Engine'!$Q$3:$Q$232)</f>
        <v/>
      </c>
      <c r="D11">
        <f>IF($C11=$B11,"PASS","FAIL")</f>
        <v/>
      </c>
    </row>
    <row r="12">
      <c r="A12" t="inlineStr">
        <is>
          <t>DST10 overall rank</t>
        </is>
      </c>
      <c r="B12" t="n">
        <v>140</v>
      </c>
      <c r="C12">
        <f>SUMPRODUCT(('Draft Engine'!$A$3:$A$232="DST")*('Draft Engine'!$F$3:$F$232=10)*'Draft Engine'!$Q$3:$Q$232)</f>
        <v/>
      </c>
      <c r="D12">
        <f>IF($C12=$B12,"PASS","FAIL")</f>
        <v/>
      </c>
    </row>
    <row r="13">
      <c r="A13" t="inlineStr">
        <is>
          <t>K1 overall rank</t>
        </is>
      </c>
      <c r="B13" t="n">
        <v>141</v>
      </c>
      <c r="C13">
        <f>SUMPRODUCT(('Draft Engine'!$A$3:$A$232="K")*('Draft Engine'!$F$3:$F$232=1)*'Draft Engine'!$Q$3:$Q$232)</f>
        <v/>
      </c>
      <c r="D13">
        <f>IF($C13=$B13,"PASS","FAIL")</f>
        <v/>
      </c>
    </row>
    <row r="14">
      <c r="A14" t="inlineStr">
        <is>
          <t>K10 overall rank</t>
        </is>
      </c>
      <c r="B14" t="n">
        <v>150</v>
      </c>
      <c r="C14">
        <f>SUMPRODUCT(('Draft Engine'!$A$3:$A$232="K")*('Draft Engine'!$F$3:$F$232=10)*'Draft Engine'!$Q$3:$Q$232)</f>
        <v/>
      </c>
      <c r="D14">
        <f>IF($C14=$B14,"PASS","FAIL")</f>
        <v/>
      </c>
    </row>
    <row r="15">
      <c r="A15" t="inlineStr">
        <is>
          <t>VORP identity errors (VORP = Pts - Repl Pts)</t>
        </is>
      </c>
      <c r="B15" t="n">
        <v>0</v>
      </c>
      <c r="C15">
        <f>SUMPRODUCT(--(ABS('Draft Engine'!$J$3:$J$232-('Draft Engine'!$G$3:$G$232-'Draft Engine'!$I$3:$I$232))&gt;0.06))</f>
        <v/>
      </c>
      <c r="D15">
        <f>IF($C15=$B15,"PASS","FAIL")</f>
        <v/>
      </c>
    </row>
    <row r="16">
      <c r="A16" t="inlineStr">
        <is>
          <t>Formula errors (all sheets)</t>
        </is>
      </c>
      <c r="B16" t="n">
        <v>0</v>
      </c>
      <c r="C16">
        <f>SUMPRODUCT(--ISERROR('Draft Engine'!$A$3:$Z$232))+SUMPRODUCT(--ISERROR('FINAL Master'!$A$3:$P$232))+SUMPRODUCT(--ISERROR('Top 200'!$A$3:$O$202))+SUMPRODUCT(--ISERROR('Player Summaries'!$A$3:$M$232))+SUMPRODUCT(--ISERROR('League Config'!$F$4:$L$9))+SUMPRODUCT(--ISERROR('Manual Adjustments'!$A$3:$J$232))+SUMPRODUCT(--ISERROR('FINAL QB'!$A$3:$N$34))+SUMPRODUCT(--ISERROR('FINAL RB'!$A$3:$N$54))+SUMPRODUCT(--ISERROR('FINAL WR'!$A$3:$N$76))+SUMPRODUCT(--ISERROR('FINAL TE'!$A$3:$N$30))+SUMPRODUCT(--ISERROR('K'!$A$3:$O$14))+SUMPRODUCT(--ISERROR('DST'!$A$3:$O$34))+SUMPRODUCT(--ISERROR('Draft Room'!$A$5:$G$42))+SUMPRODUCT(--ISERROR('Draft Board'!$A$3:$M$232))</f>
        <v/>
      </c>
      <c r="D16">
        <f>IF($C16=$B16,"PASS","FAIL")</f>
        <v/>
      </c>
    </row>
    <row r="18">
      <c r="A18" s="11" t="inlineStr">
        <is>
          <t>OVERALL</t>
        </is>
      </c>
      <c r="D18" s="11">
        <f>IF(COUNTIF($D$4:$D$16,"FAIL")=0,"ALL CHECKS PASS",COUNTIF($D$4:$D$16,"FAIL")&amp;" CHECKS FAILING")</f>
        <v/>
      </c>
    </row>
    <row r="20">
      <c r="A20" s="10" t="inlineStr">
        <is>
          <t>Formula error detail by sheet</t>
        </is>
      </c>
    </row>
    <row r="21">
      <c r="A21" t="inlineStr">
        <is>
          <t>Draft Engine</t>
        </is>
      </c>
      <c r="C21">
        <f>SUMPRODUCT(--ISERROR('Draft Engine'!$A$3:$Z$232))</f>
        <v/>
      </c>
    </row>
    <row r="22">
      <c r="A22" t="inlineStr">
        <is>
          <t>FINAL Master</t>
        </is>
      </c>
      <c r="C22">
        <f>SUMPRODUCT(--ISERROR('FINAL Master'!$A$3:$P$232))</f>
        <v/>
      </c>
    </row>
    <row r="23">
      <c r="A23" t="inlineStr">
        <is>
          <t>Top 200</t>
        </is>
      </c>
      <c r="C23">
        <f>SUMPRODUCT(--ISERROR('Top 200'!$A$3:$O$202))</f>
        <v/>
      </c>
    </row>
    <row r="24">
      <c r="A24" t="inlineStr">
        <is>
          <t>Player Summaries</t>
        </is>
      </c>
      <c r="C24">
        <f>SUMPRODUCT(--ISERROR('Player Summaries'!$A$3:$M$232))</f>
        <v/>
      </c>
    </row>
    <row r="25">
      <c r="A25" t="inlineStr">
        <is>
          <t>League Config</t>
        </is>
      </c>
      <c r="C25">
        <f>SUMPRODUCT(--ISERROR('League Config'!$F$4:$L$9))</f>
        <v/>
      </c>
    </row>
    <row r="26">
      <c r="A26" t="inlineStr">
        <is>
          <t>Manual Adjustments</t>
        </is>
      </c>
      <c r="C26">
        <f>SUMPRODUCT(--ISERROR('Manual Adjustments'!$A$3:$J$232))</f>
        <v/>
      </c>
    </row>
    <row r="27">
      <c r="A27" t="inlineStr">
        <is>
          <t>FINAL QB</t>
        </is>
      </c>
      <c r="C27">
        <f>SUMPRODUCT(--ISERROR('FINAL QB'!$A$3:$N$34))</f>
        <v/>
      </c>
    </row>
    <row r="28">
      <c r="A28" t="inlineStr">
        <is>
          <t>FINAL RB</t>
        </is>
      </c>
      <c r="C28">
        <f>SUMPRODUCT(--ISERROR('FINAL RB'!$A$3:$N$54))</f>
        <v/>
      </c>
    </row>
    <row r="29">
      <c r="A29" t="inlineStr">
        <is>
          <t>FINAL WR</t>
        </is>
      </c>
      <c r="C29">
        <f>SUMPRODUCT(--ISERROR('FINAL WR'!$A$3:$N$76))</f>
        <v/>
      </c>
    </row>
    <row r="30">
      <c r="A30" t="inlineStr">
        <is>
          <t>FINAL TE</t>
        </is>
      </c>
      <c r="C30">
        <f>SUMPRODUCT(--ISERROR('FINAL TE'!$A$3:$N$30))</f>
        <v/>
      </c>
    </row>
    <row r="31">
      <c r="A31" t="inlineStr">
        <is>
          <t>K</t>
        </is>
      </c>
      <c r="C31">
        <f>SUMPRODUCT(--ISERROR('K'!$A$3:$O$14))</f>
        <v/>
      </c>
    </row>
    <row r="32">
      <c r="A32" t="inlineStr">
        <is>
          <t>DST</t>
        </is>
      </c>
      <c r="C32">
        <f>SUMPRODUCT(--ISERROR('DST'!$A$3:$O$34))</f>
        <v/>
      </c>
    </row>
    <row r="33">
      <c r="A33" t="inlineStr">
        <is>
          <t>Draft Room</t>
        </is>
      </c>
      <c r="C33">
        <f>SUMPRODUCT(--ISERROR('Draft Room'!$A$5:$G$42))</f>
        <v/>
      </c>
    </row>
    <row r="34">
      <c r="A34" t="inlineStr">
        <is>
          <t>Draft Board</t>
        </is>
      </c>
      <c r="C34">
        <f>SUMPRODUCT(--ISERROR('Draft Board'!$A$3:$M$232))</f>
        <v/>
      </c>
    </row>
  </sheetData>
  <conditionalFormatting sqref="D4:D18">
    <cfRule type="cellIs" priority="1" operator="equal" dxfId="0">
      <formula>"PASS"</formula>
    </cfRule>
    <cfRule type="cellIs" priority="2" operator="notEqual" dxfId="2">
      <formula>"PASS"</formula>
    </cfRule>
  </conditionalFormatting>
  <conditionalFormatting sqref="D18">
    <cfRule type="cellIs" priority="3" operator="equal" dxfId="0">
      <formula>"ALL CHECKS PASS"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2026-08-19T00:20:38Z</dcterms:created>
  <dcterms:modified xsi:type="dcterms:W3CDTF">2026-08-19T00:20:38Z</dcterms:modified>
</cp:coreProperties>
</file>